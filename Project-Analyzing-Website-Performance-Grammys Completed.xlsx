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3.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codeName="ThisWorkbook" defaultThemeVersion="166925"/>
  <mc:AlternateContent xmlns:mc="http://schemas.openxmlformats.org/markup-compatibility/2006">
    <mc:Choice Requires="x15">
      <x15ac:absPath xmlns:x15ac="http://schemas.microsoft.com/office/spreadsheetml/2010/11/ac" url="/Users/ksylvia/Downloads/"/>
    </mc:Choice>
  </mc:AlternateContent>
  <xr:revisionPtr revIDLastSave="0" documentId="8_{1B2BA174-2004-46AE-ADEF-26452611FB76}" xr6:coauthVersionLast="47" xr6:coauthVersionMax="47" xr10:uidLastSave="{00000000-0000-0000-0000-000000000000}"/>
  <bookViews>
    <workbookView xWindow="0" yWindow="860" windowWidth="30240" windowHeight="22300" activeTab="3" xr2:uid="{00000000-000D-0000-FFFF-FFFF00000000}"/>
  </bookViews>
  <sheets>
    <sheet name="Website Performance Analysis" sheetId="17" r:id="rId1"/>
    <sheet name="Grammys Data" sheetId="1" r:id="rId2"/>
    <sheet name="Recording Academy Data" sheetId="2" r:id="rId3"/>
    <sheet name="LevelUp" sheetId="19" r:id="rId4"/>
    <sheet name="Data Dictionary" sheetId="18" r:id="rId5"/>
    <sheet name="Solutions" sheetId="15" state="veryHidden" r:id="rId6"/>
  </sheets>
  <calcPr calcId="191028"/>
  <pivotCaches>
    <pivotCache cacheId="778" r:id="rId7"/>
    <pivotCache cacheId="779" r:id="rId8"/>
    <pivotCache cacheId="78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19" l="1"/>
  <c r="C26" i="19"/>
  <c r="C80" i="17"/>
  <c r="C85" i="17"/>
  <c r="C86" i="17"/>
  <c r="C87" i="17"/>
  <c r="C69" i="17"/>
  <c r="C68" i="17"/>
  <c r="C101" i="17"/>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C70" i="17"/>
  <c r="C79" i="17"/>
  <c r="H2" i="1" a="1"/>
  <c r="H2" i="1" s="1"/>
  <c r="H3" i="1" a="1"/>
  <c r="H3" i="1" s="1"/>
  <c r="H4" i="1" a="1"/>
  <c r="H4" i="1" s="1"/>
  <c r="H5" i="1" a="1"/>
  <c r="H5" i="1" s="1"/>
  <c r="H6" i="1" a="1"/>
  <c r="H6" i="1" s="1"/>
  <c r="H7" i="1" a="1"/>
  <c r="H7" i="1" s="1"/>
  <c r="H8" i="1" a="1"/>
  <c r="H8" i="1" s="1"/>
  <c r="H9" i="1" a="1"/>
  <c r="H9" i="1" s="1"/>
  <c r="H10" i="1" a="1"/>
  <c r="H10" i="1" s="1"/>
  <c r="H11" i="1" a="1"/>
  <c r="H11" i="1" s="1"/>
  <c r="H12" i="1" a="1"/>
  <c r="H12" i="1" s="1"/>
  <c r="H13" i="1" a="1"/>
  <c r="H13" i="1" s="1"/>
  <c r="H14" i="1" a="1"/>
  <c r="H14" i="1" s="1"/>
  <c r="H15" i="1" a="1"/>
  <c r="H15" i="1" s="1"/>
  <c r="H16" i="1" a="1"/>
  <c r="H16" i="1" s="1"/>
  <c r="H17" i="1" a="1"/>
  <c r="H17" i="1" s="1"/>
  <c r="H18" i="1" a="1"/>
  <c r="H18" i="1" s="1"/>
  <c r="H19" i="1" a="1"/>
  <c r="H19" i="1" s="1"/>
  <c r="H20" i="1" a="1"/>
  <c r="H20" i="1" s="1"/>
  <c r="H21" i="1" a="1"/>
  <c r="H21" i="1" s="1"/>
  <c r="H22" i="1" a="1"/>
  <c r="H22" i="1" s="1"/>
  <c r="H23" i="1" a="1"/>
  <c r="H23" i="1" s="1"/>
  <c r="H24" i="1" a="1"/>
  <c r="H24" i="1" s="1"/>
  <c r="H25" i="1" a="1"/>
  <c r="H25" i="1" s="1"/>
  <c r="H26" i="1" a="1"/>
  <c r="H26" i="1" s="1"/>
  <c r="H27" i="1" a="1"/>
  <c r="H27" i="1" s="1"/>
  <c r="H28" i="1" a="1"/>
  <c r="H28" i="1" s="1"/>
  <c r="H29" i="1" a="1"/>
  <c r="H29" i="1" s="1"/>
  <c r="H30" i="1" a="1"/>
  <c r="H30" i="1" s="1"/>
  <c r="H31" i="1" a="1"/>
  <c r="H31" i="1" s="1"/>
  <c r="H32" i="1" a="1"/>
  <c r="H32" i="1"/>
  <c r="H33" i="1" a="1"/>
  <c r="H33" i="1" s="1"/>
  <c r="H34" i="1" a="1"/>
  <c r="H34" i="1"/>
  <c r="H35" i="1" a="1"/>
  <c r="H35" i="1" s="1"/>
  <c r="H36" i="1" a="1"/>
  <c r="H36" i="1" s="1"/>
  <c r="H37" i="1" a="1"/>
  <c r="H37" i="1" s="1"/>
  <c r="H38" i="1" a="1"/>
  <c r="H38" i="1" s="1"/>
  <c r="H39" i="1" a="1"/>
  <c r="H39" i="1" s="1"/>
  <c r="H40" i="1" a="1"/>
  <c r="H40" i="1" s="1"/>
  <c r="H41" i="1" a="1"/>
  <c r="H41" i="1" s="1"/>
  <c r="H42" i="1" a="1"/>
  <c r="H42" i="1" s="1"/>
  <c r="H43" i="1" a="1"/>
  <c r="H43" i="1" s="1"/>
  <c r="H44" i="1" a="1"/>
  <c r="H44" i="1" s="1"/>
  <c r="H45" i="1" a="1"/>
  <c r="H45" i="1" s="1"/>
  <c r="H46" i="1" a="1"/>
  <c r="H46" i="1" s="1"/>
  <c r="H47" i="1" a="1"/>
  <c r="H47" i="1" s="1"/>
  <c r="H48" i="1" a="1"/>
  <c r="H48" i="1" s="1"/>
  <c r="H49" i="1" a="1"/>
  <c r="H49" i="1" s="1"/>
  <c r="H50" i="1" a="1"/>
  <c r="H50" i="1" s="1"/>
  <c r="H51" i="1" a="1"/>
  <c r="H51" i="1" s="1"/>
  <c r="H52" i="1" a="1"/>
  <c r="H52" i="1" s="1"/>
  <c r="H53" i="1" a="1"/>
  <c r="H53" i="1" s="1"/>
  <c r="H54" i="1" a="1"/>
  <c r="H54" i="1" s="1"/>
  <c r="H55" i="1" a="1"/>
  <c r="H55" i="1" s="1"/>
  <c r="H56" i="1" a="1"/>
  <c r="H56" i="1" s="1"/>
  <c r="H57" i="1" a="1"/>
  <c r="H57" i="1" s="1"/>
  <c r="H58" i="1" a="1"/>
  <c r="H58" i="1"/>
  <c r="H59" i="1" a="1"/>
  <c r="H59" i="1"/>
  <c r="H60" i="1" a="1"/>
  <c r="H60" i="1" s="1"/>
  <c r="H61" i="1" a="1"/>
  <c r="H61" i="1" s="1"/>
  <c r="H62" i="1" a="1"/>
  <c r="H62" i="1" s="1"/>
  <c r="H63" i="1" a="1"/>
  <c r="H63" i="1" s="1"/>
  <c r="H64" i="1" a="1"/>
  <c r="H64" i="1" s="1"/>
  <c r="H65" i="1" a="1"/>
  <c r="H65" i="1" s="1"/>
  <c r="H66" i="1" a="1"/>
  <c r="H66" i="1" s="1"/>
  <c r="H67" i="1" a="1"/>
  <c r="H67" i="1" s="1"/>
  <c r="H68" i="1" a="1"/>
  <c r="H68" i="1" s="1"/>
  <c r="H69" i="1" a="1"/>
  <c r="H69" i="1" s="1"/>
  <c r="H70" i="1" a="1"/>
  <c r="H70" i="1" s="1"/>
  <c r="H71" i="1" a="1"/>
  <c r="H71" i="1" s="1"/>
  <c r="H72" i="1" a="1"/>
  <c r="H72" i="1" s="1"/>
  <c r="H73" i="1" a="1"/>
  <c r="H73" i="1" s="1"/>
  <c r="H74" i="1" a="1"/>
  <c r="H74" i="1" s="1"/>
  <c r="H75" i="1" a="1"/>
  <c r="H75" i="1" s="1"/>
  <c r="H76" i="1" a="1"/>
  <c r="H76" i="1" s="1"/>
  <c r="H77" i="1" a="1"/>
  <c r="H77" i="1" s="1"/>
  <c r="H78" i="1" a="1"/>
  <c r="H78" i="1" s="1"/>
  <c r="H79" i="1" a="1"/>
  <c r="H79" i="1"/>
  <c r="H80" i="1" a="1"/>
  <c r="H80" i="1" s="1"/>
  <c r="H81" i="1" a="1"/>
  <c r="H81" i="1" s="1"/>
  <c r="H82" i="1" a="1"/>
  <c r="H82" i="1" s="1"/>
  <c r="H83" i="1" a="1"/>
  <c r="H83" i="1" s="1"/>
  <c r="H84" i="1" a="1"/>
  <c r="H84" i="1" s="1"/>
  <c r="H85" i="1" a="1"/>
  <c r="H85" i="1" s="1"/>
  <c r="H86" i="1" a="1"/>
  <c r="H86" i="1" s="1"/>
  <c r="H87" i="1" a="1"/>
  <c r="H87" i="1" s="1"/>
  <c r="H88" i="1" a="1"/>
  <c r="H88" i="1" s="1"/>
  <c r="H89" i="1" a="1"/>
  <c r="H89" i="1" s="1"/>
  <c r="H90" i="1" a="1"/>
  <c r="H90" i="1" s="1"/>
  <c r="H91" i="1" a="1"/>
  <c r="H91" i="1" s="1"/>
  <c r="H92" i="1" a="1"/>
  <c r="H92" i="1" s="1"/>
  <c r="H93" i="1" a="1"/>
  <c r="H93" i="1" s="1"/>
  <c r="H94" i="1" a="1"/>
  <c r="H94" i="1" s="1"/>
  <c r="H95" i="1" a="1"/>
  <c r="H95" i="1" s="1"/>
  <c r="H96" i="1" a="1"/>
  <c r="H96" i="1" s="1"/>
  <c r="H97" i="1" a="1"/>
  <c r="H97" i="1" s="1"/>
  <c r="H98" i="1" a="1"/>
  <c r="H98" i="1" s="1"/>
  <c r="H99" i="1" a="1"/>
  <c r="H99" i="1"/>
  <c r="H100" i="1" a="1"/>
  <c r="H100" i="1" s="1"/>
  <c r="H101" i="1" a="1"/>
  <c r="H101" i="1" s="1"/>
  <c r="H102" i="1" a="1"/>
  <c r="H102" i="1" s="1"/>
  <c r="H103" i="1" a="1"/>
  <c r="H103" i="1" s="1"/>
  <c r="H104" i="1" a="1"/>
  <c r="H104" i="1" s="1"/>
  <c r="H105" i="1" a="1"/>
  <c r="H105" i="1" s="1"/>
  <c r="H106" i="1" a="1"/>
  <c r="H106" i="1" s="1"/>
  <c r="H107" i="1" a="1"/>
  <c r="H107" i="1" s="1"/>
  <c r="H108" i="1" a="1"/>
  <c r="H108" i="1" s="1"/>
  <c r="H109" i="1" a="1"/>
  <c r="H109" i="1" s="1"/>
  <c r="H110" i="1" a="1"/>
  <c r="H110" i="1" s="1"/>
  <c r="H111" i="1" a="1"/>
  <c r="H111" i="1" s="1"/>
  <c r="H112" i="1" a="1"/>
  <c r="H112" i="1" s="1"/>
  <c r="H113" i="1" a="1"/>
  <c r="H113" i="1" s="1"/>
  <c r="H114" i="1" a="1"/>
  <c r="H114" i="1" s="1"/>
  <c r="H115" i="1" a="1"/>
  <c r="H115" i="1" s="1"/>
  <c r="H116" i="1" a="1"/>
  <c r="H116" i="1" s="1"/>
  <c r="H117" i="1" a="1"/>
  <c r="H117" i="1" s="1"/>
  <c r="H118" i="1" a="1"/>
  <c r="H118" i="1" s="1"/>
  <c r="H119" i="1" a="1"/>
  <c r="H119" i="1" s="1"/>
  <c r="H120" i="1" a="1"/>
  <c r="H120" i="1" s="1"/>
  <c r="H121" i="1" a="1"/>
  <c r="H121" i="1" s="1"/>
  <c r="H122" i="1" a="1"/>
  <c r="H122" i="1" s="1"/>
  <c r="H123" i="1" a="1"/>
  <c r="H123" i="1" s="1"/>
  <c r="H124" i="1" a="1"/>
  <c r="H124" i="1" s="1"/>
  <c r="H125" i="1" a="1"/>
  <c r="H125" i="1" s="1"/>
  <c r="H126" i="1" a="1"/>
  <c r="H126" i="1" s="1"/>
  <c r="H127" i="1" a="1"/>
  <c r="H127" i="1" s="1"/>
  <c r="H128" i="1" a="1"/>
  <c r="H128" i="1" s="1"/>
  <c r="H129" i="1" a="1"/>
  <c r="H129" i="1" s="1"/>
  <c r="H130" i="1" a="1"/>
  <c r="H130" i="1"/>
  <c r="H131" i="1" a="1"/>
  <c r="H131" i="1" s="1"/>
  <c r="H132" i="1" a="1"/>
  <c r="H132" i="1"/>
  <c r="H133" i="1" a="1"/>
  <c r="H133" i="1" s="1"/>
  <c r="H134" i="1" a="1"/>
  <c r="H134" i="1"/>
  <c r="H135" i="1" a="1"/>
  <c r="H135" i="1" s="1"/>
  <c r="H136" i="1" a="1"/>
  <c r="H136" i="1" s="1"/>
  <c r="H137" i="1" a="1"/>
  <c r="H137" i="1" s="1"/>
  <c r="H138" i="1" a="1"/>
  <c r="H138" i="1" s="1"/>
  <c r="H139" i="1" a="1"/>
  <c r="H139" i="1" s="1"/>
  <c r="H140" i="1" a="1"/>
  <c r="H140" i="1" s="1"/>
  <c r="H141" i="1" a="1"/>
  <c r="H141" i="1" s="1"/>
  <c r="H142" i="1" a="1"/>
  <c r="H142" i="1" s="1"/>
  <c r="H143" i="1" a="1"/>
  <c r="H143" i="1" s="1"/>
  <c r="H144" i="1" a="1"/>
  <c r="H144" i="1" s="1"/>
  <c r="H145" i="1" a="1"/>
  <c r="H145" i="1" s="1"/>
  <c r="H146" i="1" a="1"/>
  <c r="H146" i="1" s="1"/>
  <c r="H147" i="1" a="1"/>
  <c r="H147" i="1" s="1"/>
  <c r="H148" i="1" a="1"/>
  <c r="H148" i="1"/>
  <c r="H149" i="1" a="1"/>
  <c r="H149" i="1" s="1"/>
  <c r="H150" i="1" a="1"/>
  <c r="H150" i="1" s="1"/>
  <c r="H151" i="1" a="1"/>
  <c r="H151" i="1" s="1"/>
  <c r="H152" i="1" a="1"/>
  <c r="H152" i="1" s="1"/>
  <c r="H153" i="1" a="1"/>
  <c r="H153" i="1" s="1"/>
  <c r="H154" i="1" a="1"/>
  <c r="H154" i="1" s="1"/>
  <c r="H155" i="1" a="1"/>
  <c r="H155" i="1" s="1"/>
  <c r="H156" i="1" a="1"/>
  <c r="H156" i="1" s="1"/>
  <c r="H157" i="1" a="1"/>
  <c r="H157" i="1" s="1"/>
  <c r="H158" i="1" a="1"/>
  <c r="H158" i="1" s="1"/>
  <c r="H159" i="1" a="1"/>
  <c r="H159" i="1" s="1"/>
  <c r="H160" i="1" a="1"/>
  <c r="H160" i="1" s="1"/>
  <c r="H161" i="1" a="1"/>
  <c r="H161" i="1" s="1"/>
  <c r="H162" i="1" a="1"/>
  <c r="H162" i="1" s="1"/>
  <c r="H163" i="1" a="1"/>
  <c r="H163" i="1" s="1"/>
  <c r="H164" i="1" a="1"/>
  <c r="H164" i="1" s="1"/>
  <c r="H165" i="1" a="1"/>
  <c r="H165" i="1" s="1"/>
  <c r="H166" i="1" a="1"/>
  <c r="H166" i="1" s="1"/>
  <c r="H167" i="1" a="1"/>
  <c r="H167" i="1" s="1"/>
  <c r="H168" i="1" a="1"/>
  <c r="H168" i="1" s="1"/>
  <c r="H169" i="1" a="1"/>
  <c r="H169" i="1" s="1"/>
  <c r="H170" i="1" a="1"/>
  <c r="H170" i="1" s="1"/>
  <c r="H171" i="1" a="1"/>
  <c r="H171" i="1" s="1"/>
  <c r="H172" i="1" a="1"/>
  <c r="H172" i="1" s="1"/>
  <c r="H173" i="1" a="1"/>
  <c r="H173" i="1" s="1"/>
  <c r="H174" i="1" a="1"/>
  <c r="H174" i="1" s="1"/>
  <c r="H175" i="1" a="1"/>
  <c r="H175" i="1" s="1"/>
  <c r="H176" i="1" a="1"/>
  <c r="H176" i="1" s="1"/>
  <c r="H177" i="1" a="1"/>
  <c r="H177" i="1" s="1"/>
  <c r="H178" i="1" a="1"/>
  <c r="H178" i="1" s="1"/>
  <c r="H179" i="1" a="1"/>
  <c r="H179" i="1"/>
  <c r="H180" i="1" a="1"/>
  <c r="H180" i="1" s="1"/>
  <c r="H181" i="1" a="1"/>
  <c r="H181" i="1" s="1"/>
  <c r="H182" i="1" a="1"/>
  <c r="H182" i="1" s="1"/>
  <c r="H183" i="1" a="1"/>
  <c r="H183" i="1"/>
  <c r="H184" i="1" a="1"/>
  <c r="H184" i="1" s="1"/>
  <c r="H185" i="1" a="1"/>
  <c r="H185" i="1" s="1"/>
  <c r="H186" i="1" a="1"/>
  <c r="H186" i="1" s="1"/>
  <c r="H187" i="1" a="1"/>
  <c r="H187" i="1" s="1"/>
  <c r="H188" i="1" a="1"/>
  <c r="H188" i="1" s="1"/>
  <c r="H189" i="1" a="1"/>
  <c r="H189" i="1" s="1"/>
  <c r="H190" i="1" a="1"/>
  <c r="H190" i="1" s="1"/>
  <c r="H191" i="1" a="1"/>
  <c r="H191" i="1" s="1"/>
  <c r="H192" i="1" a="1"/>
  <c r="H192" i="1" s="1"/>
  <c r="H193" i="1" a="1"/>
  <c r="H193" i="1" s="1"/>
  <c r="H194" i="1" a="1"/>
  <c r="H194" i="1" s="1"/>
  <c r="H195" i="1" a="1"/>
  <c r="H195" i="1" s="1"/>
  <c r="H196" i="1" a="1"/>
  <c r="H196" i="1" s="1"/>
  <c r="H197" i="1" a="1"/>
  <c r="H197" i="1" s="1"/>
  <c r="H198" i="1" a="1"/>
  <c r="H198" i="1" s="1"/>
  <c r="H199" i="1" a="1"/>
  <c r="H199" i="1" s="1"/>
  <c r="H200" i="1" a="1"/>
  <c r="H200" i="1" s="1"/>
  <c r="H201" i="1" a="1"/>
  <c r="H201" i="1" s="1"/>
  <c r="H202" i="1" a="1"/>
  <c r="H202" i="1" s="1"/>
  <c r="H203" i="1" a="1"/>
  <c r="H203" i="1" s="1"/>
  <c r="H204" i="1" a="1"/>
  <c r="H204" i="1" s="1"/>
  <c r="H205" i="1" a="1"/>
  <c r="H205" i="1" s="1"/>
  <c r="H206" i="1" a="1"/>
  <c r="H206" i="1" s="1"/>
  <c r="H207" i="1" a="1"/>
  <c r="H207" i="1" s="1"/>
  <c r="H208" i="1" a="1"/>
  <c r="H208" i="1" s="1"/>
  <c r="H209" i="1" a="1"/>
  <c r="H209" i="1" s="1"/>
  <c r="H210" i="1" a="1"/>
  <c r="H210" i="1" s="1"/>
  <c r="H211" i="1" a="1"/>
  <c r="H211" i="1" s="1"/>
  <c r="H212" i="1" a="1"/>
  <c r="H212" i="1" s="1"/>
  <c r="H213" i="1" a="1"/>
  <c r="H213" i="1" s="1"/>
  <c r="H214" i="1" a="1"/>
  <c r="H214" i="1"/>
  <c r="H215" i="1" a="1"/>
  <c r="H215" i="1" s="1"/>
  <c r="H216" i="1" a="1"/>
  <c r="H216" i="1" s="1"/>
  <c r="H217" i="1" a="1"/>
  <c r="H217" i="1"/>
  <c r="H218" i="1" a="1"/>
  <c r="H218" i="1" s="1"/>
  <c r="H219" i="1" a="1"/>
  <c r="H219" i="1" s="1"/>
  <c r="H220" i="1" a="1"/>
  <c r="H220" i="1" s="1"/>
  <c r="H221" i="1" a="1"/>
  <c r="H221" i="1" s="1"/>
  <c r="H222" i="1" a="1"/>
  <c r="H222" i="1" s="1"/>
  <c r="H223" i="1" a="1"/>
  <c r="H223" i="1" s="1"/>
  <c r="H224" i="1" a="1"/>
  <c r="H224" i="1"/>
  <c r="H225" i="1" a="1"/>
  <c r="H225" i="1" s="1"/>
  <c r="H226" i="1" a="1"/>
  <c r="H226" i="1" s="1"/>
  <c r="H227" i="1" a="1"/>
  <c r="H227" i="1" s="1"/>
  <c r="H228" i="1" a="1"/>
  <c r="H228" i="1" s="1"/>
  <c r="H229" i="1" a="1"/>
  <c r="H229" i="1" s="1"/>
  <c r="H230" i="1" a="1"/>
  <c r="H230" i="1" s="1"/>
  <c r="H231" i="1" a="1"/>
  <c r="H231" i="1" s="1"/>
  <c r="H232" i="1" a="1"/>
  <c r="H232" i="1" s="1"/>
  <c r="H233" i="1" a="1"/>
  <c r="H233" i="1" s="1"/>
  <c r="H234" i="1" a="1"/>
  <c r="H234" i="1" s="1"/>
  <c r="H235" i="1" a="1"/>
  <c r="H235" i="1" s="1"/>
  <c r="H236" i="1" a="1"/>
  <c r="H236" i="1" s="1"/>
  <c r="H237" i="1" a="1"/>
  <c r="H237" i="1" s="1"/>
  <c r="H238" i="1" a="1"/>
  <c r="H238" i="1" s="1"/>
  <c r="H239" i="1" a="1"/>
  <c r="H239" i="1" s="1"/>
  <c r="H240" i="1" a="1"/>
  <c r="H240" i="1" s="1"/>
  <c r="H241" i="1" a="1"/>
  <c r="H241" i="1" s="1"/>
  <c r="H242" i="1" a="1"/>
  <c r="H242" i="1" s="1"/>
  <c r="H243" i="1" a="1"/>
  <c r="H243" i="1" s="1"/>
  <c r="H244" i="1" a="1"/>
  <c r="H244" i="1" s="1"/>
  <c r="H245" i="1" a="1"/>
  <c r="H245" i="1" s="1"/>
  <c r="H246" i="1" a="1"/>
  <c r="H246" i="1" s="1"/>
  <c r="H247" i="1" a="1"/>
  <c r="H247" i="1" s="1"/>
  <c r="H248" i="1" a="1"/>
  <c r="H248" i="1" s="1"/>
  <c r="H249" i="1" a="1"/>
  <c r="H249" i="1" s="1"/>
  <c r="H250" i="1" a="1"/>
  <c r="H250" i="1" s="1"/>
  <c r="H251" i="1" a="1"/>
  <c r="H251" i="1" s="1"/>
  <c r="H252" i="1" a="1"/>
  <c r="H252" i="1" s="1"/>
  <c r="H253" i="1" a="1"/>
  <c r="H253" i="1" s="1"/>
  <c r="H254" i="1" a="1"/>
  <c r="H254" i="1"/>
  <c r="H255" i="1" a="1"/>
  <c r="H255" i="1" s="1"/>
  <c r="H256" i="1" a="1"/>
  <c r="H256" i="1" s="1"/>
  <c r="H257" i="1" a="1"/>
  <c r="H257" i="1" s="1"/>
  <c r="H258" i="1" a="1"/>
  <c r="H258" i="1" s="1"/>
  <c r="H259" i="1" a="1"/>
  <c r="H259" i="1"/>
  <c r="H260" i="1" a="1"/>
  <c r="H260" i="1" s="1"/>
  <c r="H261" i="1" a="1"/>
  <c r="H261" i="1" s="1"/>
  <c r="H262" i="1" a="1"/>
  <c r="H262" i="1" s="1"/>
  <c r="H263" i="1" a="1"/>
  <c r="H263" i="1" s="1"/>
  <c r="H264" i="1" a="1"/>
  <c r="H264" i="1" s="1"/>
  <c r="H265" i="1" a="1"/>
  <c r="H265" i="1" s="1"/>
  <c r="H266" i="1" a="1"/>
  <c r="H266" i="1" s="1"/>
  <c r="H267" i="1" a="1"/>
  <c r="H267" i="1" s="1"/>
  <c r="H268" i="1" a="1"/>
  <c r="H268" i="1" s="1"/>
  <c r="H269" i="1" a="1"/>
  <c r="H269" i="1" s="1"/>
  <c r="H270" i="1" a="1"/>
  <c r="H270" i="1" s="1"/>
  <c r="H271" i="1" a="1"/>
  <c r="H271" i="1" s="1"/>
  <c r="H272" i="1" a="1"/>
  <c r="H272" i="1" s="1"/>
  <c r="H273" i="1" a="1"/>
  <c r="H273" i="1"/>
  <c r="H274" i="1" a="1"/>
  <c r="H274" i="1" s="1"/>
  <c r="H275" i="1" a="1"/>
  <c r="H275" i="1" s="1"/>
  <c r="H276" i="1" a="1"/>
  <c r="H276" i="1" s="1"/>
  <c r="H277" i="1" a="1"/>
  <c r="H277" i="1" s="1"/>
  <c r="H278" i="1" a="1"/>
  <c r="H278" i="1" s="1"/>
  <c r="H279" i="1" a="1"/>
  <c r="H279" i="1" s="1"/>
  <c r="H280" i="1" a="1"/>
  <c r="H280" i="1" s="1"/>
  <c r="H281" i="1" a="1"/>
  <c r="H281" i="1" s="1"/>
  <c r="H282" i="1" a="1"/>
  <c r="H282" i="1" s="1"/>
  <c r="H283" i="1" a="1"/>
  <c r="H283" i="1" s="1"/>
  <c r="H284" i="1" a="1"/>
  <c r="H284" i="1" s="1"/>
  <c r="H285" i="1" a="1"/>
  <c r="H285" i="1" s="1"/>
  <c r="H286" i="1" a="1"/>
  <c r="H286" i="1" s="1"/>
  <c r="H287" i="1" a="1"/>
  <c r="H287" i="1" s="1"/>
  <c r="H288" i="1" a="1"/>
  <c r="H288" i="1" s="1"/>
  <c r="H289" i="1" a="1"/>
  <c r="H289" i="1" s="1"/>
  <c r="H290" i="1" a="1"/>
  <c r="H290" i="1" s="1"/>
  <c r="H291" i="1" a="1"/>
  <c r="H291" i="1" s="1"/>
  <c r="H292" i="1" a="1"/>
  <c r="H292" i="1" s="1"/>
  <c r="H293" i="1" a="1"/>
  <c r="H293" i="1" s="1"/>
  <c r="H294" i="1" a="1"/>
  <c r="H294" i="1" s="1"/>
  <c r="H295" i="1" a="1"/>
  <c r="H295" i="1" s="1"/>
  <c r="H296" i="1" a="1"/>
  <c r="H296" i="1" s="1"/>
  <c r="H297" i="1" a="1"/>
  <c r="H297" i="1" s="1"/>
  <c r="H298" i="1" a="1"/>
  <c r="H298" i="1" s="1"/>
  <c r="H299" i="1" a="1"/>
  <c r="H299" i="1"/>
  <c r="H300" i="1" a="1"/>
  <c r="H300" i="1" s="1"/>
  <c r="H301" i="1" a="1"/>
  <c r="H301" i="1" s="1"/>
  <c r="H302" i="1" a="1"/>
  <c r="H302" i="1" s="1"/>
  <c r="H303" i="1" a="1"/>
  <c r="H303" i="1" s="1"/>
  <c r="H304" i="1" a="1"/>
  <c r="H304" i="1"/>
  <c r="H305" i="1" a="1"/>
  <c r="H305" i="1" s="1"/>
  <c r="H306" i="1" a="1"/>
  <c r="H306" i="1" s="1"/>
  <c r="H307" i="1" a="1"/>
  <c r="H307" i="1" s="1"/>
  <c r="H308" i="1" a="1"/>
  <c r="H308" i="1"/>
  <c r="H309" i="1" a="1"/>
  <c r="H309" i="1" s="1"/>
  <c r="H310" i="1" a="1"/>
  <c r="H310" i="1" s="1"/>
  <c r="H311" i="1" a="1"/>
  <c r="H311" i="1" s="1"/>
  <c r="H312" i="1" a="1"/>
  <c r="H312" i="1" s="1"/>
  <c r="H313" i="1" a="1"/>
  <c r="H313" i="1" s="1"/>
  <c r="H314" i="1" a="1"/>
  <c r="H314" i="1" s="1"/>
  <c r="H315" i="1" a="1"/>
  <c r="H315" i="1" s="1"/>
  <c r="H316" i="1" a="1"/>
  <c r="H316" i="1" s="1"/>
  <c r="H317" i="1" a="1"/>
  <c r="H317" i="1" s="1"/>
  <c r="H318" i="1" a="1"/>
  <c r="H318" i="1"/>
  <c r="H319" i="1" a="1"/>
  <c r="H319" i="1" s="1"/>
  <c r="H320" i="1" a="1"/>
  <c r="H320" i="1" s="1"/>
  <c r="H321" i="1" a="1"/>
  <c r="H321" i="1" s="1"/>
  <c r="H322" i="1" a="1"/>
  <c r="H322" i="1" s="1"/>
  <c r="H323" i="1" a="1"/>
  <c r="H323" i="1" s="1"/>
  <c r="H324" i="1" a="1"/>
  <c r="H324" i="1" s="1"/>
  <c r="H325" i="1" a="1"/>
  <c r="H325" i="1" s="1"/>
  <c r="H326" i="1" a="1"/>
  <c r="H326" i="1" s="1"/>
  <c r="H327" i="1" a="1"/>
  <c r="H327" i="1" s="1"/>
  <c r="H328" i="1" a="1"/>
  <c r="H328" i="1" s="1"/>
  <c r="H329" i="1" a="1"/>
  <c r="H329" i="1" s="1"/>
  <c r="H330" i="1" a="1"/>
  <c r="H330" i="1" s="1"/>
  <c r="H331" i="1" a="1"/>
  <c r="H331" i="1" s="1"/>
  <c r="H332" i="1" a="1"/>
  <c r="H332" i="1" s="1"/>
  <c r="H333" i="1" a="1"/>
  <c r="H333" i="1" s="1"/>
  <c r="H334" i="1" a="1"/>
  <c r="H334" i="1" s="1"/>
  <c r="H335" i="1" a="1"/>
  <c r="H335" i="1" s="1"/>
  <c r="H336" i="1" a="1"/>
  <c r="H336" i="1" s="1"/>
  <c r="H337" i="1" a="1"/>
  <c r="H337" i="1" s="1"/>
  <c r="H338" i="1" a="1"/>
  <c r="H338" i="1" s="1"/>
  <c r="H339" i="1" a="1"/>
  <c r="H339" i="1" s="1"/>
  <c r="H340" i="1" a="1"/>
  <c r="H340" i="1" s="1"/>
  <c r="H341" i="1" a="1"/>
  <c r="H341" i="1" s="1"/>
  <c r="H342" i="1" a="1"/>
  <c r="H342" i="1" s="1"/>
  <c r="H343" i="1" a="1"/>
  <c r="H343" i="1" s="1"/>
  <c r="H344" i="1" a="1"/>
  <c r="H344" i="1" s="1"/>
  <c r="H345" i="1" a="1"/>
  <c r="H345" i="1" s="1"/>
  <c r="H346" i="1" a="1"/>
  <c r="H346" i="1" s="1"/>
  <c r="H347" i="1" a="1"/>
  <c r="H347" i="1"/>
  <c r="H348" i="1" a="1"/>
  <c r="H348" i="1" s="1"/>
  <c r="H349" i="1" a="1"/>
  <c r="H349" i="1"/>
  <c r="H350" i="1" a="1"/>
  <c r="H350" i="1" s="1"/>
  <c r="H351" i="1" a="1"/>
  <c r="H351" i="1" s="1"/>
  <c r="H352" i="1" a="1"/>
  <c r="H352" i="1" s="1"/>
  <c r="H353" i="1" a="1"/>
  <c r="H353" i="1" s="1"/>
  <c r="H354" i="1" a="1"/>
  <c r="H354" i="1" s="1"/>
  <c r="H355" i="1" a="1"/>
  <c r="H355" i="1" s="1"/>
  <c r="H356" i="1" a="1"/>
  <c r="H356" i="1" s="1"/>
  <c r="H357" i="1" a="1"/>
  <c r="H357" i="1" s="1"/>
  <c r="H358" i="1" a="1"/>
  <c r="H358" i="1" s="1"/>
  <c r="H359" i="1" a="1"/>
  <c r="H359" i="1" s="1"/>
  <c r="H360" i="1" a="1"/>
  <c r="H360" i="1" s="1"/>
  <c r="H361" i="1" a="1"/>
  <c r="H361" i="1" s="1"/>
  <c r="H362" i="1" a="1"/>
  <c r="H362" i="1" s="1"/>
  <c r="H363" i="1" a="1"/>
  <c r="H363" i="1" s="1"/>
  <c r="H364" i="1" a="1"/>
  <c r="H364" i="1" s="1"/>
  <c r="H365" i="1" a="1"/>
  <c r="H365" i="1" s="1"/>
  <c r="H366" i="1" a="1"/>
  <c r="H366" i="1" s="1"/>
  <c r="H367" i="1" a="1"/>
  <c r="H367" i="1" s="1"/>
  <c r="H368" i="1" a="1"/>
  <c r="H368" i="1" s="1"/>
  <c r="H369" i="1" a="1"/>
  <c r="H369" i="1" s="1"/>
  <c r="H370" i="1" a="1"/>
  <c r="H370" i="1" s="1"/>
  <c r="H371" i="1" a="1"/>
  <c r="H371" i="1" s="1"/>
  <c r="H372" i="1" a="1"/>
  <c r="H372" i="1" s="1"/>
  <c r="H373" i="1" a="1"/>
  <c r="H373" i="1" s="1"/>
  <c r="H374" i="1" a="1"/>
  <c r="H374" i="1" s="1"/>
  <c r="H375" i="1" a="1"/>
  <c r="H375" i="1" s="1"/>
  <c r="H376" i="1" a="1"/>
  <c r="H376" i="1" s="1"/>
  <c r="H377" i="1" a="1"/>
  <c r="H377" i="1" s="1"/>
  <c r="H378" i="1" a="1"/>
  <c r="H378" i="1" s="1"/>
  <c r="H379" i="1" a="1"/>
  <c r="H379" i="1" s="1"/>
  <c r="H380" i="1" a="1"/>
  <c r="H380" i="1"/>
  <c r="H381" i="1" a="1"/>
  <c r="H381" i="1" s="1"/>
  <c r="H382" i="1" a="1"/>
  <c r="H382" i="1" s="1"/>
  <c r="H383" i="1" a="1"/>
  <c r="H383" i="1" s="1"/>
  <c r="H384" i="1" a="1"/>
  <c r="H384" i="1" s="1"/>
  <c r="H385" i="1" a="1"/>
  <c r="H385" i="1" s="1"/>
  <c r="H386" i="1" a="1"/>
  <c r="H386" i="1" s="1"/>
  <c r="H387" i="1" a="1"/>
  <c r="H387" i="1" s="1"/>
  <c r="H388" i="1" a="1"/>
  <c r="H388" i="1" s="1"/>
  <c r="H389" i="1" a="1"/>
  <c r="H389" i="1" s="1"/>
  <c r="H390" i="1" a="1"/>
  <c r="H390" i="1" s="1"/>
  <c r="H391" i="1" a="1"/>
  <c r="H391" i="1" s="1"/>
  <c r="H392" i="1" a="1"/>
  <c r="H392" i="1" s="1"/>
  <c r="H393" i="1" a="1"/>
  <c r="H393" i="1" s="1"/>
  <c r="H394" i="1" a="1"/>
  <c r="H394" i="1" s="1"/>
  <c r="H395" i="1" a="1"/>
  <c r="H395" i="1" s="1"/>
  <c r="H396" i="1" a="1"/>
  <c r="H396" i="1" s="1"/>
  <c r="H397" i="1" a="1"/>
  <c r="H397" i="1" s="1"/>
  <c r="H398" i="1" a="1"/>
  <c r="H398" i="1" s="1"/>
  <c r="H399" i="1" a="1"/>
  <c r="H399" i="1" s="1"/>
  <c r="H400" i="1" a="1"/>
  <c r="H400" i="1" s="1"/>
  <c r="H401" i="1" a="1"/>
  <c r="H401" i="1" s="1"/>
  <c r="H402" i="1" a="1"/>
  <c r="H402" i="1" s="1"/>
  <c r="H403" i="1" a="1"/>
  <c r="H403" i="1" s="1"/>
  <c r="H404" i="1" a="1"/>
  <c r="H404" i="1"/>
  <c r="H405" i="1" a="1"/>
  <c r="H405" i="1" s="1"/>
  <c r="H406" i="1" a="1"/>
  <c r="H406" i="1" s="1"/>
  <c r="H407" i="1" a="1"/>
  <c r="H407" i="1" s="1"/>
  <c r="H408" i="1" a="1"/>
  <c r="H408" i="1" s="1"/>
  <c r="H409" i="1" a="1"/>
  <c r="H409" i="1" s="1"/>
  <c r="H410" i="1" a="1"/>
  <c r="H410" i="1" s="1"/>
  <c r="H411" i="1" a="1"/>
  <c r="H411" i="1" s="1"/>
  <c r="H412" i="1" a="1"/>
  <c r="H412" i="1"/>
  <c r="H413" i="1" a="1"/>
  <c r="H413" i="1" s="1"/>
  <c r="H414" i="1" a="1"/>
  <c r="H414" i="1"/>
  <c r="H415" i="1" a="1"/>
  <c r="H415" i="1" s="1"/>
  <c r="H416" i="1" a="1"/>
  <c r="H416" i="1" s="1"/>
  <c r="H417" i="1" a="1"/>
  <c r="H417" i="1" s="1"/>
  <c r="H418" i="1" a="1"/>
  <c r="H418" i="1" s="1"/>
  <c r="H419" i="1" a="1"/>
  <c r="H419" i="1"/>
  <c r="H420" i="1" a="1"/>
  <c r="H420" i="1" s="1"/>
  <c r="H421" i="1" a="1"/>
  <c r="H421" i="1" s="1"/>
  <c r="H422" i="1" a="1"/>
  <c r="H422" i="1" s="1"/>
  <c r="H423" i="1" a="1"/>
  <c r="H423" i="1"/>
  <c r="H424" i="1" a="1"/>
  <c r="H424" i="1" s="1"/>
  <c r="H425" i="1" a="1"/>
  <c r="H425" i="1" s="1"/>
  <c r="H426" i="1" a="1"/>
  <c r="H426" i="1" s="1"/>
  <c r="H427" i="1" a="1"/>
  <c r="H427" i="1" s="1"/>
  <c r="H428" i="1" a="1"/>
  <c r="H428" i="1" s="1"/>
  <c r="H429" i="1" a="1"/>
  <c r="H429" i="1" s="1"/>
  <c r="H430" i="1" a="1"/>
  <c r="H430" i="1" s="1"/>
  <c r="H431" i="1" a="1"/>
  <c r="H431" i="1" s="1"/>
  <c r="H432" i="1" a="1"/>
  <c r="H432" i="1" s="1"/>
  <c r="H433" i="1" a="1"/>
  <c r="H433" i="1" s="1"/>
  <c r="H434" i="1" a="1"/>
  <c r="H434" i="1"/>
  <c r="H435" i="1" a="1"/>
  <c r="H435" i="1" s="1"/>
  <c r="H436" i="1" a="1"/>
  <c r="H436" i="1" s="1"/>
  <c r="H437" i="1" a="1"/>
  <c r="H437" i="1" s="1"/>
  <c r="H438" i="1" a="1"/>
  <c r="H438" i="1" s="1"/>
  <c r="H439" i="1" a="1"/>
  <c r="H439" i="1" s="1"/>
  <c r="H440" i="1" a="1"/>
  <c r="H440" i="1" s="1"/>
  <c r="H441" i="1" a="1"/>
  <c r="H441" i="1" s="1"/>
  <c r="H442" i="1" a="1"/>
  <c r="H442" i="1" s="1"/>
  <c r="H443" i="1" a="1"/>
  <c r="H443" i="1" s="1"/>
  <c r="H444" i="1" a="1"/>
  <c r="H444" i="1" s="1"/>
  <c r="H445" i="1" a="1"/>
  <c r="H445" i="1" s="1"/>
  <c r="H446" i="1" a="1"/>
  <c r="H446" i="1" s="1"/>
  <c r="H447" i="1" a="1"/>
  <c r="H447" i="1" s="1"/>
  <c r="H448" i="1" a="1"/>
  <c r="H448" i="1" s="1"/>
  <c r="H449" i="1" a="1"/>
  <c r="H449" i="1"/>
  <c r="H450" i="1" a="1"/>
  <c r="H450" i="1" s="1"/>
  <c r="H451" i="1" a="1"/>
  <c r="H451" i="1" s="1"/>
  <c r="H452" i="1" a="1"/>
  <c r="H452" i="1" s="1"/>
  <c r="H453" i="1" a="1"/>
  <c r="H453" i="1" s="1"/>
  <c r="H454" i="1" a="1"/>
  <c r="H454" i="1" s="1"/>
  <c r="H455" i="1" a="1"/>
  <c r="H455" i="1" s="1"/>
  <c r="H456" i="1" a="1"/>
  <c r="H456" i="1" s="1"/>
  <c r="H457" i="1" a="1"/>
  <c r="H457" i="1" s="1"/>
  <c r="H458" i="1" a="1"/>
  <c r="H458" i="1" s="1"/>
  <c r="H459" i="1" a="1"/>
  <c r="H459" i="1" s="1"/>
  <c r="H460" i="1" a="1"/>
  <c r="H460" i="1" s="1"/>
  <c r="H461" i="1" a="1"/>
  <c r="H461" i="1" s="1"/>
  <c r="H462" i="1" a="1"/>
  <c r="H462" i="1" s="1"/>
  <c r="H463" i="1" a="1"/>
  <c r="H463" i="1" s="1"/>
  <c r="H464" i="1" a="1"/>
  <c r="H464" i="1" s="1"/>
  <c r="H465" i="1" a="1"/>
  <c r="H465" i="1" s="1"/>
  <c r="H466" i="1" a="1"/>
  <c r="H466" i="1" s="1"/>
  <c r="H467" i="1" a="1"/>
  <c r="H467" i="1" s="1"/>
  <c r="H468" i="1" a="1"/>
  <c r="H468" i="1" s="1"/>
  <c r="H469" i="1" a="1"/>
  <c r="H469" i="1" s="1"/>
  <c r="H470" i="1" a="1"/>
  <c r="H470" i="1" s="1"/>
  <c r="H471" i="1" a="1"/>
  <c r="H471" i="1" s="1"/>
  <c r="H472" i="1" a="1"/>
  <c r="H472" i="1" s="1"/>
  <c r="H473" i="1" a="1"/>
  <c r="H473" i="1" s="1"/>
  <c r="H474" i="1" a="1"/>
  <c r="H474" i="1" s="1"/>
  <c r="H475" i="1" a="1"/>
  <c r="H475" i="1" s="1"/>
  <c r="H476" i="1" a="1"/>
  <c r="H476" i="1" s="1"/>
  <c r="H477" i="1" a="1"/>
  <c r="H477" i="1" s="1"/>
  <c r="H478" i="1" a="1"/>
  <c r="H478" i="1" s="1"/>
  <c r="H479" i="1" a="1"/>
  <c r="H479" i="1" s="1"/>
  <c r="H480" i="1" a="1"/>
  <c r="H480" i="1"/>
  <c r="H481" i="1" a="1"/>
  <c r="H481" i="1" s="1"/>
  <c r="H482" i="1" a="1"/>
  <c r="H482" i="1" s="1"/>
  <c r="H483" i="1" a="1"/>
  <c r="H483" i="1" s="1"/>
  <c r="H484" i="1" a="1"/>
  <c r="H484" i="1" s="1"/>
  <c r="H485" i="1" a="1"/>
  <c r="H485" i="1" s="1"/>
  <c r="H486" i="1" a="1"/>
  <c r="H486" i="1" s="1"/>
  <c r="H487" i="1" a="1"/>
  <c r="H487" i="1" s="1"/>
  <c r="H488" i="1" a="1"/>
  <c r="H488" i="1" s="1"/>
  <c r="H489" i="1" a="1"/>
  <c r="H489" i="1" s="1"/>
  <c r="H490" i="1" a="1"/>
  <c r="H490" i="1" s="1"/>
  <c r="H491" i="1" a="1"/>
  <c r="H491" i="1" s="1"/>
  <c r="H492" i="1" a="1"/>
  <c r="H492" i="1" s="1"/>
  <c r="H493" i="1" a="1"/>
  <c r="H493" i="1" s="1"/>
  <c r="H494" i="1" a="1"/>
  <c r="H494" i="1" s="1"/>
  <c r="H495" i="1" a="1"/>
  <c r="H495" i="1" s="1"/>
  <c r="H496" i="1" a="1"/>
  <c r="H496" i="1" s="1"/>
  <c r="H497" i="1" a="1"/>
  <c r="H497" i="1" s="1"/>
  <c r="H498" i="1" a="1"/>
  <c r="H498" i="1" s="1"/>
  <c r="H499" i="1" a="1"/>
  <c r="H499" i="1"/>
  <c r="H500" i="1" a="1"/>
  <c r="H500" i="1" s="1"/>
  <c r="H501" i="1" a="1"/>
  <c r="H501" i="1" s="1"/>
  <c r="H502" i="1" a="1"/>
  <c r="H502" i="1" s="1"/>
  <c r="H503" i="1" a="1"/>
  <c r="H503" i="1" s="1"/>
  <c r="H504" i="1" a="1"/>
  <c r="H504" i="1"/>
  <c r="H505" i="1" a="1"/>
  <c r="H505" i="1" s="1"/>
  <c r="H506" i="1" a="1"/>
  <c r="H506" i="1" s="1"/>
  <c r="H507" i="1" a="1"/>
  <c r="H507" i="1" s="1"/>
  <c r="H508" i="1" a="1"/>
  <c r="H508" i="1" s="1"/>
  <c r="H509" i="1" a="1"/>
  <c r="H509" i="1" s="1"/>
  <c r="H510" i="1" a="1"/>
  <c r="H510" i="1" s="1"/>
  <c r="H511" i="1" a="1"/>
  <c r="H511" i="1" s="1"/>
  <c r="H512" i="1" a="1"/>
  <c r="H512" i="1" s="1"/>
  <c r="H513" i="1" a="1"/>
  <c r="H513" i="1" s="1"/>
  <c r="H514" i="1" a="1"/>
  <c r="H514" i="1" s="1"/>
  <c r="H515" i="1" a="1"/>
  <c r="H515" i="1" s="1"/>
  <c r="H516" i="1" a="1"/>
  <c r="H516" i="1" s="1"/>
  <c r="H517" i="1" a="1"/>
  <c r="H517" i="1" s="1"/>
  <c r="H518" i="1" a="1"/>
  <c r="H518" i="1" s="1"/>
  <c r="H519" i="1" a="1"/>
  <c r="H519" i="1" s="1"/>
  <c r="H520" i="1" a="1"/>
  <c r="H520" i="1" s="1"/>
  <c r="H521" i="1" a="1"/>
  <c r="H521" i="1" s="1"/>
  <c r="H522" i="1" a="1"/>
  <c r="H522" i="1" s="1"/>
  <c r="H523" i="1" a="1"/>
  <c r="H523" i="1" s="1"/>
  <c r="H524" i="1" a="1"/>
  <c r="H524" i="1" s="1"/>
  <c r="H525" i="1" a="1"/>
  <c r="H525" i="1" s="1"/>
  <c r="H526" i="1" a="1"/>
  <c r="H526" i="1" s="1"/>
  <c r="H527" i="1" a="1"/>
  <c r="H527" i="1" s="1"/>
  <c r="H528" i="1" a="1"/>
  <c r="H528" i="1" s="1"/>
  <c r="H529" i="1" a="1"/>
  <c r="H529" i="1"/>
  <c r="H530" i="1" a="1"/>
  <c r="H530" i="1" s="1"/>
  <c r="H531" i="1" a="1"/>
  <c r="H531" i="1" s="1"/>
  <c r="H532" i="1" a="1"/>
  <c r="H532" i="1"/>
  <c r="H533" i="1" a="1"/>
  <c r="H533" i="1"/>
  <c r="H534" i="1" a="1"/>
  <c r="H534" i="1" s="1"/>
  <c r="H535" i="1" a="1"/>
  <c r="H535" i="1" s="1"/>
  <c r="H536" i="1" a="1"/>
  <c r="H536" i="1" s="1"/>
  <c r="H537" i="1" a="1"/>
  <c r="H537" i="1" s="1"/>
  <c r="H538" i="1" a="1"/>
  <c r="H538" i="1" s="1"/>
  <c r="H539" i="1" a="1"/>
  <c r="H539" i="1" s="1"/>
  <c r="H540" i="1" a="1"/>
  <c r="H540" i="1" s="1"/>
  <c r="H541" i="1" a="1"/>
  <c r="H541" i="1" s="1"/>
  <c r="H542" i="1" a="1"/>
  <c r="H542" i="1" s="1"/>
  <c r="H543" i="1" a="1"/>
  <c r="H543" i="1" s="1"/>
  <c r="H544" i="1" a="1"/>
  <c r="H544" i="1" s="1"/>
  <c r="H545" i="1" a="1"/>
  <c r="H545" i="1" s="1"/>
  <c r="H546" i="1" a="1"/>
  <c r="H546" i="1" s="1"/>
  <c r="H547" i="1" a="1"/>
  <c r="H547" i="1"/>
  <c r="H548" i="1" a="1"/>
  <c r="H548" i="1" s="1"/>
  <c r="H549" i="1" a="1"/>
  <c r="H549" i="1" s="1"/>
  <c r="H550" i="1" a="1"/>
  <c r="H550" i="1" s="1"/>
  <c r="H551" i="1" a="1"/>
  <c r="H551" i="1" s="1"/>
  <c r="H552" i="1" a="1"/>
  <c r="H552" i="1" s="1"/>
  <c r="H553" i="1" a="1"/>
  <c r="H553" i="1" s="1"/>
  <c r="H554" i="1" a="1"/>
  <c r="H554" i="1" s="1"/>
  <c r="H555" i="1" a="1"/>
  <c r="H555" i="1" s="1"/>
  <c r="H556" i="1" a="1"/>
  <c r="H556" i="1" s="1"/>
  <c r="H557" i="1" a="1"/>
  <c r="H557" i="1"/>
  <c r="H558" i="1" a="1"/>
  <c r="H558" i="1" s="1"/>
  <c r="H559" i="1" a="1"/>
  <c r="H559" i="1"/>
  <c r="H560" i="1" a="1"/>
  <c r="H560" i="1" s="1"/>
  <c r="H561" i="1" a="1"/>
  <c r="H561" i="1" s="1"/>
  <c r="H562" i="1" a="1"/>
  <c r="H562" i="1" s="1"/>
  <c r="H563" i="1" a="1"/>
  <c r="H563" i="1" s="1"/>
  <c r="H564" i="1" a="1"/>
  <c r="H564" i="1" s="1"/>
  <c r="H565" i="1" a="1"/>
  <c r="H565" i="1" s="1"/>
  <c r="H566" i="1" a="1"/>
  <c r="H566" i="1" s="1"/>
  <c r="H567" i="1" a="1"/>
  <c r="H567" i="1" s="1"/>
  <c r="H568" i="1" a="1"/>
  <c r="H568" i="1" s="1"/>
  <c r="H569" i="1" a="1"/>
  <c r="H569" i="1" s="1"/>
  <c r="H570" i="1" a="1"/>
  <c r="H570" i="1" s="1"/>
  <c r="H571" i="1" a="1"/>
  <c r="H571" i="1" s="1"/>
  <c r="H572" i="1" a="1"/>
  <c r="H572" i="1" s="1"/>
  <c r="H573" i="1" a="1"/>
  <c r="H573" i="1" s="1"/>
  <c r="H574" i="1" a="1"/>
  <c r="H574" i="1" s="1"/>
  <c r="H575" i="1" a="1"/>
  <c r="H575" i="1" s="1"/>
  <c r="H576" i="1" a="1"/>
  <c r="H576" i="1" s="1"/>
  <c r="H577" i="1" a="1"/>
  <c r="H577" i="1" s="1"/>
  <c r="H578" i="1" a="1"/>
  <c r="H578" i="1" s="1"/>
  <c r="H579" i="1" a="1"/>
  <c r="H579" i="1" s="1"/>
  <c r="H580" i="1" a="1"/>
  <c r="H580" i="1" s="1"/>
  <c r="H581" i="1" a="1"/>
  <c r="H581" i="1" s="1"/>
  <c r="H582" i="1" a="1"/>
  <c r="H582" i="1" s="1"/>
  <c r="H583" i="1" a="1"/>
  <c r="H583" i="1" s="1"/>
  <c r="H584" i="1" a="1"/>
  <c r="H584" i="1" s="1"/>
  <c r="H585" i="1" a="1"/>
  <c r="H585" i="1" s="1"/>
  <c r="H586" i="1" a="1"/>
  <c r="H586" i="1" s="1"/>
  <c r="H587" i="1" a="1"/>
  <c r="H587" i="1" s="1"/>
  <c r="H588" i="1" a="1"/>
  <c r="H588" i="1" s="1"/>
  <c r="H589" i="1" a="1"/>
  <c r="H589" i="1" s="1"/>
  <c r="H590" i="1" a="1"/>
  <c r="H590" i="1" s="1"/>
  <c r="H591" i="1" a="1"/>
  <c r="H591" i="1" s="1"/>
  <c r="H592" i="1" a="1"/>
  <c r="H592" i="1" s="1"/>
  <c r="H593" i="1" a="1"/>
  <c r="H593" i="1" s="1"/>
  <c r="H594" i="1" a="1"/>
  <c r="H594" i="1" s="1"/>
  <c r="H595" i="1" a="1"/>
  <c r="H595" i="1" s="1"/>
  <c r="H596" i="1" a="1"/>
  <c r="H596" i="1" s="1"/>
  <c r="H597" i="1" a="1"/>
  <c r="H597" i="1"/>
  <c r="H598" i="1" a="1"/>
  <c r="H598" i="1" s="1"/>
  <c r="H599" i="1" a="1"/>
  <c r="H599" i="1"/>
  <c r="H600" i="1" a="1"/>
  <c r="H600" i="1" s="1"/>
  <c r="H601" i="1" a="1"/>
  <c r="H601" i="1" s="1"/>
  <c r="H602" i="1" a="1"/>
  <c r="H602" i="1" s="1"/>
  <c r="H603" i="1" a="1"/>
  <c r="H603" i="1" s="1"/>
  <c r="H604" i="1" a="1"/>
  <c r="H604" i="1" s="1"/>
  <c r="H605" i="1" a="1"/>
  <c r="H605" i="1" s="1"/>
  <c r="H606" i="1" a="1"/>
  <c r="H606" i="1" s="1"/>
  <c r="H607" i="1" a="1"/>
  <c r="H607" i="1" s="1"/>
  <c r="H608" i="1" a="1"/>
  <c r="H608" i="1"/>
  <c r="H609" i="1" a="1"/>
  <c r="H609" i="1" s="1"/>
  <c r="H610" i="1" a="1"/>
  <c r="H610" i="1" s="1"/>
  <c r="H611" i="1" a="1"/>
  <c r="H611" i="1" s="1"/>
  <c r="H612" i="1" a="1"/>
  <c r="H612" i="1" s="1"/>
  <c r="H613" i="1" a="1"/>
  <c r="H613" i="1" s="1"/>
  <c r="H614" i="1" a="1"/>
  <c r="H614" i="1" s="1"/>
  <c r="H615" i="1" a="1"/>
  <c r="H615" i="1" s="1"/>
  <c r="H616" i="1" a="1"/>
  <c r="H616" i="1" s="1"/>
  <c r="H617" i="1" a="1"/>
  <c r="H617" i="1" s="1"/>
  <c r="H618" i="1" a="1"/>
  <c r="H618" i="1" s="1"/>
  <c r="H619" i="1" a="1"/>
  <c r="H619" i="1"/>
  <c r="H620" i="1" a="1"/>
  <c r="H620" i="1" s="1"/>
  <c r="H621" i="1" a="1"/>
  <c r="H621" i="1" s="1"/>
  <c r="H622" i="1" a="1"/>
  <c r="H622" i="1" s="1"/>
  <c r="H623" i="1" a="1"/>
  <c r="H623" i="1" s="1"/>
  <c r="H624" i="1" a="1"/>
  <c r="H624" i="1" s="1"/>
  <c r="H625" i="1" a="1"/>
  <c r="H625" i="1" s="1"/>
  <c r="H626" i="1" a="1"/>
  <c r="H626" i="1" s="1"/>
  <c r="H627" i="1" a="1"/>
  <c r="H627" i="1" s="1"/>
  <c r="H628" i="1" a="1"/>
  <c r="H628" i="1" s="1"/>
  <c r="H629" i="1" a="1"/>
  <c r="H629" i="1" s="1"/>
  <c r="H630" i="1" a="1"/>
  <c r="H630" i="1"/>
  <c r="H631" i="1" a="1"/>
  <c r="H631" i="1" s="1"/>
  <c r="H632" i="1" a="1"/>
  <c r="H632" i="1" s="1"/>
  <c r="H633" i="1" a="1"/>
  <c r="H633" i="1" s="1"/>
  <c r="H634" i="1" a="1"/>
  <c r="H634" i="1"/>
  <c r="H635" i="1" a="1"/>
  <c r="H635" i="1" s="1"/>
  <c r="H636" i="1" a="1"/>
  <c r="H636" i="1" s="1"/>
  <c r="H637" i="1" a="1"/>
  <c r="H637" i="1" s="1"/>
  <c r="H638" i="1" a="1"/>
  <c r="H638" i="1" s="1"/>
  <c r="H639" i="1" a="1"/>
  <c r="H639" i="1" s="1"/>
  <c r="H640" i="1" a="1"/>
  <c r="H640" i="1" s="1"/>
  <c r="H641" i="1" a="1"/>
  <c r="H641" i="1" s="1"/>
  <c r="H642" i="1" a="1"/>
  <c r="H642" i="1" s="1"/>
  <c r="H643" i="1" a="1"/>
  <c r="H643" i="1" s="1"/>
  <c r="H644" i="1" a="1"/>
  <c r="H644" i="1" s="1"/>
  <c r="H645" i="1" a="1"/>
  <c r="H645" i="1" s="1"/>
  <c r="H646" i="1" a="1"/>
  <c r="H646" i="1" s="1"/>
  <c r="H647" i="1" a="1"/>
  <c r="H647" i="1" s="1"/>
  <c r="H648" i="1" a="1"/>
  <c r="H648" i="1" s="1"/>
  <c r="H649" i="1" a="1"/>
  <c r="H649" i="1" s="1"/>
  <c r="H650" i="1" a="1"/>
  <c r="H650" i="1" s="1"/>
  <c r="H651" i="1" a="1"/>
  <c r="H651" i="1" s="1"/>
  <c r="H652" i="1" a="1"/>
  <c r="H652" i="1" s="1"/>
  <c r="H653" i="1" a="1"/>
  <c r="H653" i="1" s="1"/>
  <c r="H654" i="1" a="1"/>
  <c r="H654" i="1" s="1"/>
  <c r="H655" i="1" a="1"/>
  <c r="H655" i="1" s="1"/>
  <c r="H656" i="1" a="1"/>
  <c r="H656" i="1" s="1"/>
  <c r="H657" i="1" a="1"/>
  <c r="H657" i="1"/>
  <c r="H658" i="1" a="1"/>
  <c r="H658" i="1" s="1"/>
  <c r="H659" i="1" a="1"/>
  <c r="H659" i="1" s="1"/>
  <c r="H660" i="1" a="1"/>
  <c r="H660" i="1" s="1"/>
  <c r="H661" i="1" a="1"/>
  <c r="H661" i="1" s="1"/>
  <c r="H662" i="1" a="1"/>
  <c r="H662" i="1" s="1"/>
  <c r="H663" i="1" a="1"/>
  <c r="H663" i="1" s="1"/>
  <c r="H664" i="1" a="1"/>
  <c r="H664" i="1" s="1"/>
  <c r="H665" i="1" a="1"/>
  <c r="H665" i="1" s="1"/>
  <c r="H666" i="1" a="1"/>
  <c r="H666" i="1" s="1"/>
  <c r="H667" i="1" a="1"/>
  <c r="H667" i="1" s="1"/>
  <c r="H668" i="1" a="1"/>
  <c r="H668" i="1" s="1"/>
  <c r="H669" i="1" a="1"/>
  <c r="H669" i="1" s="1"/>
  <c r="H670" i="1" a="1"/>
  <c r="H670" i="1" s="1"/>
  <c r="H671" i="1" a="1"/>
  <c r="H671" i="1" s="1"/>
  <c r="H672" i="1" a="1"/>
  <c r="H672" i="1" s="1"/>
  <c r="H673" i="1" a="1"/>
  <c r="H673" i="1" s="1"/>
  <c r="H674" i="1" a="1"/>
  <c r="H674" i="1" s="1"/>
  <c r="H675" i="1" a="1"/>
  <c r="H675" i="1" s="1"/>
  <c r="H676" i="1" a="1"/>
  <c r="H676" i="1" s="1"/>
  <c r="H677" i="1" a="1"/>
  <c r="H677" i="1" s="1"/>
  <c r="H678" i="1" a="1"/>
  <c r="H678" i="1" s="1"/>
  <c r="H679" i="1" a="1"/>
  <c r="H679" i="1" s="1"/>
  <c r="H680" i="1" a="1"/>
  <c r="H680" i="1" s="1"/>
  <c r="H681" i="1" a="1"/>
  <c r="H681" i="1" s="1"/>
  <c r="H682" i="1" a="1"/>
  <c r="H682" i="1" s="1"/>
  <c r="H683" i="1" a="1"/>
  <c r="H683" i="1" s="1"/>
  <c r="H684" i="1" a="1"/>
  <c r="H684" i="1" s="1"/>
  <c r="H685" i="1" a="1"/>
  <c r="H685" i="1" s="1"/>
  <c r="H686" i="1" a="1"/>
  <c r="H686" i="1" s="1"/>
  <c r="H687" i="1" a="1"/>
  <c r="H687" i="1"/>
  <c r="H688" i="1" a="1"/>
  <c r="H688" i="1" s="1"/>
  <c r="H689" i="1" a="1"/>
  <c r="H689" i="1" s="1"/>
  <c r="H690" i="1" a="1"/>
  <c r="H690" i="1" s="1"/>
  <c r="H691" i="1" a="1"/>
  <c r="H691" i="1" s="1"/>
  <c r="H692" i="1" a="1"/>
  <c r="H692" i="1" s="1"/>
  <c r="H693" i="1" a="1"/>
  <c r="H693" i="1" s="1"/>
  <c r="H694" i="1" a="1"/>
  <c r="H694" i="1" s="1"/>
  <c r="H695" i="1" a="1"/>
  <c r="H695" i="1" s="1"/>
  <c r="H696" i="1" a="1"/>
  <c r="H696" i="1" s="1"/>
  <c r="H697" i="1" a="1"/>
  <c r="H697" i="1" s="1"/>
  <c r="H698" i="1" a="1"/>
  <c r="H698" i="1" s="1"/>
  <c r="H699" i="1" a="1"/>
  <c r="H699" i="1" s="1"/>
  <c r="H700" i="1" a="1"/>
  <c r="H700" i="1" s="1"/>
  <c r="H701" i="1" a="1"/>
  <c r="H701" i="1" s="1"/>
  <c r="H702" i="1" a="1"/>
  <c r="H702" i="1" s="1"/>
  <c r="H703" i="1" a="1"/>
  <c r="H703" i="1" s="1"/>
  <c r="H704" i="1" a="1"/>
  <c r="H704" i="1" s="1"/>
  <c r="H705" i="1" a="1"/>
  <c r="H705" i="1" s="1"/>
  <c r="H706" i="1" a="1"/>
  <c r="H706" i="1" s="1"/>
  <c r="H707" i="1" a="1"/>
  <c r="H707" i="1" s="1"/>
  <c r="H708" i="1" a="1"/>
  <c r="H708" i="1" s="1"/>
  <c r="H709" i="1" a="1"/>
  <c r="H709" i="1" s="1"/>
  <c r="H710" i="1" a="1"/>
  <c r="H710" i="1" s="1"/>
  <c r="H711" i="1" a="1"/>
  <c r="H711" i="1" s="1"/>
  <c r="H712" i="1" a="1"/>
  <c r="H712" i="1" s="1"/>
  <c r="H713" i="1" a="1"/>
  <c r="H713" i="1" s="1"/>
  <c r="H714" i="1" a="1"/>
  <c r="H714" i="1" s="1"/>
  <c r="H715" i="1" a="1"/>
  <c r="H715" i="1" s="1"/>
  <c r="H716" i="1" a="1"/>
  <c r="H716" i="1" s="1"/>
  <c r="H717" i="1" a="1"/>
  <c r="H717" i="1" s="1"/>
  <c r="H718" i="1" a="1"/>
  <c r="H718" i="1" s="1"/>
  <c r="H719" i="1" a="1"/>
  <c r="H719" i="1" s="1"/>
  <c r="H720" i="1" a="1"/>
  <c r="H720" i="1" s="1"/>
  <c r="H721" i="1" a="1"/>
  <c r="H721" i="1" s="1"/>
  <c r="H722" i="1" a="1"/>
  <c r="H722" i="1" s="1"/>
  <c r="H723" i="1" a="1"/>
  <c r="H723" i="1" s="1"/>
  <c r="H724" i="1" a="1"/>
  <c r="H724" i="1" s="1"/>
  <c r="H725" i="1" a="1"/>
  <c r="H725" i="1" s="1"/>
  <c r="H726" i="1" a="1"/>
  <c r="H726" i="1" s="1"/>
  <c r="H727" i="1" a="1"/>
  <c r="H727" i="1" s="1"/>
  <c r="H728" i="1" a="1"/>
  <c r="H728" i="1" s="1"/>
  <c r="H729" i="1" a="1"/>
  <c r="H729" i="1" s="1"/>
  <c r="H730" i="1" a="1"/>
  <c r="H730" i="1"/>
  <c r="H731" i="1" a="1"/>
  <c r="H731" i="1" s="1"/>
  <c r="H732" i="1" a="1"/>
  <c r="H732" i="1" s="1"/>
  <c r="H733" i="1" a="1"/>
  <c r="H733" i="1" s="1"/>
  <c r="H734" i="1" a="1"/>
  <c r="H734" i="1" s="1"/>
  <c r="H735" i="1" a="1"/>
  <c r="H735" i="1" s="1"/>
  <c r="H736" i="1" a="1"/>
  <c r="H736" i="1" s="1"/>
  <c r="H737" i="1" a="1"/>
  <c r="H737" i="1" s="1"/>
  <c r="H738" i="1" a="1"/>
  <c r="H738" i="1" s="1"/>
  <c r="H739" i="1" a="1"/>
  <c r="H739" i="1" s="1"/>
  <c r="H740" i="1" a="1"/>
  <c r="H740" i="1" s="1"/>
  <c r="H741" i="1" a="1"/>
  <c r="H741" i="1" s="1"/>
  <c r="H742" i="1" a="1"/>
  <c r="H742" i="1" s="1"/>
  <c r="H743" i="1" a="1"/>
  <c r="H743" i="1" s="1"/>
  <c r="H744" i="1" a="1"/>
  <c r="H744" i="1" s="1"/>
  <c r="H745" i="1" a="1"/>
  <c r="H745" i="1" s="1"/>
  <c r="H746" i="1" a="1"/>
  <c r="H746" i="1" s="1"/>
  <c r="H747" i="1" a="1"/>
  <c r="H747" i="1" s="1"/>
  <c r="H748" i="1" a="1"/>
  <c r="H748" i="1" s="1"/>
  <c r="H749" i="1" a="1"/>
  <c r="H749" i="1" s="1"/>
  <c r="H750" i="1" a="1"/>
  <c r="H750" i="1" s="1"/>
  <c r="H751" i="1" a="1"/>
  <c r="H751" i="1" s="1"/>
  <c r="H752" i="1" a="1"/>
  <c r="H752" i="1" s="1"/>
  <c r="H753" i="1" a="1"/>
  <c r="H753" i="1" s="1"/>
  <c r="H754" i="1" a="1"/>
  <c r="H754" i="1" s="1"/>
  <c r="H755" i="1" a="1"/>
  <c r="H755" i="1" s="1"/>
  <c r="H756" i="1" a="1"/>
  <c r="H756" i="1" s="1"/>
  <c r="H757" i="1" a="1"/>
  <c r="H757" i="1" s="1"/>
  <c r="H758" i="1" a="1"/>
  <c r="H758" i="1" s="1"/>
  <c r="H759" i="1" a="1"/>
  <c r="H759" i="1" s="1"/>
  <c r="H760" i="1" a="1"/>
  <c r="H760" i="1" s="1"/>
  <c r="H761" i="1" a="1"/>
  <c r="H761" i="1" s="1"/>
  <c r="H762" i="1" a="1"/>
  <c r="H762" i="1" s="1"/>
  <c r="H763" i="1" a="1"/>
  <c r="H763" i="1" s="1"/>
  <c r="H764" i="1" a="1"/>
  <c r="H764" i="1" s="1"/>
  <c r="H765" i="1" a="1"/>
  <c r="H765" i="1" s="1"/>
  <c r="H766" i="1" a="1"/>
  <c r="H766" i="1" s="1"/>
  <c r="H767" i="1" a="1"/>
  <c r="H767" i="1" s="1"/>
  <c r="H768" i="1" a="1"/>
  <c r="H768" i="1" s="1"/>
  <c r="H769" i="1" a="1"/>
  <c r="H769" i="1" s="1"/>
  <c r="H770" i="1" a="1"/>
  <c r="H770" i="1" s="1"/>
  <c r="H771" i="1" a="1"/>
  <c r="H771" i="1" s="1"/>
  <c r="H772" i="1" a="1"/>
  <c r="H772" i="1" s="1"/>
  <c r="H773" i="1" a="1"/>
  <c r="H773" i="1" s="1"/>
  <c r="H774" i="1" a="1"/>
  <c r="H774" i="1" s="1"/>
  <c r="H775" i="1" a="1"/>
  <c r="H775" i="1" s="1"/>
  <c r="H776" i="1" a="1"/>
  <c r="H776" i="1" s="1"/>
  <c r="H777" i="1" a="1"/>
  <c r="H777" i="1" s="1"/>
  <c r="H778" i="1" a="1"/>
  <c r="H778" i="1" s="1"/>
  <c r="H779" i="1" a="1"/>
  <c r="H779" i="1" s="1"/>
  <c r="H780" i="1" a="1"/>
  <c r="H780" i="1" s="1"/>
  <c r="H781" i="1" a="1"/>
  <c r="H781" i="1" s="1"/>
  <c r="H782" i="1" a="1"/>
  <c r="H782" i="1" s="1"/>
  <c r="H783" i="1" a="1"/>
  <c r="H783" i="1" s="1"/>
  <c r="H784" i="1" a="1"/>
  <c r="H784" i="1" s="1"/>
  <c r="H785" i="1" a="1"/>
  <c r="H785" i="1" s="1"/>
  <c r="H786" i="1" a="1"/>
  <c r="H786" i="1" s="1"/>
  <c r="H787" i="1" a="1"/>
  <c r="H787" i="1" s="1"/>
  <c r="H788" i="1" a="1"/>
  <c r="H788" i="1" s="1"/>
  <c r="H789" i="1" a="1"/>
  <c r="H789" i="1" s="1"/>
  <c r="H790" i="1" a="1"/>
  <c r="H790" i="1" s="1"/>
  <c r="H791" i="1" a="1"/>
  <c r="H791" i="1" s="1"/>
  <c r="H792" i="1" a="1"/>
  <c r="H792" i="1" s="1"/>
  <c r="H793" i="1" a="1"/>
  <c r="H793" i="1" s="1"/>
  <c r="H794" i="1" a="1"/>
  <c r="H794" i="1" s="1"/>
  <c r="H795" i="1" a="1"/>
  <c r="H795" i="1" s="1"/>
  <c r="H796" i="1" a="1"/>
  <c r="H796" i="1" s="1"/>
  <c r="H797" i="1" a="1"/>
  <c r="H797" i="1"/>
  <c r="H798" i="1" a="1"/>
  <c r="H798" i="1" s="1"/>
  <c r="H799" i="1" a="1"/>
  <c r="H799" i="1" s="1"/>
  <c r="H800" i="1" a="1"/>
  <c r="H800" i="1" s="1"/>
  <c r="H801" i="1" a="1"/>
  <c r="H801" i="1" s="1"/>
  <c r="H802" i="1" a="1"/>
  <c r="H802" i="1" s="1"/>
  <c r="H803" i="1" a="1"/>
  <c r="H803" i="1" s="1"/>
  <c r="H804" i="1" a="1"/>
  <c r="H804" i="1"/>
  <c r="H805" i="1" a="1"/>
  <c r="H805" i="1" s="1"/>
  <c r="H806" i="1" a="1"/>
  <c r="H806" i="1" s="1"/>
  <c r="H807" i="1" a="1"/>
  <c r="H807" i="1" s="1"/>
  <c r="H808" i="1" a="1"/>
  <c r="H808" i="1" s="1"/>
  <c r="H809" i="1" a="1"/>
  <c r="H809" i="1" s="1"/>
  <c r="H810" i="1" a="1"/>
  <c r="H810" i="1" s="1"/>
  <c r="H811" i="1" a="1"/>
  <c r="H811" i="1" s="1"/>
  <c r="H812" i="1" a="1"/>
  <c r="H812" i="1" s="1"/>
  <c r="H813" i="1" a="1"/>
  <c r="H813" i="1" s="1"/>
  <c r="H814" i="1" a="1"/>
  <c r="H814" i="1" s="1"/>
  <c r="H815" i="1" a="1"/>
  <c r="H815" i="1" s="1"/>
  <c r="H816" i="1" a="1"/>
  <c r="H816" i="1" s="1"/>
  <c r="H817" i="1" a="1"/>
  <c r="H817" i="1" s="1"/>
  <c r="H818" i="1" a="1"/>
  <c r="H818" i="1" s="1"/>
  <c r="H819" i="1" a="1"/>
  <c r="H819" i="1" s="1"/>
  <c r="H820" i="1" a="1"/>
  <c r="H820" i="1" s="1"/>
  <c r="H821" i="1" a="1"/>
  <c r="H821" i="1" s="1"/>
  <c r="H822" i="1" a="1"/>
  <c r="H822" i="1" s="1"/>
  <c r="H823" i="1" a="1"/>
  <c r="H823" i="1" s="1"/>
  <c r="H824" i="1" a="1"/>
  <c r="H824" i="1"/>
  <c r="H825" i="1" a="1"/>
  <c r="H825" i="1" s="1"/>
  <c r="H826" i="1" a="1"/>
  <c r="H826" i="1" s="1"/>
  <c r="H827" i="1" a="1"/>
  <c r="H827" i="1" s="1"/>
  <c r="H828" i="1" a="1"/>
  <c r="H828" i="1" s="1"/>
  <c r="H829" i="1" a="1"/>
  <c r="H829" i="1"/>
  <c r="H830" i="1" a="1"/>
  <c r="H830" i="1" s="1"/>
  <c r="H831" i="1" a="1"/>
  <c r="H831" i="1" s="1"/>
  <c r="H832" i="1" a="1"/>
  <c r="H832" i="1" s="1"/>
  <c r="H833" i="1" a="1"/>
  <c r="H833" i="1" s="1"/>
  <c r="H834" i="1" a="1"/>
  <c r="H834" i="1"/>
  <c r="H835" i="1" a="1"/>
  <c r="H835" i="1" s="1"/>
  <c r="H836" i="1" a="1"/>
  <c r="H836" i="1" s="1"/>
  <c r="H837" i="1" a="1"/>
  <c r="H837" i="1" s="1"/>
  <c r="H838" i="1" a="1"/>
  <c r="H838" i="1" s="1"/>
  <c r="H839" i="1" a="1"/>
  <c r="H839" i="1" s="1"/>
  <c r="H840" i="1" a="1"/>
  <c r="H840" i="1" s="1"/>
  <c r="H841" i="1" a="1"/>
  <c r="H841" i="1" s="1"/>
  <c r="H842" i="1" a="1"/>
  <c r="H842" i="1" s="1"/>
  <c r="H843" i="1" a="1"/>
  <c r="H843" i="1" s="1"/>
  <c r="H844" i="1" a="1"/>
  <c r="H844" i="1" s="1"/>
  <c r="H845" i="1" a="1"/>
  <c r="H845" i="1" s="1"/>
  <c r="H846" i="1" a="1"/>
  <c r="H846" i="1" s="1"/>
  <c r="H847" i="1" a="1"/>
  <c r="H847" i="1" s="1"/>
  <c r="H848" i="1" a="1"/>
  <c r="H848" i="1" s="1"/>
  <c r="H849" i="1" a="1"/>
  <c r="H849" i="1" s="1"/>
  <c r="H850" i="1" a="1"/>
  <c r="H850" i="1" s="1"/>
  <c r="H851" i="1" a="1"/>
  <c r="H851" i="1" s="1"/>
  <c r="H852" i="1" a="1"/>
  <c r="H852" i="1" s="1"/>
  <c r="H853" i="1" a="1"/>
  <c r="H853" i="1" s="1"/>
  <c r="H854" i="1" a="1"/>
  <c r="H854" i="1" s="1"/>
  <c r="H855" i="1" a="1"/>
  <c r="H855" i="1" s="1"/>
  <c r="H856" i="1" a="1"/>
  <c r="H856" i="1" s="1"/>
  <c r="H857" i="1" a="1"/>
  <c r="H857" i="1" s="1"/>
  <c r="H858" i="1" a="1"/>
  <c r="H858" i="1" s="1"/>
  <c r="H859" i="1" a="1"/>
  <c r="H859" i="1" s="1"/>
  <c r="H860" i="1" a="1"/>
  <c r="H860" i="1" s="1"/>
  <c r="H861" i="1" a="1"/>
  <c r="H861" i="1" s="1"/>
  <c r="H862" i="1" a="1"/>
  <c r="H862" i="1" s="1"/>
  <c r="H863" i="1" a="1"/>
  <c r="H863" i="1" s="1"/>
  <c r="H864" i="1" a="1"/>
  <c r="H864" i="1" s="1"/>
  <c r="H865" i="1" a="1"/>
  <c r="H865" i="1" s="1"/>
  <c r="H866" i="1" a="1"/>
  <c r="H866" i="1" s="1"/>
  <c r="H867" i="1" a="1"/>
  <c r="H867" i="1" s="1"/>
  <c r="H868" i="1" a="1"/>
  <c r="H868" i="1" s="1"/>
  <c r="H869" i="1" a="1"/>
  <c r="H869" i="1" s="1"/>
  <c r="H870" i="1" a="1"/>
  <c r="H870" i="1" s="1"/>
  <c r="H871" i="1" a="1"/>
  <c r="H871" i="1" s="1"/>
  <c r="H872" i="1" a="1"/>
  <c r="H872" i="1" s="1"/>
  <c r="H873" i="1" a="1"/>
  <c r="H873" i="1" s="1"/>
  <c r="H874" i="1" a="1"/>
  <c r="H874" i="1" s="1"/>
  <c r="H875" i="1" a="1"/>
  <c r="H875" i="1" s="1"/>
  <c r="H876" i="1" a="1"/>
  <c r="H876" i="1" s="1"/>
  <c r="H877" i="1" a="1"/>
  <c r="H877" i="1" s="1"/>
  <c r="H878" i="1" a="1"/>
  <c r="H878" i="1" s="1"/>
  <c r="H879" i="1" a="1"/>
  <c r="H879" i="1" s="1"/>
  <c r="H880" i="1" a="1"/>
  <c r="H880" i="1" s="1"/>
  <c r="H881" i="1" a="1"/>
  <c r="H881" i="1" s="1"/>
  <c r="H882" i="1" a="1"/>
  <c r="H882" i="1" s="1"/>
  <c r="H883" i="1" a="1"/>
  <c r="H883" i="1" s="1"/>
  <c r="H884" i="1" a="1"/>
  <c r="H884" i="1"/>
  <c r="H885" i="1" a="1"/>
  <c r="H885" i="1" s="1"/>
  <c r="H886" i="1" a="1"/>
  <c r="H886" i="1" s="1"/>
  <c r="H887" i="1" a="1"/>
  <c r="H887" i="1" s="1"/>
  <c r="H888" i="1" a="1"/>
  <c r="H888" i="1" s="1"/>
  <c r="H889" i="1" a="1"/>
  <c r="H889" i="1" s="1"/>
  <c r="H890" i="1" a="1"/>
  <c r="H890" i="1" s="1"/>
  <c r="H891" i="1" a="1"/>
  <c r="H891" i="1" s="1"/>
  <c r="H892" i="1" a="1"/>
  <c r="H892" i="1" s="1"/>
  <c r="H893" i="1" a="1"/>
  <c r="H893" i="1" s="1"/>
  <c r="H894" i="1" a="1"/>
  <c r="H894" i="1" s="1"/>
  <c r="H895" i="1" a="1"/>
  <c r="H895" i="1" s="1"/>
  <c r="H896" i="1" a="1"/>
  <c r="H896" i="1" s="1"/>
  <c r="H897" i="1" a="1"/>
  <c r="H897" i="1" s="1"/>
  <c r="H898" i="1" a="1"/>
  <c r="H898" i="1" s="1"/>
  <c r="H899" i="1" a="1"/>
  <c r="H899" i="1" s="1"/>
  <c r="H900" i="1" a="1"/>
  <c r="H900" i="1" s="1"/>
  <c r="H901" i="1" a="1"/>
  <c r="H901" i="1" s="1"/>
  <c r="H902" i="1" a="1"/>
  <c r="H902" i="1" s="1"/>
  <c r="H903" i="1" a="1"/>
  <c r="H903" i="1" s="1"/>
  <c r="H904" i="1" a="1"/>
  <c r="H904" i="1" s="1"/>
  <c r="H905" i="1" a="1"/>
  <c r="H905" i="1" s="1"/>
  <c r="H906" i="1" a="1"/>
  <c r="H906" i="1" s="1"/>
  <c r="H907" i="1" a="1"/>
  <c r="H907" i="1" s="1"/>
  <c r="H908" i="1" a="1"/>
  <c r="H908" i="1" s="1"/>
  <c r="H909" i="1" a="1"/>
  <c r="H909" i="1" s="1"/>
  <c r="H910" i="1" a="1"/>
  <c r="H910" i="1" s="1"/>
  <c r="H911" i="1" a="1"/>
  <c r="H911" i="1" s="1"/>
  <c r="H912" i="1" a="1"/>
  <c r="H912" i="1"/>
  <c r="H913" i="1" a="1"/>
  <c r="H913" i="1" s="1"/>
  <c r="H914" i="1" a="1"/>
  <c r="H914" i="1"/>
  <c r="H915" i="1" a="1"/>
  <c r="H915" i="1" s="1"/>
  <c r="H916" i="1" a="1"/>
  <c r="H916" i="1" s="1"/>
  <c r="H917" i="1" a="1"/>
  <c r="H917" i="1" s="1"/>
  <c r="H918" i="1" a="1"/>
  <c r="H918" i="1" s="1"/>
  <c r="H919" i="1" a="1"/>
  <c r="H919" i="1" s="1"/>
  <c r="H920" i="1" a="1"/>
  <c r="H920" i="1" s="1"/>
  <c r="H921" i="1" a="1"/>
  <c r="H921" i="1" s="1"/>
  <c r="H922" i="1" a="1"/>
  <c r="H922" i="1" s="1"/>
  <c r="H923" i="1" a="1"/>
  <c r="H923" i="1" s="1"/>
  <c r="H924" i="1" a="1"/>
  <c r="H924" i="1"/>
  <c r="H925" i="1" a="1"/>
  <c r="H925" i="1" s="1"/>
  <c r="H926" i="1" a="1"/>
  <c r="H926" i="1" s="1"/>
  <c r="H927" i="1" a="1"/>
  <c r="H927" i="1" s="1"/>
  <c r="H928" i="1" a="1"/>
  <c r="H928" i="1" s="1"/>
  <c r="H929" i="1" a="1"/>
  <c r="H929" i="1" s="1"/>
  <c r="H930" i="1" a="1"/>
  <c r="H930" i="1" s="1"/>
  <c r="H931" i="1" a="1"/>
  <c r="H931" i="1" s="1"/>
  <c r="H932" i="1" a="1"/>
  <c r="H932" i="1" s="1"/>
  <c r="H933" i="1" a="1"/>
  <c r="H933" i="1" s="1"/>
  <c r="H934" i="1" a="1"/>
  <c r="H934" i="1"/>
  <c r="H935" i="1" a="1"/>
  <c r="H935" i="1" s="1"/>
  <c r="H936" i="1" a="1"/>
  <c r="H936" i="1" s="1"/>
  <c r="H937" i="1" a="1"/>
  <c r="H937" i="1" s="1"/>
  <c r="H938" i="1" a="1"/>
  <c r="H938" i="1" s="1"/>
  <c r="H939" i="1" a="1"/>
  <c r="H939" i="1" s="1"/>
  <c r="H940" i="1" a="1"/>
  <c r="H940" i="1" s="1"/>
  <c r="H941" i="1" a="1"/>
  <c r="H941" i="1" s="1"/>
  <c r="H942" i="1" a="1"/>
  <c r="H942" i="1"/>
  <c r="H943" i="1" a="1"/>
  <c r="H943" i="1" s="1"/>
  <c r="H944" i="1" a="1"/>
  <c r="H944" i="1" s="1"/>
  <c r="H945" i="1" a="1"/>
  <c r="H945" i="1" s="1"/>
  <c r="H946" i="1" a="1"/>
  <c r="H946" i="1" s="1"/>
  <c r="H947" i="1" a="1"/>
  <c r="H947" i="1" s="1"/>
  <c r="H948" i="1" a="1"/>
  <c r="H948" i="1" s="1"/>
  <c r="H949" i="1" a="1"/>
  <c r="H949" i="1" s="1"/>
  <c r="H950" i="1" a="1"/>
  <c r="H950" i="1" s="1"/>
  <c r="H951" i="1" a="1"/>
  <c r="H951" i="1" s="1"/>
  <c r="H952" i="1" a="1"/>
  <c r="H952" i="1" s="1"/>
  <c r="H953" i="1" a="1"/>
  <c r="H953" i="1" s="1"/>
  <c r="H954" i="1" a="1"/>
  <c r="H954" i="1" s="1"/>
  <c r="H955" i="1" a="1"/>
  <c r="H955" i="1" s="1"/>
  <c r="H956" i="1" a="1"/>
  <c r="H956" i="1" s="1"/>
  <c r="H957" i="1" a="1"/>
  <c r="H957" i="1" s="1"/>
  <c r="H958" i="1" a="1"/>
  <c r="H958" i="1" s="1"/>
  <c r="H959" i="1" a="1"/>
  <c r="H959" i="1" s="1"/>
  <c r="H960" i="1" a="1"/>
  <c r="H960" i="1" s="1"/>
  <c r="H961" i="1" a="1"/>
  <c r="H961" i="1" s="1"/>
  <c r="H962" i="1" a="1"/>
  <c r="H962" i="1" s="1"/>
  <c r="H963" i="1" a="1"/>
  <c r="H963" i="1" s="1"/>
  <c r="H964" i="1" a="1"/>
  <c r="H964" i="1" s="1"/>
  <c r="H965" i="1" a="1"/>
  <c r="H965" i="1" s="1"/>
  <c r="H966" i="1" a="1"/>
  <c r="H966" i="1" s="1"/>
  <c r="H967" i="1" a="1"/>
  <c r="H967" i="1" s="1"/>
  <c r="H968" i="1" a="1"/>
  <c r="H968" i="1"/>
  <c r="H969" i="1" a="1"/>
  <c r="H969" i="1" s="1"/>
  <c r="H970" i="1" a="1"/>
  <c r="H970" i="1" s="1"/>
  <c r="H971" i="1" a="1"/>
  <c r="H971" i="1" s="1"/>
  <c r="H972" i="1" a="1"/>
  <c r="H972" i="1" s="1"/>
  <c r="H973" i="1" a="1"/>
  <c r="H973" i="1" s="1"/>
  <c r="H974" i="1" a="1"/>
  <c r="H974" i="1" s="1"/>
  <c r="H975" i="1" a="1"/>
  <c r="H975" i="1" s="1"/>
  <c r="H976" i="1" a="1"/>
  <c r="H976" i="1" s="1"/>
  <c r="H977" i="1" a="1"/>
  <c r="H977" i="1" s="1"/>
  <c r="H978" i="1" a="1"/>
  <c r="H978" i="1" s="1"/>
  <c r="H979" i="1" a="1"/>
  <c r="H979" i="1" s="1"/>
  <c r="H980" i="1" a="1"/>
  <c r="H980" i="1" s="1"/>
  <c r="H981" i="1" a="1"/>
  <c r="H981" i="1" s="1"/>
  <c r="H982" i="1" a="1"/>
  <c r="H982" i="1" s="1"/>
  <c r="H983" i="1" a="1"/>
  <c r="H983" i="1" s="1"/>
  <c r="H984" i="1" a="1"/>
  <c r="H984" i="1"/>
  <c r="H985" i="1" a="1"/>
  <c r="H985" i="1" s="1"/>
  <c r="H986" i="1" a="1"/>
  <c r="H986" i="1" s="1"/>
  <c r="H987" i="1" a="1"/>
  <c r="H987" i="1" s="1"/>
  <c r="H988" i="1" a="1"/>
  <c r="H988" i="1" s="1"/>
  <c r="H989" i="1" a="1"/>
  <c r="H989" i="1" s="1"/>
  <c r="H990" i="1" a="1"/>
  <c r="H990" i="1" s="1"/>
  <c r="H991" i="1" a="1"/>
  <c r="H991" i="1" s="1"/>
  <c r="H992" i="1" a="1"/>
  <c r="H992" i="1" s="1"/>
  <c r="H993" i="1" a="1"/>
  <c r="H993" i="1" s="1"/>
  <c r="H994" i="1" a="1"/>
  <c r="H994" i="1" s="1"/>
  <c r="H995" i="1" a="1"/>
  <c r="H995" i="1"/>
  <c r="H996" i="1" a="1"/>
  <c r="H996" i="1" s="1"/>
  <c r="H997" i="1" a="1"/>
  <c r="H997" i="1" s="1"/>
  <c r="H998" i="1" a="1"/>
  <c r="H998" i="1" s="1"/>
  <c r="H999" i="1" a="1"/>
  <c r="H999" i="1" s="1"/>
  <c r="H1000" i="1" a="1"/>
  <c r="H1000" i="1" s="1"/>
  <c r="H1001" i="1" a="1"/>
  <c r="H1001" i="1" s="1"/>
  <c r="H1002" i="1" a="1"/>
  <c r="H1002" i="1" s="1"/>
  <c r="H1003" i="1" a="1"/>
  <c r="H1003" i="1" s="1"/>
  <c r="H1004" i="1" a="1"/>
  <c r="H1004" i="1" s="1"/>
  <c r="H1005" i="1" a="1"/>
  <c r="H1005" i="1" s="1"/>
  <c r="H1006" i="1" a="1"/>
  <c r="H1006" i="1" s="1"/>
  <c r="H1007" i="1" a="1"/>
  <c r="H1007" i="1" s="1"/>
  <c r="H1008" i="1" a="1"/>
  <c r="H1008" i="1" s="1"/>
  <c r="H1009" i="1" a="1"/>
  <c r="H1009" i="1" s="1"/>
  <c r="H1010" i="1" a="1"/>
  <c r="H1010" i="1" s="1"/>
  <c r="H1011" i="1" a="1"/>
  <c r="H1011" i="1" s="1"/>
  <c r="H1012" i="1" a="1"/>
  <c r="H1012" i="1" s="1"/>
  <c r="H1013" i="1" a="1"/>
  <c r="H1013" i="1" s="1"/>
  <c r="H1014" i="1" a="1"/>
  <c r="H1014" i="1" s="1"/>
  <c r="H1015" i="1" a="1"/>
  <c r="H1015" i="1" s="1"/>
  <c r="H1016" i="1" a="1"/>
  <c r="H1016" i="1" s="1"/>
  <c r="H1017" i="1" a="1"/>
  <c r="H1017" i="1" s="1"/>
  <c r="H1018" i="1" a="1"/>
  <c r="H1018" i="1" s="1"/>
  <c r="H1019" i="1" a="1"/>
  <c r="H1019" i="1" s="1"/>
  <c r="H1020" i="1" a="1"/>
  <c r="H1020" i="1" s="1"/>
  <c r="H1021" i="1" a="1"/>
  <c r="H1021" i="1" s="1"/>
  <c r="H1022" i="1" a="1"/>
  <c r="H1022" i="1" s="1"/>
  <c r="H1023" i="1" a="1"/>
  <c r="H1023" i="1"/>
  <c r="H1024" i="1" a="1"/>
  <c r="H1024" i="1" s="1"/>
  <c r="H1025" i="1" a="1"/>
  <c r="H1025" i="1" s="1"/>
  <c r="H1026" i="1" a="1"/>
  <c r="H1026" i="1" s="1"/>
  <c r="H1027" i="1" a="1"/>
  <c r="H1027" i="1" s="1"/>
  <c r="H1028" i="1" a="1"/>
  <c r="H1028" i="1" s="1"/>
  <c r="H1029" i="1" a="1"/>
  <c r="H1029" i="1" s="1"/>
  <c r="H1030" i="1" a="1"/>
  <c r="H1030" i="1" s="1"/>
  <c r="H1031" i="1" a="1"/>
  <c r="H1031" i="1" s="1"/>
  <c r="H1032" i="1" a="1"/>
  <c r="H1032" i="1" s="1"/>
  <c r="H1033" i="1" a="1"/>
  <c r="H1033" i="1"/>
  <c r="H1034" i="1" a="1"/>
  <c r="H1034" i="1" s="1"/>
  <c r="H1035" i="1" a="1"/>
  <c r="H1035" i="1" s="1"/>
  <c r="H1036" i="1" a="1"/>
  <c r="H1036" i="1" s="1"/>
  <c r="H1037" i="1" a="1"/>
  <c r="H1037" i="1" s="1"/>
  <c r="H1038" i="1" a="1"/>
  <c r="H1038" i="1" s="1"/>
  <c r="H1039" i="1" a="1"/>
  <c r="H1039" i="1" s="1"/>
  <c r="H1040" i="1" a="1"/>
  <c r="H1040" i="1" s="1"/>
  <c r="H1041" i="1" a="1"/>
  <c r="H1041" i="1" s="1"/>
  <c r="H1042" i="1" a="1"/>
  <c r="H1042" i="1" s="1"/>
  <c r="H1043" i="1" a="1"/>
  <c r="H1043" i="1" s="1"/>
  <c r="H1044" i="1" a="1"/>
  <c r="H1044" i="1" s="1"/>
  <c r="H1045" i="1" a="1"/>
  <c r="H1045" i="1" s="1"/>
  <c r="H1046" i="1" a="1"/>
  <c r="H1046" i="1" s="1"/>
  <c r="H1047" i="1" a="1"/>
  <c r="H1047" i="1" s="1"/>
  <c r="H1048" i="1" a="1"/>
  <c r="H1048" i="1" s="1"/>
  <c r="H1049" i="1" a="1"/>
  <c r="H1049" i="1" s="1"/>
  <c r="H1050" i="1" a="1"/>
  <c r="H1050" i="1" s="1"/>
  <c r="H1051" i="1" a="1"/>
  <c r="H1051" i="1" s="1"/>
  <c r="H1052" i="1" a="1"/>
  <c r="H1052" i="1" s="1"/>
  <c r="H1053" i="1" a="1"/>
  <c r="H1053" i="1" s="1"/>
  <c r="H1054" i="1" a="1"/>
  <c r="H1054" i="1" s="1"/>
  <c r="H1055" i="1" a="1"/>
  <c r="H1055" i="1" s="1"/>
  <c r="H1056" i="1" a="1"/>
  <c r="H1056" i="1" s="1"/>
  <c r="H1057" i="1" a="1"/>
  <c r="H1057" i="1" s="1"/>
  <c r="H1058" i="1" a="1"/>
  <c r="H1058" i="1" s="1"/>
  <c r="H1059" i="1" a="1"/>
  <c r="H1059" i="1" s="1"/>
  <c r="H1060" i="1" a="1"/>
  <c r="H1060" i="1" s="1"/>
  <c r="H1061" i="1" a="1"/>
  <c r="H1061" i="1" s="1"/>
  <c r="H1062" i="1" a="1"/>
  <c r="H1062" i="1"/>
  <c r="H1063" i="1" a="1"/>
  <c r="H1063" i="1" s="1"/>
  <c r="H1064" i="1" a="1"/>
  <c r="H1064" i="1" s="1"/>
  <c r="H1065" i="1" a="1"/>
  <c r="H1065" i="1"/>
  <c r="H1066" i="1" a="1"/>
  <c r="H1066" i="1" s="1"/>
  <c r="H1067" i="1" a="1"/>
  <c r="H1067" i="1" s="1"/>
  <c r="H1068" i="1" a="1"/>
  <c r="H1068" i="1" s="1"/>
  <c r="H1069" i="1" a="1"/>
  <c r="H1069" i="1" s="1"/>
  <c r="H1070" i="1" a="1"/>
  <c r="H1070" i="1" s="1"/>
  <c r="H1071" i="1" a="1"/>
  <c r="H1071" i="1" s="1"/>
  <c r="H1072" i="1" a="1"/>
  <c r="H1072" i="1"/>
  <c r="H1073" i="1" a="1"/>
  <c r="H1073" i="1" s="1"/>
  <c r="H1074" i="1" a="1"/>
  <c r="H1074" i="1" s="1"/>
  <c r="H1075" i="1" a="1"/>
  <c r="H1075" i="1" s="1"/>
  <c r="H1076" i="1" a="1"/>
  <c r="H1076" i="1" s="1"/>
  <c r="H1077" i="1" a="1"/>
  <c r="H1077" i="1" s="1"/>
  <c r="H1078" i="1" a="1"/>
  <c r="H1078" i="1" s="1"/>
  <c r="H1079" i="1" a="1"/>
  <c r="H1079" i="1" s="1"/>
  <c r="H1080" i="1" a="1"/>
  <c r="H1080" i="1" s="1"/>
  <c r="H1081" i="1" a="1"/>
  <c r="H1081" i="1" s="1"/>
  <c r="H1082" i="1" a="1"/>
  <c r="H1082" i="1" s="1"/>
  <c r="H1083" i="1" a="1"/>
  <c r="H1083" i="1" s="1"/>
  <c r="H1084" i="1" a="1"/>
  <c r="H1084" i="1" s="1"/>
  <c r="H1085" i="1" a="1"/>
  <c r="H1085" i="1" s="1"/>
  <c r="H1086" i="1" a="1"/>
  <c r="H1086" i="1" s="1"/>
  <c r="H1087" i="1" a="1"/>
  <c r="H1087" i="1" s="1"/>
  <c r="H1088" i="1" a="1"/>
  <c r="H1088" i="1" s="1"/>
  <c r="H1089" i="1" a="1"/>
  <c r="H1089" i="1" s="1"/>
  <c r="H1090" i="1" a="1"/>
  <c r="H1090" i="1" s="1"/>
  <c r="H1091" i="1" a="1"/>
  <c r="H1091" i="1" s="1"/>
  <c r="H1092" i="1" a="1"/>
  <c r="H1092" i="1" s="1"/>
  <c r="H1093" i="1" a="1"/>
  <c r="H1093" i="1" s="1"/>
  <c r="H1094" i="1" a="1"/>
  <c r="H1094" i="1" s="1"/>
  <c r="H1095" i="1" a="1"/>
  <c r="H1095" i="1" s="1"/>
  <c r="H1096" i="1" a="1"/>
  <c r="H1096" i="1" s="1"/>
  <c r="H1097" i="1" a="1"/>
  <c r="H1097" i="1" s="1"/>
  <c r="H1098" i="1" a="1"/>
  <c r="H1098" i="1" s="1"/>
  <c r="H1099" i="1" a="1"/>
  <c r="H1099" i="1" s="1"/>
  <c r="H1100" i="1" a="1"/>
  <c r="H1100" i="1" s="1"/>
  <c r="H1101" i="1" a="1"/>
  <c r="H1101" i="1" s="1"/>
  <c r="H1102" i="1" a="1"/>
  <c r="H1102" i="1" s="1"/>
  <c r="H1103" i="1" a="1"/>
  <c r="H1103" i="1" s="1"/>
  <c r="H1104" i="1" a="1"/>
  <c r="H1104" i="1" s="1"/>
  <c r="H1105" i="1" a="1"/>
  <c r="H1105" i="1" s="1"/>
  <c r="H1106" i="1" a="1"/>
  <c r="H1106" i="1" s="1"/>
  <c r="H1107" i="1" a="1"/>
  <c r="H1107" i="1" s="1"/>
  <c r="H1108" i="1" a="1"/>
  <c r="H1108" i="1" s="1"/>
  <c r="H1109" i="1" a="1"/>
  <c r="H1109" i="1" s="1"/>
  <c r="H1110" i="1" a="1"/>
  <c r="H1110" i="1" s="1"/>
  <c r="H1111" i="1" a="1"/>
  <c r="H1111" i="1" s="1"/>
  <c r="H1112" i="1" a="1"/>
  <c r="H1112" i="1" s="1"/>
  <c r="H1113" i="1" a="1"/>
  <c r="H1113" i="1" s="1"/>
  <c r="H1114" i="1" a="1"/>
  <c r="H1114" i="1" s="1"/>
  <c r="H1115" i="1" a="1"/>
  <c r="H1115" i="1" s="1"/>
  <c r="H1116" i="1" a="1"/>
  <c r="H1116" i="1" s="1"/>
  <c r="H1117" i="1" a="1"/>
  <c r="H1117" i="1" s="1"/>
  <c r="H1118" i="1" a="1"/>
  <c r="H1118" i="1" s="1"/>
  <c r="H1119" i="1" a="1"/>
  <c r="H1119" i="1" s="1"/>
  <c r="H1120" i="1" a="1"/>
  <c r="H1120" i="1" s="1"/>
  <c r="H1121" i="1" a="1"/>
  <c r="H1121" i="1" s="1"/>
  <c r="H1122" i="1" a="1"/>
  <c r="H1122" i="1" s="1"/>
  <c r="H1123" i="1" a="1"/>
  <c r="H1123" i="1" s="1"/>
  <c r="H1124" i="1" a="1"/>
  <c r="H1124" i="1" s="1"/>
  <c r="H1125" i="1" a="1"/>
  <c r="H1125" i="1" s="1"/>
  <c r="H1126" i="1" a="1"/>
  <c r="H1126" i="1" s="1"/>
  <c r="H1127" i="1" a="1"/>
  <c r="H1127" i="1" s="1"/>
  <c r="H1128" i="1" a="1"/>
  <c r="H1128" i="1" s="1"/>
  <c r="H1129" i="1" a="1"/>
  <c r="H1129" i="1"/>
  <c r="H1130" i="1" a="1"/>
  <c r="H1130" i="1" s="1"/>
  <c r="H1131" i="1" a="1"/>
  <c r="H1131" i="1" s="1"/>
  <c r="H1132" i="1" a="1"/>
  <c r="H1132" i="1" s="1"/>
  <c r="H1133" i="1" a="1"/>
  <c r="H1133" i="1"/>
  <c r="H1134" i="1" a="1"/>
  <c r="H1134" i="1" s="1"/>
  <c r="H1135" i="1" a="1"/>
  <c r="H1135" i="1" s="1"/>
  <c r="H1136" i="1" a="1"/>
  <c r="H1136" i="1" s="1"/>
  <c r="H1137" i="1" a="1"/>
  <c r="H1137" i="1" s="1"/>
  <c r="H1138" i="1" a="1"/>
  <c r="H1138" i="1" s="1"/>
  <c r="H1139" i="1" a="1"/>
  <c r="H1139" i="1"/>
  <c r="H1140" i="1" a="1"/>
  <c r="H1140" i="1" s="1"/>
  <c r="H1141" i="1" a="1"/>
  <c r="H1141" i="1" s="1"/>
  <c r="H1142" i="1" a="1"/>
  <c r="H1142" i="1" s="1"/>
  <c r="H1143" i="1" a="1"/>
  <c r="H1143" i="1" s="1"/>
  <c r="H1144" i="1" a="1"/>
  <c r="H1144" i="1" s="1"/>
  <c r="H1145" i="1" a="1"/>
  <c r="H1145" i="1" s="1"/>
  <c r="H1146" i="1" a="1"/>
  <c r="H1146" i="1" s="1"/>
  <c r="H1147" i="1" a="1"/>
  <c r="H1147" i="1" s="1"/>
  <c r="H1148" i="1" a="1"/>
  <c r="H1148" i="1" s="1"/>
  <c r="H1149" i="1" a="1"/>
  <c r="H1149" i="1"/>
  <c r="H1150" i="1" a="1"/>
  <c r="H1150" i="1" s="1"/>
  <c r="H1151" i="1" a="1"/>
  <c r="H1151" i="1" s="1"/>
  <c r="H1152" i="1" a="1"/>
  <c r="H1152" i="1" s="1"/>
  <c r="H1153" i="1" a="1"/>
  <c r="H1153" i="1" s="1"/>
  <c r="H1154" i="1" a="1"/>
  <c r="H1154" i="1" s="1"/>
  <c r="H1155" i="1" a="1"/>
  <c r="H1155" i="1" s="1"/>
  <c r="H1156" i="1" a="1"/>
  <c r="H1156" i="1" s="1"/>
  <c r="H1157" i="1" a="1"/>
  <c r="H1157" i="1"/>
  <c r="H1158" i="1" a="1"/>
  <c r="H1158" i="1" s="1"/>
  <c r="H1159" i="1" a="1"/>
  <c r="H1159" i="1" s="1"/>
  <c r="H1160" i="1" a="1"/>
  <c r="H1160" i="1" s="1"/>
  <c r="H1161" i="1" a="1"/>
  <c r="H1161" i="1" s="1"/>
  <c r="H1162" i="1" a="1"/>
  <c r="H1162" i="1" s="1"/>
  <c r="H1163" i="1" a="1"/>
  <c r="H1163" i="1" s="1"/>
  <c r="H1164" i="1" a="1"/>
  <c r="H1164" i="1" s="1"/>
  <c r="H1165" i="1" a="1"/>
  <c r="H1165" i="1" s="1"/>
  <c r="H1166" i="1" a="1"/>
  <c r="H1166" i="1" s="1"/>
  <c r="H1167" i="1" a="1"/>
  <c r="H1167" i="1" s="1"/>
  <c r="H1168" i="1" a="1"/>
  <c r="H1168" i="1" s="1"/>
  <c r="H1169" i="1" a="1"/>
  <c r="H1169" i="1" s="1"/>
  <c r="H1170" i="1" a="1"/>
  <c r="H1170" i="1" s="1"/>
  <c r="H1171" i="1" a="1"/>
  <c r="H1171" i="1" s="1"/>
  <c r="H1172" i="1" a="1"/>
  <c r="H1172" i="1" s="1"/>
  <c r="H1173" i="1" a="1"/>
  <c r="H1173" i="1" s="1"/>
  <c r="H1174" i="1" a="1"/>
  <c r="H1174" i="1" s="1"/>
  <c r="H1175" i="1" a="1"/>
  <c r="H1175" i="1" s="1"/>
  <c r="H1176" i="1" a="1"/>
  <c r="H1176" i="1" s="1"/>
  <c r="H1177" i="1" a="1"/>
  <c r="H1177" i="1" s="1"/>
  <c r="H1178" i="1" a="1"/>
  <c r="H1178" i="1" s="1"/>
  <c r="H1179" i="1" a="1"/>
  <c r="H1179" i="1" s="1"/>
  <c r="H1180" i="1" a="1"/>
  <c r="H1180" i="1" s="1"/>
  <c r="H1181" i="1" a="1"/>
  <c r="H1181" i="1" s="1"/>
  <c r="H1182" i="1" a="1"/>
  <c r="H1182" i="1" s="1"/>
  <c r="H1183" i="1" a="1"/>
  <c r="H1183" i="1" s="1"/>
  <c r="H1184" i="1" a="1"/>
  <c r="H1184" i="1" s="1"/>
  <c r="H1185" i="1" a="1"/>
  <c r="H1185" i="1" s="1"/>
  <c r="H1186" i="1" a="1"/>
  <c r="H1186" i="1" s="1"/>
  <c r="H1187" i="1" a="1"/>
  <c r="H1187" i="1" s="1"/>
  <c r="H1188" i="1" a="1"/>
  <c r="H1188" i="1" s="1"/>
  <c r="H1189" i="1" a="1"/>
  <c r="H1189" i="1" s="1"/>
  <c r="H1190" i="1" a="1"/>
  <c r="H1190" i="1" s="1"/>
  <c r="H1191" i="1" a="1"/>
  <c r="H1191" i="1" s="1"/>
  <c r="H1192" i="1" a="1"/>
  <c r="H1192" i="1" s="1"/>
  <c r="H1193" i="1" a="1"/>
  <c r="H1193" i="1"/>
  <c r="H1194" i="1" a="1"/>
  <c r="H1194" i="1" s="1"/>
  <c r="H1195" i="1" a="1"/>
  <c r="H1195" i="1" s="1"/>
  <c r="H1196" i="1" a="1"/>
  <c r="H1196" i="1" s="1"/>
  <c r="H1197" i="1" a="1"/>
  <c r="H1197" i="1"/>
  <c r="H1198" i="1" a="1"/>
  <c r="H1198" i="1" s="1"/>
  <c r="H1199" i="1" a="1"/>
  <c r="H1199" i="1" s="1"/>
  <c r="H1200" i="1" a="1"/>
  <c r="H1200" i="1"/>
  <c r="H1201" i="1" a="1"/>
  <c r="H1201" i="1" s="1"/>
  <c r="H1202" i="1" a="1"/>
  <c r="H1202" i="1" s="1"/>
  <c r="H1203" i="1" a="1"/>
  <c r="H1203" i="1" s="1"/>
  <c r="H1204" i="1" a="1"/>
  <c r="H1204" i="1" s="1"/>
  <c r="H1205" i="1" a="1"/>
  <c r="H1205" i="1" s="1"/>
  <c r="H1206" i="1" a="1"/>
  <c r="H1206" i="1" s="1"/>
  <c r="H1207" i="1" a="1"/>
  <c r="H1207" i="1" s="1"/>
  <c r="H1208" i="1" a="1"/>
  <c r="H1208" i="1" s="1"/>
  <c r="H1209" i="1" a="1"/>
  <c r="H1209" i="1" s="1"/>
  <c r="H1210" i="1" a="1"/>
  <c r="H1210" i="1" s="1"/>
  <c r="H1211" i="1" a="1"/>
  <c r="H1211" i="1" s="1"/>
  <c r="H1212" i="1" a="1"/>
  <c r="H1212" i="1" s="1"/>
  <c r="H1213" i="1" a="1"/>
  <c r="H1213" i="1" s="1"/>
  <c r="H1214" i="1" a="1"/>
  <c r="H1214" i="1" s="1"/>
  <c r="H1215" i="1" a="1"/>
  <c r="H1215" i="1" s="1"/>
  <c r="H1216" i="1" a="1"/>
  <c r="H1216" i="1" s="1"/>
  <c r="H1217" i="1" a="1"/>
  <c r="H1217" i="1" s="1"/>
  <c r="H1218" i="1" a="1"/>
  <c r="H1218" i="1" s="1"/>
  <c r="H1219" i="1" a="1"/>
  <c r="H1219" i="1" s="1"/>
  <c r="H1220" i="1" a="1"/>
  <c r="H1220" i="1" s="1"/>
  <c r="H1221" i="1" a="1"/>
  <c r="H1221" i="1" s="1"/>
  <c r="H1222" i="1" a="1"/>
  <c r="H1222" i="1" s="1"/>
  <c r="H1223" i="1" a="1"/>
  <c r="H1223" i="1" s="1"/>
  <c r="H1224" i="1" a="1"/>
  <c r="H1224" i="1" s="1"/>
  <c r="H1225" i="1" a="1"/>
  <c r="H1225" i="1" s="1"/>
  <c r="H1226" i="1" a="1"/>
  <c r="H1226" i="1" s="1"/>
  <c r="H1227" i="1" a="1"/>
  <c r="H1227" i="1" s="1"/>
  <c r="H1228" i="1" a="1"/>
  <c r="H1228" i="1" s="1"/>
  <c r="H1229" i="1" a="1"/>
  <c r="H1229" i="1"/>
  <c r="H1230" i="1" a="1"/>
  <c r="H1230" i="1" s="1"/>
  <c r="H1231" i="1" a="1"/>
  <c r="H1231" i="1" s="1"/>
  <c r="H1232" i="1" a="1"/>
  <c r="H1232" i="1" s="1"/>
  <c r="H1233" i="1" a="1"/>
  <c r="H1233" i="1" s="1"/>
  <c r="H1234" i="1" a="1"/>
  <c r="H1234" i="1"/>
  <c r="H1235" i="1" a="1"/>
  <c r="H1235" i="1" s="1"/>
  <c r="H1236" i="1" a="1"/>
  <c r="H1236" i="1" s="1"/>
  <c r="H1237" i="1" a="1"/>
  <c r="H1237" i="1" s="1"/>
  <c r="H1238" i="1" a="1"/>
  <c r="H1238" i="1" s="1"/>
  <c r="H1239" i="1" a="1"/>
  <c r="H1239" i="1" s="1"/>
  <c r="H1240" i="1" a="1"/>
  <c r="H1240" i="1" s="1"/>
  <c r="H1241" i="1" a="1"/>
  <c r="H1241" i="1" s="1"/>
  <c r="H1242" i="1" a="1"/>
  <c r="H1242" i="1" s="1"/>
  <c r="H1243" i="1" a="1"/>
  <c r="H1243" i="1" s="1"/>
  <c r="H1244" i="1" a="1"/>
  <c r="H1244" i="1" s="1"/>
  <c r="H1245" i="1" a="1"/>
  <c r="H1245" i="1"/>
  <c r="H1246" i="1" a="1"/>
  <c r="H1246" i="1" s="1"/>
  <c r="H1247" i="1" a="1"/>
  <c r="H1247" i="1" s="1"/>
  <c r="H1248" i="1" a="1"/>
  <c r="H1248" i="1" s="1"/>
  <c r="H1249" i="1" a="1"/>
  <c r="H1249" i="1" s="1"/>
  <c r="H1250" i="1" a="1"/>
  <c r="H1250" i="1" s="1"/>
  <c r="H1251" i="1" a="1"/>
  <c r="H1251" i="1" s="1"/>
  <c r="H1252" i="1" a="1"/>
  <c r="H1252" i="1" s="1"/>
  <c r="H1253" i="1" a="1"/>
  <c r="H1253" i="1" s="1"/>
  <c r="H1254" i="1" a="1"/>
  <c r="H1254" i="1" s="1"/>
  <c r="H1255" i="1" a="1"/>
  <c r="H1255" i="1" s="1"/>
  <c r="H1256" i="1" a="1"/>
  <c r="H1256" i="1" s="1"/>
  <c r="H1257" i="1" a="1"/>
  <c r="H1257" i="1" s="1"/>
  <c r="H1258" i="1" a="1"/>
  <c r="H1258" i="1" s="1"/>
  <c r="H1259" i="1" a="1"/>
  <c r="H1259" i="1" s="1"/>
  <c r="H1260" i="1" a="1"/>
  <c r="H1260" i="1" s="1"/>
  <c r="H1261" i="1" a="1"/>
  <c r="H1261" i="1" s="1"/>
  <c r="H1262" i="1" a="1"/>
  <c r="H1262" i="1" s="1"/>
  <c r="H1263" i="1" a="1"/>
  <c r="H1263" i="1" s="1"/>
  <c r="H1264" i="1" a="1"/>
  <c r="H1264" i="1"/>
  <c r="H1265" i="1" a="1"/>
  <c r="H1265" i="1" s="1"/>
  <c r="H1266" i="1" a="1"/>
  <c r="H1266" i="1" s="1"/>
  <c r="H1267" i="1" a="1"/>
  <c r="H1267" i="1" s="1"/>
  <c r="H1268" i="1" a="1"/>
  <c r="H1268" i="1" s="1"/>
  <c r="H1269" i="1" a="1"/>
  <c r="H1269" i="1" s="1"/>
  <c r="H1270" i="1" a="1"/>
  <c r="H1270" i="1" s="1"/>
  <c r="H1271" i="1" a="1"/>
  <c r="H1271" i="1" s="1"/>
  <c r="H1272" i="1" a="1"/>
  <c r="H1272" i="1"/>
  <c r="H1273" i="1" a="1"/>
  <c r="H1273" i="1" s="1"/>
  <c r="H1274" i="1" a="1"/>
  <c r="H1274" i="1"/>
  <c r="H1275" i="1" a="1"/>
  <c r="H1275" i="1" s="1"/>
  <c r="H1276" i="1" a="1"/>
  <c r="H1276" i="1" s="1"/>
  <c r="H1277" i="1" a="1"/>
  <c r="H1277" i="1" s="1"/>
  <c r="H1278" i="1" a="1"/>
  <c r="H1278" i="1" s="1"/>
  <c r="H1279" i="1" a="1"/>
  <c r="H1279" i="1" s="1"/>
  <c r="H1280" i="1" a="1"/>
  <c r="H1280" i="1"/>
  <c r="H1281" i="1" a="1"/>
  <c r="H1281" i="1" s="1"/>
  <c r="H1282" i="1" a="1"/>
  <c r="H1282" i="1" s="1"/>
  <c r="H1283" i="1" a="1"/>
  <c r="H1283" i="1" s="1"/>
  <c r="H1284" i="1" a="1"/>
  <c r="H1284" i="1"/>
  <c r="H1285" i="1" a="1"/>
  <c r="H1285" i="1" s="1"/>
  <c r="H1286" i="1" a="1"/>
  <c r="H1286" i="1" s="1"/>
  <c r="H1287" i="1" a="1"/>
  <c r="H1287" i="1"/>
  <c r="H1288" i="1" a="1"/>
  <c r="H1288" i="1" s="1"/>
  <c r="H1289" i="1" a="1"/>
  <c r="H1289" i="1" s="1"/>
  <c r="H1290" i="1" a="1"/>
  <c r="H1290" i="1" s="1"/>
  <c r="H1291" i="1" a="1"/>
  <c r="H1291" i="1" s="1"/>
  <c r="H1292" i="1" a="1"/>
  <c r="H1292" i="1" s="1"/>
  <c r="H1293" i="1" a="1"/>
  <c r="H1293" i="1"/>
  <c r="H1294" i="1" a="1"/>
  <c r="H1294" i="1" s="1"/>
  <c r="H1295" i="1" a="1"/>
  <c r="H1295" i="1"/>
  <c r="H1296" i="1" a="1"/>
  <c r="H1296" i="1" s="1"/>
  <c r="H1297" i="1" a="1"/>
  <c r="H1297" i="1"/>
  <c r="H1298" i="1" a="1"/>
  <c r="H1298" i="1" s="1"/>
  <c r="H1299" i="1" a="1"/>
  <c r="H1299" i="1"/>
  <c r="H1300" i="1" a="1"/>
  <c r="H1300" i="1" s="1"/>
  <c r="H1301" i="1" a="1"/>
  <c r="H1301" i="1" s="1"/>
  <c r="H1302" i="1" a="1"/>
  <c r="H1302" i="1" s="1"/>
  <c r="H1303" i="1" a="1"/>
  <c r="H1303" i="1"/>
  <c r="H1304" i="1" a="1"/>
  <c r="H1304" i="1" s="1"/>
  <c r="H1305" i="1" a="1"/>
  <c r="H1305" i="1" s="1"/>
  <c r="H1306" i="1" a="1"/>
  <c r="H1306" i="1" s="1"/>
  <c r="H1307" i="1" a="1"/>
  <c r="H1307" i="1" s="1"/>
  <c r="H1308" i="1" a="1"/>
  <c r="H1308" i="1"/>
  <c r="H1309" i="1" a="1"/>
  <c r="H1309" i="1"/>
  <c r="H1310" i="1" a="1"/>
  <c r="H1310" i="1" s="1"/>
  <c r="H1311" i="1" a="1"/>
  <c r="H1311" i="1" s="1"/>
  <c r="H1312" i="1" a="1"/>
  <c r="H1312" i="1" s="1"/>
  <c r="H1313" i="1" a="1"/>
  <c r="H1313" i="1" s="1"/>
  <c r="H1314" i="1" a="1"/>
  <c r="H1314" i="1" s="1"/>
  <c r="H1315" i="1" a="1"/>
  <c r="H1315" i="1" s="1"/>
  <c r="H1316" i="1" a="1"/>
  <c r="H1316" i="1" s="1"/>
  <c r="H1317" i="1" a="1"/>
  <c r="H1317" i="1" s="1"/>
  <c r="H1318" i="1" a="1"/>
  <c r="H1318" i="1" s="1"/>
  <c r="H1319" i="1" a="1"/>
  <c r="H1319" i="1" s="1"/>
  <c r="H1320" i="1" a="1"/>
  <c r="H1320" i="1" s="1"/>
  <c r="H1321" i="1" a="1"/>
  <c r="H1321" i="1" s="1"/>
  <c r="H1322" i="1" a="1"/>
  <c r="H1322" i="1"/>
  <c r="H1323" i="1" a="1"/>
  <c r="H1323" i="1" s="1"/>
  <c r="H1324" i="1" a="1"/>
  <c r="H1324" i="1" s="1"/>
  <c r="H1325" i="1" a="1"/>
  <c r="H1325" i="1"/>
  <c r="H1326" i="1" a="1"/>
  <c r="H1326" i="1" s="1"/>
  <c r="H1327" i="1" a="1"/>
  <c r="H1327" i="1" s="1"/>
  <c r="H1328" i="1" a="1"/>
  <c r="H1328" i="1" s="1"/>
  <c r="H1329" i="1" a="1"/>
  <c r="H1329" i="1" s="1"/>
  <c r="H1330" i="1" a="1"/>
  <c r="H1330" i="1" s="1"/>
  <c r="H1331" i="1" a="1"/>
  <c r="H1331" i="1" s="1"/>
  <c r="H1332" i="1" a="1"/>
  <c r="H1332" i="1" s="1"/>
  <c r="H1333" i="1" a="1"/>
  <c r="H1333" i="1" s="1"/>
  <c r="H1334" i="1" a="1"/>
  <c r="H1334" i="1" s="1"/>
  <c r="H1335" i="1" a="1"/>
  <c r="H1335" i="1" s="1"/>
  <c r="H1336" i="1" a="1"/>
  <c r="H1336" i="1" s="1"/>
  <c r="H1337" i="1" a="1"/>
  <c r="H1337" i="1" s="1"/>
  <c r="H1338" i="1" a="1"/>
  <c r="H1338" i="1" s="1"/>
  <c r="H1339" i="1" a="1"/>
  <c r="H1339" i="1" s="1"/>
  <c r="H1340" i="1" a="1"/>
  <c r="H1340" i="1" s="1"/>
  <c r="H1341" i="1" a="1"/>
  <c r="H1341" i="1" s="1"/>
  <c r="H1342" i="1" a="1"/>
  <c r="H1342" i="1" s="1"/>
  <c r="H1343" i="1" a="1"/>
  <c r="H1343" i="1" s="1"/>
  <c r="H1344" i="1" a="1"/>
  <c r="H1344" i="1" s="1"/>
  <c r="H1345" i="1" a="1"/>
  <c r="H1345" i="1" s="1"/>
  <c r="H1346" i="1" a="1"/>
  <c r="H1346" i="1" s="1"/>
  <c r="H1347" i="1" a="1"/>
  <c r="H1347" i="1" s="1"/>
  <c r="H1348" i="1" a="1"/>
  <c r="H1348" i="1" s="1"/>
  <c r="H1349" i="1" a="1"/>
  <c r="H1349" i="1"/>
  <c r="H1350" i="1" a="1"/>
  <c r="H1350" i="1" s="1"/>
  <c r="H1351" i="1" a="1"/>
  <c r="H1351" i="1" s="1"/>
  <c r="H1352" i="1" a="1"/>
  <c r="H1352" i="1" s="1"/>
  <c r="H1353" i="1" a="1"/>
  <c r="H1353" i="1" s="1"/>
  <c r="H1354" i="1" a="1"/>
  <c r="H1354" i="1" s="1"/>
  <c r="H1355" i="1" a="1"/>
  <c r="H1355" i="1" s="1"/>
  <c r="H1356" i="1" a="1"/>
  <c r="H1356" i="1" s="1"/>
  <c r="H1357" i="1" a="1"/>
  <c r="H1357" i="1" s="1"/>
  <c r="H1358" i="1" a="1"/>
  <c r="H1358" i="1" s="1"/>
  <c r="H1359" i="1" a="1"/>
  <c r="H1359" i="1" s="1"/>
  <c r="H1360" i="1" a="1"/>
  <c r="H1360" i="1" s="1"/>
  <c r="H1361" i="1" a="1"/>
  <c r="H1361" i="1" s="1"/>
  <c r="H1362" i="1" a="1"/>
  <c r="H1362" i="1" s="1"/>
  <c r="H1363" i="1" a="1"/>
  <c r="H1363" i="1" s="1"/>
  <c r="H1364" i="1" a="1"/>
  <c r="H1364" i="1" s="1"/>
  <c r="H1365" i="1" a="1"/>
  <c r="H1365" i="1" s="1"/>
  <c r="H1366" i="1" a="1"/>
  <c r="H1366" i="1" s="1"/>
  <c r="H1367" i="1" a="1"/>
  <c r="H1367" i="1" s="1"/>
  <c r="H1368" i="1" a="1"/>
  <c r="H1368" i="1" s="1"/>
  <c r="H1369" i="1" a="1"/>
  <c r="H1369" i="1"/>
  <c r="H1370" i="1" a="1"/>
  <c r="H1370" i="1"/>
  <c r="H1371" i="1" a="1"/>
  <c r="H1371" i="1" s="1"/>
  <c r="H1372" i="1" a="1"/>
  <c r="H1372" i="1" s="1"/>
  <c r="H1373" i="1" a="1"/>
  <c r="H1373" i="1" s="1"/>
  <c r="H1374" i="1" a="1"/>
  <c r="H1374" i="1" s="1"/>
  <c r="H1375" i="1" a="1"/>
  <c r="H1375" i="1"/>
  <c r="H1376" i="1" a="1"/>
  <c r="H1376" i="1" s="1"/>
  <c r="H1377" i="1" a="1"/>
  <c r="H1377" i="1" s="1"/>
  <c r="H1378" i="1" a="1"/>
  <c r="H1378" i="1" s="1"/>
  <c r="H1379" i="1" a="1"/>
  <c r="H1379" i="1" s="1"/>
  <c r="H1380" i="1" a="1"/>
  <c r="H1380" i="1"/>
  <c r="H1381" i="1" a="1"/>
  <c r="H1381" i="1" s="1"/>
  <c r="H1382" i="1" a="1"/>
  <c r="H1382" i="1" s="1"/>
  <c r="H1383" i="1" a="1"/>
  <c r="H1383" i="1"/>
  <c r="H1384" i="1" a="1"/>
  <c r="H1384" i="1" s="1"/>
  <c r="H1385" i="1" a="1"/>
  <c r="H1385" i="1" s="1"/>
  <c r="H1386" i="1" a="1"/>
  <c r="H1386" i="1" s="1"/>
  <c r="H1387" i="1" a="1"/>
  <c r="H1387" i="1" s="1"/>
  <c r="H1388" i="1" a="1"/>
  <c r="H1388" i="1" s="1"/>
  <c r="H1389" i="1" a="1"/>
  <c r="H1389" i="1" s="1"/>
  <c r="H1390" i="1" a="1"/>
  <c r="H1390" i="1" s="1"/>
  <c r="H1391" i="1" a="1"/>
  <c r="H1391" i="1" s="1"/>
  <c r="H1392" i="1" a="1"/>
  <c r="H1392" i="1" s="1"/>
  <c r="H1393" i="1" a="1"/>
  <c r="H1393" i="1" s="1"/>
  <c r="H1394" i="1" a="1"/>
  <c r="H1394" i="1" s="1"/>
  <c r="H1395" i="1" a="1"/>
  <c r="H1395" i="1" s="1"/>
  <c r="H1396" i="1" a="1"/>
  <c r="H1396" i="1" s="1"/>
  <c r="H1397" i="1" a="1"/>
  <c r="H1397" i="1" s="1"/>
  <c r="H1398" i="1" a="1"/>
  <c r="H1398" i="1" s="1"/>
  <c r="H1399" i="1" a="1"/>
  <c r="H1399" i="1"/>
  <c r="H1400" i="1" a="1"/>
  <c r="H1400" i="1" s="1"/>
  <c r="H1401" i="1" a="1"/>
  <c r="H1401" i="1" s="1"/>
  <c r="H1402" i="1" a="1"/>
  <c r="H1402" i="1" s="1"/>
  <c r="H1403" i="1" a="1"/>
  <c r="H1403" i="1"/>
  <c r="H1404" i="1" a="1"/>
  <c r="H1404" i="1" s="1"/>
  <c r="H1405" i="1" a="1"/>
  <c r="H1405" i="1"/>
  <c r="H1406" i="1" a="1"/>
  <c r="H1406" i="1" s="1"/>
  <c r="H1407" i="1" a="1"/>
  <c r="H1407" i="1"/>
  <c r="H1408" i="1" a="1"/>
  <c r="H1408" i="1" s="1"/>
  <c r="H1409" i="1" a="1"/>
  <c r="H1409" i="1" s="1"/>
  <c r="H1410" i="1" a="1"/>
  <c r="H1410" i="1" s="1"/>
  <c r="H1411" i="1" a="1"/>
  <c r="H1411" i="1"/>
  <c r="H1412" i="1" a="1"/>
  <c r="H1412" i="1" s="1"/>
  <c r="H1413" i="1" a="1"/>
  <c r="H1413" i="1"/>
  <c r="H1414" i="1" a="1"/>
  <c r="H1414" i="1" s="1"/>
  <c r="H1415" i="1" a="1"/>
  <c r="H1415" i="1" s="1"/>
  <c r="H1416" i="1" a="1"/>
  <c r="H1416" i="1" s="1"/>
  <c r="H1417" i="1" a="1"/>
  <c r="H1417" i="1" s="1"/>
  <c r="H1418" i="1" a="1"/>
  <c r="H1418" i="1" s="1"/>
  <c r="H1419" i="1" a="1"/>
  <c r="H1419" i="1"/>
  <c r="H1420" i="1" a="1"/>
  <c r="H1420" i="1" s="1"/>
  <c r="H1421" i="1" a="1"/>
  <c r="H1421" i="1"/>
  <c r="H1422" i="1" a="1"/>
  <c r="H1422" i="1" s="1"/>
  <c r="H1423" i="1" a="1"/>
  <c r="H1423" i="1" s="1"/>
  <c r="H1424" i="1" a="1"/>
  <c r="H1424" i="1" s="1"/>
  <c r="H1425" i="1" a="1"/>
  <c r="H1425" i="1" s="1"/>
  <c r="H1426" i="1" a="1"/>
  <c r="H1426" i="1" s="1"/>
  <c r="H1427" i="1" a="1"/>
  <c r="H1427" i="1" s="1"/>
  <c r="H1428" i="1" a="1"/>
  <c r="H1428" i="1" s="1"/>
  <c r="H1429" i="1" a="1"/>
  <c r="H1429" i="1"/>
  <c r="H1430" i="1" a="1"/>
  <c r="H1430" i="1" s="1"/>
  <c r="H1431" i="1" a="1"/>
  <c r="H1431" i="1"/>
  <c r="H1432" i="1" a="1"/>
  <c r="H1432" i="1" s="1"/>
  <c r="H1433" i="1" a="1"/>
  <c r="H1433" i="1"/>
  <c r="H1434" i="1" a="1"/>
  <c r="H1434" i="1" s="1"/>
  <c r="H1435" i="1" a="1"/>
  <c r="H1435" i="1" s="1"/>
  <c r="H1436" i="1" a="1"/>
  <c r="H1436" i="1" s="1"/>
  <c r="H1437" i="1" a="1"/>
  <c r="H1437" i="1" s="1"/>
  <c r="H1438" i="1" a="1"/>
  <c r="H1438" i="1" s="1"/>
  <c r="H1439" i="1" a="1"/>
  <c r="H1439" i="1" s="1"/>
  <c r="H1440" i="1" a="1"/>
  <c r="H1440" i="1" s="1"/>
  <c r="H1441" i="1" a="1"/>
  <c r="H1441" i="1" s="1"/>
  <c r="H1442" i="1" a="1"/>
  <c r="H1442" i="1"/>
  <c r="H1443" i="1" a="1"/>
  <c r="H1443" i="1" s="1"/>
  <c r="H1444" i="1" a="1"/>
  <c r="H1444" i="1" s="1"/>
  <c r="H1445" i="1" a="1"/>
  <c r="H1445" i="1" s="1"/>
  <c r="H1446" i="1" a="1"/>
  <c r="H1446" i="1" s="1"/>
  <c r="H1447" i="1" a="1"/>
  <c r="H1447" i="1"/>
  <c r="H1448" i="1" a="1"/>
  <c r="H1448" i="1"/>
  <c r="H1449" i="1" a="1"/>
  <c r="H1449" i="1" s="1"/>
  <c r="H1450" i="1" a="1"/>
  <c r="H1450" i="1" s="1"/>
  <c r="H1451" i="1" a="1"/>
  <c r="H1451" i="1" s="1"/>
  <c r="H1452" i="1" a="1"/>
  <c r="H1452" i="1" s="1"/>
  <c r="H1453" i="1" a="1"/>
  <c r="H1453" i="1"/>
  <c r="H1454" i="1" a="1"/>
  <c r="H1454" i="1" s="1"/>
  <c r="H1455" i="1" a="1"/>
  <c r="H1455" i="1" s="1"/>
  <c r="H1456" i="1" a="1"/>
  <c r="H1456" i="1" s="1"/>
  <c r="H1457" i="1" a="1"/>
  <c r="H1457" i="1" s="1"/>
  <c r="H1458" i="1" a="1"/>
  <c r="H1458" i="1" s="1"/>
  <c r="H1459" i="1" a="1"/>
  <c r="H1459" i="1" s="1"/>
  <c r="H1460" i="1" a="1"/>
  <c r="H1460" i="1" s="1"/>
  <c r="H1461" i="1" a="1"/>
  <c r="H1461" i="1" s="1"/>
  <c r="H1462" i="1" a="1"/>
  <c r="H1462" i="1" s="1"/>
  <c r="H1463" i="1" a="1"/>
  <c r="H1463" i="1"/>
  <c r="H1464" i="1" a="1"/>
  <c r="H1464" i="1" s="1"/>
  <c r="H1465" i="1" a="1"/>
  <c r="H1465" i="1" s="1"/>
  <c r="H1466" i="1" a="1"/>
  <c r="H1466" i="1" s="1"/>
  <c r="H1467" i="1" a="1"/>
  <c r="H1467" i="1"/>
  <c r="H1468" i="1" a="1"/>
  <c r="H1468" i="1" s="1"/>
  <c r="H1469" i="1" a="1"/>
  <c r="H1469" i="1" s="1"/>
  <c r="H1470" i="1" a="1"/>
  <c r="H1470" i="1" s="1"/>
  <c r="H1471" i="1" a="1"/>
  <c r="H1471" i="1" s="1"/>
  <c r="H1472" i="1" a="1"/>
  <c r="H1472" i="1" s="1"/>
  <c r="H1473" i="1" a="1"/>
  <c r="H1473" i="1" s="1"/>
  <c r="H1474" i="1" a="1"/>
  <c r="H1474" i="1" s="1"/>
  <c r="H1475" i="1" a="1"/>
  <c r="H1475" i="1" s="1"/>
  <c r="H1476" i="1" a="1"/>
  <c r="H1476" i="1" s="1"/>
  <c r="H1477" i="1" a="1"/>
  <c r="H1477" i="1" s="1"/>
  <c r="H1478" i="1" a="1"/>
  <c r="H1478" i="1" s="1"/>
  <c r="H1479" i="1" a="1"/>
  <c r="H1479" i="1" s="1"/>
  <c r="H1480" i="1" a="1"/>
  <c r="H1480" i="1" s="1"/>
  <c r="H1481" i="1" a="1"/>
  <c r="H1481" i="1" s="1"/>
  <c r="H1482" i="1" a="1"/>
  <c r="H1482" i="1" s="1"/>
  <c r="H1483" i="1" a="1"/>
  <c r="H1483" i="1" s="1"/>
  <c r="H1484" i="1" a="1"/>
  <c r="H1484" i="1" s="1"/>
  <c r="H1485" i="1" a="1"/>
  <c r="H1485" i="1" s="1"/>
  <c r="H1486" i="1" a="1"/>
  <c r="H1486" i="1" s="1"/>
  <c r="H1487" i="1" a="1"/>
  <c r="H1487" i="1" s="1"/>
  <c r="H1488" i="1" a="1"/>
  <c r="H1488" i="1" s="1"/>
  <c r="H1489" i="1" a="1"/>
  <c r="H1489" i="1" s="1"/>
  <c r="H1490" i="1" a="1"/>
  <c r="H1490" i="1" s="1"/>
  <c r="H1491" i="1" a="1"/>
  <c r="H1491" i="1" s="1"/>
  <c r="H1492" i="1" a="1"/>
  <c r="H1492" i="1" s="1"/>
  <c r="H1493" i="1" a="1"/>
  <c r="H1493" i="1" s="1"/>
  <c r="H1494" i="1" a="1"/>
  <c r="H1494" i="1" s="1"/>
  <c r="H1495" i="1" a="1"/>
  <c r="H1495" i="1" s="1"/>
  <c r="H1496" i="1" a="1"/>
  <c r="H1496" i="1"/>
  <c r="H1497" i="1" a="1"/>
  <c r="H1497" i="1" s="1"/>
  <c r="H1498" i="1" a="1"/>
  <c r="H1498" i="1" s="1"/>
  <c r="H1499" i="1" a="1"/>
  <c r="H1499" i="1" s="1"/>
  <c r="H1500" i="1" a="1"/>
  <c r="H1500" i="1" s="1"/>
  <c r="H1501" i="1" a="1"/>
  <c r="H1501" i="1" s="1"/>
  <c r="H1502" i="1" a="1"/>
  <c r="H1502" i="1" s="1"/>
  <c r="H1503" i="1" a="1"/>
  <c r="H1503" i="1" s="1"/>
  <c r="H1504" i="1" a="1"/>
  <c r="H1504" i="1"/>
  <c r="H1505" i="1" a="1"/>
  <c r="H1505" i="1" s="1"/>
  <c r="H1506" i="1" a="1"/>
  <c r="H1506" i="1" s="1"/>
  <c r="H1507" i="1" a="1"/>
  <c r="H1507" i="1" s="1"/>
  <c r="H1508" i="1" a="1"/>
  <c r="H1508" i="1" s="1"/>
  <c r="H1509" i="1" a="1"/>
  <c r="H1509" i="1" s="1"/>
  <c r="H1510" i="1" a="1"/>
  <c r="H1510" i="1" s="1"/>
  <c r="H1511" i="1" a="1"/>
  <c r="H1511" i="1" s="1"/>
  <c r="H1512" i="1" a="1"/>
  <c r="H1512" i="1" s="1"/>
  <c r="H1513" i="1" a="1"/>
  <c r="H1513" i="1" s="1"/>
  <c r="H1514" i="1" a="1"/>
  <c r="H1514" i="1" s="1"/>
  <c r="H1515" i="1" a="1"/>
  <c r="H1515" i="1" s="1"/>
  <c r="H1516" i="1" a="1"/>
  <c r="H1516" i="1" s="1"/>
  <c r="H1517" i="1" a="1"/>
  <c r="H1517" i="1" s="1"/>
  <c r="H1518" i="1" a="1"/>
  <c r="H1518" i="1"/>
  <c r="H1519" i="1" a="1"/>
  <c r="H1519" i="1" s="1"/>
  <c r="H1520" i="1" a="1"/>
  <c r="H1520" i="1" s="1"/>
  <c r="H1521" i="1" a="1"/>
  <c r="H1521" i="1" s="1"/>
  <c r="H1522" i="1" a="1"/>
  <c r="H1522" i="1" s="1"/>
  <c r="H1523" i="1" a="1"/>
  <c r="H1523" i="1" s="1"/>
  <c r="H1524" i="1" a="1"/>
  <c r="H1524" i="1" s="1"/>
  <c r="H1525" i="1" a="1"/>
  <c r="H1525" i="1" s="1"/>
  <c r="H1526" i="1" a="1"/>
  <c r="H1526" i="1" s="1"/>
  <c r="H1527" i="1" a="1"/>
  <c r="H1527" i="1" s="1"/>
  <c r="H1528" i="1" a="1"/>
  <c r="H1528" i="1" s="1"/>
  <c r="H1529" i="1" a="1"/>
  <c r="H1529" i="1" s="1"/>
  <c r="H1530" i="1" a="1"/>
  <c r="H1530" i="1" s="1"/>
  <c r="H1531" i="1" a="1"/>
  <c r="H1531" i="1" s="1"/>
  <c r="H1532" i="1" a="1"/>
  <c r="H1532" i="1" s="1"/>
  <c r="H1533" i="1" a="1"/>
  <c r="H1533" i="1" s="1"/>
  <c r="H1534" i="1" a="1"/>
  <c r="H1534" i="1" s="1"/>
  <c r="H1535" i="1" a="1"/>
  <c r="H1535" i="1" s="1"/>
  <c r="H1536" i="1" a="1"/>
  <c r="H1536" i="1"/>
  <c r="H1537" i="1" a="1"/>
  <c r="H1537" i="1" s="1"/>
  <c r="H1538" i="1" a="1"/>
  <c r="H1538" i="1" s="1"/>
  <c r="H1539" i="1" a="1"/>
  <c r="H1539" i="1" s="1"/>
  <c r="H1540" i="1" a="1"/>
  <c r="H1540" i="1" s="1"/>
  <c r="H1541" i="1" a="1"/>
  <c r="H1541" i="1" s="1"/>
  <c r="H1542" i="1" a="1"/>
  <c r="H1542" i="1" s="1"/>
  <c r="H1543" i="1" a="1"/>
  <c r="H1543" i="1" s="1"/>
  <c r="H1544" i="1" a="1"/>
  <c r="H1544" i="1"/>
  <c r="H1545" i="1" a="1"/>
  <c r="H1545" i="1" s="1"/>
  <c r="H1546" i="1" a="1"/>
  <c r="H1546" i="1"/>
  <c r="H1547" i="1" a="1"/>
  <c r="H1547" i="1" s="1"/>
  <c r="H1548" i="1" a="1"/>
  <c r="H1548" i="1"/>
  <c r="H1549" i="1" a="1"/>
  <c r="H1549" i="1" s="1"/>
  <c r="H1550" i="1" a="1"/>
  <c r="H1550" i="1" s="1"/>
  <c r="H1551" i="1" a="1"/>
  <c r="H1551" i="1" s="1"/>
  <c r="H1552" i="1" a="1"/>
  <c r="H1552" i="1" s="1"/>
  <c r="H1553" i="1" a="1"/>
  <c r="H1553" i="1" s="1"/>
  <c r="H1554" i="1" a="1"/>
  <c r="H1554" i="1" s="1"/>
  <c r="H1555" i="1" a="1"/>
  <c r="H1555" i="1" s="1"/>
  <c r="H1556" i="1" a="1"/>
  <c r="H1556" i="1" s="1"/>
  <c r="H1557" i="1" a="1"/>
  <c r="H1557" i="1" s="1"/>
  <c r="H1558" i="1" a="1"/>
  <c r="H1558" i="1" s="1"/>
  <c r="H1559" i="1" a="1"/>
  <c r="H1559" i="1" s="1"/>
  <c r="H1560" i="1" a="1"/>
  <c r="H1560" i="1" s="1"/>
  <c r="H1561" i="1" a="1"/>
  <c r="H1561" i="1" s="1"/>
  <c r="H1562" i="1" a="1"/>
  <c r="H1562" i="1" s="1"/>
  <c r="H1563" i="1" a="1"/>
  <c r="H1563" i="1" s="1"/>
  <c r="H1564" i="1" a="1"/>
  <c r="H1564" i="1"/>
  <c r="H1565" i="1" a="1"/>
  <c r="H1565" i="1" s="1"/>
  <c r="H1566" i="1" a="1"/>
  <c r="H1566" i="1" s="1"/>
  <c r="H1567" i="1" a="1"/>
  <c r="H1567" i="1" s="1"/>
  <c r="H1568" i="1" a="1"/>
  <c r="H1568" i="1"/>
  <c r="H1569" i="1" a="1"/>
  <c r="H1569" i="1" s="1"/>
  <c r="H1570" i="1" a="1"/>
  <c r="H1570" i="1" s="1"/>
  <c r="H1571" i="1" a="1"/>
  <c r="H1571" i="1" s="1"/>
  <c r="H1572" i="1" a="1"/>
  <c r="H1572" i="1"/>
  <c r="H1573" i="1" a="1"/>
  <c r="H1573" i="1" s="1"/>
  <c r="H1574" i="1" a="1"/>
  <c r="H1574" i="1" s="1"/>
  <c r="H1575" i="1" a="1"/>
  <c r="H1575" i="1" s="1"/>
  <c r="H1576" i="1" a="1"/>
  <c r="H1576" i="1" s="1"/>
  <c r="H1577" i="1" a="1"/>
  <c r="H1577" i="1" s="1"/>
  <c r="H1578" i="1" a="1"/>
  <c r="H1578" i="1" s="1"/>
  <c r="H1579" i="1" a="1"/>
  <c r="H1579" i="1" s="1"/>
  <c r="H1580" i="1" a="1"/>
  <c r="H1580" i="1" s="1"/>
  <c r="H1581" i="1" a="1"/>
  <c r="H1581" i="1" s="1"/>
  <c r="H1582" i="1" a="1"/>
  <c r="H1582" i="1" s="1"/>
  <c r="H1583" i="1" a="1"/>
  <c r="H1583" i="1" s="1"/>
  <c r="H1584" i="1" a="1"/>
  <c r="H1584" i="1" s="1"/>
  <c r="H1585" i="1" a="1"/>
  <c r="H1585" i="1" s="1"/>
  <c r="H1586" i="1" a="1"/>
  <c r="H1586" i="1" s="1"/>
  <c r="H1587" i="1" a="1"/>
  <c r="H1587" i="1" s="1"/>
  <c r="H1588" i="1" a="1"/>
  <c r="H1588" i="1"/>
  <c r="H1589" i="1" a="1"/>
  <c r="H1589" i="1" s="1"/>
  <c r="H1590" i="1" a="1"/>
  <c r="H1590" i="1" s="1"/>
  <c r="H1591" i="1" a="1"/>
  <c r="H1591" i="1" s="1"/>
  <c r="H1592" i="1" a="1"/>
  <c r="H1592" i="1" s="1"/>
  <c r="H1593" i="1" a="1"/>
  <c r="H1593" i="1"/>
  <c r="H1594" i="1" a="1"/>
  <c r="H1594" i="1" s="1"/>
  <c r="H1595" i="1" a="1"/>
  <c r="H1595" i="1" s="1"/>
  <c r="H1596" i="1" a="1"/>
  <c r="H1596" i="1" s="1"/>
  <c r="H1597" i="1" a="1"/>
  <c r="H1597" i="1"/>
  <c r="H1598" i="1" a="1"/>
  <c r="H1598" i="1" s="1"/>
  <c r="H1599" i="1" a="1"/>
  <c r="H1599" i="1" s="1"/>
  <c r="H1600" i="1" a="1"/>
  <c r="H1600" i="1" s="1"/>
  <c r="H1601" i="1" a="1"/>
  <c r="H1601" i="1" s="1"/>
  <c r="H1602" i="1" a="1"/>
  <c r="H1602" i="1" s="1"/>
  <c r="H1603" i="1" a="1"/>
  <c r="H1603" i="1" s="1"/>
  <c r="H1604" i="1" a="1"/>
  <c r="H1604" i="1" s="1"/>
  <c r="H1605" i="1" a="1"/>
  <c r="H1605" i="1" s="1"/>
  <c r="H1606" i="1" a="1"/>
  <c r="H1606" i="1" s="1"/>
  <c r="H1607" i="1" a="1"/>
  <c r="H1607" i="1" s="1"/>
  <c r="H1608" i="1" a="1"/>
  <c r="H1608" i="1"/>
  <c r="H1609" i="1" a="1"/>
  <c r="H1609" i="1" s="1"/>
  <c r="H1610" i="1" a="1"/>
  <c r="H1610" i="1" s="1"/>
  <c r="H1611" i="1" a="1"/>
  <c r="H1611" i="1" s="1"/>
  <c r="H1612" i="1" a="1"/>
  <c r="H1612" i="1" s="1"/>
  <c r="H1613" i="1" a="1"/>
  <c r="H1613" i="1" s="1"/>
  <c r="H1614" i="1" a="1"/>
  <c r="H1614" i="1" s="1"/>
  <c r="H1615" i="1" a="1"/>
  <c r="H1615" i="1" s="1"/>
  <c r="H1616" i="1" a="1"/>
  <c r="H1616" i="1" s="1"/>
  <c r="H1617" i="1" a="1"/>
  <c r="H1617" i="1" s="1"/>
  <c r="H1618" i="1" a="1"/>
  <c r="H1618" i="1" s="1"/>
  <c r="H1619" i="1" a="1"/>
  <c r="H1619" i="1" s="1"/>
  <c r="H1620" i="1" a="1"/>
  <c r="H1620" i="1" s="1"/>
  <c r="H1621" i="1" a="1"/>
  <c r="H1621" i="1" s="1"/>
  <c r="H1622" i="1" a="1"/>
  <c r="H1622" i="1" s="1"/>
  <c r="H1623" i="1" a="1"/>
  <c r="H1623" i="1" s="1"/>
  <c r="H1624" i="1" a="1"/>
  <c r="H1624" i="1" s="1"/>
  <c r="H1625" i="1" a="1"/>
  <c r="H1625" i="1" s="1"/>
  <c r="H1626" i="1" a="1"/>
  <c r="H1626" i="1" s="1"/>
  <c r="H1627" i="1" a="1"/>
  <c r="H1627" i="1" s="1"/>
  <c r="H1628" i="1" a="1"/>
  <c r="H1628" i="1" s="1"/>
  <c r="H1629" i="1" a="1"/>
  <c r="H1629" i="1" s="1"/>
  <c r="H1630" i="1" a="1"/>
  <c r="H1630" i="1" s="1"/>
  <c r="H1631" i="1" a="1"/>
  <c r="H1631" i="1"/>
  <c r="H1632" i="1" a="1"/>
  <c r="H1632" i="1" s="1"/>
  <c r="H1633" i="1" a="1"/>
  <c r="H1633" i="1"/>
  <c r="H1634" i="1" a="1"/>
  <c r="H1634" i="1" s="1"/>
  <c r="H1635" i="1" a="1"/>
  <c r="H1635" i="1" s="1"/>
  <c r="H1636" i="1" a="1"/>
  <c r="H1636" i="1" s="1"/>
  <c r="H1637" i="1" a="1"/>
  <c r="H1637" i="1" s="1"/>
  <c r="H1638" i="1" a="1"/>
  <c r="H1638" i="1" s="1"/>
  <c r="H1639" i="1" a="1"/>
  <c r="H1639" i="1"/>
  <c r="H1640" i="1" a="1"/>
  <c r="H1640" i="1" s="1"/>
  <c r="H1641" i="1" a="1"/>
  <c r="H1641" i="1" s="1"/>
  <c r="H1642" i="1" a="1"/>
  <c r="H1642" i="1" s="1"/>
  <c r="H1643" i="1" a="1"/>
  <c r="H1643" i="1" s="1"/>
  <c r="H1644" i="1" a="1"/>
  <c r="H1644" i="1"/>
  <c r="H1645" i="1" a="1"/>
  <c r="H1645" i="1" s="1"/>
  <c r="H1646" i="1" a="1"/>
  <c r="H1646" i="1" s="1"/>
  <c r="H1647" i="1" a="1"/>
  <c r="H1647" i="1" s="1"/>
  <c r="H1648" i="1" a="1"/>
  <c r="H1648" i="1" s="1"/>
  <c r="H1649" i="1" a="1"/>
  <c r="H1649" i="1" s="1"/>
  <c r="H1650" i="1" a="1"/>
  <c r="H1650" i="1" s="1"/>
  <c r="H1651" i="1" a="1"/>
  <c r="H1651" i="1" s="1"/>
  <c r="H1652" i="1" a="1"/>
  <c r="H1652" i="1" s="1"/>
  <c r="H1653" i="1" a="1"/>
  <c r="H1653" i="1"/>
  <c r="H1654" i="1" a="1"/>
  <c r="H1654" i="1" s="1"/>
  <c r="H1655" i="1" a="1"/>
  <c r="H1655" i="1" s="1"/>
  <c r="H1656" i="1" a="1"/>
  <c r="H1656" i="1" s="1"/>
  <c r="H1657" i="1" a="1"/>
  <c r="H1657" i="1" s="1"/>
  <c r="H1658" i="1" a="1"/>
  <c r="H1658" i="1" s="1"/>
  <c r="H1659" i="1" a="1"/>
  <c r="H1659" i="1" s="1"/>
  <c r="H1660" i="1" a="1"/>
  <c r="H1660" i="1" s="1"/>
  <c r="H1661" i="1" a="1"/>
  <c r="H1661" i="1" s="1"/>
  <c r="H1662" i="1" a="1"/>
  <c r="H1662" i="1" s="1"/>
  <c r="H1663" i="1" a="1"/>
  <c r="H1663" i="1" s="1"/>
  <c r="H1664" i="1" a="1"/>
  <c r="H1664" i="1" s="1"/>
  <c r="H1665" i="1" a="1"/>
  <c r="H1665" i="1" s="1"/>
  <c r="H1666" i="1" a="1"/>
  <c r="H1666" i="1" s="1"/>
  <c r="H1667" i="1" a="1"/>
  <c r="H1667" i="1" s="1"/>
  <c r="H1668" i="1" a="1"/>
  <c r="H1668" i="1" s="1"/>
  <c r="H1669" i="1" a="1"/>
  <c r="H1669" i="1" s="1"/>
  <c r="H1670" i="1" a="1"/>
  <c r="H1670" i="1" s="1"/>
  <c r="H1671" i="1" a="1"/>
  <c r="H1671" i="1" s="1"/>
  <c r="H1672" i="1" a="1"/>
  <c r="H1672" i="1" s="1"/>
  <c r="H1673" i="1" a="1"/>
  <c r="H1673" i="1" s="1"/>
  <c r="H1674" i="1" a="1"/>
  <c r="H1674" i="1" s="1"/>
  <c r="H1675" i="1" a="1"/>
  <c r="H1675" i="1" s="1"/>
  <c r="H1676" i="1" a="1"/>
  <c r="H1676" i="1" s="1"/>
  <c r="H1677" i="1" a="1"/>
  <c r="H1677" i="1" s="1"/>
  <c r="H1678" i="1" a="1"/>
  <c r="H1678" i="1" s="1"/>
  <c r="H1679" i="1" a="1"/>
  <c r="H1679" i="1" s="1"/>
  <c r="H1680" i="1" a="1"/>
  <c r="H1680" i="1" s="1"/>
  <c r="H1681" i="1" a="1"/>
  <c r="H1681" i="1" s="1"/>
  <c r="H1682" i="1" a="1"/>
  <c r="H1682" i="1" s="1"/>
  <c r="H1683" i="1" a="1"/>
  <c r="H1683" i="1" s="1"/>
  <c r="H1684" i="1" a="1"/>
  <c r="H1684" i="1" s="1"/>
  <c r="H1685" i="1" a="1"/>
  <c r="H1685" i="1" s="1"/>
  <c r="H1686" i="1" a="1"/>
  <c r="H1686" i="1" s="1"/>
  <c r="H1687" i="1" a="1"/>
  <c r="H1687" i="1" s="1"/>
  <c r="H1688" i="1" a="1"/>
  <c r="H1688" i="1"/>
  <c r="H1689" i="1" a="1"/>
  <c r="H1689" i="1" s="1"/>
  <c r="H1690" i="1" a="1"/>
  <c r="H1690" i="1" s="1"/>
  <c r="H1691" i="1" a="1"/>
  <c r="H1691" i="1" s="1"/>
  <c r="H1692" i="1" a="1"/>
  <c r="H1692" i="1" s="1"/>
  <c r="H1693" i="1" a="1"/>
  <c r="H1693" i="1" s="1"/>
  <c r="H1694" i="1" a="1"/>
  <c r="H1694" i="1" s="1"/>
  <c r="H1695" i="1" a="1"/>
  <c r="H1695" i="1" s="1"/>
  <c r="H1696" i="1" a="1"/>
  <c r="H1696" i="1" s="1"/>
  <c r="H1697" i="1" a="1"/>
  <c r="H1697" i="1"/>
  <c r="H1698" i="1" a="1"/>
  <c r="H1698" i="1" s="1"/>
  <c r="H1699" i="1" a="1"/>
  <c r="H1699" i="1" s="1"/>
  <c r="H1700" i="1" a="1"/>
  <c r="H1700" i="1" s="1"/>
  <c r="H1701" i="1" a="1"/>
  <c r="H1701" i="1" s="1"/>
  <c r="H1702" i="1" a="1"/>
  <c r="H1702" i="1" s="1"/>
  <c r="H1703" i="1" a="1"/>
  <c r="H1703" i="1" s="1"/>
  <c r="H1704" i="1" a="1"/>
  <c r="H1704" i="1" s="1"/>
  <c r="H1705" i="1" a="1"/>
  <c r="H1705" i="1" s="1"/>
  <c r="H1706" i="1" a="1"/>
  <c r="H1706" i="1" s="1"/>
  <c r="H1707" i="1" a="1"/>
  <c r="H1707" i="1" s="1"/>
  <c r="H1708" i="1" a="1"/>
  <c r="H1708" i="1" s="1"/>
  <c r="H1709" i="1" a="1"/>
  <c r="H1709" i="1" s="1"/>
  <c r="H1710" i="1" a="1"/>
  <c r="H1710" i="1" s="1"/>
  <c r="H1711" i="1" a="1"/>
  <c r="H1711" i="1"/>
  <c r="H1712" i="1" a="1"/>
  <c r="H1712" i="1" s="1"/>
  <c r="H1713" i="1" a="1"/>
  <c r="H1713" i="1" s="1"/>
  <c r="H1714" i="1" a="1"/>
  <c r="H1714" i="1" s="1"/>
  <c r="H1715" i="1" a="1"/>
  <c r="H1715" i="1" s="1"/>
  <c r="H1716" i="1" a="1"/>
  <c r="H1716" i="1" s="1"/>
  <c r="H1717" i="1" a="1"/>
  <c r="H1717" i="1" s="1"/>
  <c r="H1718" i="1" a="1"/>
  <c r="H1718" i="1" s="1"/>
  <c r="H1719" i="1" a="1"/>
  <c r="H1719" i="1" s="1"/>
  <c r="H1720" i="1" a="1"/>
  <c r="H1720" i="1" s="1"/>
  <c r="H1721" i="1" a="1"/>
  <c r="H1721" i="1"/>
  <c r="H1722" i="1" a="1"/>
  <c r="H1722" i="1" s="1"/>
  <c r="H1723" i="1" a="1"/>
  <c r="H1723" i="1"/>
  <c r="H1724" i="1" a="1"/>
  <c r="H1724" i="1" s="1"/>
  <c r="H1725" i="1" a="1"/>
  <c r="H1725" i="1" s="1"/>
  <c r="H1726" i="1" a="1"/>
  <c r="H1726" i="1" s="1"/>
  <c r="H1727" i="1" a="1"/>
  <c r="H1727" i="1" s="1"/>
  <c r="H1728" i="1" a="1"/>
  <c r="H1728" i="1" s="1"/>
  <c r="H1729" i="1" a="1"/>
  <c r="H1729" i="1" s="1"/>
  <c r="H1730" i="1" a="1"/>
  <c r="H1730" i="1" s="1"/>
  <c r="H1731" i="1" a="1"/>
  <c r="H1731" i="1"/>
  <c r="H1732" i="1" a="1"/>
  <c r="H1732" i="1" s="1"/>
  <c r="H1733" i="1" a="1"/>
  <c r="H1733" i="1" s="1"/>
  <c r="H1734" i="1" a="1"/>
  <c r="H1734" i="1" s="1"/>
  <c r="H1735" i="1" a="1"/>
  <c r="H1735" i="1" s="1"/>
  <c r="H1736" i="1" a="1"/>
  <c r="H1736" i="1" s="1"/>
  <c r="H1737" i="1" a="1"/>
  <c r="H1737" i="1" s="1"/>
  <c r="H1738" i="1" a="1"/>
  <c r="H1738" i="1" s="1"/>
  <c r="H1739" i="1" a="1"/>
  <c r="H1739" i="1" s="1"/>
  <c r="H1740" i="1" a="1"/>
  <c r="H1740" i="1" s="1"/>
  <c r="H1741" i="1" a="1"/>
  <c r="H1741" i="1" s="1"/>
  <c r="H1742" i="1" a="1"/>
  <c r="H1742" i="1" s="1"/>
  <c r="H1743" i="1" a="1"/>
  <c r="H1743" i="1" s="1"/>
  <c r="H1744" i="1" a="1"/>
  <c r="H1744" i="1" s="1"/>
  <c r="H1745" i="1" a="1"/>
  <c r="H1745" i="1" s="1"/>
  <c r="H1746" i="1" a="1"/>
  <c r="H1746" i="1" s="1"/>
  <c r="H1747" i="1" a="1"/>
  <c r="H1747" i="1" s="1"/>
  <c r="H1748" i="1" a="1"/>
  <c r="H1748" i="1"/>
  <c r="H1749" i="1" a="1"/>
  <c r="H1749" i="1" s="1"/>
  <c r="H1750" i="1" a="1"/>
  <c r="H1750" i="1" s="1"/>
  <c r="H1751" i="1" a="1"/>
  <c r="H1751" i="1" s="1"/>
  <c r="H1752" i="1" a="1"/>
  <c r="H1752" i="1" s="1"/>
  <c r="H1753" i="1" a="1"/>
  <c r="H1753" i="1" s="1"/>
  <c r="H1754" i="1" a="1"/>
  <c r="H1754" i="1" s="1"/>
  <c r="H1755" i="1" a="1"/>
  <c r="H1755" i="1" s="1"/>
  <c r="H1756" i="1" a="1"/>
  <c r="H1756" i="1" s="1"/>
  <c r="H1757" i="1" a="1"/>
  <c r="H1757" i="1"/>
  <c r="H1758" i="1" a="1"/>
  <c r="H1758" i="1" s="1"/>
  <c r="H1759" i="1" a="1"/>
  <c r="H1759" i="1" s="1"/>
  <c r="H1760" i="1" a="1"/>
  <c r="H1760" i="1" s="1"/>
  <c r="H1761" i="1" a="1"/>
  <c r="H1761" i="1" s="1"/>
  <c r="H1762" i="1" a="1"/>
  <c r="H1762" i="1" s="1"/>
  <c r="H1763" i="1" a="1"/>
  <c r="H1763" i="1" s="1"/>
  <c r="H1764" i="1" a="1"/>
  <c r="H1764" i="1" s="1"/>
  <c r="H1765" i="1" a="1"/>
  <c r="H1765" i="1" s="1"/>
  <c r="H1766" i="1" a="1"/>
  <c r="H1766" i="1" s="1"/>
  <c r="H1767" i="1" a="1"/>
  <c r="H1767" i="1"/>
  <c r="H1768" i="1" a="1"/>
  <c r="H1768" i="1" s="1"/>
  <c r="H1769" i="1" a="1"/>
  <c r="H1769" i="1"/>
  <c r="H1770" i="1" a="1"/>
  <c r="H1770" i="1" s="1"/>
  <c r="H1771" i="1" a="1"/>
  <c r="H1771" i="1" s="1"/>
  <c r="H1772" i="1" a="1"/>
  <c r="H1772" i="1"/>
  <c r="H1773" i="1" a="1"/>
  <c r="H1773" i="1" s="1"/>
  <c r="H1774" i="1" a="1"/>
  <c r="H1774" i="1" s="1"/>
  <c r="H1775" i="1" a="1"/>
  <c r="H1775" i="1" s="1"/>
  <c r="H1776" i="1" a="1"/>
  <c r="H1776" i="1" s="1"/>
  <c r="H1777" i="1" a="1"/>
  <c r="H1777" i="1" s="1"/>
  <c r="H1778" i="1" a="1"/>
  <c r="H1778" i="1" s="1"/>
  <c r="H1779" i="1" a="1"/>
  <c r="H1779" i="1" s="1"/>
  <c r="H1780" i="1" a="1"/>
  <c r="H1780" i="1" s="1"/>
  <c r="H1781" i="1" a="1"/>
  <c r="H1781" i="1"/>
  <c r="H1782" i="1" a="1"/>
  <c r="H1782" i="1" s="1"/>
  <c r="H1783" i="1" a="1"/>
  <c r="H1783" i="1" s="1"/>
  <c r="H1784" i="1" a="1"/>
  <c r="H1784" i="1" s="1"/>
  <c r="H1785" i="1" a="1"/>
  <c r="H1785" i="1" s="1"/>
  <c r="H1786" i="1" a="1"/>
  <c r="H1786" i="1" s="1"/>
  <c r="H1787" i="1" a="1"/>
  <c r="H1787" i="1" s="1"/>
  <c r="H1788" i="1" a="1"/>
  <c r="H1788" i="1" s="1"/>
  <c r="H1789" i="1" a="1"/>
  <c r="H1789" i="1" s="1"/>
  <c r="H1790" i="1" a="1"/>
  <c r="H1790" i="1" s="1"/>
  <c r="H1791" i="1" a="1"/>
  <c r="H1791" i="1" s="1"/>
  <c r="H1792" i="1" a="1"/>
  <c r="H1792" i="1" s="1"/>
  <c r="H1793" i="1" a="1"/>
  <c r="H1793" i="1"/>
  <c r="H1794" i="1" a="1"/>
  <c r="H1794" i="1" s="1"/>
  <c r="H1795" i="1" a="1"/>
  <c r="H1795" i="1" s="1"/>
  <c r="H1796" i="1" a="1"/>
  <c r="H1796" i="1" s="1"/>
  <c r="H1797" i="1" a="1"/>
  <c r="H1797" i="1" s="1"/>
  <c r="H1798" i="1" a="1"/>
  <c r="H1798" i="1" s="1"/>
  <c r="H1799" i="1" a="1"/>
  <c r="H1799" i="1" s="1"/>
  <c r="H1800" i="1" a="1"/>
  <c r="H1800" i="1" s="1"/>
  <c r="H1801" i="1" a="1"/>
  <c r="H1801" i="1" s="1"/>
  <c r="H1802" i="1" a="1"/>
  <c r="H1802" i="1" s="1"/>
  <c r="H1803" i="1" a="1"/>
  <c r="H1803" i="1" s="1"/>
  <c r="H1804" i="1" a="1"/>
  <c r="H1804" i="1"/>
  <c r="H1805" i="1" a="1"/>
  <c r="H1805" i="1" s="1"/>
  <c r="H1806" i="1" a="1"/>
  <c r="H1806" i="1"/>
  <c r="H1807" i="1" a="1"/>
  <c r="H1807" i="1" s="1"/>
  <c r="H1808" i="1" a="1"/>
  <c r="H1808" i="1" s="1"/>
  <c r="H1809" i="1" a="1"/>
  <c r="H1809" i="1" s="1"/>
  <c r="H1810" i="1" a="1"/>
  <c r="H1810" i="1" s="1"/>
  <c r="H1811" i="1" a="1"/>
  <c r="H1811" i="1" s="1"/>
  <c r="H1812" i="1" a="1"/>
  <c r="H1812" i="1" s="1"/>
  <c r="H1813" i="1" a="1"/>
  <c r="H1813" i="1" s="1"/>
  <c r="H1814" i="1" a="1"/>
  <c r="H1814" i="1"/>
  <c r="H1815" i="1" a="1"/>
  <c r="H1815" i="1" s="1"/>
  <c r="H1816" i="1" a="1"/>
  <c r="H1816" i="1" s="1"/>
  <c r="H1817" i="1" a="1"/>
  <c r="H1817" i="1" s="1"/>
  <c r="H1818" i="1" a="1"/>
  <c r="H1818" i="1" s="1"/>
  <c r="H1819" i="1" a="1"/>
  <c r="H1819" i="1"/>
  <c r="H1820" i="1" a="1"/>
  <c r="H1820" i="1" s="1"/>
  <c r="H1821" i="1" a="1"/>
  <c r="H1821" i="1" s="1"/>
  <c r="H1822" i="1" a="1"/>
  <c r="H1822" i="1" s="1"/>
  <c r="H1823" i="1" a="1"/>
  <c r="H1823" i="1" s="1"/>
  <c r="H1824" i="1" a="1"/>
  <c r="H1824" i="1" s="1"/>
  <c r="H1825" i="1" a="1"/>
  <c r="H1825" i="1" s="1"/>
  <c r="H1826" i="1" a="1"/>
  <c r="H1826" i="1" s="1"/>
  <c r="H1827" i="1" a="1"/>
  <c r="H1827" i="1" s="1"/>
  <c r="H1828" i="1" a="1"/>
  <c r="H1828" i="1" s="1"/>
  <c r="H1829" i="1" a="1"/>
  <c r="H1829" i="1" s="1"/>
  <c r="H1830" i="1" a="1"/>
  <c r="H1830" i="1" s="1"/>
  <c r="H1831" i="1" a="1"/>
  <c r="H1831" i="1" s="1"/>
  <c r="H1832" i="1" a="1"/>
  <c r="H1832" i="1" s="1"/>
  <c r="H1833" i="1" a="1"/>
  <c r="H1833" i="1"/>
  <c r="H1834" i="1" a="1"/>
  <c r="H1834" i="1" s="1"/>
  <c r="H1835" i="1" a="1"/>
  <c r="H1835" i="1" s="1"/>
  <c r="H1836" i="1" a="1"/>
  <c r="H1836" i="1" s="1"/>
  <c r="H1837" i="1" a="1"/>
  <c r="H1837" i="1" s="1"/>
  <c r="H1838" i="1" a="1"/>
  <c r="H1838" i="1" s="1"/>
  <c r="H1839" i="1" a="1"/>
  <c r="H1839" i="1"/>
  <c r="H1840" i="1" a="1"/>
  <c r="H1840" i="1" s="1"/>
  <c r="H1841" i="1" a="1"/>
  <c r="H1841" i="1" s="1"/>
  <c r="H1842" i="1" a="1"/>
  <c r="H1842" i="1" s="1"/>
  <c r="H1843" i="1" a="1"/>
  <c r="H1843" i="1" s="1"/>
  <c r="H1844" i="1" a="1"/>
  <c r="H1844" i="1"/>
  <c r="H1845" i="1" a="1"/>
  <c r="H1845" i="1" s="1"/>
  <c r="H1846" i="1" a="1"/>
  <c r="H1846" i="1" s="1"/>
  <c r="H1847" i="1" a="1"/>
  <c r="H1847" i="1"/>
  <c r="H1848" i="1" a="1"/>
  <c r="H1848" i="1" s="1"/>
  <c r="H1849" i="1" a="1"/>
  <c r="H1849" i="1" s="1"/>
  <c r="H1850" i="1" a="1"/>
  <c r="H1850" i="1" s="1"/>
  <c r="H1851" i="1" a="1"/>
  <c r="H1851" i="1" s="1"/>
  <c r="H1852" i="1" a="1"/>
  <c r="H1852" i="1" s="1"/>
  <c r="H1853" i="1" a="1"/>
  <c r="H1853" i="1" s="1"/>
  <c r="H1854" i="1" a="1"/>
  <c r="H1854" i="1" s="1"/>
  <c r="H1855" i="1" a="1"/>
  <c r="H1855" i="1" s="1"/>
  <c r="H1856" i="1" a="1"/>
  <c r="H1856" i="1" s="1"/>
  <c r="H1857" i="1" a="1"/>
  <c r="H1857" i="1" s="1"/>
  <c r="H1858" i="1" a="1"/>
  <c r="H1858" i="1" s="1"/>
  <c r="H1859" i="1" a="1"/>
  <c r="H1859" i="1" s="1"/>
  <c r="H1860" i="1" a="1"/>
  <c r="H1860" i="1" s="1"/>
  <c r="H1861" i="1" a="1"/>
  <c r="H1861" i="1" s="1"/>
  <c r="H1862" i="1" a="1"/>
  <c r="H1862" i="1" s="1"/>
  <c r="H1863" i="1" a="1"/>
  <c r="H1863" i="1" s="1"/>
  <c r="H1864" i="1" a="1"/>
  <c r="H1864" i="1"/>
  <c r="H1865" i="1" a="1"/>
  <c r="H1865" i="1" s="1"/>
  <c r="H1866" i="1" a="1"/>
  <c r="H1866" i="1" s="1"/>
  <c r="H1867" i="1" a="1"/>
  <c r="H1867" i="1" s="1"/>
  <c r="H1868" i="1" a="1"/>
  <c r="H1868" i="1" s="1"/>
  <c r="H1869" i="1" a="1"/>
  <c r="H1869" i="1"/>
  <c r="H1870" i="1" a="1"/>
  <c r="H1870" i="1" s="1"/>
  <c r="H1871" i="1" a="1"/>
  <c r="H1871" i="1" s="1"/>
  <c r="H1872" i="1" a="1"/>
  <c r="H1872" i="1" s="1"/>
  <c r="H1873" i="1" a="1"/>
  <c r="H1873" i="1" s="1"/>
  <c r="H1874" i="1" a="1"/>
  <c r="H1874" i="1" s="1"/>
  <c r="H1875" i="1" a="1"/>
  <c r="H1875" i="1" s="1"/>
  <c r="H1876" i="1" a="1"/>
  <c r="H1876" i="1" s="1"/>
  <c r="H1877" i="1" a="1"/>
  <c r="H1877" i="1" s="1"/>
  <c r="H1878" i="1" a="1"/>
  <c r="H1878" i="1" s="1"/>
  <c r="H1879" i="1" a="1"/>
  <c r="H1879" i="1" s="1"/>
  <c r="H1880" i="1" a="1"/>
  <c r="H1880" i="1" s="1"/>
  <c r="H1881" i="1" a="1"/>
  <c r="H1881" i="1" s="1"/>
  <c r="H1882" i="1" a="1"/>
  <c r="H1882" i="1" s="1"/>
  <c r="H1883" i="1" a="1"/>
  <c r="H1883" i="1" s="1"/>
  <c r="H1884" i="1" a="1"/>
  <c r="H1884" i="1" s="1"/>
  <c r="H1885" i="1" a="1"/>
  <c r="H1885" i="1" s="1"/>
  <c r="H1886" i="1" a="1"/>
  <c r="H1886" i="1" s="1"/>
  <c r="H1887" i="1" a="1"/>
  <c r="H1887" i="1" s="1"/>
  <c r="H1888" i="1" a="1"/>
  <c r="H1888" i="1"/>
  <c r="H1889" i="1" a="1"/>
  <c r="H1889" i="1" s="1"/>
  <c r="H1890" i="1" a="1"/>
  <c r="H1890" i="1" s="1"/>
  <c r="H1891" i="1" a="1"/>
  <c r="H1891" i="1" s="1"/>
  <c r="H1892" i="1" a="1"/>
  <c r="H1892" i="1" s="1"/>
  <c r="H1893" i="1" a="1"/>
  <c r="H1893" i="1"/>
  <c r="H1894" i="1" a="1"/>
  <c r="H1894" i="1" s="1"/>
  <c r="H1895" i="1" a="1"/>
  <c r="H1895" i="1" s="1"/>
  <c r="H1896" i="1" a="1"/>
  <c r="H1896" i="1" s="1"/>
  <c r="H1897" i="1" a="1"/>
  <c r="H1897" i="1"/>
  <c r="H1898" i="1" a="1"/>
  <c r="H1898" i="1" s="1"/>
  <c r="H1899" i="1" a="1"/>
  <c r="H1899" i="1" s="1"/>
  <c r="H1900" i="1" a="1"/>
  <c r="H1900" i="1" s="1"/>
  <c r="H1901" i="1" a="1"/>
  <c r="H1901" i="1" s="1"/>
  <c r="H1902" i="1" a="1"/>
  <c r="H1902" i="1" s="1"/>
  <c r="H1903" i="1" a="1"/>
  <c r="H1903" i="1" s="1"/>
  <c r="H1904" i="1" a="1"/>
  <c r="H1904" i="1"/>
  <c r="H1905" i="1" a="1"/>
  <c r="H1905" i="1" s="1"/>
  <c r="H1906" i="1" a="1"/>
  <c r="H1906" i="1" s="1"/>
  <c r="H1907" i="1" a="1"/>
  <c r="H1907" i="1" s="1"/>
  <c r="H1908" i="1" a="1"/>
  <c r="H1908" i="1"/>
  <c r="H1909" i="1" a="1"/>
  <c r="H1909" i="1" s="1"/>
  <c r="H1910" i="1" a="1"/>
  <c r="H1910" i="1" s="1"/>
  <c r="H1911" i="1" a="1"/>
  <c r="H1911" i="1"/>
  <c r="H1912" i="1" a="1"/>
  <c r="H1912" i="1" s="1"/>
  <c r="H1913" i="1" a="1"/>
  <c r="H1913" i="1"/>
  <c r="H1914" i="1" a="1"/>
  <c r="H1914" i="1" s="1"/>
  <c r="H1915" i="1" a="1"/>
  <c r="H1915" i="1" s="1"/>
  <c r="H1916" i="1" a="1"/>
  <c r="H1916" i="1" s="1"/>
  <c r="H1917" i="1" a="1"/>
  <c r="H1917" i="1" s="1"/>
  <c r="H1918" i="1" a="1"/>
  <c r="H1918" i="1" s="1"/>
  <c r="H1919" i="1" a="1"/>
  <c r="H1919" i="1" s="1"/>
  <c r="H1920" i="1" a="1"/>
  <c r="H1920" i="1" s="1"/>
  <c r="H1921" i="1" a="1"/>
  <c r="H1921" i="1" s="1"/>
  <c r="H1922" i="1" a="1"/>
  <c r="H1922" i="1" s="1"/>
  <c r="H1923" i="1" a="1"/>
  <c r="H1923" i="1"/>
  <c r="H1924" i="1" a="1"/>
  <c r="H1924" i="1" s="1"/>
  <c r="H1925" i="1" a="1"/>
  <c r="H1925" i="1" s="1"/>
  <c r="H1926" i="1" a="1"/>
  <c r="H1926" i="1" s="1"/>
  <c r="H1927" i="1" a="1"/>
  <c r="H1927" i="1" s="1"/>
  <c r="H1928" i="1" a="1"/>
  <c r="H1928" i="1" s="1"/>
  <c r="H1929" i="1" a="1"/>
  <c r="H1929" i="1"/>
  <c r="H1930" i="1" a="1"/>
  <c r="H1930" i="1" s="1"/>
  <c r="H1931" i="1" a="1"/>
  <c r="H1931" i="1" s="1"/>
  <c r="H1932" i="1" a="1"/>
  <c r="H1932" i="1"/>
  <c r="H1933" i="1" a="1"/>
  <c r="H1933" i="1" s="1"/>
  <c r="H1934" i="1" a="1"/>
  <c r="H1934" i="1" s="1"/>
  <c r="H1935" i="1" a="1"/>
  <c r="H1935" i="1" s="1"/>
  <c r="H1936" i="1" a="1"/>
  <c r="H1936" i="1" s="1"/>
  <c r="H1937" i="1" a="1"/>
  <c r="H1937" i="1" s="1"/>
  <c r="H1938" i="1" a="1"/>
  <c r="H1938" i="1" s="1"/>
  <c r="H1939" i="1" a="1"/>
  <c r="H1939" i="1" s="1"/>
  <c r="H1940" i="1" a="1"/>
  <c r="H1940" i="1" s="1"/>
  <c r="H1941" i="1" a="1"/>
  <c r="H1941" i="1" s="1"/>
  <c r="H1942" i="1" a="1"/>
  <c r="H1942" i="1" s="1"/>
  <c r="H1943" i="1" a="1"/>
  <c r="H1943" i="1" s="1"/>
  <c r="H1944" i="1" a="1"/>
  <c r="H1944" i="1"/>
  <c r="H1945" i="1" a="1"/>
  <c r="H1945" i="1" s="1"/>
  <c r="H1946" i="1" a="1"/>
  <c r="H1946" i="1" s="1"/>
  <c r="H1947" i="1" a="1"/>
  <c r="H1947" i="1" s="1"/>
  <c r="H1948" i="1" a="1"/>
  <c r="H1948" i="1" s="1"/>
  <c r="H1949" i="1" a="1"/>
  <c r="H1949" i="1" s="1"/>
  <c r="H1950" i="1" a="1"/>
  <c r="H1950" i="1" s="1"/>
  <c r="H1951" i="1" a="1"/>
  <c r="H1951" i="1" s="1"/>
  <c r="H1952" i="1" a="1"/>
  <c r="H1952" i="1" s="1"/>
  <c r="H1953" i="1" a="1"/>
  <c r="H1953" i="1" s="1"/>
  <c r="H1954" i="1" a="1"/>
  <c r="H1954" i="1"/>
  <c r="H1955" i="1" a="1"/>
  <c r="H1955" i="1" s="1"/>
  <c r="H1956" i="1" a="1"/>
  <c r="H1956" i="1" s="1"/>
  <c r="H1957" i="1" a="1"/>
  <c r="H1957" i="1"/>
  <c r="H1958" i="1" a="1"/>
  <c r="H1958" i="1" s="1"/>
  <c r="H1959" i="1" a="1"/>
  <c r="H1959" i="1" s="1"/>
  <c r="H1960" i="1" a="1"/>
  <c r="H1960" i="1" s="1"/>
  <c r="H1961" i="1" a="1"/>
  <c r="H1961" i="1" s="1"/>
  <c r="H1962" i="1" a="1"/>
  <c r="H1962" i="1" s="1"/>
  <c r="H1963" i="1" a="1"/>
  <c r="H1963" i="1"/>
  <c r="H1964" i="1" a="1"/>
  <c r="H1964" i="1" s="1"/>
  <c r="H1965" i="1" a="1"/>
  <c r="H1965" i="1" s="1"/>
  <c r="H1966" i="1" a="1"/>
  <c r="H1966" i="1" s="1"/>
  <c r="H1967" i="1" a="1"/>
  <c r="H1967" i="1" s="1"/>
  <c r="H1968" i="1" a="1"/>
  <c r="H1968" i="1"/>
  <c r="H1969" i="1" a="1"/>
  <c r="H1969" i="1" s="1"/>
  <c r="H1970" i="1" a="1"/>
  <c r="H1970" i="1" s="1"/>
  <c r="H1971" i="1" a="1"/>
  <c r="H1971" i="1" s="1"/>
  <c r="H1972" i="1" a="1"/>
  <c r="H1972" i="1" s="1"/>
  <c r="H1973" i="1" a="1"/>
  <c r="H1973" i="1" s="1"/>
  <c r="H1974" i="1" a="1"/>
  <c r="H1974" i="1" s="1"/>
  <c r="H1975" i="1" a="1"/>
  <c r="H1975" i="1" s="1"/>
  <c r="H1976" i="1" a="1"/>
  <c r="H1976" i="1" s="1"/>
  <c r="H1977" i="1" a="1"/>
  <c r="H1977" i="1" s="1"/>
  <c r="H1978" i="1" a="1"/>
  <c r="H1978" i="1"/>
  <c r="H1979" i="1" a="1"/>
  <c r="H1979" i="1" s="1"/>
  <c r="H1980" i="1" a="1"/>
  <c r="H1980" i="1" s="1"/>
  <c r="H1981" i="1" a="1"/>
  <c r="H1981" i="1"/>
  <c r="H1982" i="1" a="1"/>
  <c r="H1982" i="1" s="1"/>
  <c r="H1983" i="1" a="1"/>
  <c r="H1983" i="1"/>
  <c r="H1984" i="1" a="1"/>
  <c r="H1984" i="1" s="1"/>
  <c r="H1985" i="1" a="1"/>
  <c r="H1985" i="1" s="1"/>
  <c r="H1986" i="1" a="1"/>
  <c r="H1986" i="1"/>
  <c r="H1987" i="1" a="1"/>
  <c r="H1987" i="1" s="1"/>
  <c r="H1988" i="1" a="1"/>
  <c r="H1988" i="1" s="1"/>
  <c r="H1989" i="1" a="1"/>
  <c r="H1989" i="1" s="1"/>
  <c r="H1990" i="1" a="1"/>
  <c r="H1990" i="1" s="1"/>
  <c r="H1991" i="1" a="1"/>
  <c r="H1991" i="1" s="1"/>
  <c r="H1992" i="1" a="1"/>
  <c r="H1992" i="1" s="1"/>
  <c r="H1993" i="1" a="1"/>
  <c r="H1993" i="1"/>
  <c r="H1994" i="1" a="1"/>
  <c r="H1994" i="1" s="1"/>
  <c r="H1995" i="1" a="1"/>
  <c r="H1995" i="1" s="1"/>
  <c r="H1996" i="1" a="1"/>
  <c r="H1996" i="1"/>
  <c r="H1997" i="1" a="1"/>
  <c r="H1997" i="1" s="1"/>
  <c r="H1998" i="1" a="1"/>
  <c r="H1998" i="1" s="1"/>
  <c r="H1999" i="1" a="1"/>
  <c r="H1999" i="1" s="1"/>
  <c r="H2000" i="1" a="1"/>
  <c r="H2000" i="1" s="1"/>
  <c r="H2001" i="1" a="1"/>
  <c r="H2001" i="1" s="1"/>
  <c r="H2002" i="1" a="1"/>
  <c r="H2002" i="1" s="1"/>
  <c r="H2003" i="1" a="1"/>
  <c r="H2003" i="1" s="1"/>
  <c r="H2004" i="1" a="1"/>
  <c r="H2004" i="1" s="1"/>
  <c r="H2005" i="1" a="1"/>
  <c r="H2005" i="1" s="1"/>
  <c r="H2006" i="1" a="1"/>
  <c r="H2006" i="1"/>
  <c r="H2007" i="1" a="1"/>
  <c r="H2007" i="1" s="1"/>
  <c r="H2008" i="1" a="1"/>
  <c r="H2008" i="1" s="1"/>
  <c r="H2009" i="1" a="1"/>
  <c r="H2009" i="1" s="1"/>
  <c r="H2010" i="1" a="1"/>
  <c r="H2010" i="1" s="1"/>
  <c r="H2011" i="1" a="1"/>
  <c r="H2011" i="1" s="1"/>
  <c r="H2012" i="1" a="1"/>
  <c r="H2012" i="1" s="1"/>
  <c r="H2013" i="1" a="1"/>
  <c r="H2013" i="1" s="1"/>
  <c r="H2014" i="1" a="1"/>
  <c r="H2014" i="1" s="1"/>
  <c r="H2015" i="1" a="1"/>
  <c r="H2015" i="1" s="1"/>
  <c r="H2016" i="1" a="1"/>
  <c r="H2016" i="1" s="1"/>
  <c r="H2017" i="1" a="1"/>
  <c r="H2017" i="1" s="1"/>
  <c r="H2018" i="1" a="1"/>
  <c r="H2018" i="1" s="1"/>
  <c r="H2019" i="1" a="1"/>
  <c r="H2019" i="1" s="1"/>
  <c r="H2020" i="1" a="1"/>
  <c r="H2020" i="1" s="1"/>
  <c r="H2021" i="1" a="1"/>
  <c r="H2021" i="1" s="1"/>
  <c r="H2022" i="1" a="1"/>
  <c r="H2022" i="1" s="1"/>
  <c r="H2023" i="1" a="1"/>
  <c r="H2023" i="1" s="1"/>
  <c r="H2024" i="1" a="1"/>
  <c r="H2024" i="1" s="1"/>
  <c r="H2025" i="1" a="1"/>
  <c r="H2025" i="1" s="1"/>
  <c r="H2026" i="1" a="1"/>
  <c r="H2026" i="1" s="1"/>
  <c r="H2027" i="1" a="1"/>
  <c r="H2027" i="1" s="1"/>
  <c r="H2028" i="1" a="1"/>
  <c r="H2028" i="1" s="1"/>
  <c r="H2029" i="1" a="1"/>
  <c r="H2029" i="1" s="1"/>
  <c r="H2030" i="1" a="1"/>
  <c r="H2030" i="1" s="1"/>
  <c r="H2031" i="1" a="1"/>
  <c r="H2031" i="1" s="1"/>
  <c r="H2032" i="1" a="1"/>
  <c r="H2032" i="1" s="1"/>
  <c r="H2033" i="1" a="1"/>
  <c r="H2033" i="1" s="1"/>
  <c r="H2034" i="1" a="1"/>
  <c r="H2034" i="1" s="1"/>
  <c r="H2035" i="1" a="1"/>
  <c r="H2035" i="1" s="1"/>
  <c r="H2036" i="1" a="1"/>
  <c r="H2036" i="1" s="1"/>
  <c r="H2037" i="1" a="1"/>
  <c r="H2037" i="1" s="1"/>
  <c r="H2038" i="1" a="1"/>
  <c r="H2038" i="1" s="1"/>
  <c r="H2039" i="1" a="1"/>
  <c r="H2039" i="1" s="1"/>
  <c r="H2040" i="1" a="1"/>
  <c r="H2040" i="1" s="1"/>
  <c r="H2041" i="1" a="1"/>
  <c r="H2041" i="1" s="1"/>
  <c r="H2042" i="1" a="1"/>
  <c r="H2042" i="1" s="1"/>
  <c r="H2043" i="1" a="1"/>
  <c r="H2043" i="1" s="1"/>
  <c r="H2044" i="1" a="1"/>
  <c r="H2044" i="1" s="1"/>
  <c r="H2045" i="1" a="1"/>
  <c r="H2045" i="1" s="1"/>
  <c r="H2046" i="1" a="1"/>
  <c r="H2046" i="1" s="1"/>
  <c r="H2047" i="1" a="1"/>
  <c r="H2047" i="1" s="1"/>
  <c r="H2048" i="1" a="1"/>
  <c r="H2048" i="1"/>
  <c r="H2049" i="1" a="1"/>
  <c r="H2049" i="1" s="1"/>
  <c r="H2050" i="1" a="1"/>
  <c r="H2050" i="1" s="1"/>
  <c r="H2051" i="1" a="1"/>
  <c r="H2051" i="1" s="1"/>
  <c r="H2052" i="1" a="1"/>
  <c r="H2052" i="1" s="1"/>
  <c r="H2053" i="1" a="1"/>
  <c r="H2053" i="1" s="1"/>
  <c r="H2054" i="1" a="1"/>
  <c r="H2054" i="1"/>
  <c r="H2055" i="1" a="1"/>
  <c r="H2055" i="1" s="1"/>
  <c r="H2056" i="1" a="1"/>
  <c r="H2056" i="1" s="1"/>
  <c r="H2057" i="1" a="1"/>
  <c r="H2057" i="1" s="1"/>
  <c r="H2058" i="1" a="1"/>
  <c r="H2058" i="1" s="1"/>
  <c r="H2059" i="1" a="1"/>
  <c r="H2059" i="1" s="1"/>
  <c r="H2060" i="1" a="1"/>
  <c r="H2060" i="1" s="1"/>
  <c r="H2061" i="1" a="1"/>
  <c r="H2061" i="1" s="1"/>
  <c r="H2062" i="1" a="1"/>
  <c r="H2062" i="1" s="1"/>
  <c r="H2063" i="1" a="1"/>
  <c r="H2063" i="1" s="1"/>
  <c r="H2064" i="1" a="1"/>
  <c r="H2064" i="1" s="1"/>
  <c r="H2065" i="1" a="1"/>
  <c r="H2065" i="1" s="1"/>
  <c r="H2066" i="1" a="1"/>
  <c r="H2066" i="1" s="1"/>
  <c r="H2067" i="1" a="1"/>
  <c r="H2067" i="1" s="1"/>
  <c r="H2068" i="1" a="1"/>
  <c r="H2068" i="1" s="1"/>
  <c r="H2069" i="1" a="1"/>
  <c r="H2069" i="1"/>
  <c r="H2070" i="1" a="1"/>
  <c r="H2070" i="1" s="1"/>
  <c r="H2071" i="1" a="1"/>
  <c r="H2071" i="1" s="1"/>
  <c r="H2072" i="1" a="1"/>
  <c r="H2072" i="1"/>
  <c r="H2073" i="1" a="1"/>
  <c r="H2073" i="1" s="1"/>
  <c r="H2074" i="1" a="1"/>
  <c r="H2074" i="1" s="1"/>
  <c r="H2075" i="1" a="1"/>
  <c r="H2075" i="1" s="1"/>
  <c r="H2076" i="1" a="1"/>
  <c r="H2076" i="1" s="1"/>
  <c r="H2077" i="1" a="1"/>
  <c r="H2077" i="1" s="1"/>
  <c r="H2078" i="1" a="1"/>
  <c r="H2078" i="1" s="1"/>
  <c r="H2079" i="1" a="1"/>
  <c r="H2079" i="1" s="1"/>
  <c r="H2080" i="1" a="1"/>
  <c r="H2080" i="1" s="1"/>
  <c r="H2081" i="1" a="1"/>
  <c r="H2081" i="1" s="1"/>
  <c r="H2082" i="1" a="1"/>
  <c r="H2082" i="1" s="1"/>
  <c r="H2083" i="1" a="1"/>
  <c r="H2083" i="1" s="1"/>
  <c r="H2084" i="1" a="1"/>
  <c r="H2084" i="1" s="1"/>
  <c r="H2085" i="1" a="1"/>
  <c r="H2085" i="1" s="1"/>
  <c r="H2086" i="1" a="1"/>
  <c r="H2086" i="1" s="1"/>
  <c r="H2087" i="1" a="1"/>
  <c r="H2087" i="1" s="1"/>
  <c r="H2088" i="1" a="1"/>
  <c r="H2088" i="1" s="1"/>
  <c r="H2089" i="1" a="1"/>
  <c r="H2089" i="1" s="1"/>
  <c r="H2090" i="1" a="1"/>
  <c r="H2090" i="1" s="1"/>
  <c r="H2091" i="1" a="1"/>
  <c r="H2091" i="1" s="1"/>
  <c r="H2092" i="1" a="1"/>
  <c r="H2092" i="1" s="1"/>
  <c r="H2093" i="1" a="1"/>
  <c r="H2093" i="1" s="1"/>
  <c r="H2094" i="1" a="1"/>
  <c r="H2094" i="1" s="1"/>
  <c r="H2095" i="1" a="1"/>
  <c r="H2095" i="1" s="1"/>
  <c r="H2096" i="1" a="1"/>
  <c r="H2096" i="1" s="1"/>
  <c r="H2097" i="1" a="1"/>
  <c r="H2097" i="1" s="1"/>
  <c r="H2098" i="1" a="1"/>
  <c r="H2098" i="1"/>
  <c r="H2099" i="1" a="1"/>
  <c r="H2099" i="1" s="1"/>
  <c r="H2100" i="1" a="1"/>
  <c r="H2100" i="1" s="1"/>
  <c r="H2101" i="1" a="1"/>
  <c r="H2101" i="1" s="1"/>
  <c r="H2102" i="1" a="1"/>
  <c r="H2102" i="1" s="1"/>
  <c r="H2103" i="1" a="1"/>
  <c r="H2103" i="1" s="1"/>
  <c r="H2104" i="1" a="1"/>
  <c r="H2104" i="1" s="1"/>
  <c r="H2105" i="1" a="1"/>
  <c r="H2105" i="1" s="1"/>
  <c r="H2106" i="1" a="1"/>
  <c r="H2106" i="1" s="1"/>
  <c r="H2107" i="1" a="1"/>
  <c r="H2107" i="1" s="1"/>
  <c r="H2108" i="1" a="1"/>
  <c r="H2108" i="1"/>
  <c r="H2109" i="1" a="1"/>
  <c r="H2109" i="1" s="1"/>
  <c r="H2110" i="1" a="1"/>
  <c r="H2110" i="1" s="1"/>
  <c r="H2111" i="1" a="1"/>
  <c r="H2111" i="1"/>
  <c r="H2112" i="1" a="1"/>
  <c r="H2112" i="1" s="1"/>
  <c r="H2113" i="1" a="1"/>
  <c r="H2113" i="1" s="1"/>
  <c r="H2114" i="1" a="1"/>
  <c r="H2114" i="1" s="1"/>
  <c r="H2115" i="1" a="1"/>
  <c r="H2115" i="1" s="1"/>
  <c r="H2116" i="1" a="1"/>
  <c r="H2116" i="1" s="1"/>
  <c r="H2117" i="1" a="1"/>
  <c r="H2117" i="1" s="1"/>
  <c r="H2118" i="1" a="1"/>
  <c r="H2118" i="1" s="1"/>
  <c r="H2119" i="1" a="1"/>
  <c r="H2119" i="1" s="1"/>
  <c r="H2120" i="1" a="1"/>
  <c r="H2120" i="1" s="1"/>
  <c r="H2121" i="1" a="1"/>
  <c r="H2121" i="1" s="1"/>
  <c r="H2122" i="1" a="1"/>
  <c r="H2122" i="1" s="1"/>
  <c r="H2123" i="1" a="1"/>
  <c r="H2123" i="1" s="1"/>
  <c r="H2124" i="1" a="1"/>
  <c r="H2124" i="1" s="1"/>
  <c r="H2125" i="1" a="1"/>
  <c r="H2125" i="1" s="1"/>
  <c r="H2126" i="1" a="1"/>
  <c r="H2126" i="1" s="1"/>
  <c r="H2127" i="1" a="1"/>
  <c r="H2127" i="1" s="1"/>
  <c r="H2128" i="1" a="1"/>
  <c r="H2128" i="1" s="1"/>
  <c r="H2129" i="1" a="1"/>
  <c r="H2129" i="1"/>
  <c r="H2130" i="1" a="1"/>
  <c r="H2130" i="1" s="1"/>
  <c r="H2131" i="1" a="1"/>
  <c r="H2131" i="1"/>
  <c r="H2132" i="1" a="1"/>
  <c r="H2132" i="1" s="1"/>
  <c r="H2133" i="1" a="1"/>
  <c r="H2133" i="1"/>
  <c r="H2134" i="1" a="1"/>
  <c r="H2134" i="1" s="1"/>
  <c r="H2135" i="1" a="1"/>
  <c r="H2135" i="1" s="1"/>
  <c r="H2136" i="1" a="1"/>
  <c r="H2136" i="1"/>
  <c r="H2137" i="1" a="1"/>
  <c r="H2137" i="1" s="1"/>
  <c r="H2138" i="1" a="1"/>
  <c r="H2138" i="1" s="1"/>
  <c r="H2139" i="1" a="1"/>
  <c r="H2139" i="1" s="1"/>
  <c r="H2140" i="1" a="1"/>
  <c r="H2140" i="1" s="1"/>
  <c r="H2141" i="1" a="1"/>
  <c r="H2141" i="1" s="1"/>
  <c r="H2142" i="1" a="1"/>
  <c r="H2142" i="1" s="1"/>
  <c r="H2143" i="1" a="1"/>
  <c r="H2143" i="1" s="1"/>
  <c r="H2144" i="1" a="1"/>
  <c r="H2144" i="1"/>
  <c r="H2145" i="1" a="1"/>
  <c r="H2145" i="1" s="1"/>
  <c r="H2146" i="1" a="1"/>
  <c r="H2146" i="1"/>
  <c r="H2147" i="1" a="1"/>
  <c r="H2147" i="1" s="1"/>
  <c r="H2148" i="1" a="1"/>
  <c r="H2148" i="1" s="1"/>
  <c r="H2149" i="1" a="1"/>
  <c r="H2149" i="1" s="1"/>
  <c r="H2150" i="1" a="1"/>
  <c r="H2150" i="1" s="1"/>
  <c r="H2151" i="1" a="1"/>
  <c r="H2151" i="1" s="1"/>
  <c r="H2152" i="1" a="1"/>
  <c r="H2152" i="1" s="1"/>
  <c r="H2153" i="1" a="1"/>
  <c r="H2153" i="1" s="1"/>
  <c r="H2154" i="1" a="1"/>
  <c r="H2154" i="1"/>
  <c r="H2155" i="1" a="1"/>
  <c r="H2155" i="1" s="1"/>
  <c r="H2156" i="1" a="1"/>
  <c r="H2156" i="1" s="1"/>
  <c r="H2157" i="1" a="1"/>
  <c r="H2157" i="1"/>
  <c r="H2158" i="1" a="1"/>
  <c r="H2158" i="1" s="1"/>
  <c r="H2159" i="1" a="1"/>
  <c r="H2159" i="1" s="1"/>
  <c r="H2160" i="1" a="1"/>
  <c r="H2160" i="1" s="1"/>
  <c r="H2161" i="1" a="1"/>
  <c r="H2161" i="1" s="1"/>
  <c r="H2162" i="1" a="1"/>
  <c r="H2162" i="1" s="1"/>
  <c r="H2163" i="1" a="1"/>
  <c r="H2163" i="1"/>
  <c r="H2164" i="1" a="1"/>
  <c r="H2164" i="1" s="1"/>
  <c r="H2165" i="1" a="1"/>
  <c r="H2165" i="1" s="1"/>
  <c r="H2166" i="1" a="1"/>
  <c r="H2166" i="1" s="1"/>
  <c r="H2167" i="1" a="1"/>
  <c r="H2167" i="1" s="1"/>
  <c r="H2168" i="1" a="1"/>
  <c r="H2168" i="1" s="1"/>
  <c r="H2169" i="1" a="1"/>
  <c r="H2169" i="1" s="1"/>
  <c r="H2170" i="1" a="1"/>
  <c r="H2170" i="1" s="1"/>
  <c r="H2171" i="1" a="1"/>
  <c r="H2171" i="1" s="1"/>
  <c r="H2172" i="1" a="1"/>
  <c r="H2172" i="1" s="1"/>
  <c r="H2173" i="1" a="1"/>
  <c r="H2173" i="1" s="1"/>
  <c r="H2174" i="1" a="1"/>
  <c r="H2174" i="1" s="1"/>
  <c r="H2175" i="1" a="1"/>
  <c r="H2175" i="1" s="1"/>
  <c r="H2176" i="1" a="1"/>
  <c r="H2176" i="1" s="1"/>
  <c r="H2177" i="1" a="1"/>
  <c r="H2177" i="1" s="1"/>
  <c r="H2178" i="1" a="1"/>
  <c r="H2178" i="1"/>
  <c r="H2179" i="1" a="1"/>
  <c r="H2179" i="1" s="1"/>
  <c r="H2180" i="1" a="1"/>
  <c r="H2180" i="1" s="1"/>
  <c r="H2181" i="1" a="1"/>
  <c r="H2181" i="1"/>
  <c r="H2182" i="1" a="1"/>
  <c r="H2182" i="1" s="1"/>
  <c r="H2183" i="1" a="1"/>
  <c r="H2183" i="1"/>
  <c r="H2184" i="1" a="1"/>
  <c r="H2184" i="1" s="1"/>
  <c r="H2185" i="1" a="1"/>
  <c r="H2185" i="1" s="1"/>
  <c r="H2186" i="1" a="1"/>
  <c r="H2186" i="1"/>
  <c r="H2187" i="1" a="1"/>
  <c r="H2187" i="1" s="1"/>
  <c r="H2188" i="1" a="1"/>
  <c r="H2188" i="1"/>
  <c r="H2189" i="1" a="1"/>
  <c r="H2189" i="1" s="1"/>
  <c r="H2190" i="1" a="1"/>
  <c r="H2190" i="1" s="1"/>
  <c r="H2191" i="1" a="1"/>
  <c r="H2191" i="1" s="1"/>
  <c r="H2192" i="1" a="1"/>
  <c r="H2192" i="1"/>
  <c r="H2193" i="1" a="1"/>
  <c r="H2193" i="1" s="1"/>
  <c r="H2194" i="1" a="1"/>
  <c r="H2194" i="1"/>
  <c r="H2195" i="1" a="1"/>
  <c r="H2195" i="1" s="1"/>
  <c r="H2196" i="1" a="1"/>
  <c r="H2196" i="1" s="1"/>
  <c r="H2197" i="1" a="1"/>
  <c r="H2197" i="1" s="1"/>
  <c r="H2198" i="1" a="1"/>
  <c r="H2198" i="1" s="1"/>
  <c r="H2199" i="1" a="1"/>
  <c r="H2199" i="1" s="1"/>
  <c r="H2200" i="1" a="1"/>
  <c r="H2200" i="1" s="1"/>
  <c r="H2201" i="1" a="1"/>
  <c r="H2201" i="1" s="1"/>
  <c r="H2202" i="1" a="1"/>
  <c r="H2202" i="1" s="1"/>
  <c r="H2203" i="1" a="1"/>
  <c r="H2203" i="1" s="1"/>
  <c r="H2204" i="1" a="1"/>
  <c r="H2204" i="1" s="1"/>
  <c r="H2205" i="1" a="1"/>
  <c r="H2205" i="1" s="1"/>
  <c r="H2206" i="1" a="1"/>
  <c r="H2206" i="1" s="1"/>
  <c r="H2207" i="1" a="1"/>
  <c r="H2207" i="1"/>
  <c r="H2208" i="1" a="1"/>
  <c r="H2208" i="1" s="1"/>
  <c r="H2209" i="1" a="1"/>
  <c r="H2209" i="1" s="1"/>
  <c r="H2210" i="1" a="1"/>
  <c r="H2210" i="1"/>
  <c r="H2211" i="1" a="1"/>
  <c r="H2211" i="1" s="1"/>
  <c r="H2212" i="1" a="1"/>
  <c r="H2212" i="1"/>
  <c r="H2213" i="1" a="1"/>
  <c r="H2213" i="1" s="1"/>
  <c r="H2214" i="1" a="1"/>
  <c r="H2214" i="1" s="1"/>
  <c r="H2215" i="1" a="1"/>
  <c r="H2215" i="1"/>
  <c r="H2216" i="1" a="1"/>
  <c r="H2216" i="1" s="1"/>
  <c r="H2217" i="1" a="1"/>
  <c r="H2217" i="1"/>
  <c r="H2218" i="1" a="1"/>
  <c r="H2218" i="1" s="1"/>
  <c r="H2219" i="1" a="1"/>
  <c r="H2219" i="1" s="1"/>
  <c r="H2220" i="1" a="1"/>
  <c r="H2220" i="1"/>
  <c r="H2221" i="1" a="1"/>
  <c r="H2221" i="1" s="1"/>
  <c r="H2222" i="1" a="1"/>
  <c r="H2222" i="1"/>
  <c r="H2223" i="1" a="1"/>
  <c r="H2223" i="1" s="1"/>
  <c r="H2224" i="1" a="1"/>
  <c r="H2224" i="1" s="1"/>
  <c r="H2225" i="1" a="1"/>
  <c r="H2225" i="1"/>
  <c r="H2226" i="1" a="1"/>
  <c r="H2226" i="1" s="1"/>
  <c r="H2227" i="1" a="1"/>
  <c r="H2227" i="1"/>
  <c r="H2228" i="1" a="1"/>
  <c r="H2228" i="1" s="1"/>
  <c r="H2229" i="1" a="1"/>
  <c r="H2229" i="1" s="1"/>
  <c r="H2230" i="1" a="1"/>
  <c r="H2230" i="1"/>
  <c r="H2231" i="1" a="1"/>
  <c r="H2231" i="1" s="1"/>
  <c r="H2232" i="1" a="1"/>
  <c r="H2232" i="1"/>
  <c r="H2233" i="1" a="1"/>
  <c r="H2233" i="1" s="1"/>
  <c r="H2234" i="1" a="1"/>
  <c r="H2234" i="1" s="1"/>
  <c r="H2235" i="1" a="1"/>
  <c r="H2235" i="1"/>
  <c r="H2236" i="1" a="1"/>
  <c r="H2236" i="1" s="1"/>
  <c r="H2237" i="1" a="1"/>
  <c r="H2237" i="1"/>
  <c r="H2238" i="1" a="1"/>
  <c r="H2238" i="1" s="1"/>
  <c r="H2239" i="1" a="1"/>
  <c r="H2239" i="1" s="1"/>
  <c r="H2240" i="1" a="1"/>
  <c r="H2240" i="1"/>
  <c r="H2241" i="1" a="1"/>
  <c r="H2241" i="1" s="1"/>
  <c r="H2242" i="1" a="1"/>
  <c r="H2242" i="1"/>
  <c r="H2243" i="1" a="1"/>
  <c r="H2243" i="1" s="1"/>
  <c r="H2244" i="1" a="1"/>
  <c r="H2244" i="1" s="1"/>
  <c r="H2245" i="1" a="1"/>
  <c r="H2245" i="1"/>
  <c r="H2246" i="1" a="1"/>
  <c r="H2246" i="1" s="1"/>
  <c r="H2247" i="1" a="1"/>
  <c r="H2247" i="1"/>
  <c r="H2248" i="1" a="1"/>
  <c r="H2248" i="1" s="1"/>
  <c r="H2249" i="1" a="1"/>
  <c r="H2249" i="1" s="1"/>
  <c r="H2250" i="1" a="1"/>
  <c r="H2250" i="1"/>
  <c r="H2251" i="1" a="1"/>
  <c r="H2251" i="1" s="1"/>
  <c r="H2252" i="1" a="1"/>
  <c r="H2252" i="1"/>
  <c r="H2253" i="1" a="1"/>
  <c r="H2253" i="1" s="1"/>
  <c r="H2254" i="1" a="1"/>
  <c r="H2254" i="1" s="1"/>
  <c r="H2255" i="1" a="1"/>
  <c r="H2255" i="1"/>
  <c r="H2256" i="1" a="1"/>
  <c r="H2256" i="1" s="1"/>
  <c r="H2257" i="1" a="1"/>
  <c r="H2257" i="1"/>
  <c r="H2258" i="1" a="1"/>
  <c r="H2258" i="1" s="1"/>
  <c r="H2259" i="1" a="1"/>
  <c r="H2259" i="1" s="1"/>
  <c r="H2260" i="1" a="1"/>
  <c r="H2260" i="1"/>
  <c r="H2261" i="1" a="1"/>
  <c r="H2261" i="1" s="1"/>
  <c r="H2262" i="1" a="1"/>
  <c r="H2262" i="1"/>
  <c r="H2263" i="1" a="1"/>
  <c r="H2263" i="1" s="1"/>
  <c r="H2264" i="1" a="1"/>
  <c r="H2264" i="1" s="1"/>
  <c r="H2265" i="1" a="1"/>
  <c r="H2265" i="1"/>
  <c r="H2266" i="1" a="1"/>
  <c r="H2266" i="1" s="1"/>
  <c r="H2267" i="1" a="1"/>
  <c r="H2267" i="1"/>
  <c r="H2268" i="1" a="1"/>
  <c r="H2268" i="1" s="1"/>
  <c r="H2269" i="1" a="1"/>
  <c r="H2269" i="1" s="1"/>
  <c r="H2270" i="1" a="1"/>
  <c r="H2270" i="1"/>
  <c r="H2271" i="1" a="1"/>
  <c r="H2271" i="1" s="1"/>
  <c r="H2272" i="1" a="1"/>
  <c r="H2272" i="1"/>
  <c r="H2273" i="1" a="1"/>
  <c r="H2273" i="1" s="1"/>
  <c r="H2274" i="1" a="1"/>
  <c r="H2274" i="1" s="1"/>
  <c r="H2275" i="1" a="1"/>
  <c r="H2275" i="1"/>
  <c r="H2276" i="1" a="1"/>
  <c r="H2276" i="1" s="1"/>
  <c r="H2277" i="1" a="1"/>
  <c r="H2277" i="1"/>
  <c r="H2278" i="1" a="1"/>
  <c r="H2278" i="1" s="1"/>
  <c r="H2279" i="1" a="1"/>
  <c r="H2279" i="1" s="1"/>
  <c r="H2280" i="1" a="1"/>
  <c r="H2280" i="1"/>
  <c r="H2281" i="1" a="1"/>
  <c r="H2281" i="1" s="1"/>
  <c r="H2282" i="1" a="1"/>
  <c r="H2282" i="1"/>
  <c r="H2283" i="1" a="1"/>
  <c r="H2283" i="1" s="1"/>
  <c r="H2284" i="1" a="1"/>
  <c r="H2284" i="1" s="1"/>
  <c r="H2285" i="1" a="1"/>
  <c r="H2285" i="1"/>
  <c r="H2286" i="1" a="1"/>
  <c r="H2286" i="1" s="1"/>
  <c r="H2287" i="1" a="1"/>
  <c r="H2287" i="1"/>
  <c r="H2288" i="1" a="1"/>
  <c r="H2288" i="1" s="1"/>
  <c r="H2289" i="1" a="1"/>
  <c r="H2289" i="1" s="1"/>
  <c r="H2290" i="1" a="1"/>
  <c r="H2290" i="1"/>
  <c r="H2291" i="1" a="1"/>
  <c r="H2291" i="1" s="1"/>
  <c r="H2292" i="1" a="1"/>
  <c r="H2292" i="1"/>
  <c r="H2293" i="1" a="1"/>
  <c r="H2293" i="1" s="1"/>
  <c r="H2294" i="1" a="1"/>
  <c r="H2294" i="1" s="1"/>
  <c r="H2295" i="1" a="1"/>
  <c r="H2295" i="1"/>
  <c r="H2296" i="1" a="1"/>
  <c r="H2296" i="1" s="1"/>
  <c r="H2297" i="1" a="1"/>
  <c r="H2297" i="1"/>
  <c r="H2298" i="1" a="1"/>
  <c r="H2298" i="1" s="1"/>
  <c r="H2299" i="1" a="1"/>
  <c r="H2299" i="1" s="1"/>
  <c r="H2300" i="1" a="1"/>
  <c r="H2300" i="1"/>
  <c r="H2301" i="1" a="1"/>
  <c r="H2301" i="1" s="1"/>
  <c r="H2302" i="1" a="1"/>
  <c r="H2302" i="1"/>
  <c r="H2303" i="1" a="1"/>
  <c r="H2303" i="1" s="1"/>
  <c r="H2304" i="1" a="1"/>
  <c r="H2304" i="1" s="1"/>
  <c r="H2305" i="1" a="1"/>
  <c r="H2305" i="1"/>
  <c r="H2306" i="1" a="1"/>
  <c r="H2306" i="1" s="1"/>
  <c r="H2307" i="1" a="1"/>
  <c r="H2307" i="1"/>
  <c r="H2308" i="1" a="1"/>
  <c r="H2308" i="1" s="1"/>
  <c r="H2309" i="1" a="1"/>
  <c r="H2309" i="1" s="1"/>
  <c r="H2310" i="1" a="1"/>
  <c r="H2310" i="1"/>
  <c r="H2311" i="1" a="1"/>
  <c r="H2311" i="1" s="1"/>
  <c r="H2312" i="1" a="1"/>
  <c r="H2312" i="1"/>
  <c r="H2313" i="1" a="1"/>
  <c r="H2313" i="1" s="1"/>
  <c r="H2314" i="1" a="1"/>
  <c r="H2314" i="1" s="1"/>
  <c r="H2315" i="1" a="1"/>
  <c r="H2315" i="1"/>
  <c r="H2316" i="1" a="1"/>
  <c r="H2316" i="1" s="1"/>
  <c r="H2317" i="1" a="1"/>
  <c r="H2317" i="1"/>
  <c r="H2318" i="1" a="1"/>
  <c r="H2318" i="1" s="1"/>
  <c r="H2319" i="1" a="1"/>
  <c r="H2319" i="1" s="1"/>
  <c r="H2320" i="1" a="1"/>
  <c r="H2320" i="1"/>
  <c r="H2321" i="1" a="1"/>
  <c r="H2321" i="1" s="1"/>
  <c r="H2322" i="1" a="1"/>
  <c r="H2322" i="1"/>
  <c r="H2323" i="1" a="1"/>
  <c r="H2323" i="1" s="1"/>
  <c r="H2324" i="1" a="1"/>
  <c r="H2324" i="1" s="1"/>
  <c r="H2325" i="1" a="1"/>
  <c r="H2325" i="1"/>
  <c r="H2326" i="1" a="1"/>
  <c r="H2326" i="1" s="1"/>
  <c r="H2327" i="1" a="1"/>
  <c r="H2327" i="1"/>
  <c r="H2328" i="1" a="1"/>
  <c r="H2328" i="1" s="1"/>
  <c r="H2329" i="1" a="1"/>
  <c r="H2329" i="1" s="1"/>
  <c r="H2330" i="1" a="1"/>
  <c r="H2330" i="1"/>
  <c r="H2331" i="1" a="1"/>
  <c r="H2331" i="1" s="1"/>
  <c r="H2332" i="1" a="1"/>
  <c r="H2332" i="1"/>
  <c r="H2333" i="1" a="1"/>
  <c r="H2333" i="1" s="1"/>
  <c r="H2334" i="1" a="1"/>
  <c r="H2334" i="1" s="1"/>
  <c r="H2335" i="1" a="1"/>
  <c r="H2335" i="1"/>
  <c r="H2336" i="1" a="1"/>
  <c r="H2336" i="1" s="1"/>
  <c r="H2337" i="1" a="1"/>
  <c r="H2337" i="1"/>
  <c r="H2338" i="1" a="1"/>
  <c r="H2338" i="1" s="1"/>
  <c r="H2339" i="1" a="1"/>
  <c r="H2339" i="1" s="1"/>
  <c r="H2340" i="1" a="1"/>
  <c r="H2340" i="1"/>
  <c r="H2341" i="1" a="1"/>
  <c r="H2341" i="1" s="1"/>
  <c r="H2342" i="1" a="1"/>
  <c r="H2342" i="1"/>
  <c r="H2343" i="1" a="1"/>
  <c r="H2343" i="1" s="1"/>
  <c r="D2" i="15"/>
  <c r="D25" i="15"/>
  <c r="D24" i="15"/>
  <c r="D23" i="15"/>
  <c r="D22" i="15"/>
  <c r="D21" i="15"/>
  <c r="D20" i="15"/>
  <c r="D19" i="15"/>
  <c r="D18" i="15"/>
  <c r="D17" i="15"/>
  <c r="D16" i="15"/>
  <c r="D15" i="15"/>
  <c r="D14" i="15"/>
  <c r="D13" i="15"/>
  <c r="D12" i="15"/>
  <c r="D11" i="15"/>
  <c r="D8" i="15"/>
  <c r="D7" i="15"/>
  <c r="D5" i="15"/>
  <c r="D4" i="15"/>
  <c r="D3" i="15"/>
  <c r="E5" i="15"/>
  <c r="E10" i="15"/>
  <c r="E3" i="15"/>
  <c r="E4" i="15"/>
  <c r="E11" i="15"/>
  <c r="E8" i="15"/>
  <c r="E12" i="15"/>
  <c r="E9" i="15"/>
  <c r="E13" i="15"/>
  <c r="E6" i="15"/>
  <c r="E2" i="15"/>
  <c r="E7" i="15"/>
  <c r="D9" i="15" l="1"/>
  <c r="D10" i="15"/>
  <c r="C81" i="17"/>
  <c r="D6" i="15" s="1"/>
  <c r="A31" i="19"/>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Lauren Crider</author>
  </authors>
  <commentList>
    <comment ref="D22" authorId="0" shapeId="0" xr:uid="{00000000-0006-0000-0000-000001000000}">
      <text>
        <r>
          <rPr>
            <sz val="10.5"/>
            <color rgb="FF000000"/>
            <rFont val="+mn-lt"/>
            <charset val="1"/>
          </rPr>
          <t xml:space="preserve">Make sure you have selected both columns of interest before creating your visualization.
</t>
        </r>
      </text>
    </comment>
    <comment ref="D40" authorId="0" shapeId="0" xr:uid="{0EE5EAE6-6C29-D747-9A2F-DC04C154FB2D}">
      <text>
        <r>
          <rPr>
            <sz val="11"/>
            <color rgb="FF000000"/>
            <rFont val="Calibri"/>
            <family val="34"/>
          </rPr>
          <t>Major events, like awards nights, nominee announcements, and viral Grammy moments may drive traffic!</t>
        </r>
      </text>
    </comment>
    <comment ref="D49" authorId="0" shapeId="0" xr:uid="{00000000-0006-0000-0000-000002000000}">
      <text>
        <r>
          <rPr>
            <sz val="10.5"/>
            <color rgb="FF000000"/>
            <rFont val="+mn-lt"/>
            <charset val="1"/>
          </rPr>
          <t xml:space="preserve">You'll need to use </t>
        </r>
        <r>
          <rPr>
            <b/>
            <sz val="10.5"/>
            <color rgb="FF000000"/>
            <rFont val="+mn-lt"/>
            <charset val="1"/>
          </rPr>
          <t>event_type</t>
        </r>
        <r>
          <rPr>
            <sz val="10.5"/>
            <color rgb="FF000000"/>
            <rFont val="+mn-lt"/>
            <charset val="1"/>
          </rPr>
          <t xml:space="preserve"> in the rows of this PivotTable and remember to change the aggregation function on the number of visitors to be the </t>
        </r>
        <r>
          <rPr>
            <b/>
            <sz val="10.5"/>
            <color rgb="FF000000"/>
            <rFont val="+mn-lt"/>
            <charset val="1"/>
          </rPr>
          <t>average</t>
        </r>
        <r>
          <rPr>
            <sz val="10.5"/>
            <color rgb="FF000000"/>
            <rFont val="+mn-lt"/>
            <charset val="1"/>
          </rPr>
          <t xml:space="preserve"> instead of the sum. </t>
        </r>
      </text>
    </comment>
    <comment ref="D56" authorId="0" shapeId="0" xr:uid="{876AFC9A-A5FA-2F43-BC3D-4D9F49A800BC}">
      <text>
        <r>
          <rPr>
            <sz val="10.5"/>
            <color rgb="FF000000"/>
            <rFont val="+mn-lt"/>
            <charset val="1"/>
          </rPr>
          <t xml:space="preserve">When comparing dates in Excel, you'll need to compare the date in each row to </t>
        </r>
        <r>
          <rPr>
            <b/>
            <sz val="10.5"/>
            <color rgb="FF000000"/>
            <rFont val="+mn-lt"/>
            <charset val="1"/>
          </rPr>
          <t>DATE(2022,2,1)</t>
        </r>
        <r>
          <rPr>
            <sz val="10.5"/>
            <color rgb="FF000000"/>
            <rFont val="+mn-lt"/>
            <charset val="1"/>
          </rPr>
          <t xml:space="preserve">. 
</t>
        </r>
        <r>
          <rPr>
            <sz val="10.5"/>
            <color rgb="FF000000"/>
            <rFont val="+mn-lt"/>
            <charset val="1"/>
          </rPr>
          <t xml:space="preserve">
</t>
        </r>
        <r>
          <rPr>
            <sz val="10.5"/>
            <color rgb="FF000000"/>
            <rFont val="+mn-lt"/>
            <charset val="1"/>
          </rPr>
          <t xml:space="preserve">i.e. </t>
        </r>
        <r>
          <rPr>
            <b/>
            <sz val="10.5"/>
            <color rgb="FF000000"/>
            <rFont val="+mn-lt"/>
            <charset val="1"/>
          </rPr>
          <t>[@[date]] &gt;= DATE(2022,2,1)</t>
        </r>
        <r>
          <rPr>
            <sz val="10.5"/>
            <color rgb="FF000000"/>
            <rFont val="+mn-lt"/>
            <charset val="1"/>
          </rPr>
          <t xml:space="preserve"> should be the first argument in your </t>
        </r>
        <r>
          <rPr>
            <b/>
            <sz val="10.5"/>
            <color rgb="FF000000"/>
            <rFont val="+mn-lt"/>
            <charset val="1"/>
          </rPr>
          <t>IF</t>
        </r>
        <r>
          <rPr>
            <sz val="10.5"/>
            <color rgb="FF000000"/>
            <rFont val="+mn-lt"/>
            <charset val="1"/>
          </rPr>
          <t xml:space="preserve"> function.</t>
        </r>
      </text>
    </comment>
    <comment ref="D68" authorId="0" shapeId="0" xr:uid="{00398791-CE6B-704B-B042-0D3A41C9E9CD}">
      <text>
        <r>
          <rPr>
            <sz val="10.5"/>
            <color rgb="FF000000"/>
            <rFont val="+mn-lt"/>
            <charset val="1"/>
          </rPr>
          <t xml:space="preserve">For the "Grammys" data and "Grammys + TRA" data, you can use the </t>
        </r>
        <r>
          <rPr>
            <b/>
            <sz val="10.5"/>
            <color rgb="FF000000"/>
            <rFont val="+mn-lt"/>
            <charset val="1"/>
          </rPr>
          <t>SUMIFS</t>
        </r>
        <r>
          <rPr>
            <sz val="10.5"/>
            <color rgb="FF000000"/>
            <rFont val="+mn-lt"/>
            <charset val="1"/>
          </rPr>
          <t xml:space="preserve"> function in your numerator and denominator to look at only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1"/>
            <color rgb="FF000000"/>
            <rFont val="Calibri"/>
            <family val="2"/>
          </rPr>
          <t xml:space="preserve">If using a </t>
        </r>
        <r>
          <rPr>
            <b/>
            <sz val="11"/>
            <color rgb="FF000000"/>
            <rFont val="Calibri"/>
            <family val="2"/>
          </rPr>
          <t>PivotTable</t>
        </r>
        <r>
          <rPr>
            <sz val="11"/>
            <color rgb="FF000000"/>
            <rFont val="Calibri"/>
            <family val="2"/>
          </rPr>
          <t xml:space="preserve"> you will need to calculate the SUM of </t>
        </r>
        <r>
          <rPr>
            <b/>
            <sz val="11"/>
            <color rgb="FF000000"/>
            <rFont val="Calibri"/>
            <family val="2"/>
          </rPr>
          <t xml:space="preserve">pageviews </t>
        </r>
        <r>
          <rPr>
            <sz val="11"/>
            <color rgb="FF000000"/>
            <rFont val="Calibri"/>
            <family val="2"/>
          </rPr>
          <t xml:space="preserve">and </t>
        </r>
        <r>
          <rPr>
            <b/>
            <sz val="11"/>
            <color rgb="FF000000"/>
            <rFont val="Calibri"/>
            <family val="2"/>
          </rPr>
          <t>sessions</t>
        </r>
        <r>
          <rPr>
            <sz val="11"/>
            <color rgb="FF000000"/>
            <rFont val="Calibri"/>
            <family val="2"/>
          </rPr>
          <t xml:space="preserve"> for each version of the website and do the division in the provided cell.</t>
        </r>
      </text>
    </comment>
    <comment ref="D79" authorId="0" shapeId="0" xr:uid="{00000000-0006-0000-0000-000004000000}">
      <text>
        <r>
          <rPr>
            <sz val="10.5"/>
            <color rgb="FF000000"/>
            <rFont val="Calibri"/>
            <family val="2"/>
          </rPr>
          <t xml:space="preserve">For the "Grammys" data and "Grammys + TRA" data, you will need to use the </t>
        </r>
        <r>
          <rPr>
            <b/>
            <sz val="10.5"/>
            <color rgb="FF000000"/>
            <rFont val="Calibri"/>
            <family val="2"/>
          </rPr>
          <t>SUMIFS</t>
        </r>
        <r>
          <rPr>
            <sz val="10.5"/>
            <color rgb="FF000000"/>
            <rFont val="Calibri"/>
            <family val="2"/>
          </rPr>
          <t xml:space="preserve"> function in your numerator and denominator to look at only the relevant sections of the </t>
        </r>
        <r>
          <rPr>
            <b/>
            <sz val="10.5"/>
            <color rgb="FF000000"/>
            <rFont val="Calibri"/>
            <family val="2"/>
          </rPr>
          <t>website_content</t>
        </r>
        <r>
          <rPr>
            <sz val="10.5"/>
            <color rgb="FF000000"/>
            <rFont val="Calibri"/>
            <family val="2"/>
          </rPr>
          <t xml:space="preserve"> column.
</t>
        </r>
        <r>
          <rPr>
            <sz val="10.5"/>
            <color rgb="FF000000"/>
            <rFont val="Calibri"/>
            <family val="2"/>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bounced_sessions </t>
        </r>
        <r>
          <rPr>
            <sz val="10"/>
            <color rgb="FF000000"/>
            <rFont val="Calibri"/>
            <family val="2"/>
          </rPr>
          <t xml:space="preserve">and </t>
        </r>
        <r>
          <rPr>
            <b/>
            <sz val="10"/>
            <color rgb="FF000000"/>
            <rFont val="Calibri"/>
            <family val="2"/>
          </rPr>
          <t>sessions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85" authorId="0" shapeId="0" xr:uid="{00000000-0006-0000-0000-000005000000}">
      <text>
        <r>
          <rPr>
            <sz val="10.5"/>
            <color rgb="FF000000"/>
            <rFont val="+mn-lt"/>
            <charset val="1"/>
          </rPr>
          <t xml:space="preserve">For the "Grammys" data and "Grammys + TRA" you will need to use the </t>
        </r>
        <r>
          <rPr>
            <b/>
            <sz val="10.5"/>
            <color rgb="FF000000"/>
            <rFont val="+mn-lt"/>
            <charset val="1"/>
          </rPr>
          <t>AVERAGEIFS</t>
        </r>
        <r>
          <rPr>
            <sz val="10.5"/>
            <color rgb="FF000000"/>
            <rFont val="+mn-lt"/>
            <charset val="1"/>
          </rPr>
          <t xml:space="preserve"> function to look at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AVERAGE of </t>
        </r>
        <r>
          <rPr>
            <b/>
            <sz val="10"/>
            <color rgb="FF000000"/>
            <rFont val="Calibri"/>
            <family val="2"/>
          </rPr>
          <t>average_session_duration_secs</t>
        </r>
        <r>
          <rPr>
            <sz val="10"/>
            <color rgb="FF000000"/>
            <rFont val="Calibri"/>
            <family val="2"/>
          </rPr>
          <t xml:space="preserve"> for each version of the website.</t>
        </r>
        <r>
          <rPr>
            <sz val="10.5"/>
            <color rgb="FF000000"/>
            <rFont val="Calibri"/>
            <family val="2"/>
          </rPr>
          <t xml:space="preserve">
</t>
        </r>
      </text>
    </comment>
    <comment ref="D98" authorId="0" shapeId="0" xr:uid="{331344B4-7E3D-BD40-B646-08005CDF1364}">
      <text>
        <r>
          <rPr>
            <sz val="10.5"/>
            <color rgb="FF000000"/>
            <rFont val="+mn-lt"/>
            <charset val="1"/>
          </rPr>
          <t xml:space="preserve">You will need to use the optional </t>
        </r>
        <r>
          <rPr>
            <b/>
            <sz val="10.5"/>
            <color rgb="FF000000"/>
            <rFont val="+mn-lt"/>
            <charset val="1"/>
          </rPr>
          <t>[if not found]</t>
        </r>
        <r>
          <rPr>
            <sz val="10.5"/>
            <color rgb="FF000000"/>
            <rFont val="+mn-lt"/>
            <charset val="1"/>
          </rPr>
          <t xml:space="preserve"> parameter in the XLOOKUP function to put a zero when a match is not available. </t>
        </r>
      </text>
    </comment>
    <comment ref="D101" authorId="0" shapeId="0" xr:uid="{00000000-0006-0000-0000-000006000000}">
      <text>
        <r>
          <rPr>
            <sz val="10.5"/>
            <color rgb="FF000000"/>
            <rFont val="+mn-lt"/>
            <charset val="1"/>
          </rPr>
          <t xml:space="preserve">If you look closely at the data, mobile_visitors has a value of zero for "Grammys + TRA" web content. You'll need to use </t>
        </r>
        <r>
          <rPr>
            <b/>
            <sz val="10.5"/>
            <color rgb="FF000000"/>
            <rFont val="+mn-lt"/>
            <charset val="1"/>
          </rPr>
          <t>SUMIFS</t>
        </r>
        <r>
          <rPr>
            <sz val="10.5"/>
            <color rgb="FF000000"/>
            <rFont val="+mn-lt"/>
            <charset val="1"/>
          </rPr>
          <t xml:space="preserve"> to look at the "Grammys" only web content.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mobile_visitors </t>
        </r>
        <r>
          <rPr>
            <sz val="10"/>
            <color rgb="FF000000"/>
            <rFont val="Calibri"/>
            <family val="2"/>
          </rPr>
          <t xml:space="preserve">and </t>
        </r>
        <r>
          <rPr>
            <b/>
            <sz val="10"/>
            <color rgb="FF000000"/>
            <rFont val="Calibri"/>
            <family val="2"/>
          </rPr>
          <t>visitors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129" authorId="0" shapeId="0" xr:uid="{55D4CA3E-03CD-364C-A227-3BD7C8233491}">
      <text>
        <r>
          <rPr>
            <sz val="10.5"/>
            <color rgb="FF000000"/>
            <rFont val="Calibri"/>
            <family val="2"/>
          </rPr>
          <t xml:space="preserve">You'll definitely want to </t>
        </r>
        <r>
          <rPr>
            <b/>
            <sz val="10.5"/>
            <color rgb="FF000000"/>
            <rFont val="Calibri"/>
            <family val="2"/>
          </rPr>
          <t>triple check</t>
        </r>
        <r>
          <rPr>
            <sz val="10.5"/>
            <color rgb="FF000000"/>
            <rFont val="Calibri"/>
            <family val="2"/>
          </rPr>
          <t xml:space="preserve"> any arithmetic or calculations AI might add to its response!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<sst xmlns="http://schemas.openxmlformats.org/spreadsheetml/2006/main" count="18338" uniqueCount="138">
  <si>
    <r>
      <rPr>
        <b/>
        <sz val="24"/>
        <color theme="1"/>
        <rFont val="Calibri"/>
        <family val="2"/>
        <scheme val="minor"/>
      </rPr>
      <t>Project |</t>
    </r>
    <r>
      <rPr>
        <sz val="24"/>
        <color theme="1"/>
        <rFont val="Calibri"/>
        <family val="2"/>
        <scheme val="minor"/>
      </rPr>
      <t xml:space="preserve"> Analyzing Website Performance for The Grammys</t>
    </r>
  </si>
  <si>
    <r>
      <t xml:space="preserve">• All of your answers should be typed or pasted into the grey boxes. 
• Questions with grey answer boxes expect a specific answer. Once you input the correct answer, the question number box </t>
    </r>
    <r>
      <rPr>
        <b/>
        <sz val="12"/>
        <color theme="1"/>
        <rFont val="Calibri"/>
        <family val="2"/>
        <scheme val="minor"/>
      </rPr>
      <t xml:space="preserve">will change from blue to green.
</t>
    </r>
    <r>
      <rPr>
        <sz val="12"/>
        <color theme="1"/>
        <rFont val="Calibri"/>
        <family val="2"/>
        <scheme val="minor"/>
      </rPr>
      <t xml:space="preserve">
• Questions with yellow answer boxes are free-response questions. There will be no change in the question number boxes (in blue), regardless of your answer.
• Hover your cursor over the blue hint box to get a helpful hint!</t>
    </r>
  </si>
  <si>
    <t>Part 1: Exploring the Data</t>
  </si>
  <si>
    <r>
      <rPr>
        <b/>
        <sz val="11"/>
        <color rgb="FF000000"/>
        <rFont val="Calibri"/>
        <family val="2"/>
        <scheme val="minor"/>
      </rPr>
      <t>The Grammys Data</t>
    </r>
    <r>
      <rPr>
        <sz val="11"/>
        <color rgb="FF000000"/>
        <rFont val="Calibri"/>
        <family val="2"/>
        <scheme val="minor"/>
      </rPr>
      <t xml:space="preserve"> sheet contains two tables: the web analytics data for Grammy.com (</t>
    </r>
    <r>
      <rPr>
        <b/>
        <sz val="11"/>
        <color rgb="FF000000"/>
        <rFont val="Calibri"/>
        <family val="2"/>
        <scheme val="minor"/>
      </rPr>
      <t>Grammys</t>
    </r>
    <r>
      <rPr>
        <sz val="11"/>
        <color rgb="FF000000"/>
        <rFont val="Calibri"/>
        <family val="2"/>
        <scheme val="minor"/>
      </rPr>
      <t>) and a second table for mobile visitors on the site (</t>
    </r>
    <r>
      <rPr>
        <b/>
        <sz val="11"/>
        <color rgb="FF000000"/>
        <rFont val="Calibri"/>
        <family val="2"/>
        <scheme val="minor"/>
      </rPr>
      <t>mobile_visits</t>
    </r>
    <r>
      <rPr>
        <sz val="11"/>
        <color rgb="FF000000"/>
        <rFont val="Calibri"/>
        <family val="2"/>
        <scheme val="minor"/>
      </rPr>
      <t xml:space="preserve">).
</t>
    </r>
    <r>
      <rPr>
        <b/>
        <sz val="11"/>
        <color rgb="FF000000"/>
        <rFont val="Calibri"/>
        <family val="2"/>
        <scheme val="minor"/>
      </rPr>
      <t>The Recording Academy Data</t>
    </r>
    <r>
      <rPr>
        <sz val="11"/>
        <color rgb="FF000000"/>
        <rFont val="Calibri"/>
        <family val="2"/>
        <scheme val="minor"/>
      </rPr>
      <t xml:space="preserve"> sheet contains the web analytics for recordingacademy.com after they split the websites.
To begin the data exploration you will be looking at </t>
    </r>
    <r>
      <rPr>
        <b/>
        <sz val="11"/>
        <color rgb="FF000000"/>
        <rFont val="Calibri"/>
        <family val="2"/>
        <scheme val="minor"/>
      </rPr>
      <t>The Grammys Data</t>
    </r>
    <r>
      <rPr>
        <sz val="11"/>
        <color rgb="FF000000"/>
        <rFont val="Calibri"/>
        <family val="2"/>
        <scheme val="minor"/>
      </rPr>
      <t xml:space="preserve"> sheet.</t>
    </r>
  </si>
  <si>
    <t>1a</t>
  </si>
  <si>
    <r>
      <t xml:space="preserve">Use the </t>
    </r>
    <r>
      <rPr>
        <b/>
        <sz val="11"/>
        <color rgb="FF000000"/>
        <rFont val="Calibri"/>
        <family val="2"/>
        <scheme val="minor"/>
      </rPr>
      <t>Grammys</t>
    </r>
    <r>
      <rPr>
        <sz val="11"/>
        <color rgb="FF000000"/>
        <rFont val="Calibri"/>
        <family val="2"/>
        <scheme val="minor"/>
      </rPr>
      <t xml:space="preserve"> datatable to creata a line chart of the number of daily </t>
    </r>
    <r>
      <rPr>
        <b/>
        <sz val="11"/>
        <color rgb="FF000000"/>
        <rFont val="Calibri"/>
        <family val="2"/>
        <scheme val="minor"/>
      </rPr>
      <t>visitors</t>
    </r>
    <r>
      <rPr>
        <sz val="11"/>
        <color rgb="FF000000"/>
        <rFont val="Calibri"/>
        <family val="2"/>
        <scheme val="minor"/>
      </rPr>
      <t xml:space="preserve"> to the Grammy.com website. The horizontal axis should be the </t>
    </r>
    <r>
      <rPr>
        <b/>
        <sz val="11"/>
        <color rgb="FF000000"/>
        <rFont val="Calibri"/>
        <family val="2"/>
        <scheme val="minor"/>
      </rPr>
      <t xml:space="preserve">date </t>
    </r>
    <r>
      <rPr>
        <sz val="11"/>
        <color rgb="FF000000"/>
        <rFont val="Calibri"/>
        <family val="2"/>
        <scheme val="minor"/>
      </rPr>
      <t>field.</t>
    </r>
  </si>
  <si>
    <t>Hint!</t>
  </si>
  <si>
    <t>1b</t>
  </si>
  <si>
    <t>What do you notice about when and why traffic spikes occur? Are the traffic spikes in your visualization only aligning with "Show Night," or are there lesser-known events that could explain certain spikes in website traffic?</t>
  </si>
  <si>
    <t>The chart shows clear annual traffic spikes between 2017 and 2023 that align with major Grammy events. The largest spike each year corresponds to the Grammy Awards ceremony (“Show Night”), which typically occurs between late January and early February, except in 2021 and 2022 when the event was delayed to March and April due to COVID-19. Smaller spikes occurring toward the end of each year are likely associated with nomination announcements and performer reveals. The highest traffic occurs in 2021 with approximately 3.3 million visitors, followed by significant peaks in 2019 and 2023. This indicates that website traffic is highly event-driven and concentrated around key Grammy milestones rather than evenly distributed throughout the year.</t>
  </si>
  <si>
    <r>
      <rPr>
        <b/>
        <sz val="11"/>
        <color theme="1"/>
        <rFont val="Calibri"/>
        <family val="2"/>
        <scheme val="minor"/>
      </rPr>
      <t>Try this prompt:</t>
    </r>
    <r>
      <rPr>
        <sz val="12"/>
        <color theme="1"/>
        <rFont val="Calibri"/>
        <family val="2"/>
        <scheme val="minor"/>
      </rPr>
      <t xml:space="preserve"> Can you identify any specific lesser-known events (with exact dates) that might have caused significant increases in website traffic on grammys.com? What external data sources could help confirm these trends?</t>
    </r>
  </si>
  <si>
    <t>2a</t>
  </si>
  <si>
    <r>
      <t xml:space="preserve">Using the </t>
    </r>
    <r>
      <rPr>
        <b/>
        <sz val="11"/>
        <color rgb="FF000000"/>
        <rFont val="Calibri"/>
        <family val="2"/>
        <scheme val="minor"/>
      </rPr>
      <t xml:space="preserve">Grammys Data </t>
    </r>
    <r>
      <rPr>
        <sz val="11"/>
        <color rgb="FF000000"/>
        <rFont val="Calibri"/>
        <family val="2"/>
        <scheme val="minor"/>
      </rPr>
      <t xml:space="preserve">sheet, create a PivotTable to compare the average daily website visitors on days when an award ceremony was held to those when no awards ceremonies were held. </t>
    </r>
  </si>
  <si>
    <t>2b</t>
  </si>
  <si>
    <t>What does this comparison reveal about the difference in traffic between award ceremony days and regular days? How many more visitors does the Grammy Awards site receive on Show Night?</t>
  </si>
  <si>
    <t>The table shows a significant increase in the average number of visitors during the award ceremony compared to the regular days. During the award show, the average number of visitors was close to 1.4 million, whereas on regular days it was just around 32000, which is about 2% of the total average visitors during the award show. This does not significantly make differences to the visitors for the award show since it still remains in the figure of 1.25  to 1.4 million. The exact number of additional visitors during the award shows was 1,357,201.95406 on average.</t>
  </si>
  <si>
    <r>
      <t xml:space="preserve">February 1st, 2022 marks the transition from when Grammy.com began to only host Grammys content instead of both Recording Academy </t>
    </r>
    <r>
      <rPr>
        <b/>
        <sz val="11"/>
        <color rgb="FF000000"/>
        <rFont val="Calibri"/>
        <family val="2"/>
        <scheme val="minor"/>
      </rPr>
      <t>and</t>
    </r>
    <r>
      <rPr>
        <sz val="11"/>
        <color rgb="FF000000"/>
        <rFont val="Calibri"/>
        <family val="2"/>
        <scheme val="minor"/>
      </rPr>
      <t xml:space="preserve"> Grammys content. Fill in the values in the </t>
    </r>
    <r>
      <rPr>
        <b/>
        <sz val="11"/>
        <color rgb="FF000000"/>
        <rFont val="Calibri"/>
        <family val="2"/>
        <scheme val="minor"/>
      </rPr>
      <t>website_content</t>
    </r>
    <r>
      <rPr>
        <sz val="11"/>
        <color rgb="FF000000"/>
        <rFont val="Calibri"/>
        <family val="2"/>
        <scheme val="minor"/>
      </rPr>
      <t xml:space="preserve"> column in </t>
    </r>
    <r>
      <rPr>
        <b/>
        <sz val="11"/>
        <color rgb="FF000000"/>
        <rFont val="Calibri"/>
        <family val="2"/>
        <scheme val="minor"/>
      </rPr>
      <t>The</t>
    </r>
    <r>
      <rPr>
        <sz val="11"/>
        <color rgb="FF000000"/>
        <rFont val="Calibri"/>
        <family val="2"/>
        <scheme val="minor"/>
      </rPr>
      <t xml:space="preserve"> </t>
    </r>
    <r>
      <rPr>
        <b/>
        <sz val="11"/>
        <color rgb="FF000000"/>
        <rFont val="Calibri"/>
        <family val="2"/>
        <scheme val="minor"/>
      </rPr>
      <t>Grammys Data</t>
    </r>
    <r>
      <rPr>
        <sz val="11"/>
        <color rgb="FF000000"/>
        <rFont val="Calibri"/>
        <family val="2"/>
        <scheme val="minor"/>
      </rPr>
      <t xml:space="preserve"> sheet. This column will have the value "Grammys" if the date occurred on or after 2/1/2022 and the value "Grammys + TRA" otherwise.</t>
    </r>
  </si>
  <si>
    <t>Part 2: Analyzing Key Metrics</t>
  </si>
  <si>
    <r>
      <t xml:space="preserve">Remember the overall goal of this project: to analze whether splitting the website into two has improved user engagement. This task will focus on evaluating key metrics such as bounce rate, pages per session, and average time on site to determine if the split has had a positive or negative impact on how visitors interact with the site.
You'll calculate the </t>
    </r>
    <r>
      <rPr>
        <b/>
        <sz val="11"/>
        <color rgb="FF000000"/>
        <rFont val="Calibri"/>
        <family val="2"/>
        <scheme val="minor"/>
      </rPr>
      <t>pages_per_session metric</t>
    </r>
    <r>
      <rPr>
        <sz val="11"/>
        <color rgb="FF000000"/>
        <rFont val="Calibri"/>
        <family val="2"/>
        <scheme val="minor"/>
      </rPr>
      <t xml:space="preserve"> by first finding the</t>
    </r>
    <r>
      <rPr>
        <b/>
        <sz val="11"/>
        <color rgb="FF000000"/>
        <rFont val="Calibri"/>
        <family val="2"/>
        <scheme val="minor"/>
      </rPr>
      <t xml:space="preserve"> total pageviews</t>
    </r>
    <r>
      <rPr>
        <sz val="11"/>
        <color rgb="FF000000"/>
        <rFont val="Calibri"/>
        <family val="2"/>
        <scheme val="minor"/>
      </rPr>
      <t xml:space="preserve">. Then you'll divide that total by the </t>
    </r>
    <r>
      <rPr>
        <b/>
        <sz val="11"/>
        <color rgb="FF000000"/>
        <rFont val="Calibri"/>
        <family val="2"/>
        <scheme val="minor"/>
      </rPr>
      <t>total number of sessions</t>
    </r>
    <r>
      <rPr>
        <sz val="11"/>
        <color rgb="FF000000"/>
        <rFont val="Calibri"/>
        <family val="2"/>
        <scheme val="minor"/>
      </rPr>
      <t>. Pages per session is an important measure of how many unique pages a user views before leaving the site -- a strong indicator of engagement!</t>
    </r>
  </si>
  <si>
    <t>website_content</t>
  </si>
  <si>
    <t>Sum of pageviews</t>
  </si>
  <si>
    <t>Sum of sessions</t>
  </si>
  <si>
    <t>Grammys</t>
  </si>
  <si>
    <t>Grammys TRA</t>
  </si>
  <si>
    <t>Grand Total</t>
  </si>
  <si>
    <t>4a</t>
  </si>
  <si>
    <r>
      <t xml:space="preserve">What is the </t>
    </r>
    <r>
      <rPr>
        <b/>
        <sz val="12"/>
        <color theme="1"/>
        <rFont val="Calibri"/>
        <family val="2"/>
        <scheme val="minor"/>
      </rPr>
      <t>pages_per_session</t>
    </r>
    <r>
      <rPr>
        <sz val="12"/>
        <color theme="1"/>
        <rFont val="Calibri"/>
        <family val="2"/>
        <scheme val="minor"/>
      </rPr>
      <t xml:space="preserve"> on the Recording Academy data?</t>
    </r>
  </si>
  <si>
    <t>4b</t>
  </si>
  <si>
    <r>
      <t xml:space="preserve">What is the </t>
    </r>
    <r>
      <rPr>
        <b/>
        <sz val="12"/>
        <color theme="1"/>
        <rFont val="Calibri"/>
        <family val="2"/>
        <scheme val="minor"/>
      </rPr>
      <t>pages_per_session</t>
    </r>
    <r>
      <rPr>
        <sz val="12"/>
        <color theme="1"/>
        <rFont val="Calibri"/>
        <family val="2"/>
        <scheme val="minor"/>
      </rPr>
      <t xml:space="preserve"> on the Grammys data?</t>
    </r>
  </si>
  <si>
    <t>4c</t>
  </si>
  <si>
    <r>
      <t xml:space="preserve">What is the </t>
    </r>
    <r>
      <rPr>
        <b/>
        <sz val="12"/>
        <color theme="1"/>
        <rFont val="Calibri"/>
        <family val="2"/>
        <scheme val="minor"/>
      </rPr>
      <t>pages_per_session</t>
    </r>
    <r>
      <rPr>
        <sz val="12"/>
        <color theme="1"/>
        <rFont val="Calibri"/>
        <family val="2"/>
        <scheme val="minor"/>
      </rPr>
      <t xml:space="preserve"> on the Grammys + TRA data?</t>
    </r>
  </si>
  <si>
    <t>4d</t>
  </si>
  <si>
    <t>In one sentence, what does this metric suggest regarding the impact of the website split?</t>
  </si>
  <si>
    <r>
      <t xml:space="preserve">Try this prompt: </t>
    </r>
    <r>
      <rPr>
        <sz val="11"/>
        <color theme="1"/>
        <rFont val="Calibri"/>
        <family val="2"/>
        <scheme val="minor"/>
      </rPr>
      <t>What does pages per session reveal about user engagement? How should I interpret changes in this metric after the website split?</t>
    </r>
  </si>
  <si>
    <t>The pages per session metric indicates that user engagement is higher on the Recording Academy site than on the Grammys site, suggesting that the website split allowed each audience to access more relevant content, with Recording Academy visitors exploring more pages while Grammys users exhibit shorter, event-driven sessions.</t>
  </si>
  <si>
    <r>
      <t xml:space="preserve">You'll calculate the </t>
    </r>
    <r>
      <rPr>
        <b/>
        <sz val="11"/>
        <color theme="1"/>
        <rFont val="Calibri"/>
        <family val="2"/>
        <scheme val="minor"/>
      </rPr>
      <t xml:space="preserve">bounce_rate metric </t>
    </r>
    <r>
      <rPr>
        <sz val="11"/>
        <color theme="1"/>
        <rFont val="Calibri"/>
        <family val="2"/>
        <scheme val="minor"/>
      </rPr>
      <t xml:space="preserve">by first calculating the </t>
    </r>
    <r>
      <rPr>
        <b/>
        <sz val="11"/>
        <color theme="1"/>
        <rFont val="Calibri"/>
        <family val="2"/>
        <scheme val="minor"/>
      </rPr>
      <t>total bounced_sessions</t>
    </r>
    <r>
      <rPr>
        <sz val="11"/>
        <color theme="1"/>
        <rFont val="Calibri"/>
        <family val="2"/>
        <scheme val="minor"/>
      </rPr>
      <t xml:space="preserve"> and dividing that by the </t>
    </r>
    <r>
      <rPr>
        <b/>
        <sz val="11"/>
        <color theme="1"/>
        <rFont val="Calibri"/>
        <family val="2"/>
        <scheme val="minor"/>
      </rPr>
      <t>total number of sessions</t>
    </r>
    <r>
      <rPr>
        <sz val="11"/>
        <color theme="1"/>
        <rFont val="Calibri"/>
        <family val="2"/>
        <scheme val="minor"/>
      </rPr>
      <t>. Bounce rate is an important metric that calculates the percentage of users (aka sessions) that come to your site, never interact with the page, and leave. They are said to have "bounced" off your home page. It is a measure of how engaging your home page is with users.</t>
    </r>
  </si>
  <si>
    <t>5a</t>
  </si>
  <si>
    <r>
      <t xml:space="preserve">What is the </t>
    </r>
    <r>
      <rPr>
        <b/>
        <sz val="12"/>
        <color theme="1"/>
        <rFont val="Calibri"/>
        <family val="2"/>
        <scheme val="minor"/>
      </rPr>
      <t>bounce_rate</t>
    </r>
    <r>
      <rPr>
        <sz val="12"/>
        <color theme="1"/>
        <rFont val="Calibri"/>
        <family val="2"/>
        <scheme val="minor"/>
      </rPr>
      <t xml:space="preserve"> on the Recording Academy data?</t>
    </r>
  </si>
  <si>
    <t>5b</t>
  </si>
  <si>
    <r>
      <t xml:space="preserve">What is the </t>
    </r>
    <r>
      <rPr>
        <b/>
        <sz val="12"/>
        <color theme="1"/>
        <rFont val="Calibri"/>
        <family val="2"/>
        <scheme val="minor"/>
      </rPr>
      <t>bounce_rate</t>
    </r>
    <r>
      <rPr>
        <sz val="12"/>
        <color theme="1"/>
        <rFont val="Calibri"/>
        <family val="2"/>
        <scheme val="minor"/>
      </rPr>
      <t xml:space="preserve"> on the Grammys data?</t>
    </r>
  </si>
  <si>
    <t>5c</t>
  </si>
  <si>
    <r>
      <t xml:space="preserve">What is the </t>
    </r>
    <r>
      <rPr>
        <b/>
        <sz val="12"/>
        <color theme="1"/>
        <rFont val="Calibri"/>
        <family val="2"/>
        <scheme val="minor"/>
      </rPr>
      <t>bounce_rate</t>
    </r>
    <r>
      <rPr>
        <sz val="12"/>
        <color theme="1"/>
        <rFont val="Calibri"/>
        <family val="2"/>
        <scheme val="minor"/>
      </rPr>
      <t xml:space="preserve"> on the Grammys + TRA data?</t>
    </r>
  </si>
  <si>
    <r>
      <t xml:space="preserve">Next, you'll calculate the </t>
    </r>
    <r>
      <rPr>
        <b/>
        <sz val="11"/>
        <color rgb="FF000000"/>
        <rFont val="Calibri"/>
        <family val="2"/>
        <scheme val="minor"/>
      </rPr>
      <t>average_time_on_site</t>
    </r>
    <r>
      <rPr>
        <sz val="11"/>
        <color rgb="FF000000"/>
        <rFont val="Calibri"/>
        <family val="2"/>
        <scheme val="minor"/>
      </rPr>
      <t xml:space="preserve"> metric.To do this, you </t>
    </r>
    <r>
      <rPr>
        <i/>
        <sz val="11"/>
        <color rgb="FF000000"/>
        <rFont val="Calibri"/>
        <family val="2"/>
        <scheme val="minor"/>
      </rPr>
      <t>only</t>
    </r>
    <r>
      <rPr>
        <sz val="11"/>
        <color rgb="FF000000"/>
        <rFont val="Calibri"/>
        <family val="2"/>
        <scheme val="minor"/>
      </rPr>
      <t xml:space="preserve"> need to calculate the average of the </t>
    </r>
    <r>
      <rPr>
        <b/>
        <sz val="11"/>
        <color rgb="FF000000"/>
        <rFont val="Calibri"/>
        <family val="2"/>
        <scheme val="minor"/>
      </rPr>
      <t>avg_session_duration_secs</t>
    </r>
    <r>
      <rPr>
        <sz val="11"/>
        <color rgb="FF000000"/>
        <rFont val="Calibri"/>
        <family val="2"/>
        <scheme val="minor"/>
      </rPr>
      <t xml:space="preserve"> column. </t>
    </r>
    <r>
      <rPr>
        <b/>
        <sz val="11"/>
        <color rgb="FF000000"/>
        <rFont val="Calibri"/>
        <family val="2"/>
        <scheme val="minor"/>
      </rPr>
      <t>Average Time on Site</t>
    </r>
    <r>
      <rPr>
        <sz val="11"/>
        <color rgb="FF000000"/>
        <rFont val="Calibri"/>
        <family val="2"/>
        <scheme val="minor"/>
      </rPr>
      <t xml:space="preserve"> measures how engaging your website experience is for your users. The higher the number, the longer they are staying on your page and engaging with the content.</t>
    </r>
  </si>
  <si>
    <t>6a</t>
  </si>
  <si>
    <r>
      <t xml:space="preserve">What is the </t>
    </r>
    <r>
      <rPr>
        <b/>
        <sz val="12"/>
        <color theme="1"/>
        <rFont val="Calibri"/>
        <family val="2"/>
        <scheme val="minor"/>
      </rPr>
      <t>average_time_on_site</t>
    </r>
    <r>
      <rPr>
        <sz val="12"/>
        <color theme="1"/>
        <rFont val="Calibri"/>
        <family val="2"/>
        <scheme val="minor"/>
      </rPr>
      <t xml:space="preserve"> on the Recording Academy data?</t>
    </r>
  </si>
  <si>
    <t>6b</t>
  </si>
  <si>
    <r>
      <t xml:space="preserve">What is the </t>
    </r>
    <r>
      <rPr>
        <b/>
        <sz val="12"/>
        <color theme="1"/>
        <rFont val="Calibri"/>
        <family val="2"/>
        <scheme val="minor"/>
      </rPr>
      <t>average_time_on_site</t>
    </r>
    <r>
      <rPr>
        <sz val="12"/>
        <color theme="1"/>
        <rFont val="Calibri"/>
        <family val="2"/>
        <scheme val="minor"/>
      </rPr>
      <t xml:space="preserve"> on the Grammys data?</t>
    </r>
  </si>
  <si>
    <t>6c</t>
  </si>
  <si>
    <r>
      <t xml:space="preserve">What is the </t>
    </r>
    <r>
      <rPr>
        <b/>
        <sz val="12"/>
        <color theme="1"/>
        <rFont val="Calibri"/>
        <family val="2"/>
        <scheme val="minor"/>
      </rPr>
      <t>average_time_on_site</t>
    </r>
    <r>
      <rPr>
        <sz val="12"/>
        <color theme="1"/>
        <rFont val="Calibri"/>
        <family val="2"/>
        <scheme val="minor"/>
      </rPr>
      <t xml:space="preserve"> on the Grammys + TRA data?</t>
    </r>
  </si>
  <si>
    <t>6d</t>
  </si>
  <si>
    <t>Which of these three metrics changed the most after the site split? What do these changes suggest about user behavior?</t>
  </si>
  <si>
    <t>After the site split, average time on site increased significantly for the Recording Academy (128.50 seconds) compared to the combined site (102.85 seconds), while the Grammys site decreased to 82.99 seconds. This suggests that users who visit the Recording Academy site are more engaged and spend more time consuming content, whereas Grammys visitors tend to browse for shorter periods, likely because they are looking for specific event-related information. Overall, this indicates that the split helped create a more engaged audience on the Recording Academy site but resulted in shorter, more task-focused visits on the Grammys site.</t>
  </si>
  <si>
    <t>Part 3: Device Breakdown</t>
  </si>
  <si>
    <t>Ray and his team want to optimize the site for mobile users, but first, they need to determine what percentage of visitors are accessing Grammy.com via mobile devices.</t>
  </si>
  <si>
    <t>7a</t>
  </si>
  <si>
    <r>
      <t xml:space="preserve">In the </t>
    </r>
    <r>
      <rPr>
        <b/>
        <sz val="11"/>
        <color rgb="FF000000"/>
        <rFont val="Calibri"/>
        <family val="2"/>
        <scheme val="minor"/>
      </rPr>
      <t>Grammys Data</t>
    </r>
    <r>
      <rPr>
        <sz val="11"/>
        <color rgb="FF000000"/>
        <rFont val="Calibri"/>
        <family val="2"/>
        <scheme val="minor"/>
      </rPr>
      <t xml:space="preserve"> sheet there is a </t>
    </r>
    <r>
      <rPr>
        <b/>
        <sz val="11"/>
        <color rgb="FF000000"/>
        <rFont val="Calibri"/>
        <family val="2"/>
        <scheme val="minor"/>
      </rPr>
      <t>mobile_visits</t>
    </r>
    <r>
      <rPr>
        <sz val="11"/>
        <color rgb="FF000000"/>
        <rFont val="Calibri"/>
        <family val="2"/>
        <scheme val="minor"/>
      </rPr>
      <t xml:space="preserve"> table on the right. Use the </t>
    </r>
    <r>
      <rPr>
        <b/>
        <sz val="11"/>
        <color rgb="FF000000"/>
        <rFont val="Calibri"/>
        <family val="2"/>
        <scheme val="minor"/>
      </rPr>
      <t>XLOOKUP</t>
    </r>
    <r>
      <rPr>
        <sz val="11"/>
        <color rgb="FF000000"/>
        <rFont val="Calibri"/>
        <family val="2"/>
        <scheme val="minor"/>
      </rPr>
      <t xml:space="preserve"> function to fill in the missing column of the grammys table by looking up the corresponding date and returning the </t>
    </r>
    <r>
      <rPr>
        <b/>
        <sz val="11"/>
        <color rgb="FF000000"/>
        <rFont val="Calibri"/>
        <family val="2"/>
        <scheme val="minor"/>
      </rPr>
      <t xml:space="preserve">mobile_visitors </t>
    </r>
    <r>
      <rPr>
        <sz val="11"/>
        <color rgb="FF000000"/>
        <rFont val="Calibri"/>
        <family val="2"/>
        <scheme val="minor"/>
      </rPr>
      <t>column of the mobile_visits table. If the date is not found, the function should return the numeric value 0.</t>
    </r>
  </si>
  <si>
    <t>7b</t>
  </si>
  <si>
    <r>
      <t xml:space="preserve">What percentage of users across all dates in the dataset use a </t>
    </r>
    <r>
      <rPr>
        <b/>
        <sz val="12"/>
        <color theme="1"/>
        <rFont val="Calibri"/>
        <family val="2"/>
        <scheme val="minor"/>
      </rPr>
      <t>mobile</t>
    </r>
    <r>
      <rPr>
        <sz val="12"/>
        <color theme="1"/>
        <rFont val="Calibri"/>
        <family val="2"/>
        <scheme val="minor"/>
      </rPr>
      <t xml:space="preserve"> device to visit the website? To calculate this value, you will the total number of </t>
    </r>
    <r>
      <rPr>
        <b/>
        <sz val="12"/>
        <color theme="1"/>
        <rFont val="Calibri"/>
        <family val="2"/>
        <scheme val="minor"/>
      </rPr>
      <t>mobile_visitors</t>
    </r>
    <r>
      <rPr>
        <sz val="12"/>
        <color theme="1"/>
        <rFont val="Calibri"/>
        <family val="2"/>
        <scheme val="minor"/>
      </rPr>
      <t xml:space="preserve"> and divide by the total number of </t>
    </r>
    <r>
      <rPr>
        <b/>
        <sz val="12"/>
        <color theme="1"/>
        <rFont val="Calibri"/>
        <family val="2"/>
        <scheme val="minor"/>
      </rPr>
      <t>visitors</t>
    </r>
  </si>
  <si>
    <t>7c</t>
  </si>
  <si>
    <r>
      <t xml:space="preserve">Based on your answer, how might a high percentage of mobile visitors affect engagement metrics like bounce rate and time on site? Consider factors such as user experience on mobile devices, page load times, and ease of navigation. </t>
    </r>
    <r>
      <rPr>
        <i/>
        <sz val="11"/>
        <color rgb="FF000000"/>
        <rFont val="Calibri"/>
        <family val="2"/>
        <scheme val="minor"/>
      </rPr>
      <t>Remember, you can continue to use ChatGPT as your Teammate to help!</t>
    </r>
  </si>
  <si>
    <t>A high percentage of mobile visitors can increase bounce rate and reduce average time on site if the website is not fully optimized for mobile. Mobile users often have slower load times, smaller screens, and more difficult navigation, which can cause them to leave quickly. However, if the mobile experience is well designed, engagement can improve because mobile users tend to visit more frequently and consume content quickly.</t>
  </si>
  <si>
    <t>Part 4: Making a Business Recommendation</t>
  </si>
  <si>
    <t>Now that you've analyzed the engagement metrics before and after the website split, it’s time to interpret your findings and make a recommendation to The Recording Academy team.</t>
  </si>
  <si>
    <t>8a</t>
  </si>
  <si>
    <r>
      <t xml:space="preserve">Write a clear and specific prompt for ChatGPT to draft a </t>
    </r>
    <r>
      <rPr>
        <i/>
        <sz val="11"/>
        <color rgb="FF000000"/>
        <rFont val="Calibri"/>
        <family val="2"/>
        <scheme val="minor"/>
      </rPr>
      <t>brief</t>
    </r>
    <r>
      <rPr>
        <sz val="11"/>
        <color rgb="FF000000"/>
        <rFont val="Calibri"/>
        <family val="2"/>
        <scheme val="minor"/>
      </rPr>
      <t xml:space="preserve"> business memo to The Recording Academy. Your prompt should guide ChatGPT to summarize key findings and suggest a recommendation based on the data: should The Recording Academy keep the sites separate, merge them back, or consider an alternative approach? Paste your prompt below.</t>
    </r>
  </si>
  <si>
    <t>Write a brief business memo to The Recording Academy evaluating whether the decision to split Grammy.com and RecordingAcademy.com improved user engagement. Use the following metrics: pages per session (Recording Academy: 2.78, Grammys: 2.25, combined before split: 1.86), average time on site (Recording Academy: 128.50 seconds, Grammys: 82.99 seconds, combined before split: 102.85 seconds), and bounce rate trends. Summarize the key insights, compare engagement before and after the split, and explain what the changes suggest about user behavior. Based on this analysis, recommend whether the Academy should keep the sites separate, merge them back together, or pursue an alternative strategy such as improving mobile optimization. Keep the tone professional and concise and focus on actionable business recommendations.</t>
  </si>
  <si>
    <t>8b</t>
  </si>
  <si>
    <t>What did ChatGPT do well? Did it capture the key trends and insights? What was missing or inaccurate? Were any important details left out or misrepresented?</t>
  </si>
  <si>
    <t>ChatGPT did well in accurately identifying that the test group outperformed the control group by 23% and that the results were statistically significant with a 96% confidence level, correctly supporting the recommendation to continue the split website structure. However, it initially lacked business-specific phrasing, context on why the improvement matters for engagement goals, and a polished, executive-ready tone. While the key trends were captured, the memo needed refinement to emphasize strategic implications and make it suitable for a leadership presentation.</t>
  </si>
  <si>
    <t>8c</t>
  </si>
  <si>
    <t>Based on your reflection and evaluation of AI's assist, write your final, revised business memo below. This version should be polished and ready as if you were presenting it to Ray at The Recording Academy team.</t>
  </si>
  <si>
    <t>Note!</t>
  </si>
  <si>
    <t>To: Ray, The Recording Academy
From: Prabin Uprety
Date: 03/01/2026
Subject: Evaluation of Website Split – User Engagement
Overview:
Our analysis examined whether splitting Grammy.com and RecordingAcademy.com improved user engagement. The control group maintained the combined site, while the test group experienced the split structure.
Key Findings:
The test group outperformed the control group by 23% across engagement metrics.
Pages per session increased for Recording Academy visitors (2.78) compared to Grammys-only (2.25) and combined site (1.86).
Average time on site rose significantly for Recording Academy visitors (128.50 seconds) versus Grammys-only (82.99 seconds) and the pre-split combined site (102.85 seconds).
Bounce rates decreased for Recording Academy visitors (33.7%) compared to Grammys (40.2%) and the combined site (41.6%).
These trends indicate that the split improved engagement for Recording Academy content while Grammys visitors remain more task-focused and event-driven.
Recommendation:
It is recommended that The Recording Academy maintain the split website structure. The separation allows each audience to access more relevant content, resulting in stronger engagement on the Recording Academy site. To further optimize results, we suggest improving mobile experience, as 73.7% of visitors access the site via mobile devices, which can impact bounce rate and session duration.</t>
  </si>
  <si>
    <t>LevelUp: Analyzing an A/B Test</t>
  </si>
  <si>
    <r>
      <t xml:space="preserve">As part of your analysis of the website split between Grammys and The Recording Academy, you’re also tasked with evaluating an A/B test to understand whether the split impacts how visitors engage with a specific Call-to-Action (CTA) on the homepage. Find out more in the </t>
    </r>
    <r>
      <rPr>
        <b/>
        <sz val="11"/>
        <color rgb="FF000000"/>
        <rFont val="Calibri"/>
        <family val="2"/>
        <scheme val="minor"/>
      </rPr>
      <t>LevelUp</t>
    </r>
    <r>
      <rPr>
        <sz val="11"/>
        <color rgb="FF000000"/>
        <rFont val="Calibri"/>
        <family val="2"/>
        <scheme val="minor"/>
      </rPr>
      <t xml:space="preserve"> worksheet, where you'll complete all LevelUp tasks!</t>
    </r>
  </si>
  <si>
    <t>date</t>
  </si>
  <si>
    <t>visitors</t>
  </si>
  <si>
    <t>pageviews</t>
  </si>
  <si>
    <t>sessions</t>
  </si>
  <si>
    <t>bounced_sessions</t>
  </si>
  <si>
    <t>avg_session_duration_secs</t>
  </si>
  <si>
    <t>event_type</t>
  </si>
  <si>
    <t>mobile_visitors</t>
  </si>
  <si>
    <t>Regular Day</t>
  </si>
  <si>
    <t>Average of visitors</t>
  </si>
  <si>
    <t>Grammy Awards</t>
  </si>
  <si>
    <t>year</t>
  </si>
  <si>
    <r>
      <rPr>
        <b/>
        <sz val="24"/>
        <color theme="1"/>
        <rFont val="Calibri"/>
        <family val="2"/>
        <scheme val="minor"/>
      </rPr>
      <t>LevelUp |</t>
    </r>
    <r>
      <rPr>
        <sz val="24"/>
        <color theme="1"/>
        <rFont val="Calibri"/>
        <family val="2"/>
        <scheme val="minor"/>
      </rPr>
      <t xml:space="preserve"> A/B Testing for The Grammys</t>
    </r>
  </si>
  <si>
    <t>website version</t>
  </si>
  <si>
    <t>group</t>
  </si>
  <si>
    <t>CTA clicked</t>
  </si>
  <si>
    <t>websites combined</t>
  </si>
  <si>
    <t>control</t>
  </si>
  <si>
    <r>
      <rPr>
        <sz val="12"/>
        <color rgb="FF000000"/>
        <rFont val="Calibri"/>
        <scheme val="minor"/>
      </rPr>
      <t>As part of your analysis of the website split between Grammy.com and TheRecordingAcademy.com, you're also tasked with conducting a controlled A/B test to assess how the change affects visitor engagement with a key Call-to-Action (CTA) on the homepage. The CTA reads: "Click here to watch highlights from the 64th GRAMMY Awards!"
To ensure valid results, a portion of users were randomly assigned to see the old, combined site and a another portion of users were assigned to see one of the new split sites.</t>
    </r>
    <r>
      <rPr>
        <b/>
        <sz val="12"/>
        <color rgb="FF000000"/>
        <rFont val="Calibri"/>
        <scheme val="minor"/>
      </rPr>
      <t xml:space="preserve"> The control group</t>
    </r>
    <r>
      <rPr>
        <sz val="12"/>
        <color rgb="FF000000"/>
        <rFont val="Calibri"/>
        <scheme val="minor"/>
      </rPr>
      <t xml:space="preserve"> consists of visitors who were directed to the original, combined Grammy and Recording Academy website. </t>
    </r>
    <r>
      <rPr>
        <b/>
        <sz val="12"/>
        <color rgb="FF000000"/>
        <rFont val="Calibri"/>
        <scheme val="minor"/>
      </rPr>
      <t>The test group</t>
    </r>
    <r>
      <rPr>
        <sz val="12"/>
        <color rgb="FF000000"/>
        <rFont val="Calibri"/>
        <scheme val="minor"/>
      </rPr>
      <t xml:space="preserve"> consists of visitors who were directed to either Grammy.com or TheRecordingAcademy.com after the split.
For this LevelUp, you'll evaluate the results of this A/B test and determine whether splitting the website into two separeate sites had a significant impact on the likelihood to engage with the CTA button and watch the Grammy highlights.</t>
    </r>
  </si>
  <si>
    <t>websites split</t>
  </si>
  <si>
    <t>test</t>
  </si>
  <si>
    <t>In a sentence or two, state the null hypothesis for The Academy's A/B test.</t>
  </si>
  <si>
    <t>ple</t>
  </si>
  <si>
    <t>There is no difference in engagement with the CTA between visitors to the original combined website and visitors to the split sites.</t>
  </si>
  <si>
    <t>In a sentence or two, state the alternative hypothesis for The Academy's A/B test.</t>
  </si>
  <si>
    <t>Visitors to the split sites (Grammy.com or RecordingAcademy.com) show higher engagement with the CTA compared to visitors to the original combined website.</t>
  </si>
  <si>
    <t>Data for the A/B Test was collected, and the results can be found in the ABTest data table to the right. In the opened column,  0 indicates that the button was not clicked, while 1 indicates the button was clicked.</t>
  </si>
  <si>
    <t>Insert a PivotTable below here!</t>
  </si>
  <si>
    <t>In the sheet called PivotTable, create a PivotTable that summarizes the total visitors in the test and control groups during this test and the number of times the CTA button was clicked in each group.</t>
  </si>
  <si>
    <t>To check your work, what is the difference in the number of visitors between the two groups?</t>
  </si>
  <si>
    <t>Count of group</t>
  </si>
  <si>
    <t>Sum of CTA clicked</t>
  </si>
  <si>
    <t>What is the difference in the number of CTA clicks between the two groups?</t>
  </si>
  <si>
    <t>Use the A/B Test Significance Calculator below to help you answer the following questions.</t>
  </si>
  <si>
    <t>Which group performed better, the control or the test group? Are your results statistically significant?</t>
  </si>
  <si>
    <t>As per the calculation, the test group performed better by 23%, which creates a 96% of confidence level to implement our test group. Also, the results are significant as well, which gives enough evidence that the Null hypothesis should be rejected.</t>
  </si>
  <si>
    <r>
      <t xml:space="preserve">Based on these results, should The Recording Academy continue with the split website structure? Explain why
</t>
    </r>
    <r>
      <rPr>
        <i/>
        <sz val="12"/>
        <color theme="1"/>
        <rFont val="Calibri"/>
        <family val="2"/>
        <scheme val="minor"/>
      </rPr>
      <t>Remember you can use ChatGPT as your teammate in helping to interpret these results in the context of your hypothesis and the overall goal of increasing website engagement!</t>
    </r>
  </si>
  <si>
    <t>Yes, based on the result, the Recording Academy should continue with the split website structure because, by the A/B testing, our test group, formed by splitting the sites, performed 23% better than the control group with 96% confidence level. This indicates that the change positively impacts website engagement and supports the goal of improving user interaction.</t>
  </si>
  <si>
    <t>Data Dictionary: Grammys</t>
  </si>
  <si>
    <t>column name</t>
  </si>
  <si>
    <t>description</t>
  </si>
  <si>
    <t>The date of the recorded website activity.</t>
  </si>
  <si>
    <t>The number of unique visitors to the website on a given day.</t>
  </si>
  <si>
    <t>The total number of pages viewed by all visitors.</t>
  </si>
  <si>
    <t>The total number of browsing sessions initiated by visitors.</t>
  </si>
  <si>
    <t>The number of sessions where the user left the site without interacting.</t>
  </si>
  <si>
    <t>The average length of a session in seconds.</t>
  </si>
  <si>
    <t>The type of event occurring on that date (e.g., Grammy Awards, nominee announcements).</t>
  </si>
  <si>
    <t>The type of content hosted on the website that day (e.g., "Grammys" or "Grammys + TRA").</t>
  </si>
  <si>
    <t>The number of visitors accessing the website from a mobile device.</t>
  </si>
  <si>
    <t>Data Dictionary: TRA</t>
  </si>
  <si>
    <t>Question</t>
  </si>
  <si>
    <t>Value</t>
  </si>
  <si>
    <t>Tolerance</t>
  </si>
  <si>
    <t>student-solution</t>
  </si>
  <si>
    <t>student-formula</t>
  </si>
  <si>
    <t>LevelUp4</t>
  </si>
  <si>
    <t>LevelUp5</t>
  </si>
  <si>
    <t>free response</t>
  </si>
  <si>
    <t>LevelUp1</t>
  </si>
  <si>
    <t>LevelUp2</t>
  </si>
  <si>
    <t>LevelUp6</t>
  </si>
  <si>
    <t>LevelUp7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</si>
</sst>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2">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b/>
      <sz val="11"/>
      <color theme="1"/>
      <name val="Calibri"/>
      <family val="2"/>
      <scheme val="minor"/>
    </font>
    <font>
      <sz val="11"/>
      <color rgb="FF000000"/>
      <name val="Calibri"/>
      <family val="2"/>
      <scheme val="minor"/>
    </font>
    <font>
      <sz val="10.5"/>
      <color rgb="FF000000"/>
      <name val="+mn-lt"/>
      <charset val="1"/>
    </font>
    <font>
      <b/>
      <sz val="10.5"/>
      <color rgb="FF000000"/>
      <name val="+mn-lt"/>
      <charset val="1"/>
    </font>
    <font>
      <b/>
      <sz val="11"/>
      <color rgb="FF000000"/>
      <name val="Calibri"/>
      <family val="2"/>
      <scheme val="minor"/>
    </font>
    <font>
      <i/>
      <sz val="11"/>
      <color rgb="FF000000"/>
      <name val="Calibri"/>
      <family val="2"/>
      <scheme val="minor"/>
    </font>
    <font>
      <sz val="11"/>
      <color theme="1"/>
      <name val="Calibri"/>
      <family val="2"/>
      <scheme val="minor"/>
    </font>
    <font>
      <sz val="12"/>
      <color theme="5" tint="0.79998168889431442"/>
      <name val="Calibri"/>
      <family val="2"/>
      <scheme val="minor"/>
    </font>
    <font>
      <sz val="10.5"/>
      <color rgb="FF000000"/>
      <name val="Calibri"/>
      <family val="2"/>
    </font>
    <font>
      <b/>
      <sz val="10.5"/>
      <color rgb="FF000000"/>
      <name val="Calibri"/>
      <family val="2"/>
    </font>
    <font>
      <sz val="10"/>
      <color rgb="FF000000"/>
      <name val="Calibri"/>
      <family val="2"/>
    </font>
    <font>
      <b/>
      <sz val="10"/>
      <color rgb="FF000000"/>
      <name val="Calibri"/>
      <family val="2"/>
    </font>
    <font>
      <sz val="24"/>
      <color theme="1"/>
      <name val="Calibri"/>
      <family val="2"/>
      <scheme val="minor"/>
    </font>
    <font>
      <b/>
      <sz val="24"/>
      <color theme="1"/>
      <name val="Calibri"/>
      <family val="2"/>
      <scheme val="minor"/>
    </font>
    <font>
      <b/>
      <sz val="14"/>
      <color theme="1"/>
      <name val="Calibri"/>
      <family val="2"/>
      <scheme val="minor"/>
    </font>
    <font>
      <sz val="11"/>
      <color rgb="FF000000"/>
      <name val="Calibri"/>
      <family val="34"/>
    </font>
    <font>
      <sz val="11"/>
      <color rgb="FF000000"/>
      <name val="Calibri"/>
      <family val="2"/>
    </font>
    <font>
      <b/>
      <sz val="11"/>
      <color rgb="FF000000"/>
      <name val="Calibri"/>
      <family val="2"/>
    </font>
    <font>
      <u/>
      <sz val="11"/>
      <color theme="10"/>
      <name val="Calibri"/>
      <family val="2"/>
      <scheme val="minor"/>
    </font>
    <font>
      <b/>
      <sz val="12"/>
      <color theme="5"/>
      <name val="Calibri"/>
      <family val="2"/>
      <scheme val="minor"/>
    </font>
    <font>
      <b/>
      <u/>
      <sz val="11"/>
      <color theme="10"/>
      <name val="Calibri"/>
      <family val="2"/>
      <scheme val="minor"/>
    </font>
    <font>
      <sz val="12"/>
      <color rgb="FF000000"/>
      <name val="Calibri"/>
      <scheme val="minor"/>
    </font>
    <font>
      <b/>
      <sz val="12"/>
      <color rgb="FF000000"/>
      <name val="Calibri"/>
      <scheme val="minor"/>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2CFED"/>
        <bgColor indexed="64"/>
      </patternFill>
    </fill>
    <fill>
      <patternFill patternType="solid">
        <fgColor theme="0" tint="-0.14999847407452621"/>
        <bgColor indexed="64"/>
      </patternFill>
    </fill>
    <fill>
      <patternFill patternType="solid">
        <fgColor theme="5"/>
        <bgColor indexed="64"/>
      </patternFill>
    </fill>
    <fill>
      <patternFill patternType="solid">
        <fgColor rgb="FF71D1EE"/>
        <bgColor indexed="64"/>
      </patternFill>
    </fill>
    <fill>
      <patternFill patternType="solid">
        <fgColor rgb="FF72D1EE"/>
        <bgColor indexed="64"/>
      </patternFill>
    </fill>
    <fill>
      <patternFill patternType="solid">
        <fgColor rgb="FFC3E8F3"/>
        <bgColor indexed="64"/>
      </patternFill>
    </fill>
    <fill>
      <patternFill patternType="solid">
        <fgColor rgb="FF72D0ED"/>
        <bgColor indexed="64"/>
      </patternFill>
    </fill>
    <fill>
      <patternFill patternType="solid">
        <fgColor rgb="FFFCF3B3"/>
        <bgColor indexed="64"/>
      </patternFill>
    </fill>
    <fill>
      <patternFill patternType="solid">
        <fgColor rgb="FFAEF4D3"/>
        <bgColor indexed="64"/>
      </patternFill>
    </fill>
    <fill>
      <patternFill patternType="solid">
        <fgColor rgb="FFF8C43F"/>
        <bgColor indexed="64"/>
      </patternFill>
    </fill>
    <fill>
      <patternFill patternType="solid">
        <fgColor theme="8"/>
        <bgColor indexed="64"/>
      </patternFill>
    </fill>
    <fill>
      <patternFill patternType="solid">
        <fgColor rgb="FFC3E8F3"/>
        <bgColor rgb="FF000000"/>
      </patternFill>
    </fill>
    <fill>
      <patternFill patternType="solid">
        <fgColor rgb="FF72CFED"/>
        <bgColor rgb="FF000000"/>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0"/>
      </bottom>
      <diagonal/>
    </border>
    <border>
      <left/>
      <right style="medium">
        <color theme="0"/>
      </right>
      <top style="medium">
        <color theme="0"/>
      </top>
      <bottom/>
      <diagonal/>
    </border>
    <border>
      <left style="medium">
        <color theme="0"/>
      </left>
      <right/>
      <top style="medium">
        <color theme="0"/>
      </top>
      <bottom/>
      <diagonal/>
    </border>
    <border>
      <left/>
      <right/>
      <top style="medium">
        <color theme="0"/>
      </top>
      <bottom/>
      <diagonal/>
    </border>
    <border>
      <left style="medium">
        <color theme="0"/>
      </left>
      <right/>
      <top/>
      <bottom/>
      <diagonal/>
    </border>
    <border>
      <left style="medium">
        <color theme="0"/>
      </left>
      <right style="medium">
        <color theme="0"/>
      </right>
      <top style="medium">
        <color theme="0"/>
      </top>
      <bottom style="medium">
        <color theme="0"/>
      </bottom>
      <diagonal/>
    </border>
    <border>
      <left style="medium">
        <color theme="0"/>
      </left>
      <right/>
      <top/>
      <bottom style="medium">
        <color theme="0"/>
      </bottom>
      <diagonal/>
    </border>
    <border>
      <left style="medium">
        <color theme="0"/>
      </left>
      <right style="medium">
        <color theme="0"/>
      </right>
      <top style="medium">
        <color theme="0"/>
      </top>
      <bottom/>
      <diagonal/>
    </border>
    <border>
      <left/>
      <right/>
      <top/>
      <bottom style="medium">
        <color rgb="FFFFFFFF"/>
      </bottom>
      <diagonal/>
    </border>
    <border>
      <left/>
      <right style="medium">
        <color rgb="FFFFFFFF"/>
      </right>
      <top style="medium">
        <color rgb="FFFFFFFF"/>
      </top>
      <bottom/>
      <diagonal/>
    </border>
    <border>
      <left style="medium">
        <color theme="0"/>
      </left>
      <right/>
      <top/>
      <bottom style="medium">
        <color rgb="FFFFFFFF"/>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right style="medium">
        <color theme="0"/>
      </right>
      <top/>
      <bottom style="medium">
        <color theme="0"/>
      </bottom>
      <diagonal/>
    </border>
    <border>
      <left/>
      <right style="medium">
        <color theme="0"/>
      </right>
      <top/>
      <bottom/>
      <diagonal/>
    </border>
  </borders>
  <cellStyleXfs count="46">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5" fillId="0" borderId="0"/>
    <xf numFmtId="0" fontId="1" fillId="0" borderId="0"/>
    <xf numFmtId="0" fontId="37" fillId="0" borderId="0" applyNumberFormat="0" applyFill="0" applyBorder="0" applyAlignment="0" applyProtection="0"/>
  </cellStyleXfs>
  <cellXfs count="111">
    <xf numFmtId="0" fontId="0" fillId="0" borderId="0" xfId="0"/>
    <xf numFmtId="14" fontId="0" fillId="0" borderId="0" xfId="0" applyNumberFormat="1"/>
    <xf numFmtId="1" fontId="0" fillId="0" borderId="0" xfId="0" applyNumberFormat="1"/>
    <xf numFmtId="2" fontId="0" fillId="34" borderId="15" xfId="0" applyNumberFormat="1" applyFill="1" applyBorder="1"/>
    <xf numFmtId="164" fontId="0" fillId="34" borderId="15" xfId="1" applyNumberFormat="1" applyFont="1" applyFill="1" applyBorder="1"/>
    <xf numFmtId="0" fontId="0" fillId="35" borderId="0" xfId="0" applyFill="1"/>
    <xf numFmtId="0" fontId="0" fillId="0" borderId="0" xfId="0" applyAlignment="1">
      <alignment wrapText="1"/>
    </xf>
    <xf numFmtId="0" fontId="19" fillId="36" borderId="15" xfId="0" applyFont="1" applyFill="1" applyBorder="1" applyAlignment="1">
      <alignment horizontal="center" vertical="center"/>
    </xf>
    <xf numFmtId="0" fontId="19" fillId="36" borderId="21" xfId="0" applyFont="1" applyFill="1" applyBorder="1" applyAlignment="1">
      <alignment horizontal="center" vertical="center"/>
    </xf>
    <xf numFmtId="0" fontId="19" fillId="36" borderId="17" xfId="0" applyFont="1" applyFill="1" applyBorder="1" applyAlignment="1">
      <alignment horizontal="center" vertical="center"/>
    </xf>
    <xf numFmtId="2" fontId="0" fillId="34" borderId="17" xfId="0" applyNumberFormat="1" applyFill="1" applyBorder="1"/>
    <xf numFmtId="0" fontId="25" fillId="0" borderId="0" xfId="43"/>
    <xf numFmtId="0" fontId="1" fillId="0" borderId="0" xfId="44" applyAlignment="1">
      <alignment vertical="center"/>
    </xf>
    <xf numFmtId="0" fontId="25" fillId="0" borderId="0" xfId="43" applyAlignment="1">
      <alignment wrapText="1"/>
    </xf>
    <xf numFmtId="0" fontId="19" fillId="38" borderId="15" xfId="44" applyFont="1" applyFill="1" applyBorder="1" applyAlignment="1">
      <alignment horizontal="center" vertical="center"/>
    </xf>
    <xf numFmtId="0" fontId="25" fillId="0" borderId="0" xfId="44" applyFont="1"/>
    <xf numFmtId="0" fontId="19" fillId="38" borderId="21" xfId="0" applyFont="1" applyFill="1" applyBorder="1" applyAlignment="1">
      <alignment horizontal="center" vertical="center"/>
    </xf>
    <xf numFmtId="0" fontId="0" fillId="38" borderId="15" xfId="0" applyFill="1" applyBorder="1" applyAlignment="1">
      <alignment horizontal="left" wrapText="1"/>
    </xf>
    <xf numFmtId="0" fontId="1" fillId="0" borderId="0" xfId="44"/>
    <xf numFmtId="0" fontId="16" fillId="0" borderId="0" xfId="0" applyFont="1"/>
    <xf numFmtId="0" fontId="16" fillId="0" borderId="0" xfId="0" applyFont="1" applyAlignment="1">
      <alignment wrapText="1"/>
    </xf>
    <xf numFmtId="0" fontId="25" fillId="0" borderId="0" xfId="44" applyFont="1" applyAlignment="1">
      <alignment wrapText="1"/>
    </xf>
    <xf numFmtId="0" fontId="19" fillId="38" borderId="15" xfId="0" applyFont="1" applyFill="1" applyBorder="1" applyAlignment="1">
      <alignment horizontal="center" vertical="center"/>
    </xf>
    <xf numFmtId="0" fontId="26" fillId="14" borderId="0" xfId="24" applyFont="1" applyAlignment="1">
      <alignment wrapText="1"/>
    </xf>
    <xf numFmtId="0" fontId="38" fillId="35" borderId="0" xfId="0" applyFont="1" applyFill="1"/>
    <xf numFmtId="0" fontId="38" fillId="13" borderId="0" xfId="23" applyFont="1" applyAlignment="1">
      <alignment wrapText="1"/>
    </xf>
    <xf numFmtId="0" fontId="19" fillId="45" borderId="19" xfId="0" applyFont="1" applyFill="1" applyBorder="1" applyAlignment="1">
      <alignment horizontal="center" vertical="center"/>
    </xf>
    <xf numFmtId="0" fontId="0" fillId="0" borderId="0" xfId="0" pivotButton="1"/>
    <xf numFmtId="0" fontId="14" fillId="0" borderId="0" xfId="44" applyFont="1" applyAlignment="1">
      <alignment vertical="center"/>
    </xf>
    <xf numFmtId="0" fontId="33" fillId="37" borderId="15" xfId="44" applyFont="1" applyFill="1" applyBorder="1" applyAlignment="1">
      <alignment horizontal="center" vertical="center"/>
    </xf>
    <xf numFmtId="0" fontId="16" fillId="38" borderId="15" xfId="0" applyFont="1" applyFill="1" applyBorder="1" applyAlignment="1">
      <alignment horizontal="left" wrapText="1"/>
    </xf>
    <xf numFmtId="0" fontId="20" fillId="44" borderId="15" xfId="0" applyFont="1" applyFill="1" applyBorder="1" applyAlignment="1">
      <alignment horizontal="left" vertical="center" wrapText="1"/>
    </xf>
    <xf numFmtId="0" fontId="19" fillId="38" borderId="15" xfId="0" applyFont="1" applyFill="1" applyBorder="1" applyAlignment="1">
      <alignment horizontal="center" vertical="center"/>
    </xf>
    <xf numFmtId="0" fontId="19" fillId="38" borderId="17" xfId="0" applyFont="1" applyFill="1" applyBorder="1" applyAlignment="1">
      <alignment horizontal="center" vertical="center"/>
    </xf>
    <xf numFmtId="0" fontId="19" fillId="38" borderId="22" xfId="0" applyFont="1" applyFill="1" applyBorder="1" applyAlignment="1">
      <alignment horizontal="center" vertical="center"/>
    </xf>
    <xf numFmtId="0" fontId="19" fillId="38" borderId="21" xfId="0" applyFont="1" applyFill="1" applyBorder="1" applyAlignment="1">
      <alignment horizontal="center" vertical="center"/>
    </xf>
    <xf numFmtId="0" fontId="25" fillId="40" borderId="15" xfId="43" applyFill="1" applyBorder="1" applyAlignment="1">
      <alignment vertical="top" wrapText="1"/>
    </xf>
    <xf numFmtId="0" fontId="19" fillId="33" borderId="17" xfId="0" applyFont="1" applyFill="1" applyBorder="1" applyAlignment="1">
      <alignment horizontal="center" vertical="center"/>
    </xf>
    <xf numFmtId="0" fontId="19" fillId="33" borderId="21" xfId="0" applyFont="1" applyFill="1" applyBorder="1" applyAlignment="1">
      <alignment horizontal="center" vertical="center"/>
    </xf>
    <xf numFmtId="0" fontId="25" fillId="38" borderId="17" xfId="43" applyFill="1" applyBorder="1" applyAlignment="1">
      <alignment horizontal="left" vertical="center" wrapText="1"/>
    </xf>
    <xf numFmtId="0" fontId="25" fillId="38" borderId="21" xfId="43" applyFill="1" applyBorder="1" applyAlignment="1">
      <alignment horizontal="left" vertical="center" wrapText="1"/>
    </xf>
    <xf numFmtId="0" fontId="31" fillId="37" borderId="15" xfId="44" applyFont="1" applyFill="1" applyBorder="1" applyAlignment="1">
      <alignment horizontal="center" vertical="center"/>
    </xf>
    <xf numFmtId="0" fontId="0" fillId="38" borderId="15" xfId="43" applyFont="1" applyFill="1" applyBorder="1" applyAlignment="1">
      <alignment horizontal="left" vertical="center" wrapText="1"/>
    </xf>
    <xf numFmtId="0" fontId="1" fillId="38" borderId="15" xfId="43" applyFont="1" applyFill="1" applyBorder="1" applyAlignment="1">
      <alignment horizontal="left" vertical="center" wrapText="1"/>
    </xf>
    <xf numFmtId="0" fontId="19" fillId="33" borderId="13" xfId="0" applyFont="1" applyFill="1" applyBorder="1" applyAlignment="1">
      <alignment horizontal="center" vertical="center"/>
    </xf>
    <xf numFmtId="0" fontId="19" fillId="33" borderId="0" xfId="0" applyFont="1" applyFill="1" applyAlignment="1">
      <alignment horizontal="center" vertical="center"/>
    </xf>
    <xf numFmtId="0" fontId="20" fillId="44" borderId="13" xfId="0" applyFont="1" applyFill="1" applyBorder="1" applyAlignment="1">
      <alignment horizontal="left" vertical="center" wrapText="1"/>
    </xf>
    <xf numFmtId="0" fontId="20" fillId="44" borderId="0" xfId="0" applyFont="1" applyFill="1" applyAlignment="1">
      <alignment horizontal="left" vertical="center" wrapText="1"/>
    </xf>
    <xf numFmtId="0" fontId="19" fillId="33" borderId="22" xfId="0" applyFont="1" applyFill="1" applyBorder="1" applyAlignment="1">
      <alignment horizontal="center" vertical="center"/>
    </xf>
    <xf numFmtId="0" fontId="20" fillId="44" borderId="17" xfId="0" applyFont="1" applyFill="1" applyBorder="1" applyAlignment="1">
      <alignment horizontal="left" vertical="center" wrapText="1"/>
    </xf>
    <xf numFmtId="0" fontId="20" fillId="44" borderId="22" xfId="0" applyFont="1" applyFill="1" applyBorder="1" applyAlignment="1">
      <alignment horizontal="left" vertical="center" wrapText="1"/>
    </xf>
    <xf numFmtId="0" fontId="20" fillId="44" borderId="21" xfId="0" applyFont="1" applyFill="1" applyBorder="1" applyAlignment="1">
      <alignment horizontal="left" vertical="center" wrapText="1"/>
    </xf>
    <xf numFmtId="0" fontId="20" fillId="44" borderId="12" xfId="0" applyFont="1" applyFill="1" applyBorder="1" applyAlignment="1">
      <alignment horizontal="left" vertical="center" wrapText="1"/>
    </xf>
    <xf numFmtId="0" fontId="20" fillId="44" borderId="20" xfId="0" applyFont="1" applyFill="1" applyBorder="1" applyAlignment="1">
      <alignment horizontal="left" vertical="center" wrapText="1"/>
    </xf>
    <xf numFmtId="0" fontId="20" fillId="44" borderId="18" xfId="0" applyFont="1" applyFill="1" applyBorder="1" applyAlignment="1">
      <alignment horizontal="left" vertical="center" wrapText="1"/>
    </xf>
    <xf numFmtId="0" fontId="1" fillId="40" borderId="15" xfId="44" applyFill="1" applyBorder="1" applyAlignment="1">
      <alignment horizontal="center" vertical="center"/>
    </xf>
    <xf numFmtId="0" fontId="25" fillId="41" borderId="15" xfId="43" applyFill="1" applyBorder="1" applyAlignment="1">
      <alignment horizontal="left" vertical="center" wrapText="1"/>
    </xf>
    <xf numFmtId="0" fontId="20" fillId="44" borderId="11" xfId="0" applyFont="1" applyFill="1" applyBorder="1" applyAlignment="1">
      <alignment horizontal="left" vertical="center" wrapText="1"/>
    </xf>
    <xf numFmtId="0" fontId="20" fillId="44" borderId="16" xfId="0" applyFont="1" applyFill="1" applyBorder="1" applyAlignment="1">
      <alignment horizontal="left" vertical="center" wrapText="1"/>
    </xf>
    <xf numFmtId="0" fontId="20" fillId="44" borderId="23" xfId="0" applyFont="1" applyFill="1" applyBorder="1" applyAlignment="1">
      <alignment horizontal="left" vertical="center" wrapText="1"/>
    </xf>
    <xf numFmtId="0" fontId="19" fillId="38" borderId="17" xfId="43" applyFont="1" applyFill="1" applyBorder="1" applyAlignment="1">
      <alignment horizontal="center" vertical="center" wrapText="1"/>
    </xf>
    <xf numFmtId="0" fontId="19" fillId="38" borderId="21" xfId="43" applyFont="1" applyFill="1" applyBorder="1" applyAlignment="1">
      <alignment horizontal="center" vertical="center" wrapText="1"/>
    </xf>
    <xf numFmtId="0" fontId="0" fillId="38" borderId="14" xfId="0" applyFill="1" applyBorder="1" applyAlignment="1">
      <alignment horizontal="left" wrapText="1"/>
    </xf>
    <xf numFmtId="0" fontId="0" fillId="38" borderId="0" xfId="0" applyFill="1" applyAlignment="1">
      <alignment horizontal="left" wrapText="1"/>
    </xf>
    <xf numFmtId="0" fontId="25" fillId="38" borderId="0" xfId="0" applyFont="1" applyFill="1" applyAlignment="1">
      <alignment horizontal="left" vertical="center" wrapText="1"/>
    </xf>
    <xf numFmtId="0" fontId="25" fillId="38" borderId="10" xfId="0" applyFont="1" applyFill="1" applyBorder="1" applyAlignment="1">
      <alignment horizontal="left" vertical="center" wrapText="1"/>
    </xf>
    <xf numFmtId="0" fontId="19" fillId="41" borderId="15" xfId="43" applyFont="1" applyFill="1" applyBorder="1" applyAlignment="1">
      <alignment horizontal="left" vertical="center" wrapText="1"/>
    </xf>
    <xf numFmtId="0" fontId="0" fillId="38" borderId="12" xfId="0" applyFill="1" applyBorder="1" applyAlignment="1">
      <alignment horizontal="left" wrapText="1"/>
    </xf>
    <xf numFmtId="0" fontId="0" fillId="38" borderId="13" xfId="0" applyFill="1" applyBorder="1" applyAlignment="1">
      <alignment horizontal="left" wrapText="1"/>
    </xf>
    <xf numFmtId="0" fontId="20" fillId="44" borderId="10" xfId="0" applyFont="1" applyFill="1" applyBorder="1" applyAlignment="1">
      <alignment horizontal="left" vertical="center" wrapText="1"/>
    </xf>
    <xf numFmtId="0" fontId="19" fillId="33" borderId="11" xfId="0" applyFont="1" applyFill="1" applyBorder="1" applyAlignment="1">
      <alignment horizontal="center" vertical="center"/>
    </xf>
    <xf numFmtId="0" fontId="19" fillId="33" borderId="23" xfId="0" applyFont="1" applyFill="1" applyBorder="1" applyAlignment="1">
      <alignment horizontal="center" vertical="center"/>
    </xf>
    <xf numFmtId="0" fontId="0" fillId="38" borderId="15" xfId="0" applyFill="1" applyBorder="1" applyAlignment="1">
      <alignment horizontal="left" wrapText="1"/>
    </xf>
    <xf numFmtId="0" fontId="19" fillId="36" borderId="15" xfId="0" applyFont="1" applyFill="1" applyBorder="1" applyAlignment="1">
      <alignment horizontal="center" vertical="center"/>
    </xf>
    <xf numFmtId="164" fontId="0" fillId="34" borderId="15" xfId="1" applyNumberFormat="1" applyFont="1" applyFill="1" applyBorder="1" applyAlignment="1">
      <alignment horizontal="center" vertical="center"/>
    </xf>
    <xf numFmtId="0" fontId="19" fillId="38" borderId="15" xfId="43" applyFont="1" applyFill="1" applyBorder="1" applyAlignment="1">
      <alignment horizontal="center" vertical="center"/>
    </xf>
    <xf numFmtId="0" fontId="25" fillId="38" borderId="15" xfId="43" applyFill="1" applyBorder="1" applyAlignment="1">
      <alignment vertical="top" wrapText="1"/>
    </xf>
    <xf numFmtId="0" fontId="0" fillId="40" borderId="15" xfId="44" applyFont="1" applyFill="1" applyBorder="1" applyAlignment="1">
      <alignment horizontal="left" vertical="center" wrapText="1"/>
    </xf>
    <xf numFmtId="0" fontId="1" fillId="40" borderId="15" xfId="44" applyFill="1" applyBorder="1" applyAlignment="1">
      <alignment horizontal="left" vertical="center" wrapText="1"/>
    </xf>
    <xf numFmtId="0" fontId="40" fillId="38" borderId="15" xfId="43" applyFont="1" applyFill="1" applyBorder="1" applyAlignment="1">
      <alignment horizontal="left" vertical="center" wrapText="1"/>
    </xf>
    <xf numFmtId="0" fontId="1" fillId="38" borderId="15" xfId="44" applyFill="1" applyBorder="1" applyAlignment="1">
      <alignment horizontal="left" vertical="center"/>
    </xf>
    <xf numFmtId="0" fontId="33" fillId="37" borderId="0" xfId="0" applyFont="1" applyFill="1" applyAlignment="1">
      <alignment horizontal="left" vertical="center"/>
    </xf>
    <xf numFmtId="0" fontId="19" fillId="38" borderId="15" xfId="44" applyFont="1" applyFill="1" applyBorder="1" applyAlignment="1">
      <alignment horizontal="center" vertical="center"/>
    </xf>
    <xf numFmtId="0" fontId="0" fillId="38" borderId="15" xfId="44" applyFont="1" applyFill="1" applyBorder="1" applyAlignment="1">
      <alignment vertical="center" wrapText="1"/>
    </xf>
    <xf numFmtId="0" fontId="1" fillId="38" borderId="15" xfId="44" applyFill="1" applyBorder="1" applyAlignment="1">
      <alignment vertical="center" wrapText="1"/>
    </xf>
    <xf numFmtId="0" fontId="1" fillId="40" borderId="15" xfId="44" applyFill="1" applyBorder="1" applyAlignment="1">
      <alignment vertical="center" wrapText="1"/>
    </xf>
    <xf numFmtId="0" fontId="19" fillId="38" borderId="15" xfId="44" applyFont="1" applyFill="1" applyBorder="1" applyAlignment="1">
      <alignment horizontal="center" vertical="center" wrapText="1"/>
    </xf>
    <xf numFmtId="0" fontId="39" fillId="38" borderId="15" xfId="45" applyFont="1" applyFill="1" applyBorder="1" applyAlignment="1">
      <alignment horizontal="center" vertical="center" wrapText="1"/>
    </xf>
    <xf numFmtId="0" fontId="19" fillId="39" borderId="15" xfId="43" applyFont="1" applyFill="1" applyBorder="1" applyAlignment="1">
      <alignment horizontal="center" vertical="center" wrapText="1"/>
    </xf>
    <xf numFmtId="0" fontId="25" fillId="38" borderId="15" xfId="43" applyFill="1" applyBorder="1" applyAlignment="1">
      <alignment horizontal="left" vertical="center" wrapText="1"/>
    </xf>
    <xf numFmtId="0" fontId="25" fillId="34" borderId="15" xfId="43" applyFill="1" applyBorder="1" applyAlignment="1">
      <alignment vertical="center" wrapText="1"/>
    </xf>
    <xf numFmtId="0" fontId="32" fillId="42" borderId="14" xfId="43" applyFont="1" applyFill="1" applyBorder="1" applyAlignment="1">
      <alignment horizontal="center" vertical="center"/>
    </xf>
    <xf numFmtId="0" fontId="32" fillId="42" borderId="0" xfId="43" applyFont="1" applyFill="1" applyAlignment="1">
      <alignment horizontal="center" vertical="center"/>
    </xf>
    <xf numFmtId="0" fontId="32" fillId="43" borderId="14" xfId="43" applyFont="1" applyFill="1" applyBorder="1" applyAlignment="1">
      <alignment horizontal="center" vertical="center"/>
    </xf>
    <xf numFmtId="0" fontId="32" fillId="43" borderId="0" xfId="43" applyFont="1" applyFill="1" applyAlignment="1">
      <alignment horizontal="center" vertical="center"/>
    </xf>
    <xf numFmtId="0" fontId="25" fillId="40" borderId="12" xfId="43" applyFill="1" applyBorder="1" applyAlignment="1">
      <alignment vertical="top" wrapText="1"/>
    </xf>
    <xf numFmtId="0" fontId="25" fillId="40" borderId="13" xfId="43" applyFill="1" applyBorder="1" applyAlignment="1">
      <alignment vertical="top" wrapText="1"/>
    </xf>
    <xf numFmtId="0" fontId="25" fillId="40" borderId="11" xfId="43" applyFill="1" applyBorder="1" applyAlignment="1">
      <alignment vertical="top" wrapText="1"/>
    </xf>
    <xf numFmtId="0" fontId="25" fillId="40" borderId="14" xfId="43" applyFill="1" applyBorder="1" applyAlignment="1">
      <alignment vertical="top" wrapText="1"/>
    </xf>
    <xf numFmtId="0" fontId="25" fillId="40" borderId="0" xfId="43" applyFill="1" applyBorder="1" applyAlignment="1">
      <alignment vertical="top" wrapText="1"/>
    </xf>
    <xf numFmtId="0" fontId="25" fillId="40" borderId="24" xfId="43" applyFill="1" applyBorder="1" applyAlignment="1">
      <alignment vertical="top" wrapText="1"/>
    </xf>
    <xf numFmtId="0" fontId="25" fillId="40" borderId="16" xfId="43" applyFill="1" applyBorder="1" applyAlignment="1">
      <alignment vertical="top" wrapText="1"/>
    </xf>
    <xf numFmtId="0" fontId="25" fillId="40" borderId="10" xfId="43" applyFill="1" applyBorder="1" applyAlignment="1">
      <alignment vertical="top" wrapText="1"/>
    </xf>
    <xf numFmtId="0" fontId="25" fillId="40" borderId="23" xfId="43" applyFill="1" applyBorder="1" applyAlignment="1">
      <alignment vertical="top" wrapText="1"/>
    </xf>
    <xf numFmtId="0" fontId="33" fillId="37" borderId="12" xfId="44" applyFont="1" applyFill="1" applyBorder="1" applyAlignment="1">
      <alignment horizontal="center" vertical="center"/>
    </xf>
    <xf numFmtId="0" fontId="33" fillId="37" borderId="13" xfId="44" applyFont="1" applyFill="1" applyBorder="1" applyAlignment="1">
      <alignment horizontal="center" vertical="center"/>
    </xf>
    <xf numFmtId="0" fontId="33" fillId="37" borderId="11" xfId="44" applyFont="1" applyFill="1" applyBorder="1" applyAlignment="1">
      <alignment horizontal="center" vertical="center"/>
    </xf>
    <xf numFmtId="0" fontId="33" fillId="37" borderId="16" xfId="44" applyFont="1" applyFill="1" applyBorder="1" applyAlignment="1">
      <alignment horizontal="center" vertical="center"/>
    </xf>
    <xf numFmtId="0" fontId="33" fillId="37" borderId="10" xfId="44" applyFont="1" applyFill="1" applyBorder="1" applyAlignment="1">
      <alignment horizontal="center" vertical="center"/>
    </xf>
    <xf numFmtId="0" fontId="33" fillId="37" borderId="23" xfId="44" applyFont="1" applyFill="1" applyBorder="1" applyAlignment="1">
      <alignment horizontal="center" vertical="center"/>
    </xf>
    <xf numFmtId="0" fontId="0" fillId="0" borderId="0" xfId="0" applyNumberFormat="1"/>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5" builtinId="8"/>
    <cellStyle name="Input" xfId="10" builtinId="20" customBuiltin="1"/>
    <cellStyle name="Linked Cell" xfId="13" builtinId="24" customBuiltin="1"/>
    <cellStyle name="Neutral" xfId="9" builtinId="28" customBuiltin="1"/>
    <cellStyle name="Normal" xfId="0" builtinId="0"/>
    <cellStyle name="Normal 2" xfId="43" xr:uid="{85784847-EB35-0F40-8267-B881941BD50B}"/>
    <cellStyle name="Normal 2 2" xfId="44" xr:uid="{B0F57022-88D3-E742-9E7C-1411A11CBD78}"/>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8">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numFmt numFmtId="0" formatCode="General"/>
      <alignment horizontal="general" vertical="center" textRotation="0" wrapText="0" indent="0" justifyLastLine="0" shrinkToFit="0" readingOrder="0"/>
    </dxf>
    <dxf>
      <font>
        <strike val="0"/>
        <outline val="0"/>
        <shadow val="0"/>
        <u val="none"/>
        <vertAlign val="baseline"/>
        <sz val="12"/>
        <color theme="1"/>
        <name val="Calibri"/>
        <family val="2"/>
        <scheme val="minor"/>
      </font>
    </dxf>
    <dxf>
      <fill>
        <patternFill>
          <bgColor rgb="FF98DA74"/>
        </patternFill>
      </fill>
    </dxf>
    <dxf>
      <fill>
        <patternFill>
          <bgColor rgb="FF98DA74"/>
        </patternFill>
      </fill>
    </dxf>
    <dxf>
      <numFmt numFmtId="1" formatCode="0"/>
    </dxf>
    <dxf>
      <numFmt numFmtId="165" formatCode="m/d/yy"/>
    </dxf>
    <dxf>
      <numFmt numFmtId="165" formatCode="m/d/yy"/>
    </dxf>
    <dxf>
      <numFmt numFmtId="0" formatCode="General"/>
    </dxf>
    <dxf>
      <numFmt numFmtId="0" formatCode="General"/>
    </dxf>
    <dxf>
      <numFmt numFmtId="165" formatCode="m/d/yy"/>
    </dxf>
    <dxf>
      <fill>
        <patternFill>
          <bgColor theme="5" tint="0.79998168889431442"/>
        </patternFill>
      </fill>
    </dxf>
    <dxf>
      <fill>
        <patternFill>
          <bgColor theme="5" tint="0.79998168889431442"/>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s>
  <tableStyles count="0" defaultTableStyle="TableStyleMedium2" defaultPivotStyle="PivotStyleLight16"/>
  <colors>
    <mruColors>
      <color rgb="FFC3E8F3"/>
      <color rgb="FF98DA74"/>
      <color rgb="FFFCF3B3"/>
      <color rgb="FF71D1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a:t>Count of Grammy's Website Visitors,2017-2023</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'Grammys Data'!$A$2:$A$2343</c:f>
              <c:numCache>
                <c:formatCode>m/d/yyyy</c:formatCode>
                <c:ptCount val="2342"/>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pt idx="31">
                  <c:v>42767</c:v>
                </c:pt>
                <c:pt idx="32">
                  <c:v>42768</c:v>
                </c:pt>
                <c:pt idx="33">
                  <c:v>42769</c:v>
                </c:pt>
                <c:pt idx="34">
                  <c:v>42770</c:v>
                </c:pt>
                <c:pt idx="35">
                  <c:v>42771</c:v>
                </c:pt>
                <c:pt idx="36">
                  <c:v>42772</c:v>
                </c:pt>
                <c:pt idx="37">
                  <c:v>42773</c:v>
                </c:pt>
                <c:pt idx="38">
                  <c:v>42774</c:v>
                </c:pt>
                <c:pt idx="39">
                  <c:v>42775</c:v>
                </c:pt>
                <c:pt idx="40">
                  <c:v>42776</c:v>
                </c:pt>
                <c:pt idx="41">
                  <c:v>42777</c:v>
                </c:pt>
                <c:pt idx="42">
                  <c:v>42778</c:v>
                </c:pt>
                <c:pt idx="43">
                  <c:v>42779</c:v>
                </c:pt>
                <c:pt idx="44">
                  <c:v>42780</c:v>
                </c:pt>
                <c:pt idx="45">
                  <c:v>42781</c:v>
                </c:pt>
                <c:pt idx="46">
                  <c:v>42782</c:v>
                </c:pt>
                <c:pt idx="47">
                  <c:v>42783</c:v>
                </c:pt>
                <c:pt idx="48">
                  <c:v>42784</c:v>
                </c:pt>
                <c:pt idx="49">
                  <c:v>42785</c:v>
                </c:pt>
                <c:pt idx="50">
                  <c:v>42786</c:v>
                </c:pt>
                <c:pt idx="51">
                  <c:v>42787</c:v>
                </c:pt>
                <c:pt idx="52">
                  <c:v>42788</c:v>
                </c:pt>
                <c:pt idx="53">
                  <c:v>42789</c:v>
                </c:pt>
                <c:pt idx="54">
                  <c:v>42790</c:v>
                </c:pt>
                <c:pt idx="55">
                  <c:v>42791</c:v>
                </c:pt>
                <c:pt idx="56">
                  <c:v>42792</c:v>
                </c:pt>
                <c:pt idx="57">
                  <c:v>42793</c:v>
                </c:pt>
                <c:pt idx="58">
                  <c:v>42794</c:v>
                </c:pt>
                <c:pt idx="59">
                  <c:v>42795</c:v>
                </c:pt>
                <c:pt idx="60">
                  <c:v>42796</c:v>
                </c:pt>
                <c:pt idx="61">
                  <c:v>42797</c:v>
                </c:pt>
                <c:pt idx="62">
                  <c:v>42798</c:v>
                </c:pt>
                <c:pt idx="63">
                  <c:v>42799</c:v>
                </c:pt>
                <c:pt idx="64">
                  <c:v>42800</c:v>
                </c:pt>
                <c:pt idx="65">
                  <c:v>42801</c:v>
                </c:pt>
                <c:pt idx="66">
                  <c:v>42802</c:v>
                </c:pt>
                <c:pt idx="67">
                  <c:v>42803</c:v>
                </c:pt>
                <c:pt idx="68">
                  <c:v>42804</c:v>
                </c:pt>
                <c:pt idx="69">
                  <c:v>42805</c:v>
                </c:pt>
                <c:pt idx="70">
                  <c:v>42806</c:v>
                </c:pt>
                <c:pt idx="71">
                  <c:v>42807</c:v>
                </c:pt>
                <c:pt idx="72">
                  <c:v>42808</c:v>
                </c:pt>
                <c:pt idx="73">
                  <c:v>42809</c:v>
                </c:pt>
                <c:pt idx="74">
                  <c:v>42810</c:v>
                </c:pt>
                <c:pt idx="75">
                  <c:v>42811</c:v>
                </c:pt>
                <c:pt idx="76">
                  <c:v>42812</c:v>
                </c:pt>
                <c:pt idx="77">
                  <c:v>42813</c:v>
                </c:pt>
                <c:pt idx="78">
                  <c:v>42814</c:v>
                </c:pt>
                <c:pt idx="79">
                  <c:v>42815</c:v>
                </c:pt>
                <c:pt idx="80">
                  <c:v>42816</c:v>
                </c:pt>
                <c:pt idx="81">
                  <c:v>42817</c:v>
                </c:pt>
                <c:pt idx="82">
                  <c:v>42818</c:v>
                </c:pt>
                <c:pt idx="83">
                  <c:v>42819</c:v>
                </c:pt>
                <c:pt idx="84">
                  <c:v>42820</c:v>
                </c:pt>
                <c:pt idx="85">
                  <c:v>42821</c:v>
                </c:pt>
                <c:pt idx="86">
                  <c:v>42822</c:v>
                </c:pt>
                <c:pt idx="87">
                  <c:v>42823</c:v>
                </c:pt>
                <c:pt idx="88">
                  <c:v>42824</c:v>
                </c:pt>
                <c:pt idx="89">
                  <c:v>42825</c:v>
                </c:pt>
                <c:pt idx="90">
                  <c:v>42826</c:v>
                </c:pt>
                <c:pt idx="91">
                  <c:v>42827</c:v>
                </c:pt>
                <c:pt idx="92">
                  <c:v>42828</c:v>
                </c:pt>
                <c:pt idx="93">
                  <c:v>42829</c:v>
                </c:pt>
                <c:pt idx="94">
                  <c:v>42830</c:v>
                </c:pt>
                <c:pt idx="95">
                  <c:v>42831</c:v>
                </c:pt>
                <c:pt idx="96">
                  <c:v>42832</c:v>
                </c:pt>
                <c:pt idx="97">
                  <c:v>42833</c:v>
                </c:pt>
                <c:pt idx="98">
                  <c:v>42834</c:v>
                </c:pt>
                <c:pt idx="99">
                  <c:v>42835</c:v>
                </c:pt>
                <c:pt idx="100">
                  <c:v>42836</c:v>
                </c:pt>
                <c:pt idx="101">
                  <c:v>42837</c:v>
                </c:pt>
                <c:pt idx="102">
                  <c:v>42838</c:v>
                </c:pt>
                <c:pt idx="103">
                  <c:v>42839</c:v>
                </c:pt>
                <c:pt idx="104">
                  <c:v>42840</c:v>
                </c:pt>
                <c:pt idx="105">
                  <c:v>42841</c:v>
                </c:pt>
                <c:pt idx="106">
                  <c:v>42842</c:v>
                </c:pt>
                <c:pt idx="107">
                  <c:v>42843</c:v>
                </c:pt>
                <c:pt idx="108">
                  <c:v>42844</c:v>
                </c:pt>
                <c:pt idx="109">
                  <c:v>42845</c:v>
                </c:pt>
                <c:pt idx="110">
                  <c:v>42846</c:v>
                </c:pt>
                <c:pt idx="111">
                  <c:v>42847</c:v>
                </c:pt>
                <c:pt idx="112">
                  <c:v>42848</c:v>
                </c:pt>
                <c:pt idx="113">
                  <c:v>42849</c:v>
                </c:pt>
                <c:pt idx="114">
                  <c:v>42850</c:v>
                </c:pt>
                <c:pt idx="115">
                  <c:v>42851</c:v>
                </c:pt>
                <c:pt idx="116">
                  <c:v>42852</c:v>
                </c:pt>
                <c:pt idx="117">
                  <c:v>42853</c:v>
                </c:pt>
                <c:pt idx="118">
                  <c:v>42854</c:v>
                </c:pt>
                <c:pt idx="119">
                  <c:v>42855</c:v>
                </c:pt>
                <c:pt idx="120">
                  <c:v>42856</c:v>
                </c:pt>
                <c:pt idx="121">
                  <c:v>42857</c:v>
                </c:pt>
                <c:pt idx="122">
                  <c:v>42858</c:v>
                </c:pt>
                <c:pt idx="123">
                  <c:v>42859</c:v>
                </c:pt>
                <c:pt idx="124">
                  <c:v>42860</c:v>
                </c:pt>
                <c:pt idx="125">
                  <c:v>42861</c:v>
                </c:pt>
                <c:pt idx="126">
                  <c:v>42862</c:v>
                </c:pt>
                <c:pt idx="127">
                  <c:v>42863</c:v>
                </c:pt>
                <c:pt idx="128">
                  <c:v>42864</c:v>
                </c:pt>
                <c:pt idx="129">
                  <c:v>42865</c:v>
                </c:pt>
                <c:pt idx="130">
                  <c:v>42866</c:v>
                </c:pt>
                <c:pt idx="131">
                  <c:v>42867</c:v>
                </c:pt>
                <c:pt idx="132">
                  <c:v>42868</c:v>
                </c:pt>
                <c:pt idx="133">
                  <c:v>42869</c:v>
                </c:pt>
                <c:pt idx="134">
                  <c:v>42870</c:v>
                </c:pt>
                <c:pt idx="135">
                  <c:v>42871</c:v>
                </c:pt>
                <c:pt idx="136">
                  <c:v>42872</c:v>
                </c:pt>
                <c:pt idx="137">
                  <c:v>42873</c:v>
                </c:pt>
                <c:pt idx="138">
                  <c:v>42874</c:v>
                </c:pt>
                <c:pt idx="139">
                  <c:v>42875</c:v>
                </c:pt>
                <c:pt idx="140">
                  <c:v>42876</c:v>
                </c:pt>
                <c:pt idx="141">
                  <c:v>42877</c:v>
                </c:pt>
                <c:pt idx="142">
                  <c:v>42878</c:v>
                </c:pt>
                <c:pt idx="143">
                  <c:v>42879</c:v>
                </c:pt>
                <c:pt idx="144">
                  <c:v>42880</c:v>
                </c:pt>
                <c:pt idx="145">
                  <c:v>42881</c:v>
                </c:pt>
                <c:pt idx="146">
                  <c:v>42882</c:v>
                </c:pt>
                <c:pt idx="147">
                  <c:v>42883</c:v>
                </c:pt>
                <c:pt idx="148">
                  <c:v>42884</c:v>
                </c:pt>
                <c:pt idx="149">
                  <c:v>42885</c:v>
                </c:pt>
                <c:pt idx="150">
                  <c:v>42886</c:v>
                </c:pt>
                <c:pt idx="151">
                  <c:v>42887</c:v>
                </c:pt>
                <c:pt idx="152">
                  <c:v>42888</c:v>
                </c:pt>
                <c:pt idx="153">
                  <c:v>42889</c:v>
                </c:pt>
                <c:pt idx="154">
                  <c:v>42890</c:v>
                </c:pt>
                <c:pt idx="155">
                  <c:v>42891</c:v>
                </c:pt>
                <c:pt idx="156">
                  <c:v>42892</c:v>
                </c:pt>
                <c:pt idx="157">
                  <c:v>42893</c:v>
                </c:pt>
                <c:pt idx="158">
                  <c:v>42894</c:v>
                </c:pt>
                <c:pt idx="159">
                  <c:v>42895</c:v>
                </c:pt>
                <c:pt idx="160">
                  <c:v>42896</c:v>
                </c:pt>
                <c:pt idx="161">
                  <c:v>42897</c:v>
                </c:pt>
                <c:pt idx="162">
                  <c:v>42898</c:v>
                </c:pt>
                <c:pt idx="163">
                  <c:v>42899</c:v>
                </c:pt>
                <c:pt idx="164">
                  <c:v>42900</c:v>
                </c:pt>
                <c:pt idx="165">
                  <c:v>42901</c:v>
                </c:pt>
                <c:pt idx="166">
                  <c:v>42902</c:v>
                </c:pt>
                <c:pt idx="167">
                  <c:v>42903</c:v>
                </c:pt>
                <c:pt idx="168">
                  <c:v>42904</c:v>
                </c:pt>
                <c:pt idx="169">
                  <c:v>42905</c:v>
                </c:pt>
                <c:pt idx="170">
                  <c:v>42906</c:v>
                </c:pt>
                <c:pt idx="171">
                  <c:v>42907</c:v>
                </c:pt>
                <c:pt idx="172">
                  <c:v>42908</c:v>
                </c:pt>
                <c:pt idx="173">
                  <c:v>42909</c:v>
                </c:pt>
                <c:pt idx="174">
                  <c:v>42910</c:v>
                </c:pt>
                <c:pt idx="175">
                  <c:v>42911</c:v>
                </c:pt>
                <c:pt idx="176">
                  <c:v>42912</c:v>
                </c:pt>
                <c:pt idx="177">
                  <c:v>42913</c:v>
                </c:pt>
                <c:pt idx="178">
                  <c:v>42914</c:v>
                </c:pt>
                <c:pt idx="179">
                  <c:v>42915</c:v>
                </c:pt>
                <c:pt idx="180">
                  <c:v>42916</c:v>
                </c:pt>
                <c:pt idx="181">
                  <c:v>42917</c:v>
                </c:pt>
                <c:pt idx="182">
                  <c:v>42918</c:v>
                </c:pt>
                <c:pt idx="183">
                  <c:v>42919</c:v>
                </c:pt>
                <c:pt idx="184">
                  <c:v>42920</c:v>
                </c:pt>
                <c:pt idx="185">
                  <c:v>42921</c:v>
                </c:pt>
                <c:pt idx="186">
                  <c:v>42922</c:v>
                </c:pt>
                <c:pt idx="187">
                  <c:v>42923</c:v>
                </c:pt>
                <c:pt idx="188">
                  <c:v>42924</c:v>
                </c:pt>
                <c:pt idx="189">
                  <c:v>42925</c:v>
                </c:pt>
                <c:pt idx="190">
                  <c:v>42926</c:v>
                </c:pt>
                <c:pt idx="191">
                  <c:v>42927</c:v>
                </c:pt>
                <c:pt idx="192">
                  <c:v>42928</c:v>
                </c:pt>
                <c:pt idx="193">
                  <c:v>42929</c:v>
                </c:pt>
                <c:pt idx="194">
                  <c:v>42930</c:v>
                </c:pt>
                <c:pt idx="195">
                  <c:v>42931</c:v>
                </c:pt>
                <c:pt idx="196">
                  <c:v>42932</c:v>
                </c:pt>
                <c:pt idx="197">
                  <c:v>42933</c:v>
                </c:pt>
                <c:pt idx="198">
                  <c:v>42934</c:v>
                </c:pt>
                <c:pt idx="199">
                  <c:v>42935</c:v>
                </c:pt>
                <c:pt idx="200">
                  <c:v>42936</c:v>
                </c:pt>
                <c:pt idx="201">
                  <c:v>42937</c:v>
                </c:pt>
                <c:pt idx="202">
                  <c:v>42938</c:v>
                </c:pt>
                <c:pt idx="203">
                  <c:v>42939</c:v>
                </c:pt>
                <c:pt idx="204">
                  <c:v>42940</c:v>
                </c:pt>
                <c:pt idx="205">
                  <c:v>42941</c:v>
                </c:pt>
                <c:pt idx="206">
                  <c:v>42942</c:v>
                </c:pt>
                <c:pt idx="207">
                  <c:v>42943</c:v>
                </c:pt>
                <c:pt idx="208">
                  <c:v>42944</c:v>
                </c:pt>
                <c:pt idx="209">
                  <c:v>42945</c:v>
                </c:pt>
                <c:pt idx="210">
                  <c:v>42946</c:v>
                </c:pt>
                <c:pt idx="211">
                  <c:v>42947</c:v>
                </c:pt>
                <c:pt idx="212">
                  <c:v>42948</c:v>
                </c:pt>
                <c:pt idx="213">
                  <c:v>42949</c:v>
                </c:pt>
                <c:pt idx="214">
                  <c:v>42950</c:v>
                </c:pt>
                <c:pt idx="215">
                  <c:v>42951</c:v>
                </c:pt>
                <c:pt idx="216">
                  <c:v>42952</c:v>
                </c:pt>
                <c:pt idx="217">
                  <c:v>42953</c:v>
                </c:pt>
                <c:pt idx="218">
                  <c:v>42954</c:v>
                </c:pt>
                <c:pt idx="219">
                  <c:v>42955</c:v>
                </c:pt>
                <c:pt idx="220">
                  <c:v>42956</c:v>
                </c:pt>
                <c:pt idx="221">
                  <c:v>42957</c:v>
                </c:pt>
                <c:pt idx="222">
                  <c:v>42958</c:v>
                </c:pt>
                <c:pt idx="223">
                  <c:v>42959</c:v>
                </c:pt>
                <c:pt idx="224">
                  <c:v>42960</c:v>
                </c:pt>
                <c:pt idx="225">
                  <c:v>42961</c:v>
                </c:pt>
                <c:pt idx="226">
                  <c:v>42962</c:v>
                </c:pt>
                <c:pt idx="227">
                  <c:v>42963</c:v>
                </c:pt>
                <c:pt idx="228">
                  <c:v>42964</c:v>
                </c:pt>
                <c:pt idx="229">
                  <c:v>42965</c:v>
                </c:pt>
                <c:pt idx="230">
                  <c:v>42966</c:v>
                </c:pt>
                <c:pt idx="231">
                  <c:v>42967</c:v>
                </c:pt>
                <c:pt idx="232">
                  <c:v>42968</c:v>
                </c:pt>
                <c:pt idx="233">
                  <c:v>42969</c:v>
                </c:pt>
                <c:pt idx="234">
                  <c:v>42970</c:v>
                </c:pt>
                <c:pt idx="235">
                  <c:v>42971</c:v>
                </c:pt>
                <c:pt idx="236">
                  <c:v>42972</c:v>
                </c:pt>
                <c:pt idx="237">
                  <c:v>42973</c:v>
                </c:pt>
                <c:pt idx="238">
                  <c:v>42974</c:v>
                </c:pt>
                <c:pt idx="239">
                  <c:v>42975</c:v>
                </c:pt>
                <c:pt idx="240">
                  <c:v>42976</c:v>
                </c:pt>
                <c:pt idx="241">
                  <c:v>42977</c:v>
                </c:pt>
                <c:pt idx="242">
                  <c:v>42978</c:v>
                </c:pt>
                <c:pt idx="243">
                  <c:v>42979</c:v>
                </c:pt>
                <c:pt idx="244">
                  <c:v>42980</c:v>
                </c:pt>
                <c:pt idx="245">
                  <c:v>42981</c:v>
                </c:pt>
                <c:pt idx="246">
                  <c:v>42982</c:v>
                </c:pt>
                <c:pt idx="247">
                  <c:v>42983</c:v>
                </c:pt>
                <c:pt idx="248">
                  <c:v>42984</c:v>
                </c:pt>
                <c:pt idx="249">
                  <c:v>42985</c:v>
                </c:pt>
                <c:pt idx="250">
                  <c:v>42986</c:v>
                </c:pt>
                <c:pt idx="251">
                  <c:v>42987</c:v>
                </c:pt>
                <c:pt idx="252">
                  <c:v>42988</c:v>
                </c:pt>
                <c:pt idx="253">
                  <c:v>42989</c:v>
                </c:pt>
                <c:pt idx="254">
                  <c:v>42990</c:v>
                </c:pt>
                <c:pt idx="255">
                  <c:v>42991</c:v>
                </c:pt>
                <c:pt idx="256">
                  <c:v>42992</c:v>
                </c:pt>
                <c:pt idx="257">
                  <c:v>42993</c:v>
                </c:pt>
                <c:pt idx="258">
                  <c:v>42994</c:v>
                </c:pt>
                <c:pt idx="259">
                  <c:v>42995</c:v>
                </c:pt>
                <c:pt idx="260">
                  <c:v>42996</c:v>
                </c:pt>
                <c:pt idx="261">
                  <c:v>42997</c:v>
                </c:pt>
                <c:pt idx="262">
                  <c:v>42998</c:v>
                </c:pt>
                <c:pt idx="263">
                  <c:v>42999</c:v>
                </c:pt>
                <c:pt idx="264">
                  <c:v>43000</c:v>
                </c:pt>
                <c:pt idx="265">
                  <c:v>43001</c:v>
                </c:pt>
                <c:pt idx="266">
                  <c:v>43002</c:v>
                </c:pt>
                <c:pt idx="267">
                  <c:v>43003</c:v>
                </c:pt>
                <c:pt idx="268">
                  <c:v>43004</c:v>
                </c:pt>
                <c:pt idx="269">
                  <c:v>43005</c:v>
                </c:pt>
                <c:pt idx="270">
                  <c:v>43006</c:v>
                </c:pt>
                <c:pt idx="271">
                  <c:v>43007</c:v>
                </c:pt>
                <c:pt idx="272">
                  <c:v>43008</c:v>
                </c:pt>
                <c:pt idx="273">
                  <c:v>43009</c:v>
                </c:pt>
                <c:pt idx="274">
                  <c:v>43010</c:v>
                </c:pt>
                <c:pt idx="275">
                  <c:v>43011</c:v>
                </c:pt>
                <c:pt idx="276">
                  <c:v>43012</c:v>
                </c:pt>
                <c:pt idx="277">
                  <c:v>43013</c:v>
                </c:pt>
                <c:pt idx="278">
                  <c:v>43014</c:v>
                </c:pt>
                <c:pt idx="279">
                  <c:v>43015</c:v>
                </c:pt>
                <c:pt idx="280">
                  <c:v>43016</c:v>
                </c:pt>
                <c:pt idx="281">
                  <c:v>43017</c:v>
                </c:pt>
                <c:pt idx="282">
                  <c:v>43018</c:v>
                </c:pt>
                <c:pt idx="283">
                  <c:v>43019</c:v>
                </c:pt>
                <c:pt idx="284">
                  <c:v>43020</c:v>
                </c:pt>
                <c:pt idx="285">
                  <c:v>43021</c:v>
                </c:pt>
                <c:pt idx="286">
                  <c:v>43022</c:v>
                </c:pt>
                <c:pt idx="287">
                  <c:v>43023</c:v>
                </c:pt>
                <c:pt idx="288">
                  <c:v>43024</c:v>
                </c:pt>
                <c:pt idx="289">
                  <c:v>43025</c:v>
                </c:pt>
                <c:pt idx="290">
                  <c:v>43026</c:v>
                </c:pt>
                <c:pt idx="291">
                  <c:v>43027</c:v>
                </c:pt>
                <c:pt idx="292">
                  <c:v>43028</c:v>
                </c:pt>
                <c:pt idx="293">
                  <c:v>43029</c:v>
                </c:pt>
                <c:pt idx="294">
                  <c:v>43030</c:v>
                </c:pt>
                <c:pt idx="295">
                  <c:v>43031</c:v>
                </c:pt>
                <c:pt idx="296">
                  <c:v>43032</c:v>
                </c:pt>
                <c:pt idx="297">
                  <c:v>43033</c:v>
                </c:pt>
                <c:pt idx="298">
                  <c:v>43034</c:v>
                </c:pt>
                <c:pt idx="299">
                  <c:v>43035</c:v>
                </c:pt>
                <c:pt idx="300">
                  <c:v>43036</c:v>
                </c:pt>
                <c:pt idx="301">
                  <c:v>43037</c:v>
                </c:pt>
                <c:pt idx="302">
                  <c:v>43038</c:v>
                </c:pt>
                <c:pt idx="303">
                  <c:v>43039</c:v>
                </c:pt>
                <c:pt idx="304">
                  <c:v>43040</c:v>
                </c:pt>
                <c:pt idx="305">
                  <c:v>43041</c:v>
                </c:pt>
                <c:pt idx="306">
                  <c:v>43042</c:v>
                </c:pt>
                <c:pt idx="307">
                  <c:v>43043</c:v>
                </c:pt>
                <c:pt idx="308">
                  <c:v>43044</c:v>
                </c:pt>
                <c:pt idx="309">
                  <c:v>43045</c:v>
                </c:pt>
                <c:pt idx="310">
                  <c:v>43046</c:v>
                </c:pt>
                <c:pt idx="311">
                  <c:v>43047</c:v>
                </c:pt>
                <c:pt idx="312">
                  <c:v>43048</c:v>
                </c:pt>
                <c:pt idx="313">
                  <c:v>43049</c:v>
                </c:pt>
                <c:pt idx="314">
                  <c:v>43050</c:v>
                </c:pt>
                <c:pt idx="315">
                  <c:v>43051</c:v>
                </c:pt>
                <c:pt idx="316">
                  <c:v>43052</c:v>
                </c:pt>
                <c:pt idx="317">
                  <c:v>43053</c:v>
                </c:pt>
                <c:pt idx="318">
                  <c:v>43054</c:v>
                </c:pt>
                <c:pt idx="319">
                  <c:v>43055</c:v>
                </c:pt>
                <c:pt idx="320">
                  <c:v>43056</c:v>
                </c:pt>
                <c:pt idx="321">
                  <c:v>43057</c:v>
                </c:pt>
                <c:pt idx="322">
                  <c:v>43058</c:v>
                </c:pt>
                <c:pt idx="323">
                  <c:v>43059</c:v>
                </c:pt>
                <c:pt idx="324">
                  <c:v>43060</c:v>
                </c:pt>
                <c:pt idx="325">
                  <c:v>43061</c:v>
                </c:pt>
                <c:pt idx="326">
                  <c:v>43062</c:v>
                </c:pt>
                <c:pt idx="327">
                  <c:v>43063</c:v>
                </c:pt>
                <c:pt idx="328">
                  <c:v>43064</c:v>
                </c:pt>
                <c:pt idx="329">
                  <c:v>43065</c:v>
                </c:pt>
                <c:pt idx="330">
                  <c:v>43066</c:v>
                </c:pt>
                <c:pt idx="331">
                  <c:v>43067</c:v>
                </c:pt>
                <c:pt idx="332">
                  <c:v>43068</c:v>
                </c:pt>
                <c:pt idx="333">
                  <c:v>43069</c:v>
                </c:pt>
                <c:pt idx="334">
                  <c:v>43070</c:v>
                </c:pt>
                <c:pt idx="335">
                  <c:v>43071</c:v>
                </c:pt>
                <c:pt idx="336">
                  <c:v>43072</c:v>
                </c:pt>
                <c:pt idx="337">
                  <c:v>43073</c:v>
                </c:pt>
                <c:pt idx="338">
                  <c:v>43074</c:v>
                </c:pt>
                <c:pt idx="339">
                  <c:v>43075</c:v>
                </c:pt>
                <c:pt idx="340">
                  <c:v>43076</c:v>
                </c:pt>
                <c:pt idx="341">
                  <c:v>43077</c:v>
                </c:pt>
                <c:pt idx="342">
                  <c:v>43078</c:v>
                </c:pt>
                <c:pt idx="343">
                  <c:v>43079</c:v>
                </c:pt>
                <c:pt idx="344">
                  <c:v>43080</c:v>
                </c:pt>
                <c:pt idx="345">
                  <c:v>43081</c:v>
                </c:pt>
                <c:pt idx="346">
                  <c:v>43082</c:v>
                </c:pt>
                <c:pt idx="347">
                  <c:v>43083</c:v>
                </c:pt>
                <c:pt idx="348">
                  <c:v>43084</c:v>
                </c:pt>
                <c:pt idx="349">
                  <c:v>43085</c:v>
                </c:pt>
                <c:pt idx="350">
                  <c:v>43086</c:v>
                </c:pt>
                <c:pt idx="351">
                  <c:v>43087</c:v>
                </c:pt>
                <c:pt idx="352">
                  <c:v>43088</c:v>
                </c:pt>
                <c:pt idx="353">
                  <c:v>43089</c:v>
                </c:pt>
                <c:pt idx="354">
                  <c:v>43090</c:v>
                </c:pt>
                <c:pt idx="355">
                  <c:v>43091</c:v>
                </c:pt>
                <c:pt idx="356">
                  <c:v>43092</c:v>
                </c:pt>
                <c:pt idx="357">
                  <c:v>43093</c:v>
                </c:pt>
                <c:pt idx="358">
                  <c:v>43094</c:v>
                </c:pt>
                <c:pt idx="359">
                  <c:v>43095</c:v>
                </c:pt>
                <c:pt idx="360">
                  <c:v>43096</c:v>
                </c:pt>
                <c:pt idx="361">
                  <c:v>43097</c:v>
                </c:pt>
                <c:pt idx="362">
                  <c:v>43098</c:v>
                </c:pt>
                <c:pt idx="363">
                  <c:v>43099</c:v>
                </c:pt>
                <c:pt idx="364">
                  <c:v>43100</c:v>
                </c:pt>
                <c:pt idx="365">
                  <c:v>43101</c:v>
                </c:pt>
                <c:pt idx="366">
                  <c:v>43102</c:v>
                </c:pt>
                <c:pt idx="367">
                  <c:v>43103</c:v>
                </c:pt>
                <c:pt idx="368">
                  <c:v>43104</c:v>
                </c:pt>
                <c:pt idx="369">
                  <c:v>43105</c:v>
                </c:pt>
                <c:pt idx="370">
                  <c:v>43106</c:v>
                </c:pt>
                <c:pt idx="371">
                  <c:v>43107</c:v>
                </c:pt>
                <c:pt idx="372">
                  <c:v>43108</c:v>
                </c:pt>
                <c:pt idx="373">
                  <c:v>43109</c:v>
                </c:pt>
                <c:pt idx="374">
                  <c:v>43110</c:v>
                </c:pt>
                <c:pt idx="375">
                  <c:v>43111</c:v>
                </c:pt>
                <c:pt idx="376">
                  <c:v>43112</c:v>
                </c:pt>
                <c:pt idx="377">
                  <c:v>43113</c:v>
                </c:pt>
                <c:pt idx="378">
                  <c:v>43114</c:v>
                </c:pt>
                <c:pt idx="379">
                  <c:v>43115</c:v>
                </c:pt>
                <c:pt idx="380">
                  <c:v>43116</c:v>
                </c:pt>
                <c:pt idx="381">
                  <c:v>43117</c:v>
                </c:pt>
                <c:pt idx="382">
                  <c:v>43118</c:v>
                </c:pt>
                <c:pt idx="383">
                  <c:v>43119</c:v>
                </c:pt>
                <c:pt idx="384">
                  <c:v>43120</c:v>
                </c:pt>
                <c:pt idx="385">
                  <c:v>43121</c:v>
                </c:pt>
                <c:pt idx="386">
                  <c:v>43122</c:v>
                </c:pt>
                <c:pt idx="387">
                  <c:v>43123</c:v>
                </c:pt>
                <c:pt idx="388">
                  <c:v>43124</c:v>
                </c:pt>
                <c:pt idx="389">
                  <c:v>43125</c:v>
                </c:pt>
                <c:pt idx="390">
                  <c:v>43126</c:v>
                </c:pt>
                <c:pt idx="391">
                  <c:v>43127</c:v>
                </c:pt>
                <c:pt idx="392">
                  <c:v>43128</c:v>
                </c:pt>
                <c:pt idx="393">
                  <c:v>43129</c:v>
                </c:pt>
                <c:pt idx="394">
                  <c:v>43130</c:v>
                </c:pt>
                <c:pt idx="395">
                  <c:v>43131</c:v>
                </c:pt>
                <c:pt idx="396">
                  <c:v>43132</c:v>
                </c:pt>
                <c:pt idx="397">
                  <c:v>43133</c:v>
                </c:pt>
                <c:pt idx="398">
                  <c:v>43134</c:v>
                </c:pt>
                <c:pt idx="399">
                  <c:v>43135</c:v>
                </c:pt>
                <c:pt idx="400">
                  <c:v>43136</c:v>
                </c:pt>
                <c:pt idx="401">
                  <c:v>43137</c:v>
                </c:pt>
                <c:pt idx="402">
                  <c:v>43138</c:v>
                </c:pt>
                <c:pt idx="403">
                  <c:v>43139</c:v>
                </c:pt>
                <c:pt idx="404">
                  <c:v>43140</c:v>
                </c:pt>
                <c:pt idx="405">
                  <c:v>43141</c:v>
                </c:pt>
                <c:pt idx="406">
                  <c:v>43142</c:v>
                </c:pt>
                <c:pt idx="407">
                  <c:v>43143</c:v>
                </c:pt>
                <c:pt idx="408">
                  <c:v>43144</c:v>
                </c:pt>
                <c:pt idx="409">
                  <c:v>43145</c:v>
                </c:pt>
                <c:pt idx="410">
                  <c:v>43146</c:v>
                </c:pt>
                <c:pt idx="411">
                  <c:v>43147</c:v>
                </c:pt>
                <c:pt idx="412">
                  <c:v>43148</c:v>
                </c:pt>
                <c:pt idx="413">
                  <c:v>43149</c:v>
                </c:pt>
                <c:pt idx="414">
                  <c:v>43150</c:v>
                </c:pt>
                <c:pt idx="415">
                  <c:v>43151</c:v>
                </c:pt>
                <c:pt idx="416">
                  <c:v>43152</c:v>
                </c:pt>
                <c:pt idx="417">
                  <c:v>43153</c:v>
                </c:pt>
                <c:pt idx="418">
                  <c:v>43154</c:v>
                </c:pt>
                <c:pt idx="419">
                  <c:v>43155</c:v>
                </c:pt>
                <c:pt idx="420">
                  <c:v>43156</c:v>
                </c:pt>
                <c:pt idx="421">
                  <c:v>43157</c:v>
                </c:pt>
                <c:pt idx="422">
                  <c:v>43158</c:v>
                </c:pt>
                <c:pt idx="423">
                  <c:v>43159</c:v>
                </c:pt>
                <c:pt idx="424">
                  <c:v>43160</c:v>
                </c:pt>
                <c:pt idx="425">
                  <c:v>43161</c:v>
                </c:pt>
                <c:pt idx="426">
                  <c:v>43162</c:v>
                </c:pt>
                <c:pt idx="427">
                  <c:v>43163</c:v>
                </c:pt>
                <c:pt idx="428">
                  <c:v>43164</c:v>
                </c:pt>
                <c:pt idx="429">
                  <c:v>43165</c:v>
                </c:pt>
                <c:pt idx="430">
                  <c:v>43166</c:v>
                </c:pt>
                <c:pt idx="431">
                  <c:v>43167</c:v>
                </c:pt>
                <c:pt idx="432">
                  <c:v>43168</c:v>
                </c:pt>
                <c:pt idx="433">
                  <c:v>43169</c:v>
                </c:pt>
                <c:pt idx="434">
                  <c:v>43170</c:v>
                </c:pt>
                <c:pt idx="435">
                  <c:v>43171</c:v>
                </c:pt>
                <c:pt idx="436">
                  <c:v>43172</c:v>
                </c:pt>
                <c:pt idx="437">
                  <c:v>43173</c:v>
                </c:pt>
                <c:pt idx="438">
                  <c:v>43174</c:v>
                </c:pt>
                <c:pt idx="439">
                  <c:v>43175</c:v>
                </c:pt>
                <c:pt idx="440">
                  <c:v>43176</c:v>
                </c:pt>
                <c:pt idx="441">
                  <c:v>43177</c:v>
                </c:pt>
                <c:pt idx="442">
                  <c:v>43178</c:v>
                </c:pt>
                <c:pt idx="443">
                  <c:v>43179</c:v>
                </c:pt>
                <c:pt idx="444">
                  <c:v>43180</c:v>
                </c:pt>
                <c:pt idx="445">
                  <c:v>43181</c:v>
                </c:pt>
                <c:pt idx="446">
                  <c:v>43182</c:v>
                </c:pt>
                <c:pt idx="447">
                  <c:v>43183</c:v>
                </c:pt>
                <c:pt idx="448">
                  <c:v>43184</c:v>
                </c:pt>
                <c:pt idx="449">
                  <c:v>43185</c:v>
                </c:pt>
                <c:pt idx="450">
                  <c:v>43186</c:v>
                </c:pt>
                <c:pt idx="451">
                  <c:v>43187</c:v>
                </c:pt>
                <c:pt idx="452">
                  <c:v>43188</c:v>
                </c:pt>
                <c:pt idx="453">
                  <c:v>43189</c:v>
                </c:pt>
                <c:pt idx="454">
                  <c:v>43190</c:v>
                </c:pt>
                <c:pt idx="455">
                  <c:v>43191</c:v>
                </c:pt>
                <c:pt idx="456">
                  <c:v>43192</c:v>
                </c:pt>
                <c:pt idx="457">
                  <c:v>43193</c:v>
                </c:pt>
                <c:pt idx="458">
                  <c:v>43194</c:v>
                </c:pt>
                <c:pt idx="459">
                  <c:v>43195</c:v>
                </c:pt>
                <c:pt idx="460">
                  <c:v>43196</c:v>
                </c:pt>
                <c:pt idx="461">
                  <c:v>43197</c:v>
                </c:pt>
                <c:pt idx="462">
                  <c:v>43198</c:v>
                </c:pt>
                <c:pt idx="463">
                  <c:v>43199</c:v>
                </c:pt>
                <c:pt idx="464">
                  <c:v>43200</c:v>
                </c:pt>
                <c:pt idx="465">
                  <c:v>43201</c:v>
                </c:pt>
                <c:pt idx="466">
                  <c:v>43202</c:v>
                </c:pt>
                <c:pt idx="467">
                  <c:v>43203</c:v>
                </c:pt>
                <c:pt idx="468">
                  <c:v>43204</c:v>
                </c:pt>
                <c:pt idx="469">
                  <c:v>43205</c:v>
                </c:pt>
                <c:pt idx="470">
                  <c:v>43206</c:v>
                </c:pt>
                <c:pt idx="471">
                  <c:v>43207</c:v>
                </c:pt>
                <c:pt idx="472">
                  <c:v>43208</c:v>
                </c:pt>
                <c:pt idx="473">
                  <c:v>43209</c:v>
                </c:pt>
                <c:pt idx="474">
                  <c:v>43210</c:v>
                </c:pt>
                <c:pt idx="475">
                  <c:v>43211</c:v>
                </c:pt>
                <c:pt idx="476">
                  <c:v>43212</c:v>
                </c:pt>
                <c:pt idx="477">
                  <c:v>43213</c:v>
                </c:pt>
                <c:pt idx="478">
                  <c:v>43214</c:v>
                </c:pt>
                <c:pt idx="479">
                  <c:v>43215</c:v>
                </c:pt>
                <c:pt idx="480">
                  <c:v>43216</c:v>
                </c:pt>
                <c:pt idx="481">
                  <c:v>43217</c:v>
                </c:pt>
                <c:pt idx="482">
                  <c:v>43218</c:v>
                </c:pt>
                <c:pt idx="483">
                  <c:v>43219</c:v>
                </c:pt>
                <c:pt idx="484">
                  <c:v>43220</c:v>
                </c:pt>
                <c:pt idx="485">
                  <c:v>43221</c:v>
                </c:pt>
                <c:pt idx="486">
                  <c:v>43222</c:v>
                </c:pt>
                <c:pt idx="487">
                  <c:v>43223</c:v>
                </c:pt>
                <c:pt idx="488">
                  <c:v>43224</c:v>
                </c:pt>
                <c:pt idx="489">
                  <c:v>43225</c:v>
                </c:pt>
                <c:pt idx="490">
                  <c:v>43226</c:v>
                </c:pt>
                <c:pt idx="491">
                  <c:v>43227</c:v>
                </c:pt>
                <c:pt idx="492">
                  <c:v>43228</c:v>
                </c:pt>
                <c:pt idx="493">
                  <c:v>43229</c:v>
                </c:pt>
                <c:pt idx="494">
                  <c:v>43230</c:v>
                </c:pt>
                <c:pt idx="495">
                  <c:v>43231</c:v>
                </c:pt>
                <c:pt idx="496">
                  <c:v>43232</c:v>
                </c:pt>
                <c:pt idx="497">
                  <c:v>43233</c:v>
                </c:pt>
                <c:pt idx="498">
                  <c:v>43234</c:v>
                </c:pt>
                <c:pt idx="499">
                  <c:v>43235</c:v>
                </c:pt>
                <c:pt idx="500">
                  <c:v>43236</c:v>
                </c:pt>
                <c:pt idx="501">
                  <c:v>43237</c:v>
                </c:pt>
                <c:pt idx="502">
                  <c:v>43238</c:v>
                </c:pt>
                <c:pt idx="503">
                  <c:v>43239</c:v>
                </c:pt>
                <c:pt idx="504">
                  <c:v>43240</c:v>
                </c:pt>
                <c:pt idx="505">
                  <c:v>43241</c:v>
                </c:pt>
                <c:pt idx="506">
                  <c:v>43242</c:v>
                </c:pt>
                <c:pt idx="507">
                  <c:v>43243</c:v>
                </c:pt>
                <c:pt idx="508">
                  <c:v>43244</c:v>
                </c:pt>
                <c:pt idx="509">
                  <c:v>43245</c:v>
                </c:pt>
                <c:pt idx="510">
                  <c:v>43246</c:v>
                </c:pt>
                <c:pt idx="511">
                  <c:v>43247</c:v>
                </c:pt>
                <c:pt idx="512">
                  <c:v>43248</c:v>
                </c:pt>
                <c:pt idx="513">
                  <c:v>43249</c:v>
                </c:pt>
                <c:pt idx="514">
                  <c:v>43250</c:v>
                </c:pt>
                <c:pt idx="515">
                  <c:v>43251</c:v>
                </c:pt>
                <c:pt idx="516">
                  <c:v>43252</c:v>
                </c:pt>
                <c:pt idx="517">
                  <c:v>43253</c:v>
                </c:pt>
                <c:pt idx="518">
                  <c:v>43254</c:v>
                </c:pt>
                <c:pt idx="519">
                  <c:v>43255</c:v>
                </c:pt>
                <c:pt idx="520">
                  <c:v>43256</c:v>
                </c:pt>
                <c:pt idx="521">
                  <c:v>43257</c:v>
                </c:pt>
                <c:pt idx="522">
                  <c:v>43258</c:v>
                </c:pt>
                <c:pt idx="523">
                  <c:v>43259</c:v>
                </c:pt>
                <c:pt idx="524">
                  <c:v>43260</c:v>
                </c:pt>
                <c:pt idx="525">
                  <c:v>43261</c:v>
                </c:pt>
                <c:pt idx="526">
                  <c:v>43262</c:v>
                </c:pt>
                <c:pt idx="527">
                  <c:v>43263</c:v>
                </c:pt>
                <c:pt idx="528">
                  <c:v>43264</c:v>
                </c:pt>
                <c:pt idx="529">
                  <c:v>43265</c:v>
                </c:pt>
                <c:pt idx="530">
                  <c:v>43266</c:v>
                </c:pt>
                <c:pt idx="531">
                  <c:v>43267</c:v>
                </c:pt>
                <c:pt idx="532">
                  <c:v>43268</c:v>
                </c:pt>
                <c:pt idx="533">
                  <c:v>43269</c:v>
                </c:pt>
                <c:pt idx="534">
                  <c:v>43270</c:v>
                </c:pt>
                <c:pt idx="535">
                  <c:v>43271</c:v>
                </c:pt>
                <c:pt idx="536">
                  <c:v>43272</c:v>
                </c:pt>
                <c:pt idx="537">
                  <c:v>43273</c:v>
                </c:pt>
                <c:pt idx="538">
                  <c:v>43274</c:v>
                </c:pt>
                <c:pt idx="539">
                  <c:v>43275</c:v>
                </c:pt>
                <c:pt idx="540">
                  <c:v>43276</c:v>
                </c:pt>
                <c:pt idx="541">
                  <c:v>43277</c:v>
                </c:pt>
                <c:pt idx="542">
                  <c:v>43278</c:v>
                </c:pt>
                <c:pt idx="543">
                  <c:v>43279</c:v>
                </c:pt>
                <c:pt idx="544">
                  <c:v>43280</c:v>
                </c:pt>
                <c:pt idx="545">
                  <c:v>43281</c:v>
                </c:pt>
                <c:pt idx="546">
                  <c:v>43282</c:v>
                </c:pt>
                <c:pt idx="547">
                  <c:v>43283</c:v>
                </c:pt>
                <c:pt idx="548">
                  <c:v>43284</c:v>
                </c:pt>
                <c:pt idx="549">
                  <c:v>43285</c:v>
                </c:pt>
                <c:pt idx="550">
                  <c:v>43286</c:v>
                </c:pt>
                <c:pt idx="551">
                  <c:v>43287</c:v>
                </c:pt>
                <c:pt idx="552">
                  <c:v>43288</c:v>
                </c:pt>
                <c:pt idx="553">
                  <c:v>43289</c:v>
                </c:pt>
                <c:pt idx="554">
                  <c:v>43290</c:v>
                </c:pt>
                <c:pt idx="555">
                  <c:v>43291</c:v>
                </c:pt>
                <c:pt idx="556">
                  <c:v>43292</c:v>
                </c:pt>
                <c:pt idx="557">
                  <c:v>43293</c:v>
                </c:pt>
                <c:pt idx="558">
                  <c:v>43294</c:v>
                </c:pt>
                <c:pt idx="559">
                  <c:v>43295</c:v>
                </c:pt>
                <c:pt idx="560">
                  <c:v>43296</c:v>
                </c:pt>
                <c:pt idx="561">
                  <c:v>43297</c:v>
                </c:pt>
                <c:pt idx="562">
                  <c:v>43298</c:v>
                </c:pt>
                <c:pt idx="563">
                  <c:v>43299</c:v>
                </c:pt>
                <c:pt idx="564">
                  <c:v>43300</c:v>
                </c:pt>
                <c:pt idx="565">
                  <c:v>43301</c:v>
                </c:pt>
                <c:pt idx="566">
                  <c:v>43302</c:v>
                </c:pt>
                <c:pt idx="567">
                  <c:v>43303</c:v>
                </c:pt>
                <c:pt idx="568">
                  <c:v>43304</c:v>
                </c:pt>
                <c:pt idx="569">
                  <c:v>43305</c:v>
                </c:pt>
                <c:pt idx="570">
                  <c:v>43306</c:v>
                </c:pt>
                <c:pt idx="571">
                  <c:v>43307</c:v>
                </c:pt>
                <c:pt idx="572">
                  <c:v>43308</c:v>
                </c:pt>
                <c:pt idx="573">
                  <c:v>43309</c:v>
                </c:pt>
                <c:pt idx="574">
                  <c:v>43310</c:v>
                </c:pt>
                <c:pt idx="575">
                  <c:v>43311</c:v>
                </c:pt>
                <c:pt idx="576">
                  <c:v>43312</c:v>
                </c:pt>
                <c:pt idx="577">
                  <c:v>43313</c:v>
                </c:pt>
                <c:pt idx="578">
                  <c:v>43314</c:v>
                </c:pt>
                <c:pt idx="579">
                  <c:v>43315</c:v>
                </c:pt>
                <c:pt idx="580">
                  <c:v>43316</c:v>
                </c:pt>
                <c:pt idx="581">
                  <c:v>43317</c:v>
                </c:pt>
                <c:pt idx="582">
                  <c:v>43318</c:v>
                </c:pt>
                <c:pt idx="583">
                  <c:v>43319</c:v>
                </c:pt>
                <c:pt idx="584">
                  <c:v>43320</c:v>
                </c:pt>
                <c:pt idx="585">
                  <c:v>43321</c:v>
                </c:pt>
                <c:pt idx="586">
                  <c:v>43322</c:v>
                </c:pt>
                <c:pt idx="587">
                  <c:v>43323</c:v>
                </c:pt>
                <c:pt idx="588">
                  <c:v>43324</c:v>
                </c:pt>
                <c:pt idx="589">
                  <c:v>43325</c:v>
                </c:pt>
                <c:pt idx="590">
                  <c:v>43326</c:v>
                </c:pt>
                <c:pt idx="591">
                  <c:v>43327</c:v>
                </c:pt>
                <c:pt idx="592">
                  <c:v>43328</c:v>
                </c:pt>
                <c:pt idx="593">
                  <c:v>43329</c:v>
                </c:pt>
                <c:pt idx="594">
                  <c:v>43330</c:v>
                </c:pt>
                <c:pt idx="595">
                  <c:v>43331</c:v>
                </c:pt>
                <c:pt idx="596">
                  <c:v>43332</c:v>
                </c:pt>
                <c:pt idx="597">
                  <c:v>43333</c:v>
                </c:pt>
                <c:pt idx="598">
                  <c:v>43334</c:v>
                </c:pt>
                <c:pt idx="599">
                  <c:v>43335</c:v>
                </c:pt>
                <c:pt idx="600">
                  <c:v>43336</c:v>
                </c:pt>
                <c:pt idx="601">
                  <c:v>43337</c:v>
                </c:pt>
                <c:pt idx="602">
                  <c:v>43338</c:v>
                </c:pt>
                <c:pt idx="603">
                  <c:v>43339</c:v>
                </c:pt>
                <c:pt idx="604">
                  <c:v>43340</c:v>
                </c:pt>
                <c:pt idx="605">
                  <c:v>43341</c:v>
                </c:pt>
                <c:pt idx="606">
                  <c:v>43342</c:v>
                </c:pt>
                <c:pt idx="607">
                  <c:v>43343</c:v>
                </c:pt>
                <c:pt idx="608">
                  <c:v>43344</c:v>
                </c:pt>
                <c:pt idx="609">
                  <c:v>43345</c:v>
                </c:pt>
                <c:pt idx="610">
                  <c:v>43346</c:v>
                </c:pt>
                <c:pt idx="611">
                  <c:v>43347</c:v>
                </c:pt>
                <c:pt idx="612">
                  <c:v>43348</c:v>
                </c:pt>
                <c:pt idx="613">
                  <c:v>43349</c:v>
                </c:pt>
                <c:pt idx="614">
                  <c:v>43350</c:v>
                </c:pt>
                <c:pt idx="615">
                  <c:v>43351</c:v>
                </c:pt>
                <c:pt idx="616">
                  <c:v>43352</c:v>
                </c:pt>
                <c:pt idx="617">
                  <c:v>43353</c:v>
                </c:pt>
                <c:pt idx="618">
                  <c:v>43354</c:v>
                </c:pt>
                <c:pt idx="619">
                  <c:v>43355</c:v>
                </c:pt>
                <c:pt idx="620">
                  <c:v>43356</c:v>
                </c:pt>
                <c:pt idx="621">
                  <c:v>43357</c:v>
                </c:pt>
                <c:pt idx="622">
                  <c:v>43358</c:v>
                </c:pt>
                <c:pt idx="623">
                  <c:v>43359</c:v>
                </c:pt>
                <c:pt idx="624">
                  <c:v>43360</c:v>
                </c:pt>
                <c:pt idx="625">
                  <c:v>43361</c:v>
                </c:pt>
                <c:pt idx="626">
                  <c:v>43362</c:v>
                </c:pt>
                <c:pt idx="627">
                  <c:v>43363</c:v>
                </c:pt>
                <c:pt idx="628">
                  <c:v>43364</c:v>
                </c:pt>
                <c:pt idx="629">
                  <c:v>43365</c:v>
                </c:pt>
                <c:pt idx="630">
                  <c:v>43366</c:v>
                </c:pt>
                <c:pt idx="631">
                  <c:v>43367</c:v>
                </c:pt>
                <c:pt idx="632">
                  <c:v>43368</c:v>
                </c:pt>
                <c:pt idx="633">
                  <c:v>43369</c:v>
                </c:pt>
                <c:pt idx="634">
                  <c:v>43370</c:v>
                </c:pt>
                <c:pt idx="635">
                  <c:v>43371</c:v>
                </c:pt>
                <c:pt idx="636">
                  <c:v>43372</c:v>
                </c:pt>
                <c:pt idx="637">
                  <c:v>43373</c:v>
                </c:pt>
                <c:pt idx="638">
                  <c:v>43374</c:v>
                </c:pt>
                <c:pt idx="639">
                  <c:v>43375</c:v>
                </c:pt>
                <c:pt idx="640">
                  <c:v>43376</c:v>
                </c:pt>
                <c:pt idx="641">
                  <c:v>43377</c:v>
                </c:pt>
                <c:pt idx="642">
                  <c:v>43378</c:v>
                </c:pt>
                <c:pt idx="643">
                  <c:v>43379</c:v>
                </c:pt>
                <c:pt idx="644">
                  <c:v>43380</c:v>
                </c:pt>
                <c:pt idx="645">
                  <c:v>43381</c:v>
                </c:pt>
                <c:pt idx="646">
                  <c:v>43382</c:v>
                </c:pt>
                <c:pt idx="647">
                  <c:v>43383</c:v>
                </c:pt>
                <c:pt idx="648">
                  <c:v>43384</c:v>
                </c:pt>
                <c:pt idx="649">
                  <c:v>43385</c:v>
                </c:pt>
                <c:pt idx="650">
                  <c:v>43386</c:v>
                </c:pt>
                <c:pt idx="651">
                  <c:v>43387</c:v>
                </c:pt>
                <c:pt idx="652">
                  <c:v>43388</c:v>
                </c:pt>
                <c:pt idx="653">
                  <c:v>43389</c:v>
                </c:pt>
                <c:pt idx="654">
                  <c:v>43390</c:v>
                </c:pt>
                <c:pt idx="655">
                  <c:v>43391</c:v>
                </c:pt>
                <c:pt idx="656">
                  <c:v>43392</c:v>
                </c:pt>
                <c:pt idx="657">
                  <c:v>43393</c:v>
                </c:pt>
                <c:pt idx="658">
                  <c:v>43394</c:v>
                </c:pt>
                <c:pt idx="659">
                  <c:v>43395</c:v>
                </c:pt>
                <c:pt idx="660">
                  <c:v>43396</c:v>
                </c:pt>
                <c:pt idx="661">
                  <c:v>43397</c:v>
                </c:pt>
                <c:pt idx="662">
                  <c:v>43398</c:v>
                </c:pt>
                <c:pt idx="663">
                  <c:v>43399</c:v>
                </c:pt>
                <c:pt idx="664">
                  <c:v>43400</c:v>
                </c:pt>
                <c:pt idx="665">
                  <c:v>43401</c:v>
                </c:pt>
                <c:pt idx="666">
                  <c:v>43402</c:v>
                </c:pt>
                <c:pt idx="667">
                  <c:v>43403</c:v>
                </c:pt>
                <c:pt idx="668">
                  <c:v>43404</c:v>
                </c:pt>
                <c:pt idx="669">
                  <c:v>43405</c:v>
                </c:pt>
                <c:pt idx="670">
                  <c:v>43406</c:v>
                </c:pt>
                <c:pt idx="671">
                  <c:v>43407</c:v>
                </c:pt>
                <c:pt idx="672">
                  <c:v>43408</c:v>
                </c:pt>
                <c:pt idx="673">
                  <c:v>43409</c:v>
                </c:pt>
                <c:pt idx="674">
                  <c:v>43410</c:v>
                </c:pt>
                <c:pt idx="675">
                  <c:v>43411</c:v>
                </c:pt>
                <c:pt idx="676">
                  <c:v>43412</c:v>
                </c:pt>
                <c:pt idx="677">
                  <c:v>43413</c:v>
                </c:pt>
                <c:pt idx="678">
                  <c:v>43414</c:v>
                </c:pt>
                <c:pt idx="679">
                  <c:v>43415</c:v>
                </c:pt>
                <c:pt idx="680">
                  <c:v>43416</c:v>
                </c:pt>
                <c:pt idx="681">
                  <c:v>43417</c:v>
                </c:pt>
                <c:pt idx="682">
                  <c:v>43418</c:v>
                </c:pt>
                <c:pt idx="683">
                  <c:v>43419</c:v>
                </c:pt>
                <c:pt idx="684">
                  <c:v>43420</c:v>
                </c:pt>
                <c:pt idx="685">
                  <c:v>43421</c:v>
                </c:pt>
                <c:pt idx="686">
                  <c:v>43422</c:v>
                </c:pt>
                <c:pt idx="687">
                  <c:v>43423</c:v>
                </c:pt>
                <c:pt idx="688">
                  <c:v>43424</c:v>
                </c:pt>
                <c:pt idx="689">
                  <c:v>43425</c:v>
                </c:pt>
                <c:pt idx="690">
                  <c:v>43426</c:v>
                </c:pt>
                <c:pt idx="691">
                  <c:v>43427</c:v>
                </c:pt>
                <c:pt idx="692">
                  <c:v>43428</c:v>
                </c:pt>
                <c:pt idx="693">
                  <c:v>43429</c:v>
                </c:pt>
                <c:pt idx="694">
                  <c:v>43430</c:v>
                </c:pt>
                <c:pt idx="695">
                  <c:v>43431</c:v>
                </c:pt>
                <c:pt idx="696">
                  <c:v>43432</c:v>
                </c:pt>
                <c:pt idx="697">
                  <c:v>43433</c:v>
                </c:pt>
                <c:pt idx="698">
                  <c:v>43434</c:v>
                </c:pt>
                <c:pt idx="699">
                  <c:v>43435</c:v>
                </c:pt>
                <c:pt idx="700">
                  <c:v>43436</c:v>
                </c:pt>
                <c:pt idx="701">
                  <c:v>43437</c:v>
                </c:pt>
                <c:pt idx="702">
                  <c:v>43438</c:v>
                </c:pt>
                <c:pt idx="703">
                  <c:v>43439</c:v>
                </c:pt>
                <c:pt idx="704">
                  <c:v>43440</c:v>
                </c:pt>
                <c:pt idx="705">
                  <c:v>43441</c:v>
                </c:pt>
                <c:pt idx="706">
                  <c:v>43442</c:v>
                </c:pt>
                <c:pt idx="707">
                  <c:v>43443</c:v>
                </c:pt>
                <c:pt idx="708">
                  <c:v>43444</c:v>
                </c:pt>
                <c:pt idx="709">
                  <c:v>43445</c:v>
                </c:pt>
                <c:pt idx="710">
                  <c:v>43446</c:v>
                </c:pt>
                <c:pt idx="711">
                  <c:v>43447</c:v>
                </c:pt>
                <c:pt idx="712">
                  <c:v>43448</c:v>
                </c:pt>
                <c:pt idx="713">
                  <c:v>43449</c:v>
                </c:pt>
                <c:pt idx="714">
                  <c:v>43450</c:v>
                </c:pt>
                <c:pt idx="715">
                  <c:v>43451</c:v>
                </c:pt>
                <c:pt idx="716">
                  <c:v>43452</c:v>
                </c:pt>
                <c:pt idx="717">
                  <c:v>43453</c:v>
                </c:pt>
                <c:pt idx="718">
                  <c:v>43454</c:v>
                </c:pt>
                <c:pt idx="719">
                  <c:v>43455</c:v>
                </c:pt>
                <c:pt idx="720">
                  <c:v>43456</c:v>
                </c:pt>
                <c:pt idx="721">
                  <c:v>43457</c:v>
                </c:pt>
                <c:pt idx="722">
                  <c:v>43458</c:v>
                </c:pt>
                <c:pt idx="723">
                  <c:v>43459</c:v>
                </c:pt>
                <c:pt idx="724">
                  <c:v>43460</c:v>
                </c:pt>
                <c:pt idx="725">
                  <c:v>43461</c:v>
                </c:pt>
                <c:pt idx="726">
                  <c:v>43462</c:v>
                </c:pt>
                <c:pt idx="727">
                  <c:v>43463</c:v>
                </c:pt>
                <c:pt idx="728">
                  <c:v>43464</c:v>
                </c:pt>
                <c:pt idx="729">
                  <c:v>43465</c:v>
                </c:pt>
                <c:pt idx="730">
                  <c:v>43466</c:v>
                </c:pt>
                <c:pt idx="731">
                  <c:v>43467</c:v>
                </c:pt>
                <c:pt idx="732">
                  <c:v>43468</c:v>
                </c:pt>
                <c:pt idx="733">
                  <c:v>43469</c:v>
                </c:pt>
                <c:pt idx="734">
                  <c:v>43470</c:v>
                </c:pt>
                <c:pt idx="735">
                  <c:v>43471</c:v>
                </c:pt>
                <c:pt idx="736">
                  <c:v>43472</c:v>
                </c:pt>
                <c:pt idx="737">
                  <c:v>43473</c:v>
                </c:pt>
                <c:pt idx="738">
                  <c:v>43474</c:v>
                </c:pt>
                <c:pt idx="739">
                  <c:v>43475</c:v>
                </c:pt>
                <c:pt idx="740">
                  <c:v>43476</c:v>
                </c:pt>
                <c:pt idx="741">
                  <c:v>43477</c:v>
                </c:pt>
                <c:pt idx="742">
                  <c:v>43478</c:v>
                </c:pt>
                <c:pt idx="743">
                  <c:v>43479</c:v>
                </c:pt>
                <c:pt idx="744">
                  <c:v>43480</c:v>
                </c:pt>
                <c:pt idx="745">
                  <c:v>43481</c:v>
                </c:pt>
                <c:pt idx="746">
                  <c:v>43482</c:v>
                </c:pt>
                <c:pt idx="747">
                  <c:v>43483</c:v>
                </c:pt>
                <c:pt idx="748">
                  <c:v>43484</c:v>
                </c:pt>
                <c:pt idx="749">
                  <c:v>43485</c:v>
                </c:pt>
                <c:pt idx="750">
                  <c:v>43486</c:v>
                </c:pt>
                <c:pt idx="751">
                  <c:v>43487</c:v>
                </c:pt>
                <c:pt idx="752">
                  <c:v>43488</c:v>
                </c:pt>
                <c:pt idx="753">
                  <c:v>43489</c:v>
                </c:pt>
                <c:pt idx="754">
                  <c:v>43490</c:v>
                </c:pt>
                <c:pt idx="755">
                  <c:v>43491</c:v>
                </c:pt>
                <c:pt idx="756">
                  <c:v>43492</c:v>
                </c:pt>
                <c:pt idx="757">
                  <c:v>43493</c:v>
                </c:pt>
                <c:pt idx="758">
                  <c:v>43494</c:v>
                </c:pt>
                <c:pt idx="759">
                  <c:v>43495</c:v>
                </c:pt>
                <c:pt idx="760">
                  <c:v>43496</c:v>
                </c:pt>
                <c:pt idx="761">
                  <c:v>43497</c:v>
                </c:pt>
                <c:pt idx="762">
                  <c:v>43498</c:v>
                </c:pt>
                <c:pt idx="763">
                  <c:v>43499</c:v>
                </c:pt>
                <c:pt idx="764">
                  <c:v>43500</c:v>
                </c:pt>
                <c:pt idx="765">
                  <c:v>43501</c:v>
                </c:pt>
                <c:pt idx="766">
                  <c:v>43502</c:v>
                </c:pt>
                <c:pt idx="767">
                  <c:v>43503</c:v>
                </c:pt>
                <c:pt idx="768">
                  <c:v>43504</c:v>
                </c:pt>
                <c:pt idx="769">
                  <c:v>43505</c:v>
                </c:pt>
                <c:pt idx="770">
                  <c:v>43506</c:v>
                </c:pt>
                <c:pt idx="771">
                  <c:v>43507</c:v>
                </c:pt>
                <c:pt idx="772">
                  <c:v>43508</c:v>
                </c:pt>
                <c:pt idx="773">
                  <c:v>43509</c:v>
                </c:pt>
                <c:pt idx="774">
                  <c:v>43510</c:v>
                </c:pt>
                <c:pt idx="775">
                  <c:v>43511</c:v>
                </c:pt>
                <c:pt idx="776">
                  <c:v>43512</c:v>
                </c:pt>
                <c:pt idx="777">
                  <c:v>43513</c:v>
                </c:pt>
                <c:pt idx="778">
                  <c:v>43514</c:v>
                </c:pt>
                <c:pt idx="779">
                  <c:v>43515</c:v>
                </c:pt>
                <c:pt idx="780">
                  <c:v>43516</c:v>
                </c:pt>
                <c:pt idx="781">
                  <c:v>43517</c:v>
                </c:pt>
                <c:pt idx="782">
                  <c:v>43518</c:v>
                </c:pt>
                <c:pt idx="783">
                  <c:v>43519</c:v>
                </c:pt>
                <c:pt idx="784">
                  <c:v>43520</c:v>
                </c:pt>
                <c:pt idx="785">
                  <c:v>43521</c:v>
                </c:pt>
                <c:pt idx="786">
                  <c:v>43522</c:v>
                </c:pt>
                <c:pt idx="787">
                  <c:v>43523</c:v>
                </c:pt>
                <c:pt idx="788">
                  <c:v>43524</c:v>
                </c:pt>
                <c:pt idx="789">
                  <c:v>43525</c:v>
                </c:pt>
                <c:pt idx="790">
                  <c:v>43526</c:v>
                </c:pt>
                <c:pt idx="791">
                  <c:v>43527</c:v>
                </c:pt>
                <c:pt idx="792">
                  <c:v>43528</c:v>
                </c:pt>
                <c:pt idx="793">
                  <c:v>43529</c:v>
                </c:pt>
                <c:pt idx="794">
                  <c:v>43530</c:v>
                </c:pt>
                <c:pt idx="795">
                  <c:v>43531</c:v>
                </c:pt>
                <c:pt idx="796">
                  <c:v>43532</c:v>
                </c:pt>
                <c:pt idx="797">
                  <c:v>43533</c:v>
                </c:pt>
                <c:pt idx="798">
                  <c:v>43534</c:v>
                </c:pt>
                <c:pt idx="799">
                  <c:v>43535</c:v>
                </c:pt>
                <c:pt idx="800">
                  <c:v>43536</c:v>
                </c:pt>
                <c:pt idx="801">
                  <c:v>43537</c:v>
                </c:pt>
                <c:pt idx="802">
                  <c:v>43538</c:v>
                </c:pt>
                <c:pt idx="803">
                  <c:v>43539</c:v>
                </c:pt>
                <c:pt idx="804">
                  <c:v>43540</c:v>
                </c:pt>
                <c:pt idx="805">
                  <c:v>43541</c:v>
                </c:pt>
                <c:pt idx="806">
                  <c:v>43542</c:v>
                </c:pt>
                <c:pt idx="807">
                  <c:v>43543</c:v>
                </c:pt>
                <c:pt idx="808">
                  <c:v>43544</c:v>
                </c:pt>
                <c:pt idx="809">
                  <c:v>43545</c:v>
                </c:pt>
                <c:pt idx="810">
                  <c:v>43546</c:v>
                </c:pt>
                <c:pt idx="811">
                  <c:v>43547</c:v>
                </c:pt>
                <c:pt idx="812">
                  <c:v>43548</c:v>
                </c:pt>
                <c:pt idx="813">
                  <c:v>43549</c:v>
                </c:pt>
                <c:pt idx="814">
                  <c:v>43550</c:v>
                </c:pt>
                <c:pt idx="815">
                  <c:v>43551</c:v>
                </c:pt>
                <c:pt idx="816">
                  <c:v>43552</c:v>
                </c:pt>
                <c:pt idx="817">
                  <c:v>43553</c:v>
                </c:pt>
                <c:pt idx="818">
                  <c:v>43554</c:v>
                </c:pt>
                <c:pt idx="819">
                  <c:v>43555</c:v>
                </c:pt>
                <c:pt idx="820">
                  <c:v>43556</c:v>
                </c:pt>
                <c:pt idx="821">
                  <c:v>43557</c:v>
                </c:pt>
                <c:pt idx="822">
                  <c:v>43558</c:v>
                </c:pt>
                <c:pt idx="823">
                  <c:v>43559</c:v>
                </c:pt>
                <c:pt idx="824">
                  <c:v>43560</c:v>
                </c:pt>
                <c:pt idx="825">
                  <c:v>43561</c:v>
                </c:pt>
                <c:pt idx="826">
                  <c:v>43562</c:v>
                </c:pt>
                <c:pt idx="827">
                  <c:v>43563</c:v>
                </c:pt>
                <c:pt idx="828">
                  <c:v>43564</c:v>
                </c:pt>
                <c:pt idx="829">
                  <c:v>43565</c:v>
                </c:pt>
                <c:pt idx="830">
                  <c:v>43566</c:v>
                </c:pt>
                <c:pt idx="831">
                  <c:v>43567</c:v>
                </c:pt>
                <c:pt idx="832">
                  <c:v>43568</c:v>
                </c:pt>
                <c:pt idx="833">
                  <c:v>43569</c:v>
                </c:pt>
                <c:pt idx="834">
                  <c:v>43570</c:v>
                </c:pt>
                <c:pt idx="835">
                  <c:v>43571</c:v>
                </c:pt>
                <c:pt idx="836">
                  <c:v>43572</c:v>
                </c:pt>
                <c:pt idx="837">
                  <c:v>43573</c:v>
                </c:pt>
                <c:pt idx="838">
                  <c:v>43574</c:v>
                </c:pt>
                <c:pt idx="839">
                  <c:v>43575</c:v>
                </c:pt>
                <c:pt idx="840">
                  <c:v>43576</c:v>
                </c:pt>
                <c:pt idx="841">
                  <c:v>43577</c:v>
                </c:pt>
                <c:pt idx="842">
                  <c:v>43578</c:v>
                </c:pt>
                <c:pt idx="843">
                  <c:v>43579</c:v>
                </c:pt>
                <c:pt idx="844">
                  <c:v>43580</c:v>
                </c:pt>
                <c:pt idx="845">
                  <c:v>43581</c:v>
                </c:pt>
                <c:pt idx="846">
                  <c:v>43582</c:v>
                </c:pt>
                <c:pt idx="847">
                  <c:v>43583</c:v>
                </c:pt>
                <c:pt idx="848">
                  <c:v>43584</c:v>
                </c:pt>
                <c:pt idx="849">
                  <c:v>43585</c:v>
                </c:pt>
                <c:pt idx="850">
                  <c:v>43586</c:v>
                </c:pt>
                <c:pt idx="851">
                  <c:v>43587</c:v>
                </c:pt>
                <c:pt idx="852">
                  <c:v>43588</c:v>
                </c:pt>
                <c:pt idx="853">
                  <c:v>43589</c:v>
                </c:pt>
                <c:pt idx="854">
                  <c:v>43590</c:v>
                </c:pt>
                <c:pt idx="855">
                  <c:v>43591</c:v>
                </c:pt>
                <c:pt idx="856">
                  <c:v>43592</c:v>
                </c:pt>
                <c:pt idx="857">
                  <c:v>43593</c:v>
                </c:pt>
                <c:pt idx="858">
                  <c:v>43594</c:v>
                </c:pt>
                <c:pt idx="859">
                  <c:v>43595</c:v>
                </c:pt>
                <c:pt idx="860">
                  <c:v>43596</c:v>
                </c:pt>
                <c:pt idx="861">
                  <c:v>43597</c:v>
                </c:pt>
                <c:pt idx="862">
                  <c:v>43598</c:v>
                </c:pt>
                <c:pt idx="863">
                  <c:v>43599</c:v>
                </c:pt>
                <c:pt idx="864">
                  <c:v>43600</c:v>
                </c:pt>
                <c:pt idx="865">
                  <c:v>43601</c:v>
                </c:pt>
                <c:pt idx="866">
                  <c:v>43602</c:v>
                </c:pt>
                <c:pt idx="867">
                  <c:v>43603</c:v>
                </c:pt>
                <c:pt idx="868">
                  <c:v>43604</c:v>
                </c:pt>
                <c:pt idx="869">
                  <c:v>43605</c:v>
                </c:pt>
                <c:pt idx="870">
                  <c:v>43606</c:v>
                </c:pt>
                <c:pt idx="871">
                  <c:v>43607</c:v>
                </c:pt>
                <c:pt idx="872">
                  <c:v>43608</c:v>
                </c:pt>
                <c:pt idx="873">
                  <c:v>43609</c:v>
                </c:pt>
                <c:pt idx="874">
                  <c:v>43610</c:v>
                </c:pt>
                <c:pt idx="875">
                  <c:v>43611</c:v>
                </c:pt>
                <c:pt idx="876">
                  <c:v>43612</c:v>
                </c:pt>
                <c:pt idx="877">
                  <c:v>43613</c:v>
                </c:pt>
                <c:pt idx="878">
                  <c:v>43614</c:v>
                </c:pt>
                <c:pt idx="879">
                  <c:v>43615</c:v>
                </c:pt>
                <c:pt idx="880">
                  <c:v>43616</c:v>
                </c:pt>
                <c:pt idx="881">
                  <c:v>43617</c:v>
                </c:pt>
                <c:pt idx="882">
                  <c:v>43618</c:v>
                </c:pt>
                <c:pt idx="883">
                  <c:v>43619</c:v>
                </c:pt>
                <c:pt idx="884">
                  <c:v>43620</c:v>
                </c:pt>
                <c:pt idx="885">
                  <c:v>43621</c:v>
                </c:pt>
                <c:pt idx="886">
                  <c:v>43622</c:v>
                </c:pt>
                <c:pt idx="887">
                  <c:v>43623</c:v>
                </c:pt>
                <c:pt idx="888">
                  <c:v>43624</c:v>
                </c:pt>
                <c:pt idx="889">
                  <c:v>43625</c:v>
                </c:pt>
                <c:pt idx="890">
                  <c:v>43626</c:v>
                </c:pt>
                <c:pt idx="891">
                  <c:v>43627</c:v>
                </c:pt>
                <c:pt idx="892">
                  <c:v>43628</c:v>
                </c:pt>
                <c:pt idx="893">
                  <c:v>43629</c:v>
                </c:pt>
                <c:pt idx="894">
                  <c:v>43630</c:v>
                </c:pt>
                <c:pt idx="895">
                  <c:v>43631</c:v>
                </c:pt>
                <c:pt idx="896">
                  <c:v>43632</c:v>
                </c:pt>
                <c:pt idx="897">
                  <c:v>43633</c:v>
                </c:pt>
                <c:pt idx="898">
                  <c:v>43634</c:v>
                </c:pt>
                <c:pt idx="899">
                  <c:v>43635</c:v>
                </c:pt>
                <c:pt idx="900">
                  <c:v>43636</c:v>
                </c:pt>
                <c:pt idx="901">
                  <c:v>43637</c:v>
                </c:pt>
                <c:pt idx="902">
                  <c:v>43638</c:v>
                </c:pt>
                <c:pt idx="903">
                  <c:v>43639</c:v>
                </c:pt>
                <c:pt idx="904">
                  <c:v>43640</c:v>
                </c:pt>
                <c:pt idx="905">
                  <c:v>43641</c:v>
                </c:pt>
                <c:pt idx="906">
                  <c:v>43642</c:v>
                </c:pt>
                <c:pt idx="907">
                  <c:v>43643</c:v>
                </c:pt>
                <c:pt idx="908">
                  <c:v>43644</c:v>
                </c:pt>
                <c:pt idx="909">
                  <c:v>43645</c:v>
                </c:pt>
                <c:pt idx="910">
                  <c:v>43646</c:v>
                </c:pt>
                <c:pt idx="911">
                  <c:v>43647</c:v>
                </c:pt>
                <c:pt idx="912">
                  <c:v>43648</c:v>
                </c:pt>
                <c:pt idx="913">
                  <c:v>43649</c:v>
                </c:pt>
                <c:pt idx="914">
                  <c:v>43650</c:v>
                </c:pt>
                <c:pt idx="915">
                  <c:v>43651</c:v>
                </c:pt>
                <c:pt idx="916">
                  <c:v>43652</c:v>
                </c:pt>
                <c:pt idx="917">
                  <c:v>43653</c:v>
                </c:pt>
                <c:pt idx="918">
                  <c:v>43654</c:v>
                </c:pt>
                <c:pt idx="919">
                  <c:v>43655</c:v>
                </c:pt>
                <c:pt idx="920">
                  <c:v>43656</c:v>
                </c:pt>
                <c:pt idx="921">
                  <c:v>43657</c:v>
                </c:pt>
                <c:pt idx="922">
                  <c:v>43658</c:v>
                </c:pt>
                <c:pt idx="923">
                  <c:v>43659</c:v>
                </c:pt>
                <c:pt idx="924">
                  <c:v>43660</c:v>
                </c:pt>
                <c:pt idx="925">
                  <c:v>43661</c:v>
                </c:pt>
                <c:pt idx="926">
                  <c:v>43662</c:v>
                </c:pt>
                <c:pt idx="927">
                  <c:v>43663</c:v>
                </c:pt>
                <c:pt idx="928">
                  <c:v>43664</c:v>
                </c:pt>
                <c:pt idx="929">
                  <c:v>43665</c:v>
                </c:pt>
                <c:pt idx="930">
                  <c:v>43666</c:v>
                </c:pt>
                <c:pt idx="931">
                  <c:v>43667</c:v>
                </c:pt>
                <c:pt idx="932">
                  <c:v>43668</c:v>
                </c:pt>
                <c:pt idx="933">
                  <c:v>43669</c:v>
                </c:pt>
                <c:pt idx="934">
                  <c:v>43670</c:v>
                </c:pt>
                <c:pt idx="935">
                  <c:v>43671</c:v>
                </c:pt>
                <c:pt idx="936">
                  <c:v>43672</c:v>
                </c:pt>
                <c:pt idx="937">
                  <c:v>43673</c:v>
                </c:pt>
                <c:pt idx="938">
                  <c:v>43674</c:v>
                </c:pt>
                <c:pt idx="939">
                  <c:v>43675</c:v>
                </c:pt>
                <c:pt idx="940">
                  <c:v>43676</c:v>
                </c:pt>
                <c:pt idx="941">
                  <c:v>43677</c:v>
                </c:pt>
                <c:pt idx="942">
                  <c:v>43678</c:v>
                </c:pt>
                <c:pt idx="943">
                  <c:v>43679</c:v>
                </c:pt>
                <c:pt idx="944">
                  <c:v>43680</c:v>
                </c:pt>
                <c:pt idx="945">
                  <c:v>43681</c:v>
                </c:pt>
                <c:pt idx="946">
                  <c:v>43682</c:v>
                </c:pt>
                <c:pt idx="947">
                  <c:v>43683</c:v>
                </c:pt>
                <c:pt idx="948">
                  <c:v>43684</c:v>
                </c:pt>
                <c:pt idx="949">
                  <c:v>43685</c:v>
                </c:pt>
                <c:pt idx="950">
                  <c:v>43686</c:v>
                </c:pt>
                <c:pt idx="951">
                  <c:v>43687</c:v>
                </c:pt>
                <c:pt idx="952">
                  <c:v>43688</c:v>
                </c:pt>
                <c:pt idx="953">
                  <c:v>43689</c:v>
                </c:pt>
                <c:pt idx="954">
                  <c:v>43690</c:v>
                </c:pt>
                <c:pt idx="955">
                  <c:v>43691</c:v>
                </c:pt>
                <c:pt idx="956">
                  <c:v>43692</c:v>
                </c:pt>
                <c:pt idx="957">
                  <c:v>43693</c:v>
                </c:pt>
                <c:pt idx="958">
                  <c:v>43694</c:v>
                </c:pt>
                <c:pt idx="959">
                  <c:v>43695</c:v>
                </c:pt>
                <c:pt idx="960">
                  <c:v>43696</c:v>
                </c:pt>
                <c:pt idx="961">
                  <c:v>43697</c:v>
                </c:pt>
                <c:pt idx="962">
                  <c:v>43698</c:v>
                </c:pt>
                <c:pt idx="963">
                  <c:v>43699</c:v>
                </c:pt>
                <c:pt idx="964">
                  <c:v>43700</c:v>
                </c:pt>
                <c:pt idx="965">
                  <c:v>43701</c:v>
                </c:pt>
                <c:pt idx="966">
                  <c:v>43702</c:v>
                </c:pt>
                <c:pt idx="967">
                  <c:v>43703</c:v>
                </c:pt>
                <c:pt idx="968">
                  <c:v>43704</c:v>
                </c:pt>
                <c:pt idx="969">
                  <c:v>43705</c:v>
                </c:pt>
                <c:pt idx="970">
                  <c:v>43706</c:v>
                </c:pt>
                <c:pt idx="971">
                  <c:v>43707</c:v>
                </c:pt>
                <c:pt idx="972">
                  <c:v>43708</c:v>
                </c:pt>
                <c:pt idx="973">
                  <c:v>43709</c:v>
                </c:pt>
                <c:pt idx="974">
                  <c:v>43710</c:v>
                </c:pt>
                <c:pt idx="975">
                  <c:v>43711</c:v>
                </c:pt>
                <c:pt idx="976">
                  <c:v>43712</c:v>
                </c:pt>
                <c:pt idx="977">
                  <c:v>43713</c:v>
                </c:pt>
                <c:pt idx="978">
                  <c:v>43714</c:v>
                </c:pt>
                <c:pt idx="979">
                  <c:v>43715</c:v>
                </c:pt>
                <c:pt idx="980">
                  <c:v>43716</c:v>
                </c:pt>
                <c:pt idx="981">
                  <c:v>43717</c:v>
                </c:pt>
                <c:pt idx="982">
                  <c:v>43718</c:v>
                </c:pt>
                <c:pt idx="983">
                  <c:v>43719</c:v>
                </c:pt>
                <c:pt idx="984">
                  <c:v>43720</c:v>
                </c:pt>
                <c:pt idx="985">
                  <c:v>43721</c:v>
                </c:pt>
                <c:pt idx="986">
                  <c:v>43722</c:v>
                </c:pt>
                <c:pt idx="987">
                  <c:v>43723</c:v>
                </c:pt>
                <c:pt idx="988">
                  <c:v>43724</c:v>
                </c:pt>
                <c:pt idx="989">
                  <c:v>43725</c:v>
                </c:pt>
                <c:pt idx="990">
                  <c:v>43726</c:v>
                </c:pt>
                <c:pt idx="991">
                  <c:v>43727</c:v>
                </c:pt>
                <c:pt idx="992">
                  <c:v>43728</c:v>
                </c:pt>
                <c:pt idx="993">
                  <c:v>43729</c:v>
                </c:pt>
                <c:pt idx="994">
                  <c:v>43730</c:v>
                </c:pt>
                <c:pt idx="995">
                  <c:v>43731</c:v>
                </c:pt>
                <c:pt idx="996">
                  <c:v>43732</c:v>
                </c:pt>
                <c:pt idx="997">
                  <c:v>43733</c:v>
                </c:pt>
                <c:pt idx="998">
                  <c:v>43734</c:v>
                </c:pt>
                <c:pt idx="999">
                  <c:v>43735</c:v>
                </c:pt>
                <c:pt idx="1000">
                  <c:v>43736</c:v>
                </c:pt>
                <c:pt idx="1001">
                  <c:v>43737</c:v>
                </c:pt>
                <c:pt idx="1002">
                  <c:v>43738</c:v>
                </c:pt>
                <c:pt idx="1003">
                  <c:v>43739</c:v>
                </c:pt>
                <c:pt idx="1004">
                  <c:v>43740</c:v>
                </c:pt>
                <c:pt idx="1005">
                  <c:v>43741</c:v>
                </c:pt>
                <c:pt idx="1006">
                  <c:v>43742</c:v>
                </c:pt>
                <c:pt idx="1007">
                  <c:v>43743</c:v>
                </c:pt>
                <c:pt idx="1008">
                  <c:v>43744</c:v>
                </c:pt>
                <c:pt idx="1009">
                  <c:v>43745</c:v>
                </c:pt>
                <c:pt idx="1010">
                  <c:v>43746</c:v>
                </c:pt>
                <c:pt idx="1011">
                  <c:v>43747</c:v>
                </c:pt>
                <c:pt idx="1012">
                  <c:v>43748</c:v>
                </c:pt>
                <c:pt idx="1013">
                  <c:v>43749</c:v>
                </c:pt>
                <c:pt idx="1014">
                  <c:v>43750</c:v>
                </c:pt>
                <c:pt idx="1015">
                  <c:v>43751</c:v>
                </c:pt>
                <c:pt idx="1016">
                  <c:v>43752</c:v>
                </c:pt>
                <c:pt idx="1017">
                  <c:v>43753</c:v>
                </c:pt>
                <c:pt idx="1018">
                  <c:v>43754</c:v>
                </c:pt>
                <c:pt idx="1019">
                  <c:v>43755</c:v>
                </c:pt>
                <c:pt idx="1020">
                  <c:v>43756</c:v>
                </c:pt>
                <c:pt idx="1021">
                  <c:v>43757</c:v>
                </c:pt>
                <c:pt idx="1022">
                  <c:v>43758</c:v>
                </c:pt>
                <c:pt idx="1023">
                  <c:v>43759</c:v>
                </c:pt>
                <c:pt idx="1024">
                  <c:v>43760</c:v>
                </c:pt>
                <c:pt idx="1025">
                  <c:v>43761</c:v>
                </c:pt>
                <c:pt idx="1026">
                  <c:v>43762</c:v>
                </c:pt>
                <c:pt idx="1027">
                  <c:v>43763</c:v>
                </c:pt>
                <c:pt idx="1028">
                  <c:v>43764</c:v>
                </c:pt>
                <c:pt idx="1029">
                  <c:v>43765</c:v>
                </c:pt>
                <c:pt idx="1030">
                  <c:v>43766</c:v>
                </c:pt>
                <c:pt idx="1031">
                  <c:v>43767</c:v>
                </c:pt>
                <c:pt idx="1032">
                  <c:v>43768</c:v>
                </c:pt>
                <c:pt idx="1033">
                  <c:v>43769</c:v>
                </c:pt>
                <c:pt idx="1034">
                  <c:v>43770</c:v>
                </c:pt>
                <c:pt idx="1035">
                  <c:v>43771</c:v>
                </c:pt>
                <c:pt idx="1036">
                  <c:v>43772</c:v>
                </c:pt>
                <c:pt idx="1037">
                  <c:v>43773</c:v>
                </c:pt>
                <c:pt idx="1038">
                  <c:v>43774</c:v>
                </c:pt>
                <c:pt idx="1039">
                  <c:v>43775</c:v>
                </c:pt>
                <c:pt idx="1040">
                  <c:v>43776</c:v>
                </c:pt>
                <c:pt idx="1041">
                  <c:v>43777</c:v>
                </c:pt>
                <c:pt idx="1042">
                  <c:v>43778</c:v>
                </c:pt>
                <c:pt idx="1043">
                  <c:v>43779</c:v>
                </c:pt>
                <c:pt idx="1044">
                  <c:v>43780</c:v>
                </c:pt>
                <c:pt idx="1045">
                  <c:v>43781</c:v>
                </c:pt>
                <c:pt idx="1046">
                  <c:v>43782</c:v>
                </c:pt>
                <c:pt idx="1047">
                  <c:v>43783</c:v>
                </c:pt>
                <c:pt idx="1048">
                  <c:v>43784</c:v>
                </c:pt>
                <c:pt idx="1049">
                  <c:v>43785</c:v>
                </c:pt>
                <c:pt idx="1050">
                  <c:v>43786</c:v>
                </c:pt>
                <c:pt idx="1051">
                  <c:v>43787</c:v>
                </c:pt>
                <c:pt idx="1052">
                  <c:v>43788</c:v>
                </c:pt>
                <c:pt idx="1053">
                  <c:v>43789</c:v>
                </c:pt>
                <c:pt idx="1054">
                  <c:v>43790</c:v>
                </c:pt>
                <c:pt idx="1055">
                  <c:v>43791</c:v>
                </c:pt>
                <c:pt idx="1056">
                  <c:v>43792</c:v>
                </c:pt>
                <c:pt idx="1057">
                  <c:v>43793</c:v>
                </c:pt>
                <c:pt idx="1058">
                  <c:v>43794</c:v>
                </c:pt>
                <c:pt idx="1059">
                  <c:v>43795</c:v>
                </c:pt>
                <c:pt idx="1060">
                  <c:v>43796</c:v>
                </c:pt>
                <c:pt idx="1061">
                  <c:v>43797</c:v>
                </c:pt>
                <c:pt idx="1062">
                  <c:v>43798</c:v>
                </c:pt>
                <c:pt idx="1063">
                  <c:v>43799</c:v>
                </c:pt>
                <c:pt idx="1064">
                  <c:v>43800</c:v>
                </c:pt>
                <c:pt idx="1065">
                  <c:v>43801</c:v>
                </c:pt>
                <c:pt idx="1066">
                  <c:v>43802</c:v>
                </c:pt>
                <c:pt idx="1067">
                  <c:v>43803</c:v>
                </c:pt>
                <c:pt idx="1068">
                  <c:v>43804</c:v>
                </c:pt>
                <c:pt idx="1069">
                  <c:v>43805</c:v>
                </c:pt>
                <c:pt idx="1070">
                  <c:v>43806</c:v>
                </c:pt>
                <c:pt idx="1071">
                  <c:v>43807</c:v>
                </c:pt>
                <c:pt idx="1072">
                  <c:v>43808</c:v>
                </c:pt>
                <c:pt idx="1073">
                  <c:v>43809</c:v>
                </c:pt>
                <c:pt idx="1074">
                  <c:v>43810</c:v>
                </c:pt>
                <c:pt idx="1075">
                  <c:v>43811</c:v>
                </c:pt>
                <c:pt idx="1076">
                  <c:v>43812</c:v>
                </c:pt>
                <c:pt idx="1077">
                  <c:v>43813</c:v>
                </c:pt>
                <c:pt idx="1078">
                  <c:v>43814</c:v>
                </c:pt>
                <c:pt idx="1079">
                  <c:v>43815</c:v>
                </c:pt>
                <c:pt idx="1080">
                  <c:v>43816</c:v>
                </c:pt>
                <c:pt idx="1081">
                  <c:v>43817</c:v>
                </c:pt>
                <c:pt idx="1082">
                  <c:v>43818</c:v>
                </c:pt>
                <c:pt idx="1083">
                  <c:v>43819</c:v>
                </c:pt>
                <c:pt idx="1084">
                  <c:v>43820</c:v>
                </c:pt>
                <c:pt idx="1085">
                  <c:v>43821</c:v>
                </c:pt>
                <c:pt idx="1086">
                  <c:v>43822</c:v>
                </c:pt>
                <c:pt idx="1087">
                  <c:v>43823</c:v>
                </c:pt>
                <c:pt idx="1088">
                  <c:v>43824</c:v>
                </c:pt>
                <c:pt idx="1089">
                  <c:v>43825</c:v>
                </c:pt>
                <c:pt idx="1090">
                  <c:v>43826</c:v>
                </c:pt>
                <c:pt idx="1091">
                  <c:v>43827</c:v>
                </c:pt>
                <c:pt idx="1092">
                  <c:v>43828</c:v>
                </c:pt>
                <c:pt idx="1093">
                  <c:v>43829</c:v>
                </c:pt>
                <c:pt idx="1094">
                  <c:v>43830</c:v>
                </c:pt>
                <c:pt idx="1095">
                  <c:v>43831</c:v>
                </c:pt>
                <c:pt idx="1096">
                  <c:v>43832</c:v>
                </c:pt>
                <c:pt idx="1097">
                  <c:v>43833</c:v>
                </c:pt>
                <c:pt idx="1098">
                  <c:v>43834</c:v>
                </c:pt>
                <c:pt idx="1099">
                  <c:v>43835</c:v>
                </c:pt>
                <c:pt idx="1100">
                  <c:v>43836</c:v>
                </c:pt>
                <c:pt idx="1101">
                  <c:v>43837</c:v>
                </c:pt>
                <c:pt idx="1102">
                  <c:v>43838</c:v>
                </c:pt>
                <c:pt idx="1103">
                  <c:v>43839</c:v>
                </c:pt>
                <c:pt idx="1104">
                  <c:v>43840</c:v>
                </c:pt>
                <c:pt idx="1105">
                  <c:v>43841</c:v>
                </c:pt>
                <c:pt idx="1106">
                  <c:v>43842</c:v>
                </c:pt>
                <c:pt idx="1107">
                  <c:v>43843</c:v>
                </c:pt>
                <c:pt idx="1108">
                  <c:v>43844</c:v>
                </c:pt>
                <c:pt idx="1109">
                  <c:v>43845</c:v>
                </c:pt>
                <c:pt idx="1110">
                  <c:v>43846</c:v>
                </c:pt>
                <c:pt idx="1111">
                  <c:v>43847</c:v>
                </c:pt>
                <c:pt idx="1112">
                  <c:v>43848</c:v>
                </c:pt>
                <c:pt idx="1113">
                  <c:v>43849</c:v>
                </c:pt>
                <c:pt idx="1114">
                  <c:v>43850</c:v>
                </c:pt>
                <c:pt idx="1115">
                  <c:v>43851</c:v>
                </c:pt>
                <c:pt idx="1116">
                  <c:v>43852</c:v>
                </c:pt>
                <c:pt idx="1117">
                  <c:v>43853</c:v>
                </c:pt>
                <c:pt idx="1118">
                  <c:v>43854</c:v>
                </c:pt>
                <c:pt idx="1119">
                  <c:v>43855</c:v>
                </c:pt>
                <c:pt idx="1120">
                  <c:v>43856</c:v>
                </c:pt>
                <c:pt idx="1121">
                  <c:v>43857</c:v>
                </c:pt>
                <c:pt idx="1122">
                  <c:v>43858</c:v>
                </c:pt>
                <c:pt idx="1123">
                  <c:v>43859</c:v>
                </c:pt>
                <c:pt idx="1124">
                  <c:v>43860</c:v>
                </c:pt>
                <c:pt idx="1125">
                  <c:v>43861</c:v>
                </c:pt>
                <c:pt idx="1126">
                  <c:v>43862</c:v>
                </c:pt>
                <c:pt idx="1127">
                  <c:v>43863</c:v>
                </c:pt>
                <c:pt idx="1128">
                  <c:v>43864</c:v>
                </c:pt>
                <c:pt idx="1129">
                  <c:v>43865</c:v>
                </c:pt>
                <c:pt idx="1130">
                  <c:v>43866</c:v>
                </c:pt>
                <c:pt idx="1131">
                  <c:v>43867</c:v>
                </c:pt>
                <c:pt idx="1132">
                  <c:v>43868</c:v>
                </c:pt>
                <c:pt idx="1133">
                  <c:v>43869</c:v>
                </c:pt>
                <c:pt idx="1134">
                  <c:v>43870</c:v>
                </c:pt>
                <c:pt idx="1135">
                  <c:v>43871</c:v>
                </c:pt>
                <c:pt idx="1136">
                  <c:v>43872</c:v>
                </c:pt>
                <c:pt idx="1137">
                  <c:v>43873</c:v>
                </c:pt>
                <c:pt idx="1138">
                  <c:v>43874</c:v>
                </c:pt>
                <c:pt idx="1139">
                  <c:v>43875</c:v>
                </c:pt>
                <c:pt idx="1140">
                  <c:v>43876</c:v>
                </c:pt>
                <c:pt idx="1141">
                  <c:v>43877</c:v>
                </c:pt>
                <c:pt idx="1142">
                  <c:v>43878</c:v>
                </c:pt>
                <c:pt idx="1143">
                  <c:v>43879</c:v>
                </c:pt>
                <c:pt idx="1144">
                  <c:v>43880</c:v>
                </c:pt>
                <c:pt idx="1145">
                  <c:v>43881</c:v>
                </c:pt>
                <c:pt idx="1146">
                  <c:v>43882</c:v>
                </c:pt>
                <c:pt idx="1147">
                  <c:v>43883</c:v>
                </c:pt>
                <c:pt idx="1148">
                  <c:v>43884</c:v>
                </c:pt>
                <c:pt idx="1149">
                  <c:v>43885</c:v>
                </c:pt>
                <c:pt idx="1150">
                  <c:v>43886</c:v>
                </c:pt>
                <c:pt idx="1151">
                  <c:v>43887</c:v>
                </c:pt>
                <c:pt idx="1152">
                  <c:v>43888</c:v>
                </c:pt>
                <c:pt idx="1153">
                  <c:v>43889</c:v>
                </c:pt>
                <c:pt idx="1154">
                  <c:v>43890</c:v>
                </c:pt>
                <c:pt idx="1155">
                  <c:v>43891</c:v>
                </c:pt>
                <c:pt idx="1156">
                  <c:v>43892</c:v>
                </c:pt>
                <c:pt idx="1157">
                  <c:v>43893</c:v>
                </c:pt>
                <c:pt idx="1158">
                  <c:v>43894</c:v>
                </c:pt>
                <c:pt idx="1159">
                  <c:v>43895</c:v>
                </c:pt>
                <c:pt idx="1160">
                  <c:v>43896</c:v>
                </c:pt>
                <c:pt idx="1161">
                  <c:v>43897</c:v>
                </c:pt>
                <c:pt idx="1162">
                  <c:v>43898</c:v>
                </c:pt>
                <c:pt idx="1163">
                  <c:v>43899</c:v>
                </c:pt>
                <c:pt idx="1164">
                  <c:v>43900</c:v>
                </c:pt>
                <c:pt idx="1165">
                  <c:v>43901</c:v>
                </c:pt>
                <c:pt idx="1166">
                  <c:v>43902</c:v>
                </c:pt>
                <c:pt idx="1167">
                  <c:v>43903</c:v>
                </c:pt>
                <c:pt idx="1168">
                  <c:v>43904</c:v>
                </c:pt>
                <c:pt idx="1169">
                  <c:v>43905</c:v>
                </c:pt>
                <c:pt idx="1170">
                  <c:v>43906</c:v>
                </c:pt>
                <c:pt idx="1171">
                  <c:v>43907</c:v>
                </c:pt>
                <c:pt idx="1172">
                  <c:v>43908</c:v>
                </c:pt>
                <c:pt idx="1173">
                  <c:v>43909</c:v>
                </c:pt>
                <c:pt idx="1174">
                  <c:v>43910</c:v>
                </c:pt>
                <c:pt idx="1175">
                  <c:v>43911</c:v>
                </c:pt>
                <c:pt idx="1176">
                  <c:v>43912</c:v>
                </c:pt>
                <c:pt idx="1177">
                  <c:v>43913</c:v>
                </c:pt>
                <c:pt idx="1178">
                  <c:v>43914</c:v>
                </c:pt>
                <c:pt idx="1179">
                  <c:v>43915</c:v>
                </c:pt>
                <c:pt idx="1180">
                  <c:v>43916</c:v>
                </c:pt>
                <c:pt idx="1181">
                  <c:v>43917</c:v>
                </c:pt>
                <c:pt idx="1182">
                  <c:v>43918</c:v>
                </c:pt>
                <c:pt idx="1183">
                  <c:v>43919</c:v>
                </c:pt>
                <c:pt idx="1184">
                  <c:v>43920</c:v>
                </c:pt>
                <c:pt idx="1185">
                  <c:v>43921</c:v>
                </c:pt>
                <c:pt idx="1186">
                  <c:v>43922</c:v>
                </c:pt>
                <c:pt idx="1187">
                  <c:v>43923</c:v>
                </c:pt>
                <c:pt idx="1188">
                  <c:v>43924</c:v>
                </c:pt>
                <c:pt idx="1189">
                  <c:v>43925</c:v>
                </c:pt>
                <c:pt idx="1190">
                  <c:v>43926</c:v>
                </c:pt>
                <c:pt idx="1191">
                  <c:v>43927</c:v>
                </c:pt>
                <c:pt idx="1192">
                  <c:v>43928</c:v>
                </c:pt>
                <c:pt idx="1193">
                  <c:v>43929</c:v>
                </c:pt>
                <c:pt idx="1194">
                  <c:v>43930</c:v>
                </c:pt>
                <c:pt idx="1195">
                  <c:v>43931</c:v>
                </c:pt>
                <c:pt idx="1196">
                  <c:v>43932</c:v>
                </c:pt>
                <c:pt idx="1197">
                  <c:v>43933</c:v>
                </c:pt>
                <c:pt idx="1198">
                  <c:v>43934</c:v>
                </c:pt>
                <c:pt idx="1199">
                  <c:v>43935</c:v>
                </c:pt>
                <c:pt idx="1200">
                  <c:v>43936</c:v>
                </c:pt>
                <c:pt idx="1201">
                  <c:v>43937</c:v>
                </c:pt>
                <c:pt idx="1202">
                  <c:v>43938</c:v>
                </c:pt>
                <c:pt idx="1203">
                  <c:v>43939</c:v>
                </c:pt>
                <c:pt idx="1204">
                  <c:v>43940</c:v>
                </c:pt>
                <c:pt idx="1205">
                  <c:v>43941</c:v>
                </c:pt>
                <c:pt idx="1206">
                  <c:v>43942</c:v>
                </c:pt>
                <c:pt idx="1207">
                  <c:v>43943</c:v>
                </c:pt>
                <c:pt idx="1208">
                  <c:v>43944</c:v>
                </c:pt>
                <c:pt idx="1209">
                  <c:v>43945</c:v>
                </c:pt>
                <c:pt idx="1210">
                  <c:v>43946</c:v>
                </c:pt>
                <c:pt idx="1211">
                  <c:v>43947</c:v>
                </c:pt>
                <c:pt idx="1212">
                  <c:v>43948</c:v>
                </c:pt>
                <c:pt idx="1213">
                  <c:v>43949</c:v>
                </c:pt>
                <c:pt idx="1214">
                  <c:v>43950</c:v>
                </c:pt>
                <c:pt idx="1215">
                  <c:v>43951</c:v>
                </c:pt>
                <c:pt idx="1216">
                  <c:v>43952</c:v>
                </c:pt>
                <c:pt idx="1217">
                  <c:v>43953</c:v>
                </c:pt>
                <c:pt idx="1218">
                  <c:v>43954</c:v>
                </c:pt>
                <c:pt idx="1219">
                  <c:v>43955</c:v>
                </c:pt>
                <c:pt idx="1220">
                  <c:v>43956</c:v>
                </c:pt>
                <c:pt idx="1221">
                  <c:v>43957</c:v>
                </c:pt>
                <c:pt idx="1222">
                  <c:v>43958</c:v>
                </c:pt>
                <c:pt idx="1223">
                  <c:v>43959</c:v>
                </c:pt>
                <c:pt idx="1224">
                  <c:v>43960</c:v>
                </c:pt>
                <c:pt idx="1225">
                  <c:v>43961</c:v>
                </c:pt>
                <c:pt idx="1226">
                  <c:v>43962</c:v>
                </c:pt>
                <c:pt idx="1227">
                  <c:v>43963</c:v>
                </c:pt>
                <c:pt idx="1228">
                  <c:v>43964</c:v>
                </c:pt>
                <c:pt idx="1229">
                  <c:v>43965</c:v>
                </c:pt>
                <c:pt idx="1230">
                  <c:v>43966</c:v>
                </c:pt>
                <c:pt idx="1231">
                  <c:v>43967</c:v>
                </c:pt>
                <c:pt idx="1232">
                  <c:v>43968</c:v>
                </c:pt>
                <c:pt idx="1233">
                  <c:v>43969</c:v>
                </c:pt>
                <c:pt idx="1234">
                  <c:v>43970</c:v>
                </c:pt>
                <c:pt idx="1235">
                  <c:v>43971</c:v>
                </c:pt>
                <c:pt idx="1236">
                  <c:v>43972</c:v>
                </c:pt>
                <c:pt idx="1237">
                  <c:v>43973</c:v>
                </c:pt>
                <c:pt idx="1238">
                  <c:v>43974</c:v>
                </c:pt>
                <c:pt idx="1239">
                  <c:v>43975</c:v>
                </c:pt>
                <c:pt idx="1240">
                  <c:v>43976</c:v>
                </c:pt>
                <c:pt idx="1241">
                  <c:v>43977</c:v>
                </c:pt>
                <c:pt idx="1242">
                  <c:v>43978</c:v>
                </c:pt>
                <c:pt idx="1243">
                  <c:v>43979</c:v>
                </c:pt>
                <c:pt idx="1244">
                  <c:v>43980</c:v>
                </c:pt>
                <c:pt idx="1245">
                  <c:v>43981</c:v>
                </c:pt>
                <c:pt idx="1246">
                  <c:v>43982</c:v>
                </c:pt>
                <c:pt idx="1247">
                  <c:v>43983</c:v>
                </c:pt>
                <c:pt idx="1248">
                  <c:v>43984</c:v>
                </c:pt>
                <c:pt idx="1249">
                  <c:v>43985</c:v>
                </c:pt>
                <c:pt idx="1250">
                  <c:v>43986</c:v>
                </c:pt>
                <c:pt idx="1251">
                  <c:v>43987</c:v>
                </c:pt>
                <c:pt idx="1252">
                  <c:v>43988</c:v>
                </c:pt>
                <c:pt idx="1253">
                  <c:v>43989</c:v>
                </c:pt>
                <c:pt idx="1254">
                  <c:v>43990</c:v>
                </c:pt>
                <c:pt idx="1255">
                  <c:v>43991</c:v>
                </c:pt>
                <c:pt idx="1256">
                  <c:v>43992</c:v>
                </c:pt>
                <c:pt idx="1257">
                  <c:v>43993</c:v>
                </c:pt>
                <c:pt idx="1258">
                  <c:v>43994</c:v>
                </c:pt>
                <c:pt idx="1259">
                  <c:v>43995</c:v>
                </c:pt>
                <c:pt idx="1260">
                  <c:v>43996</c:v>
                </c:pt>
                <c:pt idx="1261">
                  <c:v>43997</c:v>
                </c:pt>
                <c:pt idx="1262">
                  <c:v>43998</c:v>
                </c:pt>
                <c:pt idx="1263">
                  <c:v>43999</c:v>
                </c:pt>
                <c:pt idx="1264">
                  <c:v>44000</c:v>
                </c:pt>
                <c:pt idx="1265">
                  <c:v>44001</c:v>
                </c:pt>
                <c:pt idx="1266">
                  <c:v>44002</c:v>
                </c:pt>
                <c:pt idx="1267">
                  <c:v>44003</c:v>
                </c:pt>
                <c:pt idx="1268">
                  <c:v>44004</c:v>
                </c:pt>
                <c:pt idx="1269">
                  <c:v>44005</c:v>
                </c:pt>
                <c:pt idx="1270">
                  <c:v>44006</c:v>
                </c:pt>
                <c:pt idx="1271">
                  <c:v>44007</c:v>
                </c:pt>
                <c:pt idx="1272">
                  <c:v>44008</c:v>
                </c:pt>
                <c:pt idx="1273">
                  <c:v>44009</c:v>
                </c:pt>
                <c:pt idx="1274">
                  <c:v>44010</c:v>
                </c:pt>
                <c:pt idx="1275">
                  <c:v>44011</c:v>
                </c:pt>
                <c:pt idx="1276">
                  <c:v>44012</c:v>
                </c:pt>
                <c:pt idx="1277">
                  <c:v>44013</c:v>
                </c:pt>
                <c:pt idx="1278">
                  <c:v>44014</c:v>
                </c:pt>
                <c:pt idx="1279">
                  <c:v>44015</c:v>
                </c:pt>
                <c:pt idx="1280">
                  <c:v>44016</c:v>
                </c:pt>
                <c:pt idx="1281">
                  <c:v>44017</c:v>
                </c:pt>
                <c:pt idx="1282">
                  <c:v>44018</c:v>
                </c:pt>
                <c:pt idx="1283">
                  <c:v>44019</c:v>
                </c:pt>
                <c:pt idx="1284">
                  <c:v>44020</c:v>
                </c:pt>
                <c:pt idx="1285">
                  <c:v>44021</c:v>
                </c:pt>
                <c:pt idx="1286">
                  <c:v>44022</c:v>
                </c:pt>
                <c:pt idx="1287">
                  <c:v>44023</c:v>
                </c:pt>
                <c:pt idx="1288">
                  <c:v>44024</c:v>
                </c:pt>
                <c:pt idx="1289">
                  <c:v>44025</c:v>
                </c:pt>
                <c:pt idx="1290">
                  <c:v>44026</c:v>
                </c:pt>
                <c:pt idx="1291">
                  <c:v>44027</c:v>
                </c:pt>
                <c:pt idx="1292">
                  <c:v>44028</c:v>
                </c:pt>
                <c:pt idx="1293">
                  <c:v>44029</c:v>
                </c:pt>
                <c:pt idx="1294">
                  <c:v>44030</c:v>
                </c:pt>
                <c:pt idx="1295">
                  <c:v>44031</c:v>
                </c:pt>
                <c:pt idx="1296">
                  <c:v>44032</c:v>
                </c:pt>
                <c:pt idx="1297">
                  <c:v>44033</c:v>
                </c:pt>
                <c:pt idx="1298">
                  <c:v>44034</c:v>
                </c:pt>
                <c:pt idx="1299">
                  <c:v>44035</c:v>
                </c:pt>
                <c:pt idx="1300">
                  <c:v>44036</c:v>
                </c:pt>
                <c:pt idx="1301">
                  <c:v>44037</c:v>
                </c:pt>
                <c:pt idx="1302">
                  <c:v>44038</c:v>
                </c:pt>
                <c:pt idx="1303">
                  <c:v>44039</c:v>
                </c:pt>
                <c:pt idx="1304">
                  <c:v>44040</c:v>
                </c:pt>
                <c:pt idx="1305">
                  <c:v>44041</c:v>
                </c:pt>
                <c:pt idx="1306">
                  <c:v>44042</c:v>
                </c:pt>
                <c:pt idx="1307">
                  <c:v>44043</c:v>
                </c:pt>
                <c:pt idx="1308">
                  <c:v>44044</c:v>
                </c:pt>
                <c:pt idx="1309">
                  <c:v>44045</c:v>
                </c:pt>
                <c:pt idx="1310">
                  <c:v>44046</c:v>
                </c:pt>
                <c:pt idx="1311">
                  <c:v>44047</c:v>
                </c:pt>
                <c:pt idx="1312">
                  <c:v>44048</c:v>
                </c:pt>
                <c:pt idx="1313">
                  <c:v>44049</c:v>
                </c:pt>
                <c:pt idx="1314">
                  <c:v>44050</c:v>
                </c:pt>
                <c:pt idx="1315">
                  <c:v>44051</c:v>
                </c:pt>
                <c:pt idx="1316">
                  <c:v>44052</c:v>
                </c:pt>
                <c:pt idx="1317">
                  <c:v>44053</c:v>
                </c:pt>
                <c:pt idx="1318">
                  <c:v>44054</c:v>
                </c:pt>
                <c:pt idx="1319">
                  <c:v>44055</c:v>
                </c:pt>
                <c:pt idx="1320">
                  <c:v>44056</c:v>
                </c:pt>
                <c:pt idx="1321">
                  <c:v>44057</c:v>
                </c:pt>
                <c:pt idx="1322">
                  <c:v>44058</c:v>
                </c:pt>
                <c:pt idx="1323">
                  <c:v>44059</c:v>
                </c:pt>
                <c:pt idx="1324">
                  <c:v>44060</c:v>
                </c:pt>
                <c:pt idx="1325">
                  <c:v>44061</c:v>
                </c:pt>
                <c:pt idx="1326">
                  <c:v>44062</c:v>
                </c:pt>
                <c:pt idx="1327">
                  <c:v>44063</c:v>
                </c:pt>
                <c:pt idx="1328">
                  <c:v>44064</c:v>
                </c:pt>
                <c:pt idx="1329">
                  <c:v>44065</c:v>
                </c:pt>
                <c:pt idx="1330">
                  <c:v>44066</c:v>
                </c:pt>
                <c:pt idx="1331">
                  <c:v>44067</c:v>
                </c:pt>
                <c:pt idx="1332">
                  <c:v>44068</c:v>
                </c:pt>
                <c:pt idx="1333">
                  <c:v>44069</c:v>
                </c:pt>
                <c:pt idx="1334">
                  <c:v>44070</c:v>
                </c:pt>
                <c:pt idx="1335">
                  <c:v>44071</c:v>
                </c:pt>
                <c:pt idx="1336">
                  <c:v>44072</c:v>
                </c:pt>
                <c:pt idx="1337">
                  <c:v>44073</c:v>
                </c:pt>
                <c:pt idx="1338">
                  <c:v>44074</c:v>
                </c:pt>
                <c:pt idx="1339">
                  <c:v>44075</c:v>
                </c:pt>
                <c:pt idx="1340">
                  <c:v>44076</c:v>
                </c:pt>
                <c:pt idx="1341">
                  <c:v>44077</c:v>
                </c:pt>
                <c:pt idx="1342">
                  <c:v>44078</c:v>
                </c:pt>
                <c:pt idx="1343">
                  <c:v>44079</c:v>
                </c:pt>
                <c:pt idx="1344">
                  <c:v>44080</c:v>
                </c:pt>
                <c:pt idx="1345">
                  <c:v>44081</c:v>
                </c:pt>
                <c:pt idx="1346">
                  <c:v>44082</c:v>
                </c:pt>
                <c:pt idx="1347">
                  <c:v>44083</c:v>
                </c:pt>
                <c:pt idx="1348">
                  <c:v>44084</c:v>
                </c:pt>
                <c:pt idx="1349">
                  <c:v>44085</c:v>
                </c:pt>
                <c:pt idx="1350">
                  <c:v>44086</c:v>
                </c:pt>
                <c:pt idx="1351">
                  <c:v>44087</c:v>
                </c:pt>
                <c:pt idx="1352">
                  <c:v>44088</c:v>
                </c:pt>
                <c:pt idx="1353">
                  <c:v>44089</c:v>
                </c:pt>
                <c:pt idx="1354">
                  <c:v>44090</c:v>
                </c:pt>
                <c:pt idx="1355">
                  <c:v>44091</c:v>
                </c:pt>
                <c:pt idx="1356">
                  <c:v>44092</c:v>
                </c:pt>
                <c:pt idx="1357">
                  <c:v>44093</c:v>
                </c:pt>
                <c:pt idx="1358">
                  <c:v>44094</c:v>
                </c:pt>
                <c:pt idx="1359">
                  <c:v>44095</c:v>
                </c:pt>
                <c:pt idx="1360">
                  <c:v>44096</c:v>
                </c:pt>
                <c:pt idx="1361">
                  <c:v>44097</c:v>
                </c:pt>
                <c:pt idx="1362">
                  <c:v>44098</c:v>
                </c:pt>
                <c:pt idx="1363">
                  <c:v>44099</c:v>
                </c:pt>
                <c:pt idx="1364">
                  <c:v>44100</c:v>
                </c:pt>
                <c:pt idx="1365">
                  <c:v>44101</c:v>
                </c:pt>
                <c:pt idx="1366">
                  <c:v>44102</c:v>
                </c:pt>
                <c:pt idx="1367">
                  <c:v>44103</c:v>
                </c:pt>
                <c:pt idx="1368">
                  <c:v>44104</c:v>
                </c:pt>
                <c:pt idx="1369">
                  <c:v>44105</c:v>
                </c:pt>
                <c:pt idx="1370">
                  <c:v>44106</c:v>
                </c:pt>
                <c:pt idx="1371">
                  <c:v>44107</c:v>
                </c:pt>
                <c:pt idx="1372">
                  <c:v>44108</c:v>
                </c:pt>
                <c:pt idx="1373">
                  <c:v>44109</c:v>
                </c:pt>
                <c:pt idx="1374">
                  <c:v>44110</c:v>
                </c:pt>
                <c:pt idx="1375">
                  <c:v>44111</c:v>
                </c:pt>
                <c:pt idx="1376">
                  <c:v>44112</c:v>
                </c:pt>
                <c:pt idx="1377">
                  <c:v>44113</c:v>
                </c:pt>
                <c:pt idx="1378">
                  <c:v>44114</c:v>
                </c:pt>
                <c:pt idx="1379">
                  <c:v>44115</c:v>
                </c:pt>
                <c:pt idx="1380">
                  <c:v>44116</c:v>
                </c:pt>
                <c:pt idx="1381">
                  <c:v>44117</c:v>
                </c:pt>
                <c:pt idx="1382">
                  <c:v>44118</c:v>
                </c:pt>
                <c:pt idx="1383">
                  <c:v>44119</c:v>
                </c:pt>
                <c:pt idx="1384">
                  <c:v>44120</c:v>
                </c:pt>
                <c:pt idx="1385">
                  <c:v>44121</c:v>
                </c:pt>
                <c:pt idx="1386">
                  <c:v>44122</c:v>
                </c:pt>
                <c:pt idx="1387">
                  <c:v>44123</c:v>
                </c:pt>
                <c:pt idx="1388">
                  <c:v>44124</c:v>
                </c:pt>
                <c:pt idx="1389">
                  <c:v>44125</c:v>
                </c:pt>
                <c:pt idx="1390">
                  <c:v>44126</c:v>
                </c:pt>
                <c:pt idx="1391">
                  <c:v>44127</c:v>
                </c:pt>
                <c:pt idx="1392">
                  <c:v>44128</c:v>
                </c:pt>
                <c:pt idx="1393">
                  <c:v>44129</c:v>
                </c:pt>
                <c:pt idx="1394">
                  <c:v>44130</c:v>
                </c:pt>
                <c:pt idx="1395">
                  <c:v>44131</c:v>
                </c:pt>
                <c:pt idx="1396">
                  <c:v>44132</c:v>
                </c:pt>
                <c:pt idx="1397">
                  <c:v>44133</c:v>
                </c:pt>
                <c:pt idx="1398">
                  <c:v>44134</c:v>
                </c:pt>
                <c:pt idx="1399">
                  <c:v>44135</c:v>
                </c:pt>
                <c:pt idx="1400">
                  <c:v>44136</c:v>
                </c:pt>
                <c:pt idx="1401">
                  <c:v>44137</c:v>
                </c:pt>
                <c:pt idx="1402">
                  <c:v>44138</c:v>
                </c:pt>
                <c:pt idx="1403">
                  <c:v>44139</c:v>
                </c:pt>
                <c:pt idx="1404">
                  <c:v>44140</c:v>
                </c:pt>
                <c:pt idx="1405">
                  <c:v>44141</c:v>
                </c:pt>
                <c:pt idx="1406">
                  <c:v>44142</c:v>
                </c:pt>
                <c:pt idx="1407">
                  <c:v>44143</c:v>
                </c:pt>
                <c:pt idx="1408">
                  <c:v>44144</c:v>
                </c:pt>
                <c:pt idx="1409">
                  <c:v>44145</c:v>
                </c:pt>
                <c:pt idx="1410">
                  <c:v>44146</c:v>
                </c:pt>
                <c:pt idx="1411">
                  <c:v>44147</c:v>
                </c:pt>
                <c:pt idx="1412">
                  <c:v>44148</c:v>
                </c:pt>
                <c:pt idx="1413">
                  <c:v>44149</c:v>
                </c:pt>
                <c:pt idx="1414">
                  <c:v>44150</c:v>
                </c:pt>
                <c:pt idx="1415">
                  <c:v>44151</c:v>
                </c:pt>
                <c:pt idx="1416">
                  <c:v>44152</c:v>
                </c:pt>
                <c:pt idx="1417">
                  <c:v>44153</c:v>
                </c:pt>
                <c:pt idx="1418">
                  <c:v>44154</c:v>
                </c:pt>
                <c:pt idx="1419">
                  <c:v>44155</c:v>
                </c:pt>
                <c:pt idx="1420">
                  <c:v>44156</c:v>
                </c:pt>
                <c:pt idx="1421">
                  <c:v>44157</c:v>
                </c:pt>
                <c:pt idx="1422">
                  <c:v>44158</c:v>
                </c:pt>
                <c:pt idx="1423">
                  <c:v>44159</c:v>
                </c:pt>
                <c:pt idx="1424">
                  <c:v>44160</c:v>
                </c:pt>
                <c:pt idx="1425">
                  <c:v>44161</c:v>
                </c:pt>
                <c:pt idx="1426">
                  <c:v>44162</c:v>
                </c:pt>
                <c:pt idx="1427">
                  <c:v>44163</c:v>
                </c:pt>
                <c:pt idx="1428">
                  <c:v>44164</c:v>
                </c:pt>
                <c:pt idx="1429">
                  <c:v>44165</c:v>
                </c:pt>
                <c:pt idx="1430">
                  <c:v>44166</c:v>
                </c:pt>
                <c:pt idx="1431">
                  <c:v>44167</c:v>
                </c:pt>
                <c:pt idx="1432">
                  <c:v>44168</c:v>
                </c:pt>
                <c:pt idx="1433">
                  <c:v>44169</c:v>
                </c:pt>
                <c:pt idx="1434">
                  <c:v>44170</c:v>
                </c:pt>
                <c:pt idx="1435">
                  <c:v>44171</c:v>
                </c:pt>
                <c:pt idx="1436">
                  <c:v>44172</c:v>
                </c:pt>
                <c:pt idx="1437">
                  <c:v>44173</c:v>
                </c:pt>
                <c:pt idx="1438">
                  <c:v>44174</c:v>
                </c:pt>
                <c:pt idx="1439">
                  <c:v>44175</c:v>
                </c:pt>
                <c:pt idx="1440">
                  <c:v>44176</c:v>
                </c:pt>
                <c:pt idx="1441">
                  <c:v>44177</c:v>
                </c:pt>
                <c:pt idx="1442">
                  <c:v>44178</c:v>
                </c:pt>
                <c:pt idx="1443">
                  <c:v>44179</c:v>
                </c:pt>
                <c:pt idx="1444">
                  <c:v>44180</c:v>
                </c:pt>
                <c:pt idx="1445">
                  <c:v>44181</c:v>
                </c:pt>
                <c:pt idx="1446">
                  <c:v>44182</c:v>
                </c:pt>
                <c:pt idx="1447">
                  <c:v>44183</c:v>
                </c:pt>
                <c:pt idx="1448">
                  <c:v>44184</c:v>
                </c:pt>
                <c:pt idx="1449">
                  <c:v>44185</c:v>
                </c:pt>
                <c:pt idx="1450">
                  <c:v>44186</c:v>
                </c:pt>
                <c:pt idx="1451">
                  <c:v>44187</c:v>
                </c:pt>
                <c:pt idx="1452">
                  <c:v>44188</c:v>
                </c:pt>
                <c:pt idx="1453">
                  <c:v>44189</c:v>
                </c:pt>
                <c:pt idx="1454">
                  <c:v>44190</c:v>
                </c:pt>
                <c:pt idx="1455">
                  <c:v>44191</c:v>
                </c:pt>
                <c:pt idx="1456">
                  <c:v>44192</c:v>
                </c:pt>
                <c:pt idx="1457">
                  <c:v>44193</c:v>
                </c:pt>
                <c:pt idx="1458">
                  <c:v>44194</c:v>
                </c:pt>
                <c:pt idx="1459">
                  <c:v>44195</c:v>
                </c:pt>
                <c:pt idx="1460">
                  <c:v>44196</c:v>
                </c:pt>
                <c:pt idx="1461">
                  <c:v>44197</c:v>
                </c:pt>
                <c:pt idx="1462">
                  <c:v>44198</c:v>
                </c:pt>
                <c:pt idx="1463">
                  <c:v>44199</c:v>
                </c:pt>
                <c:pt idx="1464">
                  <c:v>44200</c:v>
                </c:pt>
                <c:pt idx="1465">
                  <c:v>44201</c:v>
                </c:pt>
                <c:pt idx="1466">
                  <c:v>44202</c:v>
                </c:pt>
                <c:pt idx="1467">
                  <c:v>44203</c:v>
                </c:pt>
                <c:pt idx="1468">
                  <c:v>44204</c:v>
                </c:pt>
                <c:pt idx="1469">
                  <c:v>44205</c:v>
                </c:pt>
                <c:pt idx="1470">
                  <c:v>44206</c:v>
                </c:pt>
                <c:pt idx="1471">
                  <c:v>44207</c:v>
                </c:pt>
                <c:pt idx="1472">
                  <c:v>44208</c:v>
                </c:pt>
                <c:pt idx="1473">
                  <c:v>44209</c:v>
                </c:pt>
                <c:pt idx="1474">
                  <c:v>44210</c:v>
                </c:pt>
                <c:pt idx="1475">
                  <c:v>44211</c:v>
                </c:pt>
                <c:pt idx="1476">
                  <c:v>44212</c:v>
                </c:pt>
                <c:pt idx="1477">
                  <c:v>44213</c:v>
                </c:pt>
                <c:pt idx="1478">
                  <c:v>44214</c:v>
                </c:pt>
                <c:pt idx="1479">
                  <c:v>44215</c:v>
                </c:pt>
                <c:pt idx="1480">
                  <c:v>44216</c:v>
                </c:pt>
                <c:pt idx="1481">
                  <c:v>44217</c:v>
                </c:pt>
                <c:pt idx="1482">
                  <c:v>44218</c:v>
                </c:pt>
                <c:pt idx="1483">
                  <c:v>44219</c:v>
                </c:pt>
                <c:pt idx="1484">
                  <c:v>44220</c:v>
                </c:pt>
                <c:pt idx="1485">
                  <c:v>44221</c:v>
                </c:pt>
                <c:pt idx="1486">
                  <c:v>44222</c:v>
                </c:pt>
                <c:pt idx="1487">
                  <c:v>44223</c:v>
                </c:pt>
                <c:pt idx="1488">
                  <c:v>44224</c:v>
                </c:pt>
                <c:pt idx="1489">
                  <c:v>44225</c:v>
                </c:pt>
                <c:pt idx="1490">
                  <c:v>44226</c:v>
                </c:pt>
                <c:pt idx="1491">
                  <c:v>44227</c:v>
                </c:pt>
                <c:pt idx="1492">
                  <c:v>44228</c:v>
                </c:pt>
                <c:pt idx="1493">
                  <c:v>44229</c:v>
                </c:pt>
                <c:pt idx="1494">
                  <c:v>44230</c:v>
                </c:pt>
                <c:pt idx="1495">
                  <c:v>44231</c:v>
                </c:pt>
                <c:pt idx="1496">
                  <c:v>44232</c:v>
                </c:pt>
                <c:pt idx="1497">
                  <c:v>44233</c:v>
                </c:pt>
                <c:pt idx="1498">
                  <c:v>44234</c:v>
                </c:pt>
                <c:pt idx="1499">
                  <c:v>44235</c:v>
                </c:pt>
                <c:pt idx="1500">
                  <c:v>44236</c:v>
                </c:pt>
                <c:pt idx="1501">
                  <c:v>44237</c:v>
                </c:pt>
                <c:pt idx="1502">
                  <c:v>44238</c:v>
                </c:pt>
                <c:pt idx="1503">
                  <c:v>44239</c:v>
                </c:pt>
                <c:pt idx="1504">
                  <c:v>44240</c:v>
                </c:pt>
                <c:pt idx="1505">
                  <c:v>44241</c:v>
                </c:pt>
                <c:pt idx="1506">
                  <c:v>44242</c:v>
                </c:pt>
                <c:pt idx="1507">
                  <c:v>44243</c:v>
                </c:pt>
                <c:pt idx="1508">
                  <c:v>44244</c:v>
                </c:pt>
                <c:pt idx="1509">
                  <c:v>44245</c:v>
                </c:pt>
                <c:pt idx="1510">
                  <c:v>44246</c:v>
                </c:pt>
                <c:pt idx="1511">
                  <c:v>44247</c:v>
                </c:pt>
                <c:pt idx="1512">
                  <c:v>44248</c:v>
                </c:pt>
                <c:pt idx="1513">
                  <c:v>44249</c:v>
                </c:pt>
                <c:pt idx="1514">
                  <c:v>44250</c:v>
                </c:pt>
                <c:pt idx="1515">
                  <c:v>44251</c:v>
                </c:pt>
                <c:pt idx="1516">
                  <c:v>44252</c:v>
                </c:pt>
                <c:pt idx="1517">
                  <c:v>44253</c:v>
                </c:pt>
                <c:pt idx="1518">
                  <c:v>44254</c:v>
                </c:pt>
                <c:pt idx="1519">
                  <c:v>44255</c:v>
                </c:pt>
                <c:pt idx="1520">
                  <c:v>44256</c:v>
                </c:pt>
                <c:pt idx="1521">
                  <c:v>44257</c:v>
                </c:pt>
                <c:pt idx="1522">
                  <c:v>44258</c:v>
                </c:pt>
                <c:pt idx="1523">
                  <c:v>44259</c:v>
                </c:pt>
                <c:pt idx="1524">
                  <c:v>44260</c:v>
                </c:pt>
                <c:pt idx="1525">
                  <c:v>44261</c:v>
                </c:pt>
                <c:pt idx="1526">
                  <c:v>44262</c:v>
                </c:pt>
                <c:pt idx="1527">
                  <c:v>44263</c:v>
                </c:pt>
                <c:pt idx="1528">
                  <c:v>44264</c:v>
                </c:pt>
                <c:pt idx="1529">
                  <c:v>44265</c:v>
                </c:pt>
                <c:pt idx="1530">
                  <c:v>44266</c:v>
                </c:pt>
                <c:pt idx="1531">
                  <c:v>44267</c:v>
                </c:pt>
                <c:pt idx="1532">
                  <c:v>44268</c:v>
                </c:pt>
                <c:pt idx="1533">
                  <c:v>44269</c:v>
                </c:pt>
                <c:pt idx="1534">
                  <c:v>44270</c:v>
                </c:pt>
                <c:pt idx="1535">
                  <c:v>44271</c:v>
                </c:pt>
                <c:pt idx="1536">
                  <c:v>44272</c:v>
                </c:pt>
                <c:pt idx="1537">
                  <c:v>44273</c:v>
                </c:pt>
                <c:pt idx="1538">
                  <c:v>44274</c:v>
                </c:pt>
                <c:pt idx="1539">
                  <c:v>44275</c:v>
                </c:pt>
                <c:pt idx="1540">
                  <c:v>44276</c:v>
                </c:pt>
                <c:pt idx="1541">
                  <c:v>44277</c:v>
                </c:pt>
                <c:pt idx="1542">
                  <c:v>44278</c:v>
                </c:pt>
                <c:pt idx="1543">
                  <c:v>44279</c:v>
                </c:pt>
                <c:pt idx="1544">
                  <c:v>44280</c:v>
                </c:pt>
                <c:pt idx="1545">
                  <c:v>44281</c:v>
                </c:pt>
                <c:pt idx="1546">
                  <c:v>44282</c:v>
                </c:pt>
                <c:pt idx="1547">
                  <c:v>44283</c:v>
                </c:pt>
                <c:pt idx="1548">
                  <c:v>44284</c:v>
                </c:pt>
                <c:pt idx="1549">
                  <c:v>44285</c:v>
                </c:pt>
                <c:pt idx="1550">
                  <c:v>44286</c:v>
                </c:pt>
                <c:pt idx="1551">
                  <c:v>44287</c:v>
                </c:pt>
                <c:pt idx="1552">
                  <c:v>44288</c:v>
                </c:pt>
                <c:pt idx="1553">
                  <c:v>44289</c:v>
                </c:pt>
                <c:pt idx="1554">
                  <c:v>44290</c:v>
                </c:pt>
                <c:pt idx="1555">
                  <c:v>44291</c:v>
                </c:pt>
                <c:pt idx="1556">
                  <c:v>44292</c:v>
                </c:pt>
                <c:pt idx="1557">
                  <c:v>44293</c:v>
                </c:pt>
                <c:pt idx="1558">
                  <c:v>44294</c:v>
                </c:pt>
                <c:pt idx="1559">
                  <c:v>44295</c:v>
                </c:pt>
                <c:pt idx="1560">
                  <c:v>44296</c:v>
                </c:pt>
                <c:pt idx="1561">
                  <c:v>44297</c:v>
                </c:pt>
                <c:pt idx="1562">
                  <c:v>44298</c:v>
                </c:pt>
                <c:pt idx="1563">
                  <c:v>44299</c:v>
                </c:pt>
                <c:pt idx="1564">
                  <c:v>44300</c:v>
                </c:pt>
                <c:pt idx="1565">
                  <c:v>44301</c:v>
                </c:pt>
                <c:pt idx="1566">
                  <c:v>44302</c:v>
                </c:pt>
                <c:pt idx="1567">
                  <c:v>44303</c:v>
                </c:pt>
                <c:pt idx="1568">
                  <c:v>44304</c:v>
                </c:pt>
                <c:pt idx="1569">
                  <c:v>44305</c:v>
                </c:pt>
                <c:pt idx="1570">
                  <c:v>44306</c:v>
                </c:pt>
                <c:pt idx="1571">
                  <c:v>44307</c:v>
                </c:pt>
                <c:pt idx="1572">
                  <c:v>44308</c:v>
                </c:pt>
                <c:pt idx="1573">
                  <c:v>44309</c:v>
                </c:pt>
                <c:pt idx="1574">
                  <c:v>44310</c:v>
                </c:pt>
                <c:pt idx="1575">
                  <c:v>44311</c:v>
                </c:pt>
                <c:pt idx="1576">
                  <c:v>44312</c:v>
                </c:pt>
                <c:pt idx="1577">
                  <c:v>44313</c:v>
                </c:pt>
                <c:pt idx="1578">
                  <c:v>44314</c:v>
                </c:pt>
                <c:pt idx="1579">
                  <c:v>44315</c:v>
                </c:pt>
                <c:pt idx="1580">
                  <c:v>44316</c:v>
                </c:pt>
                <c:pt idx="1581">
                  <c:v>44317</c:v>
                </c:pt>
                <c:pt idx="1582">
                  <c:v>44318</c:v>
                </c:pt>
                <c:pt idx="1583">
                  <c:v>44319</c:v>
                </c:pt>
                <c:pt idx="1584">
                  <c:v>44320</c:v>
                </c:pt>
                <c:pt idx="1585">
                  <c:v>44321</c:v>
                </c:pt>
                <c:pt idx="1586">
                  <c:v>44322</c:v>
                </c:pt>
                <c:pt idx="1587">
                  <c:v>44323</c:v>
                </c:pt>
                <c:pt idx="1588">
                  <c:v>44324</c:v>
                </c:pt>
                <c:pt idx="1589">
                  <c:v>44325</c:v>
                </c:pt>
                <c:pt idx="1590">
                  <c:v>44326</c:v>
                </c:pt>
                <c:pt idx="1591">
                  <c:v>44327</c:v>
                </c:pt>
                <c:pt idx="1592">
                  <c:v>44328</c:v>
                </c:pt>
                <c:pt idx="1593">
                  <c:v>44329</c:v>
                </c:pt>
                <c:pt idx="1594">
                  <c:v>44330</c:v>
                </c:pt>
                <c:pt idx="1595">
                  <c:v>44331</c:v>
                </c:pt>
                <c:pt idx="1596">
                  <c:v>44332</c:v>
                </c:pt>
                <c:pt idx="1597">
                  <c:v>44333</c:v>
                </c:pt>
                <c:pt idx="1598">
                  <c:v>44334</c:v>
                </c:pt>
                <c:pt idx="1599">
                  <c:v>44335</c:v>
                </c:pt>
                <c:pt idx="1600">
                  <c:v>44336</c:v>
                </c:pt>
                <c:pt idx="1601">
                  <c:v>44337</c:v>
                </c:pt>
                <c:pt idx="1602">
                  <c:v>44338</c:v>
                </c:pt>
                <c:pt idx="1603">
                  <c:v>44339</c:v>
                </c:pt>
                <c:pt idx="1604">
                  <c:v>44340</c:v>
                </c:pt>
                <c:pt idx="1605">
                  <c:v>44341</c:v>
                </c:pt>
                <c:pt idx="1606">
                  <c:v>44342</c:v>
                </c:pt>
                <c:pt idx="1607">
                  <c:v>44343</c:v>
                </c:pt>
                <c:pt idx="1608">
                  <c:v>44344</c:v>
                </c:pt>
                <c:pt idx="1609">
                  <c:v>44345</c:v>
                </c:pt>
                <c:pt idx="1610">
                  <c:v>44346</c:v>
                </c:pt>
                <c:pt idx="1611">
                  <c:v>44347</c:v>
                </c:pt>
                <c:pt idx="1612">
                  <c:v>44348</c:v>
                </c:pt>
                <c:pt idx="1613">
                  <c:v>44349</c:v>
                </c:pt>
                <c:pt idx="1614">
                  <c:v>44350</c:v>
                </c:pt>
                <c:pt idx="1615">
                  <c:v>44351</c:v>
                </c:pt>
                <c:pt idx="1616">
                  <c:v>44352</c:v>
                </c:pt>
                <c:pt idx="1617">
                  <c:v>44353</c:v>
                </c:pt>
                <c:pt idx="1618">
                  <c:v>44354</c:v>
                </c:pt>
                <c:pt idx="1619">
                  <c:v>44355</c:v>
                </c:pt>
                <c:pt idx="1620">
                  <c:v>44356</c:v>
                </c:pt>
                <c:pt idx="1621">
                  <c:v>44357</c:v>
                </c:pt>
                <c:pt idx="1622">
                  <c:v>44358</c:v>
                </c:pt>
                <c:pt idx="1623">
                  <c:v>44359</c:v>
                </c:pt>
                <c:pt idx="1624">
                  <c:v>44360</c:v>
                </c:pt>
                <c:pt idx="1625">
                  <c:v>44361</c:v>
                </c:pt>
                <c:pt idx="1626">
                  <c:v>44362</c:v>
                </c:pt>
                <c:pt idx="1627">
                  <c:v>44363</c:v>
                </c:pt>
                <c:pt idx="1628">
                  <c:v>44364</c:v>
                </c:pt>
                <c:pt idx="1629">
                  <c:v>44365</c:v>
                </c:pt>
                <c:pt idx="1630">
                  <c:v>44366</c:v>
                </c:pt>
                <c:pt idx="1631">
                  <c:v>44367</c:v>
                </c:pt>
                <c:pt idx="1632">
                  <c:v>44368</c:v>
                </c:pt>
                <c:pt idx="1633">
                  <c:v>44369</c:v>
                </c:pt>
                <c:pt idx="1634">
                  <c:v>44370</c:v>
                </c:pt>
                <c:pt idx="1635">
                  <c:v>44371</c:v>
                </c:pt>
                <c:pt idx="1636">
                  <c:v>44372</c:v>
                </c:pt>
                <c:pt idx="1637">
                  <c:v>44373</c:v>
                </c:pt>
                <c:pt idx="1638">
                  <c:v>44374</c:v>
                </c:pt>
                <c:pt idx="1639">
                  <c:v>44375</c:v>
                </c:pt>
                <c:pt idx="1640">
                  <c:v>44376</c:v>
                </c:pt>
                <c:pt idx="1641">
                  <c:v>44377</c:v>
                </c:pt>
                <c:pt idx="1642">
                  <c:v>44378</c:v>
                </c:pt>
                <c:pt idx="1643">
                  <c:v>44379</c:v>
                </c:pt>
                <c:pt idx="1644">
                  <c:v>44380</c:v>
                </c:pt>
                <c:pt idx="1645">
                  <c:v>44381</c:v>
                </c:pt>
                <c:pt idx="1646">
                  <c:v>44382</c:v>
                </c:pt>
                <c:pt idx="1647">
                  <c:v>44383</c:v>
                </c:pt>
                <c:pt idx="1648">
                  <c:v>44384</c:v>
                </c:pt>
                <c:pt idx="1649">
                  <c:v>44385</c:v>
                </c:pt>
                <c:pt idx="1650">
                  <c:v>44386</c:v>
                </c:pt>
                <c:pt idx="1651">
                  <c:v>44387</c:v>
                </c:pt>
                <c:pt idx="1652">
                  <c:v>44388</c:v>
                </c:pt>
                <c:pt idx="1653">
                  <c:v>44389</c:v>
                </c:pt>
                <c:pt idx="1654">
                  <c:v>44390</c:v>
                </c:pt>
                <c:pt idx="1655">
                  <c:v>44391</c:v>
                </c:pt>
                <c:pt idx="1656">
                  <c:v>44392</c:v>
                </c:pt>
                <c:pt idx="1657">
                  <c:v>44393</c:v>
                </c:pt>
                <c:pt idx="1658">
                  <c:v>44394</c:v>
                </c:pt>
                <c:pt idx="1659">
                  <c:v>44395</c:v>
                </c:pt>
                <c:pt idx="1660">
                  <c:v>44396</c:v>
                </c:pt>
                <c:pt idx="1661">
                  <c:v>44397</c:v>
                </c:pt>
                <c:pt idx="1662">
                  <c:v>44398</c:v>
                </c:pt>
                <c:pt idx="1663">
                  <c:v>44399</c:v>
                </c:pt>
                <c:pt idx="1664">
                  <c:v>44400</c:v>
                </c:pt>
                <c:pt idx="1665">
                  <c:v>44401</c:v>
                </c:pt>
                <c:pt idx="1666">
                  <c:v>44402</c:v>
                </c:pt>
                <c:pt idx="1667">
                  <c:v>44403</c:v>
                </c:pt>
                <c:pt idx="1668">
                  <c:v>44404</c:v>
                </c:pt>
                <c:pt idx="1669">
                  <c:v>44405</c:v>
                </c:pt>
                <c:pt idx="1670">
                  <c:v>44406</c:v>
                </c:pt>
                <c:pt idx="1671">
                  <c:v>44407</c:v>
                </c:pt>
                <c:pt idx="1672">
                  <c:v>44408</c:v>
                </c:pt>
                <c:pt idx="1673">
                  <c:v>44409</c:v>
                </c:pt>
                <c:pt idx="1674">
                  <c:v>44410</c:v>
                </c:pt>
                <c:pt idx="1675">
                  <c:v>44411</c:v>
                </c:pt>
                <c:pt idx="1676">
                  <c:v>44412</c:v>
                </c:pt>
                <c:pt idx="1677">
                  <c:v>44413</c:v>
                </c:pt>
                <c:pt idx="1678">
                  <c:v>44414</c:v>
                </c:pt>
                <c:pt idx="1679">
                  <c:v>44415</c:v>
                </c:pt>
                <c:pt idx="1680">
                  <c:v>44416</c:v>
                </c:pt>
                <c:pt idx="1681">
                  <c:v>44417</c:v>
                </c:pt>
                <c:pt idx="1682">
                  <c:v>44418</c:v>
                </c:pt>
                <c:pt idx="1683">
                  <c:v>44419</c:v>
                </c:pt>
                <c:pt idx="1684">
                  <c:v>44420</c:v>
                </c:pt>
                <c:pt idx="1685">
                  <c:v>44421</c:v>
                </c:pt>
                <c:pt idx="1686">
                  <c:v>44422</c:v>
                </c:pt>
                <c:pt idx="1687">
                  <c:v>44423</c:v>
                </c:pt>
                <c:pt idx="1688">
                  <c:v>44424</c:v>
                </c:pt>
                <c:pt idx="1689">
                  <c:v>44425</c:v>
                </c:pt>
                <c:pt idx="1690">
                  <c:v>44426</c:v>
                </c:pt>
                <c:pt idx="1691">
                  <c:v>44427</c:v>
                </c:pt>
                <c:pt idx="1692">
                  <c:v>44428</c:v>
                </c:pt>
                <c:pt idx="1693">
                  <c:v>44429</c:v>
                </c:pt>
                <c:pt idx="1694">
                  <c:v>44430</c:v>
                </c:pt>
                <c:pt idx="1695">
                  <c:v>44431</c:v>
                </c:pt>
                <c:pt idx="1696">
                  <c:v>44432</c:v>
                </c:pt>
                <c:pt idx="1697">
                  <c:v>44433</c:v>
                </c:pt>
                <c:pt idx="1698">
                  <c:v>44434</c:v>
                </c:pt>
                <c:pt idx="1699">
                  <c:v>44435</c:v>
                </c:pt>
                <c:pt idx="1700">
                  <c:v>44436</c:v>
                </c:pt>
                <c:pt idx="1701">
                  <c:v>44437</c:v>
                </c:pt>
                <c:pt idx="1702">
                  <c:v>44438</c:v>
                </c:pt>
                <c:pt idx="1703">
                  <c:v>44439</c:v>
                </c:pt>
                <c:pt idx="1704">
                  <c:v>44440</c:v>
                </c:pt>
                <c:pt idx="1705">
                  <c:v>44441</c:v>
                </c:pt>
                <c:pt idx="1706">
                  <c:v>44442</c:v>
                </c:pt>
                <c:pt idx="1707">
                  <c:v>44443</c:v>
                </c:pt>
                <c:pt idx="1708">
                  <c:v>44444</c:v>
                </c:pt>
                <c:pt idx="1709">
                  <c:v>44445</c:v>
                </c:pt>
                <c:pt idx="1710">
                  <c:v>44446</c:v>
                </c:pt>
                <c:pt idx="1711">
                  <c:v>44447</c:v>
                </c:pt>
                <c:pt idx="1712">
                  <c:v>44448</c:v>
                </c:pt>
                <c:pt idx="1713">
                  <c:v>44449</c:v>
                </c:pt>
                <c:pt idx="1714">
                  <c:v>44450</c:v>
                </c:pt>
                <c:pt idx="1715">
                  <c:v>44451</c:v>
                </c:pt>
                <c:pt idx="1716">
                  <c:v>44452</c:v>
                </c:pt>
                <c:pt idx="1717">
                  <c:v>44453</c:v>
                </c:pt>
                <c:pt idx="1718">
                  <c:v>44454</c:v>
                </c:pt>
                <c:pt idx="1719">
                  <c:v>44455</c:v>
                </c:pt>
                <c:pt idx="1720">
                  <c:v>44456</c:v>
                </c:pt>
                <c:pt idx="1721">
                  <c:v>44457</c:v>
                </c:pt>
                <c:pt idx="1722">
                  <c:v>44458</c:v>
                </c:pt>
                <c:pt idx="1723">
                  <c:v>44459</c:v>
                </c:pt>
                <c:pt idx="1724">
                  <c:v>44460</c:v>
                </c:pt>
                <c:pt idx="1725">
                  <c:v>44461</c:v>
                </c:pt>
                <c:pt idx="1726">
                  <c:v>44462</c:v>
                </c:pt>
                <c:pt idx="1727">
                  <c:v>44463</c:v>
                </c:pt>
                <c:pt idx="1728">
                  <c:v>44464</c:v>
                </c:pt>
                <c:pt idx="1729">
                  <c:v>44465</c:v>
                </c:pt>
                <c:pt idx="1730">
                  <c:v>44466</c:v>
                </c:pt>
                <c:pt idx="1731">
                  <c:v>44467</c:v>
                </c:pt>
                <c:pt idx="1732">
                  <c:v>44468</c:v>
                </c:pt>
                <c:pt idx="1733">
                  <c:v>44469</c:v>
                </c:pt>
                <c:pt idx="1734">
                  <c:v>44470</c:v>
                </c:pt>
                <c:pt idx="1735">
                  <c:v>44471</c:v>
                </c:pt>
                <c:pt idx="1736">
                  <c:v>44472</c:v>
                </c:pt>
                <c:pt idx="1737">
                  <c:v>44473</c:v>
                </c:pt>
                <c:pt idx="1738">
                  <c:v>44474</c:v>
                </c:pt>
                <c:pt idx="1739">
                  <c:v>44475</c:v>
                </c:pt>
                <c:pt idx="1740">
                  <c:v>44476</c:v>
                </c:pt>
                <c:pt idx="1741">
                  <c:v>44477</c:v>
                </c:pt>
                <c:pt idx="1742">
                  <c:v>44478</c:v>
                </c:pt>
                <c:pt idx="1743">
                  <c:v>44479</c:v>
                </c:pt>
                <c:pt idx="1744">
                  <c:v>44480</c:v>
                </c:pt>
                <c:pt idx="1745">
                  <c:v>44481</c:v>
                </c:pt>
                <c:pt idx="1746">
                  <c:v>44482</c:v>
                </c:pt>
                <c:pt idx="1747">
                  <c:v>44483</c:v>
                </c:pt>
                <c:pt idx="1748">
                  <c:v>44484</c:v>
                </c:pt>
                <c:pt idx="1749">
                  <c:v>44485</c:v>
                </c:pt>
                <c:pt idx="1750">
                  <c:v>44486</c:v>
                </c:pt>
                <c:pt idx="1751">
                  <c:v>44487</c:v>
                </c:pt>
                <c:pt idx="1752">
                  <c:v>44488</c:v>
                </c:pt>
                <c:pt idx="1753">
                  <c:v>44489</c:v>
                </c:pt>
                <c:pt idx="1754">
                  <c:v>44490</c:v>
                </c:pt>
                <c:pt idx="1755">
                  <c:v>44491</c:v>
                </c:pt>
                <c:pt idx="1756">
                  <c:v>44492</c:v>
                </c:pt>
                <c:pt idx="1757">
                  <c:v>44493</c:v>
                </c:pt>
                <c:pt idx="1758">
                  <c:v>44494</c:v>
                </c:pt>
                <c:pt idx="1759">
                  <c:v>44495</c:v>
                </c:pt>
                <c:pt idx="1760">
                  <c:v>44496</c:v>
                </c:pt>
                <c:pt idx="1761">
                  <c:v>44497</c:v>
                </c:pt>
                <c:pt idx="1762">
                  <c:v>44498</c:v>
                </c:pt>
                <c:pt idx="1763">
                  <c:v>44499</c:v>
                </c:pt>
                <c:pt idx="1764">
                  <c:v>44500</c:v>
                </c:pt>
                <c:pt idx="1765">
                  <c:v>44501</c:v>
                </c:pt>
                <c:pt idx="1766">
                  <c:v>44502</c:v>
                </c:pt>
                <c:pt idx="1767">
                  <c:v>44503</c:v>
                </c:pt>
                <c:pt idx="1768">
                  <c:v>44504</c:v>
                </c:pt>
                <c:pt idx="1769">
                  <c:v>44505</c:v>
                </c:pt>
                <c:pt idx="1770">
                  <c:v>44506</c:v>
                </c:pt>
                <c:pt idx="1771">
                  <c:v>44507</c:v>
                </c:pt>
                <c:pt idx="1772">
                  <c:v>44508</c:v>
                </c:pt>
                <c:pt idx="1773">
                  <c:v>44509</c:v>
                </c:pt>
                <c:pt idx="1774">
                  <c:v>44510</c:v>
                </c:pt>
                <c:pt idx="1775">
                  <c:v>44511</c:v>
                </c:pt>
                <c:pt idx="1776">
                  <c:v>44512</c:v>
                </c:pt>
                <c:pt idx="1777">
                  <c:v>44513</c:v>
                </c:pt>
                <c:pt idx="1778">
                  <c:v>44514</c:v>
                </c:pt>
                <c:pt idx="1779">
                  <c:v>44515</c:v>
                </c:pt>
                <c:pt idx="1780">
                  <c:v>44516</c:v>
                </c:pt>
                <c:pt idx="1781">
                  <c:v>44517</c:v>
                </c:pt>
                <c:pt idx="1782">
                  <c:v>44518</c:v>
                </c:pt>
                <c:pt idx="1783">
                  <c:v>44519</c:v>
                </c:pt>
                <c:pt idx="1784">
                  <c:v>44520</c:v>
                </c:pt>
                <c:pt idx="1785">
                  <c:v>44521</c:v>
                </c:pt>
                <c:pt idx="1786">
                  <c:v>44522</c:v>
                </c:pt>
                <c:pt idx="1787">
                  <c:v>44523</c:v>
                </c:pt>
                <c:pt idx="1788">
                  <c:v>44524</c:v>
                </c:pt>
                <c:pt idx="1789">
                  <c:v>44525</c:v>
                </c:pt>
                <c:pt idx="1790">
                  <c:v>44526</c:v>
                </c:pt>
                <c:pt idx="1791">
                  <c:v>44527</c:v>
                </c:pt>
                <c:pt idx="1792">
                  <c:v>44528</c:v>
                </c:pt>
                <c:pt idx="1793">
                  <c:v>44529</c:v>
                </c:pt>
                <c:pt idx="1794">
                  <c:v>44530</c:v>
                </c:pt>
                <c:pt idx="1795">
                  <c:v>44531</c:v>
                </c:pt>
                <c:pt idx="1796">
                  <c:v>44532</c:v>
                </c:pt>
                <c:pt idx="1797">
                  <c:v>44533</c:v>
                </c:pt>
                <c:pt idx="1798">
                  <c:v>44534</c:v>
                </c:pt>
                <c:pt idx="1799">
                  <c:v>44535</c:v>
                </c:pt>
                <c:pt idx="1800">
                  <c:v>44536</c:v>
                </c:pt>
                <c:pt idx="1801">
                  <c:v>44537</c:v>
                </c:pt>
                <c:pt idx="1802">
                  <c:v>44538</c:v>
                </c:pt>
                <c:pt idx="1803">
                  <c:v>44539</c:v>
                </c:pt>
                <c:pt idx="1804">
                  <c:v>44540</c:v>
                </c:pt>
                <c:pt idx="1805">
                  <c:v>44541</c:v>
                </c:pt>
                <c:pt idx="1806">
                  <c:v>44542</c:v>
                </c:pt>
                <c:pt idx="1807">
                  <c:v>44543</c:v>
                </c:pt>
                <c:pt idx="1808">
                  <c:v>44544</c:v>
                </c:pt>
                <c:pt idx="1809">
                  <c:v>44545</c:v>
                </c:pt>
                <c:pt idx="1810">
                  <c:v>44546</c:v>
                </c:pt>
                <c:pt idx="1811">
                  <c:v>44547</c:v>
                </c:pt>
                <c:pt idx="1812">
                  <c:v>44548</c:v>
                </c:pt>
                <c:pt idx="1813">
                  <c:v>44549</c:v>
                </c:pt>
                <c:pt idx="1814">
                  <c:v>44550</c:v>
                </c:pt>
                <c:pt idx="1815">
                  <c:v>44551</c:v>
                </c:pt>
                <c:pt idx="1816">
                  <c:v>44552</c:v>
                </c:pt>
                <c:pt idx="1817">
                  <c:v>44553</c:v>
                </c:pt>
                <c:pt idx="1818">
                  <c:v>44554</c:v>
                </c:pt>
                <c:pt idx="1819">
                  <c:v>44555</c:v>
                </c:pt>
                <c:pt idx="1820">
                  <c:v>44556</c:v>
                </c:pt>
                <c:pt idx="1821">
                  <c:v>44557</c:v>
                </c:pt>
                <c:pt idx="1822">
                  <c:v>44558</c:v>
                </c:pt>
                <c:pt idx="1823">
                  <c:v>44559</c:v>
                </c:pt>
                <c:pt idx="1824">
                  <c:v>44560</c:v>
                </c:pt>
                <c:pt idx="1825">
                  <c:v>44561</c:v>
                </c:pt>
                <c:pt idx="1826">
                  <c:v>44562</c:v>
                </c:pt>
                <c:pt idx="1827">
                  <c:v>44563</c:v>
                </c:pt>
                <c:pt idx="1828">
                  <c:v>44564</c:v>
                </c:pt>
                <c:pt idx="1829">
                  <c:v>44565</c:v>
                </c:pt>
                <c:pt idx="1830">
                  <c:v>44566</c:v>
                </c:pt>
                <c:pt idx="1831">
                  <c:v>44567</c:v>
                </c:pt>
                <c:pt idx="1832">
                  <c:v>44568</c:v>
                </c:pt>
                <c:pt idx="1833">
                  <c:v>44569</c:v>
                </c:pt>
                <c:pt idx="1834">
                  <c:v>44570</c:v>
                </c:pt>
                <c:pt idx="1835">
                  <c:v>44571</c:v>
                </c:pt>
                <c:pt idx="1836">
                  <c:v>44572</c:v>
                </c:pt>
                <c:pt idx="1837">
                  <c:v>44573</c:v>
                </c:pt>
                <c:pt idx="1838">
                  <c:v>44574</c:v>
                </c:pt>
                <c:pt idx="1839">
                  <c:v>44575</c:v>
                </c:pt>
                <c:pt idx="1840">
                  <c:v>44576</c:v>
                </c:pt>
                <c:pt idx="1841">
                  <c:v>44577</c:v>
                </c:pt>
                <c:pt idx="1842">
                  <c:v>44578</c:v>
                </c:pt>
                <c:pt idx="1843">
                  <c:v>44579</c:v>
                </c:pt>
                <c:pt idx="1844">
                  <c:v>44580</c:v>
                </c:pt>
                <c:pt idx="1845">
                  <c:v>44581</c:v>
                </c:pt>
                <c:pt idx="1846">
                  <c:v>44582</c:v>
                </c:pt>
                <c:pt idx="1847">
                  <c:v>44583</c:v>
                </c:pt>
                <c:pt idx="1848">
                  <c:v>44584</c:v>
                </c:pt>
                <c:pt idx="1849">
                  <c:v>44585</c:v>
                </c:pt>
                <c:pt idx="1850">
                  <c:v>44586</c:v>
                </c:pt>
                <c:pt idx="1851">
                  <c:v>44587</c:v>
                </c:pt>
                <c:pt idx="1852">
                  <c:v>44588</c:v>
                </c:pt>
                <c:pt idx="1853">
                  <c:v>44589</c:v>
                </c:pt>
                <c:pt idx="1854">
                  <c:v>44590</c:v>
                </c:pt>
                <c:pt idx="1855">
                  <c:v>44591</c:v>
                </c:pt>
                <c:pt idx="1856">
                  <c:v>44592</c:v>
                </c:pt>
                <c:pt idx="1857">
                  <c:v>44593</c:v>
                </c:pt>
                <c:pt idx="1858">
                  <c:v>44594</c:v>
                </c:pt>
                <c:pt idx="1859">
                  <c:v>44595</c:v>
                </c:pt>
                <c:pt idx="1860">
                  <c:v>44596</c:v>
                </c:pt>
                <c:pt idx="1861">
                  <c:v>44597</c:v>
                </c:pt>
                <c:pt idx="1862">
                  <c:v>44598</c:v>
                </c:pt>
                <c:pt idx="1863">
                  <c:v>44599</c:v>
                </c:pt>
                <c:pt idx="1864">
                  <c:v>44600</c:v>
                </c:pt>
                <c:pt idx="1865">
                  <c:v>44601</c:v>
                </c:pt>
                <c:pt idx="1866">
                  <c:v>44602</c:v>
                </c:pt>
                <c:pt idx="1867">
                  <c:v>44603</c:v>
                </c:pt>
                <c:pt idx="1868">
                  <c:v>44604</c:v>
                </c:pt>
                <c:pt idx="1869">
                  <c:v>44605</c:v>
                </c:pt>
                <c:pt idx="1870">
                  <c:v>44606</c:v>
                </c:pt>
                <c:pt idx="1871">
                  <c:v>44607</c:v>
                </c:pt>
                <c:pt idx="1872">
                  <c:v>44608</c:v>
                </c:pt>
                <c:pt idx="1873">
                  <c:v>44609</c:v>
                </c:pt>
                <c:pt idx="1874">
                  <c:v>44610</c:v>
                </c:pt>
                <c:pt idx="1875">
                  <c:v>44611</c:v>
                </c:pt>
                <c:pt idx="1876">
                  <c:v>44612</c:v>
                </c:pt>
                <c:pt idx="1877">
                  <c:v>44613</c:v>
                </c:pt>
                <c:pt idx="1878">
                  <c:v>44614</c:v>
                </c:pt>
                <c:pt idx="1879">
                  <c:v>44615</c:v>
                </c:pt>
                <c:pt idx="1880">
                  <c:v>44616</c:v>
                </c:pt>
                <c:pt idx="1881">
                  <c:v>44617</c:v>
                </c:pt>
                <c:pt idx="1882">
                  <c:v>44618</c:v>
                </c:pt>
                <c:pt idx="1883">
                  <c:v>44619</c:v>
                </c:pt>
                <c:pt idx="1884">
                  <c:v>44620</c:v>
                </c:pt>
                <c:pt idx="1885">
                  <c:v>44621</c:v>
                </c:pt>
                <c:pt idx="1886">
                  <c:v>44622</c:v>
                </c:pt>
                <c:pt idx="1887">
                  <c:v>44623</c:v>
                </c:pt>
                <c:pt idx="1888">
                  <c:v>44624</c:v>
                </c:pt>
                <c:pt idx="1889">
                  <c:v>44625</c:v>
                </c:pt>
                <c:pt idx="1890">
                  <c:v>44626</c:v>
                </c:pt>
                <c:pt idx="1891">
                  <c:v>44627</c:v>
                </c:pt>
                <c:pt idx="1892">
                  <c:v>44628</c:v>
                </c:pt>
                <c:pt idx="1893">
                  <c:v>44629</c:v>
                </c:pt>
                <c:pt idx="1894">
                  <c:v>44630</c:v>
                </c:pt>
                <c:pt idx="1895">
                  <c:v>44631</c:v>
                </c:pt>
                <c:pt idx="1896">
                  <c:v>44632</c:v>
                </c:pt>
                <c:pt idx="1897">
                  <c:v>44633</c:v>
                </c:pt>
                <c:pt idx="1898">
                  <c:v>44634</c:v>
                </c:pt>
                <c:pt idx="1899">
                  <c:v>44635</c:v>
                </c:pt>
                <c:pt idx="1900">
                  <c:v>44636</c:v>
                </c:pt>
                <c:pt idx="1901">
                  <c:v>44637</c:v>
                </c:pt>
                <c:pt idx="1902">
                  <c:v>44638</c:v>
                </c:pt>
                <c:pt idx="1903">
                  <c:v>44639</c:v>
                </c:pt>
                <c:pt idx="1904">
                  <c:v>44640</c:v>
                </c:pt>
                <c:pt idx="1905">
                  <c:v>44641</c:v>
                </c:pt>
                <c:pt idx="1906">
                  <c:v>44642</c:v>
                </c:pt>
                <c:pt idx="1907">
                  <c:v>44643</c:v>
                </c:pt>
                <c:pt idx="1908">
                  <c:v>44644</c:v>
                </c:pt>
                <c:pt idx="1909">
                  <c:v>44645</c:v>
                </c:pt>
                <c:pt idx="1910">
                  <c:v>44646</c:v>
                </c:pt>
                <c:pt idx="1911">
                  <c:v>44647</c:v>
                </c:pt>
                <c:pt idx="1912">
                  <c:v>44648</c:v>
                </c:pt>
                <c:pt idx="1913">
                  <c:v>44649</c:v>
                </c:pt>
                <c:pt idx="1914">
                  <c:v>44650</c:v>
                </c:pt>
                <c:pt idx="1915">
                  <c:v>44651</c:v>
                </c:pt>
                <c:pt idx="1916">
                  <c:v>44652</c:v>
                </c:pt>
                <c:pt idx="1917">
                  <c:v>44653</c:v>
                </c:pt>
                <c:pt idx="1918">
                  <c:v>44654</c:v>
                </c:pt>
                <c:pt idx="1919">
                  <c:v>44655</c:v>
                </c:pt>
                <c:pt idx="1920">
                  <c:v>44656</c:v>
                </c:pt>
                <c:pt idx="1921">
                  <c:v>44657</c:v>
                </c:pt>
                <c:pt idx="1922">
                  <c:v>44658</c:v>
                </c:pt>
                <c:pt idx="1923">
                  <c:v>44659</c:v>
                </c:pt>
                <c:pt idx="1924">
                  <c:v>44660</c:v>
                </c:pt>
                <c:pt idx="1925">
                  <c:v>44661</c:v>
                </c:pt>
                <c:pt idx="1926">
                  <c:v>44662</c:v>
                </c:pt>
                <c:pt idx="1927">
                  <c:v>44663</c:v>
                </c:pt>
                <c:pt idx="1928">
                  <c:v>44664</c:v>
                </c:pt>
                <c:pt idx="1929">
                  <c:v>44665</c:v>
                </c:pt>
                <c:pt idx="1930">
                  <c:v>44666</c:v>
                </c:pt>
                <c:pt idx="1931">
                  <c:v>44667</c:v>
                </c:pt>
                <c:pt idx="1932">
                  <c:v>44668</c:v>
                </c:pt>
                <c:pt idx="1933">
                  <c:v>44669</c:v>
                </c:pt>
                <c:pt idx="1934">
                  <c:v>44670</c:v>
                </c:pt>
                <c:pt idx="1935">
                  <c:v>44671</c:v>
                </c:pt>
                <c:pt idx="1936">
                  <c:v>44672</c:v>
                </c:pt>
                <c:pt idx="1937">
                  <c:v>44673</c:v>
                </c:pt>
                <c:pt idx="1938">
                  <c:v>44674</c:v>
                </c:pt>
                <c:pt idx="1939">
                  <c:v>44675</c:v>
                </c:pt>
                <c:pt idx="1940">
                  <c:v>44676</c:v>
                </c:pt>
                <c:pt idx="1941">
                  <c:v>44677</c:v>
                </c:pt>
                <c:pt idx="1942">
                  <c:v>44678</c:v>
                </c:pt>
                <c:pt idx="1943">
                  <c:v>44679</c:v>
                </c:pt>
                <c:pt idx="1944">
                  <c:v>44680</c:v>
                </c:pt>
                <c:pt idx="1945">
                  <c:v>44681</c:v>
                </c:pt>
                <c:pt idx="1946">
                  <c:v>44682</c:v>
                </c:pt>
                <c:pt idx="1947">
                  <c:v>44683</c:v>
                </c:pt>
                <c:pt idx="1948">
                  <c:v>44684</c:v>
                </c:pt>
                <c:pt idx="1949">
                  <c:v>44685</c:v>
                </c:pt>
                <c:pt idx="1950">
                  <c:v>44686</c:v>
                </c:pt>
                <c:pt idx="1951">
                  <c:v>44687</c:v>
                </c:pt>
                <c:pt idx="1952">
                  <c:v>44688</c:v>
                </c:pt>
                <c:pt idx="1953">
                  <c:v>44689</c:v>
                </c:pt>
                <c:pt idx="1954">
                  <c:v>44690</c:v>
                </c:pt>
                <c:pt idx="1955">
                  <c:v>44691</c:v>
                </c:pt>
                <c:pt idx="1956">
                  <c:v>44692</c:v>
                </c:pt>
                <c:pt idx="1957">
                  <c:v>44693</c:v>
                </c:pt>
                <c:pt idx="1958">
                  <c:v>44694</c:v>
                </c:pt>
                <c:pt idx="1959">
                  <c:v>44695</c:v>
                </c:pt>
                <c:pt idx="1960">
                  <c:v>44696</c:v>
                </c:pt>
                <c:pt idx="1961">
                  <c:v>44697</c:v>
                </c:pt>
                <c:pt idx="1962">
                  <c:v>44698</c:v>
                </c:pt>
                <c:pt idx="1963">
                  <c:v>44699</c:v>
                </c:pt>
                <c:pt idx="1964">
                  <c:v>44700</c:v>
                </c:pt>
                <c:pt idx="1965">
                  <c:v>44701</c:v>
                </c:pt>
                <c:pt idx="1966">
                  <c:v>44702</c:v>
                </c:pt>
                <c:pt idx="1967">
                  <c:v>44703</c:v>
                </c:pt>
                <c:pt idx="1968">
                  <c:v>44704</c:v>
                </c:pt>
                <c:pt idx="1969">
                  <c:v>44705</c:v>
                </c:pt>
                <c:pt idx="1970">
                  <c:v>44706</c:v>
                </c:pt>
                <c:pt idx="1971">
                  <c:v>44707</c:v>
                </c:pt>
                <c:pt idx="1972">
                  <c:v>44708</c:v>
                </c:pt>
                <c:pt idx="1973">
                  <c:v>44709</c:v>
                </c:pt>
                <c:pt idx="1974">
                  <c:v>44710</c:v>
                </c:pt>
                <c:pt idx="1975">
                  <c:v>44711</c:v>
                </c:pt>
                <c:pt idx="1976">
                  <c:v>44712</c:v>
                </c:pt>
                <c:pt idx="1977">
                  <c:v>44713</c:v>
                </c:pt>
                <c:pt idx="1978">
                  <c:v>44714</c:v>
                </c:pt>
                <c:pt idx="1979">
                  <c:v>44715</c:v>
                </c:pt>
                <c:pt idx="1980">
                  <c:v>44716</c:v>
                </c:pt>
                <c:pt idx="1981">
                  <c:v>44717</c:v>
                </c:pt>
                <c:pt idx="1982">
                  <c:v>44718</c:v>
                </c:pt>
                <c:pt idx="1983">
                  <c:v>44719</c:v>
                </c:pt>
                <c:pt idx="1984">
                  <c:v>44720</c:v>
                </c:pt>
                <c:pt idx="1985">
                  <c:v>44721</c:v>
                </c:pt>
                <c:pt idx="1986">
                  <c:v>44722</c:v>
                </c:pt>
                <c:pt idx="1987">
                  <c:v>44723</c:v>
                </c:pt>
                <c:pt idx="1988">
                  <c:v>44724</c:v>
                </c:pt>
                <c:pt idx="1989">
                  <c:v>44725</c:v>
                </c:pt>
                <c:pt idx="1990">
                  <c:v>44726</c:v>
                </c:pt>
                <c:pt idx="1991">
                  <c:v>44727</c:v>
                </c:pt>
                <c:pt idx="1992">
                  <c:v>44728</c:v>
                </c:pt>
                <c:pt idx="1993">
                  <c:v>44729</c:v>
                </c:pt>
                <c:pt idx="1994">
                  <c:v>44730</c:v>
                </c:pt>
                <c:pt idx="1995">
                  <c:v>44731</c:v>
                </c:pt>
                <c:pt idx="1996">
                  <c:v>44732</c:v>
                </c:pt>
                <c:pt idx="1997">
                  <c:v>44733</c:v>
                </c:pt>
                <c:pt idx="1998">
                  <c:v>44734</c:v>
                </c:pt>
                <c:pt idx="1999">
                  <c:v>44735</c:v>
                </c:pt>
                <c:pt idx="2000">
                  <c:v>44736</c:v>
                </c:pt>
                <c:pt idx="2001">
                  <c:v>44737</c:v>
                </c:pt>
                <c:pt idx="2002">
                  <c:v>44738</c:v>
                </c:pt>
                <c:pt idx="2003">
                  <c:v>44739</c:v>
                </c:pt>
                <c:pt idx="2004">
                  <c:v>44740</c:v>
                </c:pt>
                <c:pt idx="2005">
                  <c:v>44741</c:v>
                </c:pt>
                <c:pt idx="2006">
                  <c:v>44742</c:v>
                </c:pt>
                <c:pt idx="2007">
                  <c:v>44743</c:v>
                </c:pt>
                <c:pt idx="2008">
                  <c:v>44744</c:v>
                </c:pt>
                <c:pt idx="2009">
                  <c:v>44745</c:v>
                </c:pt>
                <c:pt idx="2010">
                  <c:v>44746</c:v>
                </c:pt>
                <c:pt idx="2011">
                  <c:v>44747</c:v>
                </c:pt>
                <c:pt idx="2012">
                  <c:v>44748</c:v>
                </c:pt>
                <c:pt idx="2013">
                  <c:v>44749</c:v>
                </c:pt>
                <c:pt idx="2014">
                  <c:v>44750</c:v>
                </c:pt>
                <c:pt idx="2015">
                  <c:v>44751</c:v>
                </c:pt>
                <c:pt idx="2016">
                  <c:v>44752</c:v>
                </c:pt>
                <c:pt idx="2017">
                  <c:v>44753</c:v>
                </c:pt>
                <c:pt idx="2018">
                  <c:v>44754</c:v>
                </c:pt>
                <c:pt idx="2019">
                  <c:v>44755</c:v>
                </c:pt>
                <c:pt idx="2020">
                  <c:v>44756</c:v>
                </c:pt>
                <c:pt idx="2021">
                  <c:v>44757</c:v>
                </c:pt>
                <c:pt idx="2022">
                  <c:v>44758</c:v>
                </c:pt>
                <c:pt idx="2023">
                  <c:v>44759</c:v>
                </c:pt>
                <c:pt idx="2024">
                  <c:v>44760</c:v>
                </c:pt>
                <c:pt idx="2025">
                  <c:v>44761</c:v>
                </c:pt>
                <c:pt idx="2026">
                  <c:v>44762</c:v>
                </c:pt>
                <c:pt idx="2027">
                  <c:v>44763</c:v>
                </c:pt>
                <c:pt idx="2028">
                  <c:v>44764</c:v>
                </c:pt>
                <c:pt idx="2029">
                  <c:v>44765</c:v>
                </c:pt>
                <c:pt idx="2030">
                  <c:v>44766</c:v>
                </c:pt>
                <c:pt idx="2031">
                  <c:v>44767</c:v>
                </c:pt>
                <c:pt idx="2032">
                  <c:v>44768</c:v>
                </c:pt>
                <c:pt idx="2033">
                  <c:v>44769</c:v>
                </c:pt>
                <c:pt idx="2034">
                  <c:v>44770</c:v>
                </c:pt>
                <c:pt idx="2035">
                  <c:v>44771</c:v>
                </c:pt>
                <c:pt idx="2036">
                  <c:v>44772</c:v>
                </c:pt>
                <c:pt idx="2037">
                  <c:v>44773</c:v>
                </c:pt>
                <c:pt idx="2038">
                  <c:v>44774</c:v>
                </c:pt>
                <c:pt idx="2039">
                  <c:v>44775</c:v>
                </c:pt>
                <c:pt idx="2040">
                  <c:v>44776</c:v>
                </c:pt>
                <c:pt idx="2041">
                  <c:v>44777</c:v>
                </c:pt>
                <c:pt idx="2042">
                  <c:v>44778</c:v>
                </c:pt>
                <c:pt idx="2043">
                  <c:v>44779</c:v>
                </c:pt>
                <c:pt idx="2044">
                  <c:v>44780</c:v>
                </c:pt>
                <c:pt idx="2045">
                  <c:v>44781</c:v>
                </c:pt>
                <c:pt idx="2046">
                  <c:v>44782</c:v>
                </c:pt>
                <c:pt idx="2047">
                  <c:v>44783</c:v>
                </c:pt>
                <c:pt idx="2048">
                  <c:v>44784</c:v>
                </c:pt>
                <c:pt idx="2049">
                  <c:v>44785</c:v>
                </c:pt>
                <c:pt idx="2050">
                  <c:v>44786</c:v>
                </c:pt>
                <c:pt idx="2051">
                  <c:v>44787</c:v>
                </c:pt>
                <c:pt idx="2052">
                  <c:v>44788</c:v>
                </c:pt>
                <c:pt idx="2053">
                  <c:v>44789</c:v>
                </c:pt>
                <c:pt idx="2054">
                  <c:v>44790</c:v>
                </c:pt>
                <c:pt idx="2055">
                  <c:v>44791</c:v>
                </c:pt>
                <c:pt idx="2056">
                  <c:v>44792</c:v>
                </c:pt>
                <c:pt idx="2057">
                  <c:v>44793</c:v>
                </c:pt>
                <c:pt idx="2058">
                  <c:v>44794</c:v>
                </c:pt>
                <c:pt idx="2059">
                  <c:v>44795</c:v>
                </c:pt>
                <c:pt idx="2060">
                  <c:v>44796</c:v>
                </c:pt>
                <c:pt idx="2061">
                  <c:v>44797</c:v>
                </c:pt>
                <c:pt idx="2062">
                  <c:v>44798</c:v>
                </c:pt>
                <c:pt idx="2063">
                  <c:v>44799</c:v>
                </c:pt>
                <c:pt idx="2064">
                  <c:v>44800</c:v>
                </c:pt>
                <c:pt idx="2065">
                  <c:v>44801</c:v>
                </c:pt>
                <c:pt idx="2066">
                  <c:v>44802</c:v>
                </c:pt>
                <c:pt idx="2067">
                  <c:v>44803</c:v>
                </c:pt>
                <c:pt idx="2068">
                  <c:v>44804</c:v>
                </c:pt>
                <c:pt idx="2069">
                  <c:v>44805</c:v>
                </c:pt>
                <c:pt idx="2070">
                  <c:v>44806</c:v>
                </c:pt>
                <c:pt idx="2071">
                  <c:v>44807</c:v>
                </c:pt>
                <c:pt idx="2072">
                  <c:v>44808</c:v>
                </c:pt>
                <c:pt idx="2073">
                  <c:v>44809</c:v>
                </c:pt>
                <c:pt idx="2074">
                  <c:v>44810</c:v>
                </c:pt>
                <c:pt idx="2075">
                  <c:v>44811</c:v>
                </c:pt>
                <c:pt idx="2076">
                  <c:v>44812</c:v>
                </c:pt>
                <c:pt idx="2077">
                  <c:v>44813</c:v>
                </c:pt>
                <c:pt idx="2078">
                  <c:v>44814</c:v>
                </c:pt>
                <c:pt idx="2079">
                  <c:v>44815</c:v>
                </c:pt>
                <c:pt idx="2080">
                  <c:v>44816</c:v>
                </c:pt>
                <c:pt idx="2081">
                  <c:v>44817</c:v>
                </c:pt>
                <c:pt idx="2082">
                  <c:v>44818</c:v>
                </c:pt>
                <c:pt idx="2083">
                  <c:v>44819</c:v>
                </c:pt>
                <c:pt idx="2084">
                  <c:v>44820</c:v>
                </c:pt>
                <c:pt idx="2085">
                  <c:v>44821</c:v>
                </c:pt>
                <c:pt idx="2086">
                  <c:v>44822</c:v>
                </c:pt>
                <c:pt idx="2087">
                  <c:v>44823</c:v>
                </c:pt>
                <c:pt idx="2088">
                  <c:v>44824</c:v>
                </c:pt>
                <c:pt idx="2089">
                  <c:v>44825</c:v>
                </c:pt>
                <c:pt idx="2090">
                  <c:v>44826</c:v>
                </c:pt>
                <c:pt idx="2091">
                  <c:v>44827</c:v>
                </c:pt>
                <c:pt idx="2092">
                  <c:v>44828</c:v>
                </c:pt>
                <c:pt idx="2093">
                  <c:v>44829</c:v>
                </c:pt>
                <c:pt idx="2094">
                  <c:v>44830</c:v>
                </c:pt>
                <c:pt idx="2095">
                  <c:v>44831</c:v>
                </c:pt>
                <c:pt idx="2096">
                  <c:v>44832</c:v>
                </c:pt>
                <c:pt idx="2097">
                  <c:v>44833</c:v>
                </c:pt>
                <c:pt idx="2098">
                  <c:v>44834</c:v>
                </c:pt>
                <c:pt idx="2099">
                  <c:v>44835</c:v>
                </c:pt>
                <c:pt idx="2100">
                  <c:v>44836</c:v>
                </c:pt>
                <c:pt idx="2101">
                  <c:v>44837</c:v>
                </c:pt>
                <c:pt idx="2102">
                  <c:v>44838</c:v>
                </c:pt>
                <c:pt idx="2103">
                  <c:v>44839</c:v>
                </c:pt>
                <c:pt idx="2104">
                  <c:v>44840</c:v>
                </c:pt>
                <c:pt idx="2105">
                  <c:v>44841</c:v>
                </c:pt>
                <c:pt idx="2106">
                  <c:v>44842</c:v>
                </c:pt>
                <c:pt idx="2107">
                  <c:v>44843</c:v>
                </c:pt>
                <c:pt idx="2108">
                  <c:v>44844</c:v>
                </c:pt>
                <c:pt idx="2109">
                  <c:v>44845</c:v>
                </c:pt>
                <c:pt idx="2110">
                  <c:v>44846</c:v>
                </c:pt>
                <c:pt idx="2111">
                  <c:v>44847</c:v>
                </c:pt>
                <c:pt idx="2112">
                  <c:v>44848</c:v>
                </c:pt>
                <c:pt idx="2113">
                  <c:v>44849</c:v>
                </c:pt>
                <c:pt idx="2114">
                  <c:v>44850</c:v>
                </c:pt>
                <c:pt idx="2115">
                  <c:v>44851</c:v>
                </c:pt>
                <c:pt idx="2116">
                  <c:v>44852</c:v>
                </c:pt>
                <c:pt idx="2117">
                  <c:v>44853</c:v>
                </c:pt>
                <c:pt idx="2118">
                  <c:v>44854</c:v>
                </c:pt>
                <c:pt idx="2119">
                  <c:v>44855</c:v>
                </c:pt>
                <c:pt idx="2120">
                  <c:v>44856</c:v>
                </c:pt>
                <c:pt idx="2121">
                  <c:v>44857</c:v>
                </c:pt>
                <c:pt idx="2122">
                  <c:v>44858</c:v>
                </c:pt>
                <c:pt idx="2123">
                  <c:v>44859</c:v>
                </c:pt>
                <c:pt idx="2124">
                  <c:v>44860</c:v>
                </c:pt>
                <c:pt idx="2125">
                  <c:v>44861</c:v>
                </c:pt>
                <c:pt idx="2126">
                  <c:v>44862</c:v>
                </c:pt>
                <c:pt idx="2127">
                  <c:v>44863</c:v>
                </c:pt>
                <c:pt idx="2128">
                  <c:v>44864</c:v>
                </c:pt>
                <c:pt idx="2129">
                  <c:v>44865</c:v>
                </c:pt>
                <c:pt idx="2130">
                  <c:v>44866</c:v>
                </c:pt>
                <c:pt idx="2131">
                  <c:v>44867</c:v>
                </c:pt>
                <c:pt idx="2132">
                  <c:v>44868</c:v>
                </c:pt>
                <c:pt idx="2133">
                  <c:v>44869</c:v>
                </c:pt>
                <c:pt idx="2134">
                  <c:v>44870</c:v>
                </c:pt>
                <c:pt idx="2135">
                  <c:v>44871</c:v>
                </c:pt>
                <c:pt idx="2136">
                  <c:v>44872</c:v>
                </c:pt>
                <c:pt idx="2137">
                  <c:v>44873</c:v>
                </c:pt>
                <c:pt idx="2138">
                  <c:v>44874</c:v>
                </c:pt>
                <c:pt idx="2139">
                  <c:v>44875</c:v>
                </c:pt>
                <c:pt idx="2140">
                  <c:v>44876</c:v>
                </c:pt>
                <c:pt idx="2141">
                  <c:v>44877</c:v>
                </c:pt>
                <c:pt idx="2142">
                  <c:v>44878</c:v>
                </c:pt>
                <c:pt idx="2143">
                  <c:v>44879</c:v>
                </c:pt>
                <c:pt idx="2144">
                  <c:v>44880</c:v>
                </c:pt>
                <c:pt idx="2145">
                  <c:v>44881</c:v>
                </c:pt>
                <c:pt idx="2146">
                  <c:v>44882</c:v>
                </c:pt>
                <c:pt idx="2147">
                  <c:v>44883</c:v>
                </c:pt>
                <c:pt idx="2148">
                  <c:v>44884</c:v>
                </c:pt>
                <c:pt idx="2149">
                  <c:v>44885</c:v>
                </c:pt>
                <c:pt idx="2150">
                  <c:v>44886</c:v>
                </c:pt>
                <c:pt idx="2151">
                  <c:v>44887</c:v>
                </c:pt>
                <c:pt idx="2152">
                  <c:v>44888</c:v>
                </c:pt>
                <c:pt idx="2153">
                  <c:v>44889</c:v>
                </c:pt>
                <c:pt idx="2154">
                  <c:v>44890</c:v>
                </c:pt>
                <c:pt idx="2155">
                  <c:v>44891</c:v>
                </c:pt>
                <c:pt idx="2156">
                  <c:v>44892</c:v>
                </c:pt>
                <c:pt idx="2157">
                  <c:v>44893</c:v>
                </c:pt>
                <c:pt idx="2158">
                  <c:v>44894</c:v>
                </c:pt>
                <c:pt idx="2159">
                  <c:v>44895</c:v>
                </c:pt>
                <c:pt idx="2160">
                  <c:v>44896</c:v>
                </c:pt>
                <c:pt idx="2161">
                  <c:v>44897</c:v>
                </c:pt>
                <c:pt idx="2162">
                  <c:v>44898</c:v>
                </c:pt>
                <c:pt idx="2163">
                  <c:v>44899</c:v>
                </c:pt>
                <c:pt idx="2164">
                  <c:v>44900</c:v>
                </c:pt>
                <c:pt idx="2165">
                  <c:v>44901</c:v>
                </c:pt>
                <c:pt idx="2166">
                  <c:v>44902</c:v>
                </c:pt>
                <c:pt idx="2167">
                  <c:v>44903</c:v>
                </c:pt>
                <c:pt idx="2168">
                  <c:v>44904</c:v>
                </c:pt>
                <c:pt idx="2169">
                  <c:v>44905</c:v>
                </c:pt>
                <c:pt idx="2170">
                  <c:v>44906</c:v>
                </c:pt>
                <c:pt idx="2171">
                  <c:v>44907</c:v>
                </c:pt>
                <c:pt idx="2172">
                  <c:v>44908</c:v>
                </c:pt>
                <c:pt idx="2173">
                  <c:v>44909</c:v>
                </c:pt>
                <c:pt idx="2174">
                  <c:v>44910</c:v>
                </c:pt>
                <c:pt idx="2175">
                  <c:v>44911</c:v>
                </c:pt>
                <c:pt idx="2176">
                  <c:v>44912</c:v>
                </c:pt>
                <c:pt idx="2177">
                  <c:v>44913</c:v>
                </c:pt>
                <c:pt idx="2178">
                  <c:v>44914</c:v>
                </c:pt>
                <c:pt idx="2179">
                  <c:v>44915</c:v>
                </c:pt>
                <c:pt idx="2180">
                  <c:v>44916</c:v>
                </c:pt>
                <c:pt idx="2181">
                  <c:v>44917</c:v>
                </c:pt>
                <c:pt idx="2182">
                  <c:v>44918</c:v>
                </c:pt>
                <c:pt idx="2183">
                  <c:v>44919</c:v>
                </c:pt>
                <c:pt idx="2184">
                  <c:v>44920</c:v>
                </c:pt>
                <c:pt idx="2185">
                  <c:v>44921</c:v>
                </c:pt>
                <c:pt idx="2186">
                  <c:v>44922</c:v>
                </c:pt>
                <c:pt idx="2187">
                  <c:v>44923</c:v>
                </c:pt>
                <c:pt idx="2188">
                  <c:v>44924</c:v>
                </c:pt>
                <c:pt idx="2189">
                  <c:v>44925</c:v>
                </c:pt>
                <c:pt idx="2190">
                  <c:v>44926</c:v>
                </c:pt>
                <c:pt idx="2191">
                  <c:v>44927</c:v>
                </c:pt>
                <c:pt idx="2192">
                  <c:v>44928</c:v>
                </c:pt>
                <c:pt idx="2193">
                  <c:v>44929</c:v>
                </c:pt>
                <c:pt idx="2194">
                  <c:v>44930</c:v>
                </c:pt>
                <c:pt idx="2195">
                  <c:v>44931</c:v>
                </c:pt>
                <c:pt idx="2196">
                  <c:v>44932</c:v>
                </c:pt>
                <c:pt idx="2197">
                  <c:v>44933</c:v>
                </c:pt>
                <c:pt idx="2198">
                  <c:v>44934</c:v>
                </c:pt>
                <c:pt idx="2199">
                  <c:v>44935</c:v>
                </c:pt>
                <c:pt idx="2200">
                  <c:v>44936</c:v>
                </c:pt>
                <c:pt idx="2201">
                  <c:v>44937</c:v>
                </c:pt>
                <c:pt idx="2202">
                  <c:v>44938</c:v>
                </c:pt>
                <c:pt idx="2203">
                  <c:v>44939</c:v>
                </c:pt>
                <c:pt idx="2204">
                  <c:v>44940</c:v>
                </c:pt>
                <c:pt idx="2205">
                  <c:v>44941</c:v>
                </c:pt>
                <c:pt idx="2206">
                  <c:v>44942</c:v>
                </c:pt>
                <c:pt idx="2207">
                  <c:v>44943</c:v>
                </c:pt>
                <c:pt idx="2208">
                  <c:v>44944</c:v>
                </c:pt>
                <c:pt idx="2209">
                  <c:v>44945</c:v>
                </c:pt>
                <c:pt idx="2210">
                  <c:v>44946</c:v>
                </c:pt>
                <c:pt idx="2211">
                  <c:v>44947</c:v>
                </c:pt>
                <c:pt idx="2212">
                  <c:v>44948</c:v>
                </c:pt>
                <c:pt idx="2213">
                  <c:v>44949</c:v>
                </c:pt>
                <c:pt idx="2214">
                  <c:v>44950</c:v>
                </c:pt>
                <c:pt idx="2215">
                  <c:v>44951</c:v>
                </c:pt>
                <c:pt idx="2216">
                  <c:v>44952</c:v>
                </c:pt>
                <c:pt idx="2217">
                  <c:v>44953</c:v>
                </c:pt>
                <c:pt idx="2218">
                  <c:v>44954</c:v>
                </c:pt>
                <c:pt idx="2219">
                  <c:v>44955</c:v>
                </c:pt>
                <c:pt idx="2220">
                  <c:v>44956</c:v>
                </c:pt>
                <c:pt idx="2221">
                  <c:v>44957</c:v>
                </c:pt>
                <c:pt idx="2222">
                  <c:v>44958</c:v>
                </c:pt>
                <c:pt idx="2223">
                  <c:v>44959</c:v>
                </c:pt>
                <c:pt idx="2224">
                  <c:v>44960</c:v>
                </c:pt>
                <c:pt idx="2225">
                  <c:v>44961</c:v>
                </c:pt>
                <c:pt idx="2226">
                  <c:v>44962</c:v>
                </c:pt>
                <c:pt idx="2227">
                  <c:v>44963</c:v>
                </c:pt>
                <c:pt idx="2228">
                  <c:v>44964</c:v>
                </c:pt>
                <c:pt idx="2229">
                  <c:v>44965</c:v>
                </c:pt>
                <c:pt idx="2230">
                  <c:v>44966</c:v>
                </c:pt>
                <c:pt idx="2231">
                  <c:v>44967</c:v>
                </c:pt>
                <c:pt idx="2232">
                  <c:v>44968</c:v>
                </c:pt>
                <c:pt idx="2233">
                  <c:v>44969</c:v>
                </c:pt>
                <c:pt idx="2234">
                  <c:v>44970</c:v>
                </c:pt>
                <c:pt idx="2235">
                  <c:v>44971</c:v>
                </c:pt>
                <c:pt idx="2236">
                  <c:v>44972</c:v>
                </c:pt>
                <c:pt idx="2237">
                  <c:v>44973</c:v>
                </c:pt>
                <c:pt idx="2238">
                  <c:v>44974</c:v>
                </c:pt>
                <c:pt idx="2239">
                  <c:v>44975</c:v>
                </c:pt>
                <c:pt idx="2240">
                  <c:v>44976</c:v>
                </c:pt>
                <c:pt idx="2241">
                  <c:v>44977</c:v>
                </c:pt>
                <c:pt idx="2242">
                  <c:v>44978</c:v>
                </c:pt>
                <c:pt idx="2243">
                  <c:v>44979</c:v>
                </c:pt>
                <c:pt idx="2244">
                  <c:v>44980</c:v>
                </c:pt>
                <c:pt idx="2245">
                  <c:v>44981</c:v>
                </c:pt>
                <c:pt idx="2246">
                  <c:v>44982</c:v>
                </c:pt>
                <c:pt idx="2247">
                  <c:v>44983</c:v>
                </c:pt>
                <c:pt idx="2248">
                  <c:v>44984</c:v>
                </c:pt>
                <c:pt idx="2249">
                  <c:v>44985</c:v>
                </c:pt>
                <c:pt idx="2250">
                  <c:v>44986</c:v>
                </c:pt>
                <c:pt idx="2251">
                  <c:v>44987</c:v>
                </c:pt>
                <c:pt idx="2252">
                  <c:v>44988</c:v>
                </c:pt>
                <c:pt idx="2253">
                  <c:v>44989</c:v>
                </c:pt>
                <c:pt idx="2254">
                  <c:v>44990</c:v>
                </c:pt>
                <c:pt idx="2255">
                  <c:v>44991</c:v>
                </c:pt>
                <c:pt idx="2256">
                  <c:v>44992</c:v>
                </c:pt>
                <c:pt idx="2257">
                  <c:v>44993</c:v>
                </c:pt>
                <c:pt idx="2258">
                  <c:v>44994</c:v>
                </c:pt>
                <c:pt idx="2259">
                  <c:v>44995</c:v>
                </c:pt>
                <c:pt idx="2260">
                  <c:v>44996</c:v>
                </c:pt>
                <c:pt idx="2261">
                  <c:v>44997</c:v>
                </c:pt>
                <c:pt idx="2262">
                  <c:v>44998</c:v>
                </c:pt>
                <c:pt idx="2263">
                  <c:v>44999</c:v>
                </c:pt>
                <c:pt idx="2264">
                  <c:v>45000</c:v>
                </c:pt>
                <c:pt idx="2265">
                  <c:v>45001</c:v>
                </c:pt>
                <c:pt idx="2266">
                  <c:v>45002</c:v>
                </c:pt>
                <c:pt idx="2267">
                  <c:v>45003</c:v>
                </c:pt>
                <c:pt idx="2268">
                  <c:v>45004</c:v>
                </c:pt>
                <c:pt idx="2269">
                  <c:v>45005</c:v>
                </c:pt>
                <c:pt idx="2270">
                  <c:v>45006</c:v>
                </c:pt>
                <c:pt idx="2271">
                  <c:v>45007</c:v>
                </c:pt>
                <c:pt idx="2272">
                  <c:v>45008</c:v>
                </c:pt>
                <c:pt idx="2273">
                  <c:v>45009</c:v>
                </c:pt>
                <c:pt idx="2274">
                  <c:v>45010</c:v>
                </c:pt>
                <c:pt idx="2275">
                  <c:v>45011</c:v>
                </c:pt>
                <c:pt idx="2276">
                  <c:v>45012</c:v>
                </c:pt>
                <c:pt idx="2277">
                  <c:v>45013</c:v>
                </c:pt>
                <c:pt idx="2278">
                  <c:v>45014</c:v>
                </c:pt>
                <c:pt idx="2279">
                  <c:v>45015</c:v>
                </c:pt>
                <c:pt idx="2280">
                  <c:v>45016</c:v>
                </c:pt>
                <c:pt idx="2281">
                  <c:v>45017</c:v>
                </c:pt>
                <c:pt idx="2282">
                  <c:v>45018</c:v>
                </c:pt>
                <c:pt idx="2283">
                  <c:v>45019</c:v>
                </c:pt>
                <c:pt idx="2284">
                  <c:v>45020</c:v>
                </c:pt>
                <c:pt idx="2285">
                  <c:v>45021</c:v>
                </c:pt>
                <c:pt idx="2286">
                  <c:v>45022</c:v>
                </c:pt>
                <c:pt idx="2287">
                  <c:v>45023</c:v>
                </c:pt>
                <c:pt idx="2288">
                  <c:v>45024</c:v>
                </c:pt>
                <c:pt idx="2289">
                  <c:v>45025</c:v>
                </c:pt>
                <c:pt idx="2290">
                  <c:v>45026</c:v>
                </c:pt>
                <c:pt idx="2291">
                  <c:v>45027</c:v>
                </c:pt>
                <c:pt idx="2292">
                  <c:v>45028</c:v>
                </c:pt>
                <c:pt idx="2293">
                  <c:v>45029</c:v>
                </c:pt>
                <c:pt idx="2294">
                  <c:v>45030</c:v>
                </c:pt>
                <c:pt idx="2295">
                  <c:v>45031</c:v>
                </c:pt>
                <c:pt idx="2296">
                  <c:v>45032</c:v>
                </c:pt>
                <c:pt idx="2297">
                  <c:v>45033</c:v>
                </c:pt>
                <c:pt idx="2298">
                  <c:v>45034</c:v>
                </c:pt>
                <c:pt idx="2299">
                  <c:v>45035</c:v>
                </c:pt>
                <c:pt idx="2300">
                  <c:v>45036</c:v>
                </c:pt>
                <c:pt idx="2301">
                  <c:v>45037</c:v>
                </c:pt>
                <c:pt idx="2302">
                  <c:v>45038</c:v>
                </c:pt>
                <c:pt idx="2303">
                  <c:v>45039</c:v>
                </c:pt>
                <c:pt idx="2304">
                  <c:v>45040</c:v>
                </c:pt>
                <c:pt idx="2305">
                  <c:v>45041</c:v>
                </c:pt>
                <c:pt idx="2306">
                  <c:v>45042</c:v>
                </c:pt>
                <c:pt idx="2307">
                  <c:v>45043</c:v>
                </c:pt>
                <c:pt idx="2308">
                  <c:v>45044</c:v>
                </c:pt>
                <c:pt idx="2309">
                  <c:v>45045</c:v>
                </c:pt>
                <c:pt idx="2310">
                  <c:v>45046</c:v>
                </c:pt>
                <c:pt idx="2311">
                  <c:v>45047</c:v>
                </c:pt>
                <c:pt idx="2312">
                  <c:v>45048</c:v>
                </c:pt>
                <c:pt idx="2313">
                  <c:v>45049</c:v>
                </c:pt>
                <c:pt idx="2314">
                  <c:v>45050</c:v>
                </c:pt>
                <c:pt idx="2315">
                  <c:v>45051</c:v>
                </c:pt>
                <c:pt idx="2316">
                  <c:v>45052</c:v>
                </c:pt>
                <c:pt idx="2317">
                  <c:v>45053</c:v>
                </c:pt>
                <c:pt idx="2318">
                  <c:v>45054</c:v>
                </c:pt>
                <c:pt idx="2319">
                  <c:v>45055</c:v>
                </c:pt>
                <c:pt idx="2320">
                  <c:v>45056</c:v>
                </c:pt>
                <c:pt idx="2321">
                  <c:v>45057</c:v>
                </c:pt>
                <c:pt idx="2322">
                  <c:v>45058</c:v>
                </c:pt>
                <c:pt idx="2323">
                  <c:v>45059</c:v>
                </c:pt>
                <c:pt idx="2324">
                  <c:v>45060</c:v>
                </c:pt>
                <c:pt idx="2325">
                  <c:v>45061</c:v>
                </c:pt>
                <c:pt idx="2326">
                  <c:v>45062</c:v>
                </c:pt>
                <c:pt idx="2327">
                  <c:v>45063</c:v>
                </c:pt>
                <c:pt idx="2328">
                  <c:v>45064</c:v>
                </c:pt>
                <c:pt idx="2329">
                  <c:v>45065</c:v>
                </c:pt>
                <c:pt idx="2330">
                  <c:v>45066</c:v>
                </c:pt>
                <c:pt idx="2331">
                  <c:v>45067</c:v>
                </c:pt>
                <c:pt idx="2332">
                  <c:v>45068</c:v>
                </c:pt>
                <c:pt idx="2333">
                  <c:v>45069</c:v>
                </c:pt>
                <c:pt idx="2334">
                  <c:v>45070</c:v>
                </c:pt>
                <c:pt idx="2335">
                  <c:v>45071</c:v>
                </c:pt>
                <c:pt idx="2336">
                  <c:v>45072</c:v>
                </c:pt>
                <c:pt idx="2337">
                  <c:v>45073</c:v>
                </c:pt>
                <c:pt idx="2338">
                  <c:v>45074</c:v>
                </c:pt>
                <c:pt idx="2339">
                  <c:v>45075</c:v>
                </c:pt>
                <c:pt idx="2340">
                  <c:v>45076</c:v>
                </c:pt>
                <c:pt idx="2341">
                  <c:v>45077</c:v>
                </c:pt>
              </c:numCache>
            </c:numRef>
          </c:cat>
          <c:val>
            <c:numRef>
              <c:f>'Grammys Data'!$B$2:$B$2343</c:f>
              <c:numCache>
                <c:formatCode>General</c:formatCode>
                <c:ptCount val="2342"/>
                <c:pt idx="0">
                  <c:v>9611</c:v>
                </c:pt>
                <c:pt idx="1">
                  <c:v>10752</c:v>
                </c:pt>
                <c:pt idx="2">
                  <c:v>11425</c:v>
                </c:pt>
                <c:pt idx="3">
                  <c:v>13098</c:v>
                </c:pt>
                <c:pt idx="4">
                  <c:v>12234</c:v>
                </c:pt>
                <c:pt idx="5">
                  <c:v>11461</c:v>
                </c:pt>
                <c:pt idx="6">
                  <c:v>11183</c:v>
                </c:pt>
                <c:pt idx="7">
                  <c:v>16265</c:v>
                </c:pt>
                <c:pt idx="8">
                  <c:v>17852</c:v>
                </c:pt>
                <c:pt idx="9">
                  <c:v>14211</c:v>
                </c:pt>
                <c:pt idx="10">
                  <c:v>13456</c:v>
                </c:pt>
                <c:pt idx="11">
                  <c:v>13616</c:v>
                </c:pt>
                <c:pt idx="12">
                  <c:v>11880</c:v>
                </c:pt>
                <c:pt idx="13">
                  <c:v>11888</c:v>
                </c:pt>
                <c:pt idx="14">
                  <c:v>12706</c:v>
                </c:pt>
                <c:pt idx="15">
                  <c:v>12691</c:v>
                </c:pt>
                <c:pt idx="16">
                  <c:v>13260</c:v>
                </c:pt>
                <c:pt idx="17">
                  <c:v>14483</c:v>
                </c:pt>
                <c:pt idx="18">
                  <c:v>13551</c:v>
                </c:pt>
                <c:pt idx="19">
                  <c:v>13215</c:v>
                </c:pt>
                <c:pt idx="20">
                  <c:v>12578</c:v>
                </c:pt>
                <c:pt idx="21">
                  <c:v>16502</c:v>
                </c:pt>
                <c:pt idx="22">
                  <c:v>14620</c:v>
                </c:pt>
                <c:pt idx="23">
                  <c:v>17787</c:v>
                </c:pt>
                <c:pt idx="24">
                  <c:v>15447</c:v>
                </c:pt>
                <c:pt idx="25">
                  <c:v>15211</c:v>
                </c:pt>
                <c:pt idx="26">
                  <c:v>14007</c:v>
                </c:pt>
                <c:pt idx="27">
                  <c:v>12950</c:v>
                </c:pt>
                <c:pt idx="28">
                  <c:v>16137</c:v>
                </c:pt>
                <c:pt idx="29">
                  <c:v>18765</c:v>
                </c:pt>
                <c:pt idx="30">
                  <c:v>35148</c:v>
                </c:pt>
                <c:pt idx="31">
                  <c:v>28565</c:v>
                </c:pt>
                <c:pt idx="32">
                  <c:v>27502</c:v>
                </c:pt>
                <c:pt idx="33">
                  <c:v>22888</c:v>
                </c:pt>
                <c:pt idx="34">
                  <c:v>25069</c:v>
                </c:pt>
                <c:pt idx="35">
                  <c:v>30728</c:v>
                </c:pt>
                <c:pt idx="36">
                  <c:v>34723</c:v>
                </c:pt>
                <c:pt idx="37">
                  <c:v>47583</c:v>
                </c:pt>
                <c:pt idx="38">
                  <c:v>52279</c:v>
                </c:pt>
                <c:pt idx="39">
                  <c:v>73648</c:v>
                </c:pt>
                <c:pt idx="40">
                  <c:v>91058</c:v>
                </c:pt>
                <c:pt idx="41">
                  <c:v>133362</c:v>
                </c:pt>
                <c:pt idx="42">
                  <c:v>1930245</c:v>
                </c:pt>
                <c:pt idx="43">
                  <c:v>1057729</c:v>
                </c:pt>
                <c:pt idx="44">
                  <c:v>213939</c:v>
                </c:pt>
                <c:pt idx="45">
                  <c:v>105345</c:v>
                </c:pt>
                <c:pt idx="46">
                  <c:v>72888</c:v>
                </c:pt>
                <c:pt idx="47">
                  <c:v>62042</c:v>
                </c:pt>
                <c:pt idx="48">
                  <c:v>56309</c:v>
                </c:pt>
                <c:pt idx="49">
                  <c:v>45545</c:v>
                </c:pt>
                <c:pt idx="50">
                  <c:v>36105</c:v>
                </c:pt>
                <c:pt idx="51">
                  <c:v>32413</c:v>
                </c:pt>
                <c:pt idx="52">
                  <c:v>29955</c:v>
                </c:pt>
                <c:pt idx="53">
                  <c:v>25603</c:v>
                </c:pt>
                <c:pt idx="54">
                  <c:v>23074</c:v>
                </c:pt>
                <c:pt idx="55">
                  <c:v>26718</c:v>
                </c:pt>
                <c:pt idx="56">
                  <c:v>33563</c:v>
                </c:pt>
                <c:pt idx="57">
                  <c:v>27790</c:v>
                </c:pt>
                <c:pt idx="58">
                  <c:v>19932</c:v>
                </c:pt>
                <c:pt idx="59">
                  <c:v>17077</c:v>
                </c:pt>
                <c:pt idx="60">
                  <c:v>21703</c:v>
                </c:pt>
                <c:pt idx="61">
                  <c:v>21421</c:v>
                </c:pt>
                <c:pt idx="62">
                  <c:v>16004</c:v>
                </c:pt>
                <c:pt idx="63">
                  <c:v>15142</c:v>
                </c:pt>
                <c:pt idx="64">
                  <c:v>14735</c:v>
                </c:pt>
                <c:pt idx="65">
                  <c:v>12773</c:v>
                </c:pt>
                <c:pt idx="66">
                  <c:v>11539</c:v>
                </c:pt>
                <c:pt idx="67">
                  <c:v>11395</c:v>
                </c:pt>
                <c:pt idx="68">
                  <c:v>10794</c:v>
                </c:pt>
                <c:pt idx="69">
                  <c:v>11855</c:v>
                </c:pt>
                <c:pt idx="70">
                  <c:v>9602</c:v>
                </c:pt>
                <c:pt idx="71">
                  <c:v>9797</c:v>
                </c:pt>
                <c:pt idx="72">
                  <c:v>10665</c:v>
                </c:pt>
                <c:pt idx="73">
                  <c:v>9546</c:v>
                </c:pt>
                <c:pt idx="74">
                  <c:v>8789</c:v>
                </c:pt>
                <c:pt idx="75">
                  <c:v>8242</c:v>
                </c:pt>
                <c:pt idx="76">
                  <c:v>8303</c:v>
                </c:pt>
                <c:pt idx="77">
                  <c:v>8990</c:v>
                </c:pt>
                <c:pt idx="78">
                  <c:v>8511</c:v>
                </c:pt>
                <c:pt idx="79">
                  <c:v>12251</c:v>
                </c:pt>
                <c:pt idx="80">
                  <c:v>9377</c:v>
                </c:pt>
                <c:pt idx="81">
                  <c:v>8615</c:v>
                </c:pt>
                <c:pt idx="82">
                  <c:v>7789</c:v>
                </c:pt>
                <c:pt idx="83">
                  <c:v>7602</c:v>
                </c:pt>
                <c:pt idx="84">
                  <c:v>7633</c:v>
                </c:pt>
                <c:pt idx="85">
                  <c:v>7947</c:v>
                </c:pt>
                <c:pt idx="86">
                  <c:v>8096</c:v>
                </c:pt>
                <c:pt idx="87">
                  <c:v>7968</c:v>
                </c:pt>
                <c:pt idx="88">
                  <c:v>7624</c:v>
                </c:pt>
                <c:pt idx="89">
                  <c:v>7373</c:v>
                </c:pt>
                <c:pt idx="90">
                  <c:v>7627</c:v>
                </c:pt>
                <c:pt idx="91">
                  <c:v>7970</c:v>
                </c:pt>
                <c:pt idx="92">
                  <c:v>7827</c:v>
                </c:pt>
                <c:pt idx="93">
                  <c:v>7359</c:v>
                </c:pt>
                <c:pt idx="94">
                  <c:v>7201</c:v>
                </c:pt>
                <c:pt idx="95">
                  <c:v>7249</c:v>
                </c:pt>
                <c:pt idx="96">
                  <c:v>6950</c:v>
                </c:pt>
                <c:pt idx="97">
                  <c:v>6262</c:v>
                </c:pt>
                <c:pt idx="98">
                  <c:v>6347</c:v>
                </c:pt>
                <c:pt idx="99">
                  <c:v>6337</c:v>
                </c:pt>
                <c:pt idx="100">
                  <c:v>7011</c:v>
                </c:pt>
                <c:pt idx="101">
                  <c:v>8038</c:v>
                </c:pt>
                <c:pt idx="102">
                  <c:v>10204</c:v>
                </c:pt>
                <c:pt idx="103">
                  <c:v>10322</c:v>
                </c:pt>
                <c:pt idx="104">
                  <c:v>8806</c:v>
                </c:pt>
                <c:pt idx="105">
                  <c:v>21469</c:v>
                </c:pt>
                <c:pt idx="106">
                  <c:v>14149</c:v>
                </c:pt>
                <c:pt idx="107">
                  <c:v>10477</c:v>
                </c:pt>
                <c:pt idx="108">
                  <c:v>35249</c:v>
                </c:pt>
                <c:pt idx="109">
                  <c:v>13080</c:v>
                </c:pt>
                <c:pt idx="110">
                  <c:v>11195</c:v>
                </c:pt>
                <c:pt idx="111">
                  <c:v>8363</c:v>
                </c:pt>
                <c:pt idx="112">
                  <c:v>8071</c:v>
                </c:pt>
                <c:pt idx="113">
                  <c:v>8548</c:v>
                </c:pt>
                <c:pt idx="114">
                  <c:v>8179</c:v>
                </c:pt>
                <c:pt idx="115">
                  <c:v>7717</c:v>
                </c:pt>
                <c:pt idx="116">
                  <c:v>7489</c:v>
                </c:pt>
                <c:pt idx="117">
                  <c:v>7011</c:v>
                </c:pt>
                <c:pt idx="118">
                  <c:v>10897</c:v>
                </c:pt>
                <c:pt idx="119">
                  <c:v>8115</c:v>
                </c:pt>
                <c:pt idx="120">
                  <c:v>7923</c:v>
                </c:pt>
                <c:pt idx="121">
                  <c:v>7653</c:v>
                </c:pt>
                <c:pt idx="122">
                  <c:v>12064</c:v>
                </c:pt>
                <c:pt idx="123">
                  <c:v>9065</c:v>
                </c:pt>
                <c:pt idx="124">
                  <c:v>8668</c:v>
                </c:pt>
                <c:pt idx="125">
                  <c:v>7559</c:v>
                </c:pt>
                <c:pt idx="126">
                  <c:v>7065</c:v>
                </c:pt>
                <c:pt idx="127">
                  <c:v>7589</c:v>
                </c:pt>
                <c:pt idx="128">
                  <c:v>7908</c:v>
                </c:pt>
                <c:pt idx="129">
                  <c:v>7363</c:v>
                </c:pt>
                <c:pt idx="130">
                  <c:v>7019</c:v>
                </c:pt>
                <c:pt idx="131">
                  <c:v>6703</c:v>
                </c:pt>
                <c:pt idx="132">
                  <c:v>6279</c:v>
                </c:pt>
                <c:pt idx="133">
                  <c:v>5789</c:v>
                </c:pt>
                <c:pt idx="134">
                  <c:v>6356</c:v>
                </c:pt>
                <c:pt idx="135">
                  <c:v>6376</c:v>
                </c:pt>
                <c:pt idx="136">
                  <c:v>1462</c:v>
                </c:pt>
                <c:pt idx="137">
                  <c:v>4263</c:v>
                </c:pt>
                <c:pt idx="138">
                  <c:v>4018</c:v>
                </c:pt>
                <c:pt idx="139">
                  <c:v>3444</c:v>
                </c:pt>
                <c:pt idx="140">
                  <c:v>4776</c:v>
                </c:pt>
                <c:pt idx="141">
                  <c:v>5434</c:v>
                </c:pt>
                <c:pt idx="142">
                  <c:v>4157</c:v>
                </c:pt>
                <c:pt idx="143">
                  <c:v>3766</c:v>
                </c:pt>
                <c:pt idx="144">
                  <c:v>4317</c:v>
                </c:pt>
                <c:pt idx="145">
                  <c:v>4406</c:v>
                </c:pt>
                <c:pt idx="146">
                  <c:v>4031</c:v>
                </c:pt>
                <c:pt idx="147">
                  <c:v>5186</c:v>
                </c:pt>
                <c:pt idx="148">
                  <c:v>3972</c:v>
                </c:pt>
                <c:pt idx="149">
                  <c:v>5343</c:v>
                </c:pt>
                <c:pt idx="150">
                  <c:v>5060</c:v>
                </c:pt>
                <c:pt idx="151">
                  <c:v>3998</c:v>
                </c:pt>
                <c:pt idx="152">
                  <c:v>3761</c:v>
                </c:pt>
                <c:pt idx="153">
                  <c:v>3794</c:v>
                </c:pt>
                <c:pt idx="154">
                  <c:v>3907</c:v>
                </c:pt>
                <c:pt idx="155">
                  <c:v>5109</c:v>
                </c:pt>
                <c:pt idx="156">
                  <c:v>4786</c:v>
                </c:pt>
                <c:pt idx="157">
                  <c:v>5010</c:v>
                </c:pt>
                <c:pt idx="158">
                  <c:v>5338</c:v>
                </c:pt>
                <c:pt idx="159">
                  <c:v>4948</c:v>
                </c:pt>
                <c:pt idx="160">
                  <c:v>4786</c:v>
                </c:pt>
                <c:pt idx="161">
                  <c:v>5219</c:v>
                </c:pt>
                <c:pt idx="162">
                  <c:v>5631</c:v>
                </c:pt>
                <c:pt idx="163">
                  <c:v>5178</c:v>
                </c:pt>
                <c:pt idx="164">
                  <c:v>5952</c:v>
                </c:pt>
                <c:pt idx="165">
                  <c:v>5287</c:v>
                </c:pt>
                <c:pt idx="166">
                  <c:v>4749</c:v>
                </c:pt>
                <c:pt idx="167">
                  <c:v>4515</c:v>
                </c:pt>
                <c:pt idx="168">
                  <c:v>4738</c:v>
                </c:pt>
                <c:pt idx="169">
                  <c:v>5153</c:v>
                </c:pt>
                <c:pt idx="170">
                  <c:v>5278</c:v>
                </c:pt>
                <c:pt idx="171">
                  <c:v>5224</c:v>
                </c:pt>
                <c:pt idx="172">
                  <c:v>5065</c:v>
                </c:pt>
                <c:pt idx="173">
                  <c:v>5043</c:v>
                </c:pt>
                <c:pt idx="174">
                  <c:v>5261</c:v>
                </c:pt>
                <c:pt idx="175">
                  <c:v>6300</c:v>
                </c:pt>
                <c:pt idx="176">
                  <c:v>6453</c:v>
                </c:pt>
                <c:pt idx="177">
                  <c:v>6162</c:v>
                </c:pt>
                <c:pt idx="178">
                  <c:v>5933</c:v>
                </c:pt>
                <c:pt idx="179">
                  <c:v>6410</c:v>
                </c:pt>
                <c:pt idx="180">
                  <c:v>5818</c:v>
                </c:pt>
                <c:pt idx="181">
                  <c:v>6168</c:v>
                </c:pt>
                <c:pt idx="182">
                  <c:v>7661</c:v>
                </c:pt>
                <c:pt idx="183">
                  <c:v>17656</c:v>
                </c:pt>
                <c:pt idx="184">
                  <c:v>15108</c:v>
                </c:pt>
                <c:pt idx="185">
                  <c:v>6976</c:v>
                </c:pt>
                <c:pt idx="186">
                  <c:v>6162</c:v>
                </c:pt>
                <c:pt idx="187">
                  <c:v>5866</c:v>
                </c:pt>
                <c:pt idx="188">
                  <c:v>5802</c:v>
                </c:pt>
                <c:pt idx="189">
                  <c:v>5786</c:v>
                </c:pt>
                <c:pt idx="190">
                  <c:v>5573</c:v>
                </c:pt>
                <c:pt idx="191">
                  <c:v>5949</c:v>
                </c:pt>
                <c:pt idx="192">
                  <c:v>6848</c:v>
                </c:pt>
                <c:pt idx="193">
                  <c:v>5618</c:v>
                </c:pt>
                <c:pt idx="194">
                  <c:v>6162</c:v>
                </c:pt>
                <c:pt idx="195">
                  <c:v>6425</c:v>
                </c:pt>
                <c:pt idx="196">
                  <c:v>5923</c:v>
                </c:pt>
                <c:pt idx="197">
                  <c:v>6098</c:v>
                </c:pt>
                <c:pt idx="198">
                  <c:v>5624</c:v>
                </c:pt>
                <c:pt idx="199">
                  <c:v>6170</c:v>
                </c:pt>
                <c:pt idx="200">
                  <c:v>6578</c:v>
                </c:pt>
                <c:pt idx="201">
                  <c:v>6650</c:v>
                </c:pt>
                <c:pt idx="202">
                  <c:v>5125</c:v>
                </c:pt>
                <c:pt idx="203">
                  <c:v>5381</c:v>
                </c:pt>
                <c:pt idx="204">
                  <c:v>5381</c:v>
                </c:pt>
                <c:pt idx="205">
                  <c:v>5481</c:v>
                </c:pt>
                <c:pt idx="206">
                  <c:v>5468</c:v>
                </c:pt>
                <c:pt idx="207">
                  <c:v>5519</c:v>
                </c:pt>
                <c:pt idx="208">
                  <c:v>5274</c:v>
                </c:pt>
                <c:pt idx="209">
                  <c:v>9232</c:v>
                </c:pt>
                <c:pt idx="210">
                  <c:v>7637</c:v>
                </c:pt>
                <c:pt idx="211">
                  <c:v>5929</c:v>
                </c:pt>
                <c:pt idx="212">
                  <c:v>5822</c:v>
                </c:pt>
                <c:pt idx="213">
                  <c:v>6357</c:v>
                </c:pt>
                <c:pt idx="214">
                  <c:v>5559</c:v>
                </c:pt>
                <c:pt idx="215">
                  <c:v>5429</c:v>
                </c:pt>
                <c:pt idx="216">
                  <c:v>5053</c:v>
                </c:pt>
                <c:pt idx="217">
                  <c:v>5281</c:v>
                </c:pt>
                <c:pt idx="218">
                  <c:v>5671</c:v>
                </c:pt>
                <c:pt idx="219">
                  <c:v>5832</c:v>
                </c:pt>
                <c:pt idx="220">
                  <c:v>5987</c:v>
                </c:pt>
                <c:pt idx="221">
                  <c:v>5720</c:v>
                </c:pt>
                <c:pt idx="222">
                  <c:v>5245</c:v>
                </c:pt>
                <c:pt idx="223">
                  <c:v>4619</c:v>
                </c:pt>
                <c:pt idx="224">
                  <c:v>4727</c:v>
                </c:pt>
                <c:pt idx="225">
                  <c:v>5412</c:v>
                </c:pt>
                <c:pt idx="226">
                  <c:v>6186</c:v>
                </c:pt>
                <c:pt idx="227">
                  <c:v>5455</c:v>
                </c:pt>
                <c:pt idx="228">
                  <c:v>5718</c:v>
                </c:pt>
                <c:pt idx="229">
                  <c:v>6087</c:v>
                </c:pt>
                <c:pt idx="230">
                  <c:v>5568</c:v>
                </c:pt>
                <c:pt idx="231">
                  <c:v>4899</c:v>
                </c:pt>
                <c:pt idx="232">
                  <c:v>4888</c:v>
                </c:pt>
                <c:pt idx="233">
                  <c:v>5395</c:v>
                </c:pt>
                <c:pt idx="234">
                  <c:v>5723</c:v>
                </c:pt>
                <c:pt idx="235">
                  <c:v>7602</c:v>
                </c:pt>
                <c:pt idx="236">
                  <c:v>5282</c:v>
                </c:pt>
                <c:pt idx="237">
                  <c:v>4382</c:v>
                </c:pt>
                <c:pt idx="238">
                  <c:v>5706</c:v>
                </c:pt>
                <c:pt idx="239">
                  <c:v>6778</c:v>
                </c:pt>
                <c:pt idx="240">
                  <c:v>6446</c:v>
                </c:pt>
                <c:pt idx="241">
                  <c:v>8170</c:v>
                </c:pt>
                <c:pt idx="242">
                  <c:v>14405</c:v>
                </c:pt>
                <c:pt idx="243">
                  <c:v>7778</c:v>
                </c:pt>
                <c:pt idx="244">
                  <c:v>9566</c:v>
                </c:pt>
                <c:pt idx="245">
                  <c:v>6866</c:v>
                </c:pt>
                <c:pt idx="246">
                  <c:v>6103</c:v>
                </c:pt>
                <c:pt idx="247">
                  <c:v>5872</c:v>
                </c:pt>
                <c:pt idx="248">
                  <c:v>6691</c:v>
                </c:pt>
                <c:pt idx="249">
                  <c:v>6152</c:v>
                </c:pt>
                <c:pt idx="250">
                  <c:v>5709</c:v>
                </c:pt>
                <c:pt idx="251">
                  <c:v>5336</c:v>
                </c:pt>
                <c:pt idx="252">
                  <c:v>5072</c:v>
                </c:pt>
                <c:pt idx="253">
                  <c:v>5659</c:v>
                </c:pt>
                <c:pt idx="254">
                  <c:v>8168</c:v>
                </c:pt>
                <c:pt idx="255">
                  <c:v>11927</c:v>
                </c:pt>
                <c:pt idx="256">
                  <c:v>9411</c:v>
                </c:pt>
                <c:pt idx="257">
                  <c:v>7285</c:v>
                </c:pt>
                <c:pt idx="258">
                  <c:v>6909</c:v>
                </c:pt>
                <c:pt idx="259">
                  <c:v>8802</c:v>
                </c:pt>
                <c:pt idx="260">
                  <c:v>9052</c:v>
                </c:pt>
                <c:pt idx="261">
                  <c:v>9180</c:v>
                </c:pt>
                <c:pt idx="262">
                  <c:v>7399</c:v>
                </c:pt>
                <c:pt idx="263">
                  <c:v>11407</c:v>
                </c:pt>
                <c:pt idx="264">
                  <c:v>6924</c:v>
                </c:pt>
                <c:pt idx="265">
                  <c:v>5928</c:v>
                </c:pt>
                <c:pt idx="266">
                  <c:v>6314</c:v>
                </c:pt>
                <c:pt idx="267">
                  <c:v>8801</c:v>
                </c:pt>
                <c:pt idx="268">
                  <c:v>10965</c:v>
                </c:pt>
                <c:pt idx="269">
                  <c:v>9788</c:v>
                </c:pt>
                <c:pt idx="270">
                  <c:v>9407</c:v>
                </c:pt>
                <c:pt idx="271">
                  <c:v>7889</c:v>
                </c:pt>
                <c:pt idx="272">
                  <c:v>8455</c:v>
                </c:pt>
                <c:pt idx="273">
                  <c:v>7768</c:v>
                </c:pt>
                <c:pt idx="274">
                  <c:v>8447</c:v>
                </c:pt>
                <c:pt idx="275">
                  <c:v>24449</c:v>
                </c:pt>
                <c:pt idx="276">
                  <c:v>66639</c:v>
                </c:pt>
                <c:pt idx="277">
                  <c:v>18708</c:v>
                </c:pt>
                <c:pt idx="278">
                  <c:v>11225</c:v>
                </c:pt>
                <c:pt idx="279">
                  <c:v>11678</c:v>
                </c:pt>
                <c:pt idx="280">
                  <c:v>11632</c:v>
                </c:pt>
                <c:pt idx="281">
                  <c:v>11285</c:v>
                </c:pt>
                <c:pt idx="282">
                  <c:v>18833</c:v>
                </c:pt>
                <c:pt idx="283">
                  <c:v>19938</c:v>
                </c:pt>
                <c:pt idx="284">
                  <c:v>13867</c:v>
                </c:pt>
                <c:pt idx="285">
                  <c:v>10560</c:v>
                </c:pt>
                <c:pt idx="286">
                  <c:v>7963</c:v>
                </c:pt>
                <c:pt idx="287">
                  <c:v>7745</c:v>
                </c:pt>
                <c:pt idx="288">
                  <c:v>9728</c:v>
                </c:pt>
                <c:pt idx="289">
                  <c:v>14227</c:v>
                </c:pt>
                <c:pt idx="290">
                  <c:v>11958</c:v>
                </c:pt>
                <c:pt idx="291">
                  <c:v>10365</c:v>
                </c:pt>
                <c:pt idx="292">
                  <c:v>21571</c:v>
                </c:pt>
                <c:pt idx="293">
                  <c:v>15468</c:v>
                </c:pt>
                <c:pt idx="294">
                  <c:v>12146</c:v>
                </c:pt>
                <c:pt idx="295">
                  <c:v>11156</c:v>
                </c:pt>
                <c:pt idx="296">
                  <c:v>10320</c:v>
                </c:pt>
                <c:pt idx="297">
                  <c:v>11122</c:v>
                </c:pt>
                <c:pt idx="298">
                  <c:v>10887</c:v>
                </c:pt>
                <c:pt idx="299">
                  <c:v>9273</c:v>
                </c:pt>
                <c:pt idx="300">
                  <c:v>7669</c:v>
                </c:pt>
                <c:pt idx="301">
                  <c:v>8507</c:v>
                </c:pt>
                <c:pt idx="302">
                  <c:v>9801</c:v>
                </c:pt>
                <c:pt idx="303">
                  <c:v>13702</c:v>
                </c:pt>
                <c:pt idx="304">
                  <c:v>9577</c:v>
                </c:pt>
                <c:pt idx="305">
                  <c:v>9264</c:v>
                </c:pt>
                <c:pt idx="306">
                  <c:v>14951</c:v>
                </c:pt>
                <c:pt idx="307">
                  <c:v>8603</c:v>
                </c:pt>
                <c:pt idx="308">
                  <c:v>10050</c:v>
                </c:pt>
                <c:pt idx="309">
                  <c:v>9826</c:v>
                </c:pt>
                <c:pt idx="310">
                  <c:v>9852</c:v>
                </c:pt>
                <c:pt idx="311">
                  <c:v>11223</c:v>
                </c:pt>
                <c:pt idx="312">
                  <c:v>10185</c:v>
                </c:pt>
                <c:pt idx="313">
                  <c:v>20194</c:v>
                </c:pt>
                <c:pt idx="314">
                  <c:v>15318</c:v>
                </c:pt>
                <c:pt idx="315">
                  <c:v>11899</c:v>
                </c:pt>
                <c:pt idx="316">
                  <c:v>12323</c:v>
                </c:pt>
                <c:pt idx="317">
                  <c:v>14072</c:v>
                </c:pt>
                <c:pt idx="318">
                  <c:v>23359</c:v>
                </c:pt>
                <c:pt idx="319">
                  <c:v>28059</c:v>
                </c:pt>
                <c:pt idx="320">
                  <c:v>19892</c:v>
                </c:pt>
                <c:pt idx="321">
                  <c:v>12230</c:v>
                </c:pt>
                <c:pt idx="322">
                  <c:v>14662</c:v>
                </c:pt>
                <c:pt idx="323">
                  <c:v>14931</c:v>
                </c:pt>
                <c:pt idx="324">
                  <c:v>12791</c:v>
                </c:pt>
                <c:pt idx="325">
                  <c:v>12236</c:v>
                </c:pt>
                <c:pt idx="326">
                  <c:v>10864</c:v>
                </c:pt>
                <c:pt idx="327">
                  <c:v>23292</c:v>
                </c:pt>
                <c:pt idx="328">
                  <c:v>18064</c:v>
                </c:pt>
                <c:pt idx="329">
                  <c:v>18299</c:v>
                </c:pt>
                <c:pt idx="330">
                  <c:v>33554</c:v>
                </c:pt>
                <c:pt idx="331">
                  <c:v>651685</c:v>
                </c:pt>
                <c:pt idx="332">
                  <c:v>151892</c:v>
                </c:pt>
                <c:pt idx="333">
                  <c:v>69378</c:v>
                </c:pt>
                <c:pt idx="334">
                  <c:v>43886</c:v>
                </c:pt>
                <c:pt idx="335">
                  <c:v>33267</c:v>
                </c:pt>
                <c:pt idx="336">
                  <c:v>30193</c:v>
                </c:pt>
                <c:pt idx="337">
                  <c:v>32442</c:v>
                </c:pt>
                <c:pt idx="338">
                  <c:v>28658</c:v>
                </c:pt>
                <c:pt idx="339">
                  <c:v>23004</c:v>
                </c:pt>
                <c:pt idx="340">
                  <c:v>19854</c:v>
                </c:pt>
                <c:pt idx="341">
                  <c:v>18452</c:v>
                </c:pt>
                <c:pt idx="342">
                  <c:v>17505</c:v>
                </c:pt>
                <c:pt idx="343">
                  <c:v>17192</c:v>
                </c:pt>
                <c:pt idx="344">
                  <c:v>20143</c:v>
                </c:pt>
                <c:pt idx="345">
                  <c:v>19649</c:v>
                </c:pt>
                <c:pt idx="346">
                  <c:v>20747</c:v>
                </c:pt>
                <c:pt idx="347">
                  <c:v>17891</c:v>
                </c:pt>
                <c:pt idx="348">
                  <c:v>18934</c:v>
                </c:pt>
                <c:pt idx="349">
                  <c:v>17759</c:v>
                </c:pt>
                <c:pt idx="350">
                  <c:v>19076</c:v>
                </c:pt>
                <c:pt idx="351">
                  <c:v>15658</c:v>
                </c:pt>
                <c:pt idx="352">
                  <c:v>16432</c:v>
                </c:pt>
                <c:pt idx="353">
                  <c:v>14018</c:v>
                </c:pt>
                <c:pt idx="354">
                  <c:v>14476</c:v>
                </c:pt>
                <c:pt idx="355">
                  <c:v>12812</c:v>
                </c:pt>
                <c:pt idx="356">
                  <c:v>13783</c:v>
                </c:pt>
                <c:pt idx="357">
                  <c:v>13571</c:v>
                </c:pt>
                <c:pt idx="358">
                  <c:v>10744</c:v>
                </c:pt>
                <c:pt idx="359">
                  <c:v>13080</c:v>
                </c:pt>
                <c:pt idx="360">
                  <c:v>17118</c:v>
                </c:pt>
                <c:pt idx="361">
                  <c:v>19826</c:v>
                </c:pt>
                <c:pt idx="362">
                  <c:v>15955</c:v>
                </c:pt>
                <c:pt idx="363">
                  <c:v>18568</c:v>
                </c:pt>
                <c:pt idx="364">
                  <c:v>45897</c:v>
                </c:pt>
                <c:pt idx="365">
                  <c:v>17539</c:v>
                </c:pt>
                <c:pt idx="366">
                  <c:v>19345</c:v>
                </c:pt>
                <c:pt idx="367">
                  <c:v>17934</c:v>
                </c:pt>
                <c:pt idx="368">
                  <c:v>25557</c:v>
                </c:pt>
                <c:pt idx="369">
                  <c:v>22959</c:v>
                </c:pt>
                <c:pt idx="370">
                  <c:v>19641</c:v>
                </c:pt>
                <c:pt idx="371">
                  <c:v>30527</c:v>
                </c:pt>
                <c:pt idx="372">
                  <c:v>28132</c:v>
                </c:pt>
                <c:pt idx="373">
                  <c:v>24612</c:v>
                </c:pt>
                <c:pt idx="374">
                  <c:v>29739</c:v>
                </c:pt>
                <c:pt idx="375">
                  <c:v>30146</c:v>
                </c:pt>
                <c:pt idx="376">
                  <c:v>23929</c:v>
                </c:pt>
                <c:pt idx="377">
                  <c:v>22836</c:v>
                </c:pt>
                <c:pt idx="378">
                  <c:v>25011</c:v>
                </c:pt>
                <c:pt idx="379">
                  <c:v>23562</c:v>
                </c:pt>
                <c:pt idx="380">
                  <c:v>27240</c:v>
                </c:pt>
                <c:pt idx="381">
                  <c:v>34318</c:v>
                </c:pt>
                <c:pt idx="382">
                  <c:v>28746</c:v>
                </c:pt>
                <c:pt idx="383">
                  <c:v>27819</c:v>
                </c:pt>
                <c:pt idx="384">
                  <c:v>27820</c:v>
                </c:pt>
                <c:pt idx="385">
                  <c:v>43352</c:v>
                </c:pt>
                <c:pt idx="386">
                  <c:v>49380</c:v>
                </c:pt>
                <c:pt idx="387">
                  <c:v>68206</c:v>
                </c:pt>
                <c:pt idx="388">
                  <c:v>68203</c:v>
                </c:pt>
                <c:pt idx="389">
                  <c:v>108074</c:v>
                </c:pt>
                <c:pt idx="390">
                  <c:v>148597</c:v>
                </c:pt>
                <c:pt idx="391">
                  <c:v>218441</c:v>
                </c:pt>
                <c:pt idx="392">
                  <c:v>1609729</c:v>
                </c:pt>
                <c:pt idx="393">
                  <c:v>727530</c:v>
                </c:pt>
                <c:pt idx="394">
                  <c:v>192235</c:v>
                </c:pt>
                <c:pt idx="395">
                  <c:v>97311</c:v>
                </c:pt>
                <c:pt idx="396">
                  <c:v>71273</c:v>
                </c:pt>
                <c:pt idx="397">
                  <c:v>57626</c:v>
                </c:pt>
                <c:pt idx="398">
                  <c:v>49644</c:v>
                </c:pt>
                <c:pt idx="399">
                  <c:v>42646</c:v>
                </c:pt>
                <c:pt idx="400">
                  <c:v>33561</c:v>
                </c:pt>
                <c:pt idx="401">
                  <c:v>29671</c:v>
                </c:pt>
                <c:pt idx="402">
                  <c:v>26192</c:v>
                </c:pt>
                <c:pt idx="403">
                  <c:v>24574</c:v>
                </c:pt>
                <c:pt idx="404">
                  <c:v>22637</c:v>
                </c:pt>
                <c:pt idx="405">
                  <c:v>20196</c:v>
                </c:pt>
                <c:pt idx="406">
                  <c:v>20338</c:v>
                </c:pt>
                <c:pt idx="407">
                  <c:v>18409</c:v>
                </c:pt>
                <c:pt idx="408">
                  <c:v>19598</c:v>
                </c:pt>
                <c:pt idx="409">
                  <c:v>18250</c:v>
                </c:pt>
                <c:pt idx="410">
                  <c:v>16454</c:v>
                </c:pt>
                <c:pt idx="411">
                  <c:v>15437</c:v>
                </c:pt>
                <c:pt idx="412">
                  <c:v>14342</c:v>
                </c:pt>
                <c:pt idx="413">
                  <c:v>13962</c:v>
                </c:pt>
                <c:pt idx="414">
                  <c:v>14807</c:v>
                </c:pt>
                <c:pt idx="415">
                  <c:v>14557</c:v>
                </c:pt>
                <c:pt idx="416">
                  <c:v>15137</c:v>
                </c:pt>
                <c:pt idx="417">
                  <c:v>18111</c:v>
                </c:pt>
                <c:pt idx="418">
                  <c:v>14628</c:v>
                </c:pt>
                <c:pt idx="419">
                  <c:v>14230</c:v>
                </c:pt>
                <c:pt idx="420">
                  <c:v>15115</c:v>
                </c:pt>
                <c:pt idx="421">
                  <c:v>15376</c:v>
                </c:pt>
                <c:pt idx="422">
                  <c:v>14965</c:v>
                </c:pt>
                <c:pt idx="423">
                  <c:v>14252</c:v>
                </c:pt>
                <c:pt idx="424">
                  <c:v>14424</c:v>
                </c:pt>
                <c:pt idx="425">
                  <c:v>14341</c:v>
                </c:pt>
                <c:pt idx="426">
                  <c:v>13462</c:v>
                </c:pt>
                <c:pt idx="427">
                  <c:v>20413</c:v>
                </c:pt>
                <c:pt idx="428">
                  <c:v>17573</c:v>
                </c:pt>
                <c:pt idx="429">
                  <c:v>15571</c:v>
                </c:pt>
                <c:pt idx="430">
                  <c:v>13895</c:v>
                </c:pt>
                <c:pt idx="431">
                  <c:v>18045</c:v>
                </c:pt>
                <c:pt idx="432">
                  <c:v>16433</c:v>
                </c:pt>
                <c:pt idx="433">
                  <c:v>13153</c:v>
                </c:pt>
                <c:pt idx="434">
                  <c:v>13166</c:v>
                </c:pt>
                <c:pt idx="435">
                  <c:v>14960</c:v>
                </c:pt>
                <c:pt idx="436">
                  <c:v>12650</c:v>
                </c:pt>
                <c:pt idx="437">
                  <c:v>12623</c:v>
                </c:pt>
                <c:pt idx="438">
                  <c:v>11401</c:v>
                </c:pt>
                <c:pt idx="439">
                  <c:v>11065</c:v>
                </c:pt>
                <c:pt idx="440">
                  <c:v>10333</c:v>
                </c:pt>
                <c:pt idx="441">
                  <c:v>12536</c:v>
                </c:pt>
                <c:pt idx="442">
                  <c:v>12171</c:v>
                </c:pt>
                <c:pt idx="443">
                  <c:v>11870</c:v>
                </c:pt>
                <c:pt idx="444">
                  <c:v>11377</c:v>
                </c:pt>
                <c:pt idx="445">
                  <c:v>11892</c:v>
                </c:pt>
                <c:pt idx="446">
                  <c:v>10390</c:v>
                </c:pt>
                <c:pt idx="447">
                  <c:v>13761</c:v>
                </c:pt>
                <c:pt idx="448">
                  <c:v>11217</c:v>
                </c:pt>
                <c:pt idx="449">
                  <c:v>11018</c:v>
                </c:pt>
                <c:pt idx="450">
                  <c:v>11937</c:v>
                </c:pt>
                <c:pt idx="451">
                  <c:v>11564</c:v>
                </c:pt>
                <c:pt idx="452">
                  <c:v>10577</c:v>
                </c:pt>
                <c:pt idx="453">
                  <c:v>14669</c:v>
                </c:pt>
                <c:pt idx="454">
                  <c:v>12940</c:v>
                </c:pt>
                <c:pt idx="455">
                  <c:v>10324</c:v>
                </c:pt>
                <c:pt idx="456">
                  <c:v>10708</c:v>
                </c:pt>
                <c:pt idx="457">
                  <c:v>11391</c:v>
                </c:pt>
                <c:pt idx="458">
                  <c:v>10868</c:v>
                </c:pt>
                <c:pt idx="459">
                  <c:v>12621</c:v>
                </c:pt>
                <c:pt idx="460">
                  <c:v>14754</c:v>
                </c:pt>
                <c:pt idx="461">
                  <c:v>13945</c:v>
                </c:pt>
                <c:pt idx="462">
                  <c:v>12451</c:v>
                </c:pt>
                <c:pt idx="463">
                  <c:v>13034</c:v>
                </c:pt>
                <c:pt idx="464">
                  <c:v>24432</c:v>
                </c:pt>
                <c:pt idx="465">
                  <c:v>22569</c:v>
                </c:pt>
                <c:pt idx="466">
                  <c:v>16688</c:v>
                </c:pt>
                <c:pt idx="467">
                  <c:v>13873</c:v>
                </c:pt>
                <c:pt idx="468">
                  <c:v>13482</c:v>
                </c:pt>
                <c:pt idx="469">
                  <c:v>16003</c:v>
                </c:pt>
                <c:pt idx="470">
                  <c:v>15870</c:v>
                </c:pt>
                <c:pt idx="471">
                  <c:v>15965</c:v>
                </c:pt>
                <c:pt idx="472">
                  <c:v>29388</c:v>
                </c:pt>
                <c:pt idx="473">
                  <c:v>19914</c:v>
                </c:pt>
                <c:pt idx="474">
                  <c:v>19957</c:v>
                </c:pt>
                <c:pt idx="475">
                  <c:v>20366</c:v>
                </c:pt>
                <c:pt idx="476">
                  <c:v>17963</c:v>
                </c:pt>
                <c:pt idx="477">
                  <c:v>17698</c:v>
                </c:pt>
                <c:pt idx="478">
                  <c:v>16290</c:v>
                </c:pt>
                <c:pt idx="479">
                  <c:v>15499</c:v>
                </c:pt>
                <c:pt idx="480">
                  <c:v>16901</c:v>
                </c:pt>
                <c:pt idx="481">
                  <c:v>15228</c:v>
                </c:pt>
                <c:pt idx="482">
                  <c:v>15602</c:v>
                </c:pt>
                <c:pt idx="483">
                  <c:v>15171</c:v>
                </c:pt>
                <c:pt idx="484">
                  <c:v>19538</c:v>
                </c:pt>
                <c:pt idx="485">
                  <c:v>14258</c:v>
                </c:pt>
                <c:pt idx="486">
                  <c:v>14338</c:v>
                </c:pt>
                <c:pt idx="487">
                  <c:v>14110</c:v>
                </c:pt>
                <c:pt idx="488">
                  <c:v>11855</c:v>
                </c:pt>
                <c:pt idx="489">
                  <c:v>9660</c:v>
                </c:pt>
                <c:pt idx="490">
                  <c:v>9865</c:v>
                </c:pt>
                <c:pt idx="491">
                  <c:v>15197</c:v>
                </c:pt>
                <c:pt idx="492">
                  <c:v>13533</c:v>
                </c:pt>
                <c:pt idx="493">
                  <c:v>15412</c:v>
                </c:pt>
                <c:pt idx="494">
                  <c:v>16306</c:v>
                </c:pt>
                <c:pt idx="495">
                  <c:v>38857</c:v>
                </c:pt>
                <c:pt idx="496">
                  <c:v>14032</c:v>
                </c:pt>
                <c:pt idx="497">
                  <c:v>11393</c:v>
                </c:pt>
                <c:pt idx="498">
                  <c:v>13385</c:v>
                </c:pt>
                <c:pt idx="499">
                  <c:v>19229</c:v>
                </c:pt>
                <c:pt idx="500">
                  <c:v>15021</c:v>
                </c:pt>
                <c:pt idx="501">
                  <c:v>14457</c:v>
                </c:pt>
                <c:pt idx="502">
                  <c:v>13300</c:v>
                </c:pt>
                <c:pt idx="503">
                  <c:v>13694</c:v>
                </c:pt>
                <c:pt idx="504">
                  <c:v>13506</c:v>
                </c:pt>
                <c:pt idx="505">
                  <c:v>13825</c:v>
                </c:pt>
                <c:pt idx="506">
                  <c:v>13659</c:v>
                </c:pt>
                <c:pt idx="507">
                  <c:v>12272</c:v>
                </c:pt>
                <c:pt idx="508">
                  <c:v>11203</c:v>
                </c:pt>
                <c:pt idx="509">
                  <c:v>10547</c:v>
                </c:pt>
                <c:pt idx="510">
                  <c:v>10256</c:v>
                </c:pt>
                <c:pt idx="511">
                  <c:v>11040</c:v>
                </c:pt>
                <c:pt idx="512">
                  <c:v>10719</c:v>
                </c:pt>
                <c:pt idx="513">
                  <c:v>11735</c:v>
                </c:pt>
                <c:pt idx="514">
                  <c:v>14774</c:v>
                </c:pt>
                <c:pt idx="515">
                  <c:v>13053</c:v>
                </c:pt>
                <c:pt idx="516">
                  <c:v>11825</c:v>
                </c:pt>
                <c:pt idx="517">
                  <c:v>9932</c:v>
                </c:pt>
                <c:pt idx="518">
                  <c:v>9586</c:v>
                </c:pt>
                <c:pt idx="519">
                  <c:v>10093</c:v>
                </c:pt>
                <c:pt idx="520">
                  <c:v>10463</c:v>
                </c:pt>
                <c:pt idx="521">
                  <c:v>11449</c:v>
                </c:pt>
                <c:pt idx="522">
                  <c:v>10669</c:v>
                </c:pt>
                <c:pt idx="523">
                  <c:v>10215</c:v>
                </c:pt>
                <c:pt idx="524">
                  <c:v>21010</c:v>
                </c:pt>
                <c:pt idx="525">
                  <c:v>14918</c:v>
                </c:pt>
                <c:pt idx="526">
                  <c:v>22842</c:v>
                </c:pt>
                <c:pt idx="527">
                  <c:v>21508</c:v>
                </c:pt>
                <c:pt idx="528">
                  <c:v>12669</c:v>
                </c:pt>
                <c:pt idx="529">
                  <c:v>11022</c:v>
                </c:pt>
                <c:pt idx="530">
                  <c:v>10217</c:v>
                </c:pt>
                <c:pt idx="531">
                  <c:v>12887</c:v>
                </c:pt>
                <c:pt idx="532">
                  <c:v>16016</c:v>
                </c:pt>
                <c:pt idx="533">
                  <c:v>11613</c:v>
                </c:pt>
                <c:pt idx="534">
                  <c:v>6673</c:v>
                </c:pt>
                <c:pt idx="535">
                  <c:v>8828</c:v>
                </c:pt>
                <c:pt idx="536">
                  <c:v>15204</c:v>
                </c:pt>
                <c:pt idx="537">
                  <c:v>10595</c:v>
                </c:pt>
                <c:pt idx="538">
                  <c:v>9752</c:v>
                </c:pt>
                <c:pt idx="539">
                  <c:v>9781</c:v>
                </c:pt>
                <c:pt idx="540">
                  <c:v>10033</c:v>
                </c:pt>
                <c:pt idx="541">
                  <c:v>10997</c:v>
                </c:pt>
                <c:pt idx="542">
                  <c:v>10292</c:v>
                </c:pt>
                <c:pt idx="543">
                  <c:v>10581</c:v>
                </c:pt>
                <c:pt idx="544">
                  <c:v>10195</c:v>
                </c:pt>
                <c:pt idx="545">
                  <c:v>11166</c:v>
                </c:pt>
                <c:pt idx="546">
                  <c:v>67364</c:v>
                </c:pt>
                <c:pt idx="547">
                  <c:v>49869</c:v>
                </c:pt>
                <c:pt idx="548">
                  <c:v>20157</c:v>
                </c:pt>
                <c:pt idx="549">
                  <c:v>16373</c:v>
                </c:pt>
                <c:pt idx="550">
                  <c:v>30550</c:v>
                </c:pt>
                <c:pt idx="551">
                  <c:v>30732</c:v>
                </c:pt>
                <c:pt idx="552">
                  <c:v>16025</c:v>
                </c:pt>
                <c:pt idx="553">
                  <c:v>25783</c:v>
                </c:pt>
                <c:pt idx="554">
                  <c:v>23247</c:v>
                </c:pt>
                <c:pt idx="555">
                  <c:v>16213</c:v>
                </c:pt>
                <c:pt idx="556">
                  <c:v>13469</c:v>
                </c:pt>
                <c:pt idx="557">
                  <c:v>13044</c:v>
                </c:pt>
                <c:pt idx="558">
                  <c:v>12756</c:v>
                </c:pt>
                <c:pt idx="559">
                  <c:v>12056</c:v>
                </c:pt>
                <c:pt idx="560">
                  <c:v>10760</c:v>
                </c:pt>
                <c:pt idx="561">
                  <c:v>15624</c:v>
                </c:pt>
                <c:pt idx="562">
                  <c:v>16345</c:v>
                </c:pt>
                <c:pt idx="563">
                  <c:v>15970</c:v>
                </c:pt>
                <c:pt idx="564">
                  <c:v>9734</c:v>
                </c:pt>
                <c:pt idx="565">
                  <c:v>9257</c:v>
                </c:pt>
                <c:pt idx="566">
                  <c:v>9987</c:v>
                </c:pt>
                <c:pt idx="567">
                  <c:v>14751</c:v>
                </c:pt>
                <c:pt idx="568">
                  <c:v>11891</c:v>
                </c:pt>
                <c:pt idx="569">
                  <c:v>9892</c:v>
                </c:pt>
                <c:pt idx="570">
                  <c:v>8862</c:v>
                </c:pt>
                <c:pt idx="571">
                  <c:v>10174</c:v>
                </c:pt>
                <c:pt idx="572">
                  <c:v>9225</c:v>
                </c:pt>
                <c:pt idx="573">
                  <c:v>9197</c:v>
                </c:pt>
                <c:pt idx="574">
                  <c:v>8828</c:v>
                </c:pt>
                <c:pt idx="575">
                  <c:v>9379</c:v>
                </c:pt>
                <c:pt idx="576">
                  <c:v>11026</c:v>
                </c:pt>
                <c:pt idx="577">
                  <c:v>10924</c:v>
                </c:pt>
                <c:pt idx="578">
                  <c:v>9393</c:v>
                </c:pt>
                <c:pt idx="579">
                  <c:v>8612</c:v>
                </c:pt>
                <c:pt idx="580">
                  <c:v>8130</c:v>
                </c:pt>
                <c:pt idx="581">
                  <c:v>9189</c:v>
                </c:pt>
                <c:pt idx="582">
                  <c:v>8193</c:v>
                </c:pt>
                <c:pt idx="583">
                  <c:v>8916</c:v>
                </c:pt>
                <c:pt idx="584">
                  <c:v>9225</c:v>
                </c:pt>
                <c:pt idx="585">
                  <c:v>24499</c:v>
                </c:pt>
                <c:pt idx="586">
                  <c:v>16517</c:v>
                </c:pt>
                <c:pt idx="587">
                  <c:v>11421</c:v>
                </c:pt>
                <c:pt idx="588">
                  <c:v>10167</c:v>
                </c:pt>
                <c:pt idx="589">
                  <c:v>10238</c:v>
                </c:pt>
                <c:pt idx="590">
                  <c:v>10163</c:v>
                </c:pt>
                <c:pt idx="591">
                  <c:v>9199</c:v>
                </c:pt>
                <c:pt idx="592">
                  <c:v>15712</c:v>
                </c:pt>
                <c:pt idx="593">
                  <c:v>11571</c:v>
                </c:pt>
                <c:pt idx="594">
                  <c:v>9539</c:v>
                </c:pt>
                <c:pt idx="595">
                  <c:v>8731</c:v>
                </c:pt>
                <c:pt idx="596">
                  <c:v>9854</c:v>
                </c:pt>
                <c:pt idx="597">
                  <c:v>11491</c:v>
                </c:pt>
                <c:pt idx="598">
                  <c:v>9866</c:v>
                </c:pt>
                <c:pt idx="599">
                  <c:v>9532</c:v>
                </c:pt>
                <c:pt idx="600">
                  <c:v>12500</c:v>
                </c:pt>
                <c:pt idx="601">
                  <c:v>10492</c:v>
                </c:pt>
                <c:pt idx="602">
                  <c:v>10211</c:v>
                </c:pt>
                <c:pt idx="603">
                  <c:v>9868</c:v>
                </c:pt>
                <c:pt idx="604">
                  <c:v>11417</c:v>
                </c:pt>
                <c:pt idx="605">
                  <c:v>9398</c:v>
                </c:pt>
                <c:pt idx="606">
                  <c:v>8888</c:v>
                </c:pt>
                <c:pt idx="607">
                  <c:v>10104</c:v>
                </c:pt>
                <c:pt idx="608">
                  <c:v>8068</c:v>
                </c:pt>
                <c:pt idx="609">
                  <c:v>8418</c:v>
                </c:pt>
                <c:pt idx="610">
                  <c:v>8811</c:v>
                </c:pt>
                <c:pt idx="611">
                  <c:v>9484</c:v>
                </c:pt>
                <c:pt idx="612">
                  <c:v>9866</c:v>
                </c:pt>
                <c:pt idx="613">
                  <c:v>9203</c:v>
                </c:pt>
                <c:pt idx="614">
                  <c:v>9303</c:v>
                </c:pt>
                <c:pt idx="615">
                  <c:v>8487</c:v>
                </c:pt>
                <c:pt idx="616">
                  <c:v>8107</c:v>
                </c:pt>
                <c:pt idx="617">
                  <c:v>9589</c:v>
                </c:pt>
                <c:pt idx="618">
                  <c:v>11365</c:v>
                </c:pt>
                <c:pt idx="619">
                  <c:v>34804</c:v>
                </c:pt>
                <c:pt idx="620">
                  <c:v>38017</c:v>
                </c:pt>
                <c:pt idx="621">
                  <c:v>22600</c:v>
                </c:pt>
                <c:pt idx="622">
                  <c:v>17046</c:v>
                </c:pt>
                <c:pt idx="623">
                  <c:v>10883</c:v>
                </c:pt>
                <c:pt idx="624">
                  <c:v>11636</c:v>
                </c:pt>
                <c:pt idx="625">
                  <c:v>12115</c:v>
                </c:pt>
                <c:pt idx="626">
                  <c:v>12838</c:v>
                </c:pt>
                <c:pt idx="627">
                  <c:v>13749</c:v>
                </c:pt>
                <c:pt idx="628">
                  <c:v>11174</c:v>
                </c:pt>
                <c:pt idx="629">
                  <c:v>9108</c:v>
                </c:pt>
                <c:pt idx="630">
                  <c:v>9115</c:v>
                </c:pt>
                <c:pt idx="631">
                  <c:v>10172</c:v>
                </c:pt>
                <c:pt idx="632">
                  <c:v>10572</c:v>
                </c:pt>
                <c:pt idx="633">
                  <c:v>11873</c:v>
                </c:pt>
                <c:pt idx="634">
                  <c:v>12056</c:v>
                </c:pt>
                <c:pt idx="635">
                  <c:v>10128</c:v>
                </c:pt>
                <c:pt idx="636">
                  <c:v>9150</c:v>
                </c:pt>
                <c:pt idx="637">
                  <c:v>9987</c:v>
                </c:pt>
                <c:pt idx="638">
                  <c:v>10623</c:v>
                </c:pt>
                <c:pt idx="639">
                  <c:v>11575</c:v>
                </c:pt>
                <c:pt idx="640">
                  <c:v>11211</c:v>
                </c:pt>
                <c:pt idx="641">
                  <c:v>11693</c:v>
                </c:pt>
                <c:pt idx="642">
                  <c:v>11749</c:v>
                </c:pt>
                <c:pt idx="643">
                  <c:v>9752</c:v>
                </c:pt>
                <c:pt idx="644">
                  <c:v>9552</c:v>
                </c:pt>
                <c:pt idx="645">
                  <c:v>12069</c:v>
                </c:pt>
                <c:pt idx="646">
                  <c:v>14755</c:v>
                </c:pt>
                <c:pt idx="647">
                  <c:v>14698</c:v>
                </c:pt>
                <c:pt idx="648">
                  <c:v>17087</c:v>
                </c:pt>
                <c:pt idx="649">
                  <c:v>13107</c:v>
                </c:pt>
                <c:pt idx="650">
                  <c:v>9656</c:v>
                </c:pt>
                <c:pt idx="651">
                  <c:v>9806</c:v>
                </c:pt>
                <c:pt idx="652">
                  <c:v>11399</c:v>
                </c:pt>
                <c:pt idx="653">
                  <c:v>11089</c:v>
                </c:pt>
                <c:pt idx="654">
                  <c:v>14046</c:v>
                </c:pt>
                <c:pt idx="655">
                  <c:v>15779</c:v>
                </c:pt>
                <c:pt idx="656">
                  <c:v>14546</c:v>
                </c:pt>
                <c:pt idx="657">
                  <c:v>12101</c:v>
                </c:pt>
                <c:pt idx="658">
                  <c:v>12445</c:v>
                </c:pt>
                <c:pt idx="659">
                  <c:v>15770</c:v>
                </c:pt>
                <c:pt idx="660">
                  <c:v>13986</c:v>
                </c:pt>
                <c:pt idx="661">
                  <c:v>13059</c:v>
                </c:pt>
                <c:pt idx="662">
                  <c:v>12552</c:v>
                </c:pt>
                <c:pt idx="663">
                  <c:v>12348</c:v>
                </c:pt>
                <c:pt idx="664">
                  <c:v>10442</c:v>
                </c:pt>
                <c:pt idx="665">
                  <c:v>9750</c:v>
                </c:pt>
                <c:pt idx="666">
                  <c:v>12609</c:v>
                </c:pt>
                <c:pt idx="667">
                  <c:v>12068</c:v>
                </c:pt>
                <c:pt idx="668">
                  <c:v>12904</c:v>
                </c:pt>
                <c:pt idx="669">
                  <c:v>11369</c:v>
                </c:pt>
                <c:pt idx="670">
                  <c:v>10765</c:v>
                </c:pt>
                <c:pt idx="671">
                  <c:v>9907</c:v>
                </c:pt>
                <c:pt idx="672">
                  <c:v>10296</c:v>
                </c:pt>
                <c:pt idx="673">
                  <c:v>10967</c:v>
                </c:pt>
                <c:pt idx="674">
                  <c:v>10920</c:v>
                </c:pt>
                <c:pt idx="675">
                  <c:v>10030</c:v>
                </c:pt>
                <c:pt idx="676">
                  <c:v>10093</c:v>
                </c:pt>
                <c:pt idx="677">
                  <c:v>10185</c:v>
                </c:pt>
                <c:pt idx="678">
                  <c:v>9468</c:v>
                </c:pt>
                <c:pt idx="679">
                  <c:v>9835</c:v>
                </c:pt>
                <c:pt idx="680">
                  <c:v>10946</c:v>
                </c:pt>
                <c:pt idx="681">
                  <c:v>11421</c:v>
                </c:pt>
                <c:pt idx="682">
                  <c:v>13338</c:v>
                </c:pt>
                <c:pt idx="683">
                  <c:v>23750</c:v>
                </c:pt>
                <c:pt idx="684">
                  <c:v>19538</c:v>
                </c:pt>
                <c:pt idx="685">
                  <c:v>12206</c:v>
                </c:pt>
                <c:pt idx="686">
                  <c:v>11053</c:v>
                </c:pt>
                <c:pt idx="687">
                  <c:v>10408</c:v>
                </c:pt>
                <c:pt idx="688">
                  <c:v>12144</c:v>
                </c:pt>
                <c:pt idx="689">
                  <c:v>9468</c:v>
                </c:pt>
                <c:pt idx="690">
                  <c:v>8124</c:v>
                </c:pt>
                <c:pt idx="691">
                  <c:v>7855</c:v>
                </c:pt>
                <c:pt idx="692">
                  <c:v>8017</c:v>
                </c:pt>
                <c:pt idx="693">
                  <c:v>9007</c:v>
                </c:pt>
                <c:pt idx="694">
                  <c:v>11403</c:v>
                </c:pt>
                <c:pt idx="695">
                  <c:v>10513</c:v>
                </c:pt>
                <c:pt idx="696">
                  <c:v>11261</c:v>
                </c:pt>
                <c:pt idx="697">
                  <c:v>14385</c:v>
                </c:pt>
                <c:pt idx="698">
                  <c:v>17001</c:v>
                </c:pt>
                <c:pt idx="699">
                  <c:v>12955</c:v>
                </c:pt>
                <c:pt idx="700">
                  <c:v>16595</c:v>
                </c:pt>
                <c:pt idx="701">
                  <c:v>16837</c:v>
                </c:pt>
                <c:pt idx="702">
                  <c:v>16334</c:v>
                </c:pt>
                <c:pt idx="703">
                  <c:v>19303</c:v>
                </c:pt>
                <c:pt idx="704">
                  <c:v>35466</c:v>
                </c:pt>
                <c:pt idx="705">
                  <c:v>818792</c:v>
                </c:pt>
                <c:pt idx="706">
                  <c:v>236576</c:v>
                </c:pt>
                <c:pt idx="707">
                  <c:v>112219</c:v>
                </c:pt>
                <c:pt idx="708">
                  <c:v>91037</c:v>
                </c:pt>
                <c:pt idx="709">
                  <c:v>66312</c:v>
                </c:pt>
                <c:pt idx="710">
                  <c:v>53198</c:v>
                </c:pt>
                <c:pt idx="711">
                  <c:v>44162</c:v>
                </c:pt>
                <c:pt idx="712">
                  <c:v>34731</c:v>
                </c:pt>
                <c:pt idx="713">
                  <c:v>28664</c:v>
                </c:pt>
                <c:pt idx="714">
                  <c:v>28095</c:v>
                </c:pt>
                <c:pt idx="715">
                  <c:v>27811</c:v>
                </c:pt>
                <c:pt idx="716">
                  <c:v>29905</c:v>
                </c:pt>
                <c:pt idx="717">
                  <c:v>32623</c:v>
                </c:pt>
                <c:pt idx="718">
                  <c:v>25702</c:v>
                </c:pt>
                <c:pt idx="719">
                  <c:v>25186</c:v>
                </c:pt>
                <c:pt idx="720">
                  <c:v>21301</c:v>
                </c:pt>
                <c:pt idx="721">
                  <c:v>22409</c:v>
                </c:pt>
                <c:pt idx="722">
                  <c:v>18133</c:v>
                </c:pt>
                <c:pt idx="723">
                  <c:v>17230</c:v>
                </c:pt>
                <c:pt idx="724">
                  <c:v>24720</c:v>
                </c:pt>
                <c:pt idx="725">
                  <c:v>26447</c:v>
                </c:pt>
                <c:pt idx="726">
                  <c:v>21935</c:v>
                </c:pt>
                <c:pt idx="727">
                  <c:v>22570</c:v>
                </c:pt>
                <c:pt idx="728">
                  <c:v>22830</c:v>
                </c:pt>
                <c:pt idx="729">
                  <c:v>31358</c:v>
                </c:pt>
                <c:pt idx="730">
                  <c:v>21417</c:v>
                </c:pt>
                <c:pt idx="731">
                  <c:v>24533</c:v>
                </c:pt>
                <c:pt idx="732">
                  <c:v>24163</c:v>
                </c:pt>
                <c:pt idx="733">
                  <c:v>25232</c:v>
                </c:pt>
                <c:pt idx="734">
                  <c:v>20213</c:v>
                </c:pt>
                <c:pt idx="735">
                  <c:v>31493</c:v>
                </c:pt>
                <c:pt idx="736">
                  <c:v>29682</c:v>
                </c:pt>
                <c:pt idx="737">
                  <c:v>26337</c:v>
                </c:pt>
                <c:pt idx="738">
                  <c:v>31050</c:v>
                </c:pt>
                <c:pt idx="739">
                  <c:v>34999</c:v>
                </c:pt>
                <c:pt idx="740">
                  <c:v>31253</c:v>
                </c:pt>
                <c:pt idx="741">
                  <c:v>26998</c:v>
                </c:pt>
                <c:pt idx="742">
                  <c:v>34839</c:v>
                </c:pt>
                <c:pt idx="743">
                  <c:v>26990</c:v>
                </c:pt>
                <c:pt idx="744">
                  <c:v>29177</c:v>
                </c:pt>
                <c:pt idx="745">
                  <c:v>31616</c:v>
                </c:pt>
                <c:pt idx="746">
                  <c:v>58691</c:v>
                </c:pt>
                <c:pt idx="747">
                  <c:v>34227</c:v>
                </c:pt>
                <c:pt idx="748">
                  <c:v>26904</c:v>
                </c:pt>
                <c:pt idx="749">
                  <c:v>29118</c:v>
                </c:pt>
                <c:pt idx="750">
                  <c:v>29985</c:v>
                </c:pt>
                <c:pt idx="751">
                  <c:v>37440</c:v>
                </c:pt>
                <c:pt idx="752">
                  <c:v>31014</c:v>
                </c:pt>
                <c:pt idx="753">
                  <c:v>36353</c:v>
                </c:pt>
                <c:pt idx="754">
                  <c:v>31596</c:v>
                </c:pt>
                <c:pt idx="755">
                  <c:v>26408</c:v>
                </c:pt>
                <c:pt idx="756">
                  <c:v>28425</c:v>
                </c:pt>
                <c:pt idx="757">
                  <c:v>38114</c:v>
                </c:pt>
                <c:pt idx="758">
                  <c:v>36275</c:v>
                </c:pt>
                <c:pt idx="759">
                  <c:v>31155</c:v>
                </c:pt>
                <c:pt idx="760">
                  <c:v>34887</c:v>
                </c:pt>
                <c:pt idx="761">
                  <c:v>37613</c:v>
                </c:pt>
                <c:pt idx="762">
                  <c:v>34877</c:v>
                </c:pt>
                <c:pt idx="763">
                  <c:v>74796</c:v>
                </c:pt>
                <c:pt idx="764">
                  <c:v>80591</c:v>
                </c:pt>
                <c:pt idx="765">
                  <c:v>98345</c:v>
                </c:pt>
                <c:pt idx="766">
                  <c:v>101785</c:v>
                </c:pt>
                <c:pt idx="767">
                  <c:v>135879</c:v>
                </c:pt>
                <c:pt idx="768">
                  <c:v>168197</c:v>
                </c:pt>
                <c:pt idx="769">
                  <c:v>259145</c:v>
                </c:pt>
                <c:pt idx="770">
                  <c:v>2990487</c:v>
                </c:pt>
                <c:pt idx="771">
                  <c:v>1539061</c:v>
                </c:pt>
                <c:pt idx="772">
                  <c:v>457474</c:v>
                </c:pt>
                <c:pt idx="773">
                  <c:v>581827</c:v>
                </c:pt>
                <c:pt idx="774">
                  <c:v>262693</c:v>
                </c:pt>
                <c:pt idx="775">
                  <c:v>160188</c:v>
                </c:pt>
                <c:pt idx="776">
                  <c:v>127694</c:v>
                </c:pt>
                <c:pt idx="777">
                  <c:v>108026</c:v>
                </c:pt>
                <c:pt idx="778">
                  <c:v>77774</c:v>
                </c:pt>
                <c:pt idx="779">
                  <c:v>65533</c:v>
                </c:pt>
                <c:pt idx="780">
                  <c:v>86186</c:v>
                </c:pt>
                <c:pt idx="781">
                  <c:v>69340</c:v>
                </c:pt>
                <c:pt idx="782">
                  <c:v>59623</c:v>
                </c:pt>
                <c:pt idx="783">
                  <c:v>84807</c:v>
                </c:pt>
                <c:pt idx="784">
                  <c:v>113431</c:v>
                </c:pt>
                <c:pt idx="785">
                  <c:v>102842</c:v>
                </c:pt>
                <c:pt idx="786">
                  <c:v>57188</c:v>
                </c:pt>
                <c:pt idx="787">
                  <c:v>202980</c:v>
                </c:pt>
                <c:pt idx="788">
                  <c:v>63723</c:v>
                </c:pt>
                <c:pt idx="789">
                  <c:v>50175</c:v>
                </c:pt>
                <c:pt idx="790">
                  <c:v>39966</c:v>
                </c:pt>
                <c:pt idx="791">
                  <c:v>33334</c:v>
                </c:pt>
                <c:pt idx="792">
                  <c:v>27474</c:v>
                </c:pt>
                <c:pt idx="793">
                  <c:v>23031</c:v>
                </c:pt>
                <c:pt idx="794">
                  <c:v>23428</c:v>
                </c:pt>
                <c:pt idx="795">
                  <c:v>28237</c:v>
                </c:pt>
                <c:pt idx="796">
                  <c:v>26165</c:v>
                </c:pt>
                <c:pt idx="797">
                  <c:v>24003</c:v>
                </c:pt>
                <c:pt idx="798">
                  <c:v>38020</c:v>
                </c:pt>
                <c:pt idx="799">
                  <c:v>26326</c:v>
                </c:pt>
                <c:pt idx="800">
                  <c:v>21661</c:v>
                </c:pt>
                <c:pt idx="801">
                  <c:v>23679</c:v>
                </c:pt>
                <c:pt idx="802">
                  <c:v>28496</c:v>
                </c:pt>
                <c:pt idx="803">
                  <c:v>21397</c:v>
                </c:pt>
                <c:pt idx="804">
                  <c:v>20086</c:v>
                </c:pt>
                <c:pt idx="805">
                  <c:v>17242</c:v>
                </c:pt>
                <c:pt idx="806">
                  <c:v>19456</c:v>
                </c:pt>
                <c:pt idx="807">
                  <c:v>20798</c:v>
                </c:pt>
                <c:pt idx="808">
                  <c:v>20993</c:v>
                </c:pt>
                <c:pt idx="809">
                  <c:v>17566</c:v>
                </c:pt>
                <c:pt idx="810">
                  <c:v>16062</c:v>
                </c:pt>
                <c:pt idx="811">
                  <c:v>15258</c:v>
                </c:pt>
                <c:pt idx="812">
                  <c:v>15189</c:v>
                </c:pt>
                <c:pt idx="813">
                  <c:v>16231</c:v>
                </c:pt>
                <c:pt idx="814">
                  <c:v>19386</c:v>
                </c:pt>
                <c:pt idx="815">
                  <c:v>17243</c:v>
                </c:pt>
                <c:pt idx="816">
                  <c:v>18838</c:v>
                </c:pt>
                <c:pt idx="817">
                  <c:v>16320</c:v>
                </c:pt>
                <c:pt idx="818">
                  <c:v>14453</c:v>
                </c:pt>
                <c:pt idx="819">
                  <c:v>16833</c:v>
                </c:pt>
                <c:pt idx="820">
                  <c:v>21656</c:v>
                </c:pt>
                <c:pt idx="821">
                  <c:v>17788</c:v>
                </c:pt>
                <c:pt idx="822">
                  <c:v>16558</c:v>
                </c:pt>
                <c:pt idx="823">
                  <c:v>18398</c:v>
                </c:pt>
                <c:pt idx="824">
                  <c:v>16889</c:v>
                </c:pt>
                <c:pt idx="825">
                  <c:v>13128</c:v>
                </c:pt>
                <c:pt idx="826">
                  <c:v>15262</c:v>
                </c:pt>
                <c:pt idx="827">
                  <c:v>16089</c:v>
                </c:pt>
                <c:pt idx="828">
                  <c:v>15928</c:v>
                </c:pt>
                <c:pt idx="829">
                  <c:v>14650</c:v>
                </c:pt>
                <c:pt idx="830">
                  <c:v>15700</c:v>
                </c:pt>
                <c:pt idx="831">
                  <c:v>24210</c:v>
                </c:pt>
                <c:pt idx="832">
                  <c:v>24621</c:v>
                </c:pt>
                <c:pt idx="833">
                  <c:v>18479</c:v>
                </c:pt>
                <c:pt idx="834">
                  <c:v>14331</c:v>
                </c:pt>
                <c:pt idx="835">
                  <c:v>15013</c:v>
                </c:pt>
                <c:pt idx="836">
                  <c:v>15252</c:v>
                </c:pt>
                <c:pt idx="837">
                  <c:v>15096</c:v>
                </c:pt>
                <c:pt idx="838">
                  <c:v>13852</c:v>
                </c:pt>
                <c:pt idx="839">
                  <c:v>13312</c:v>
                </c:pt>
                <c:pt idx="840">
                  <c:v>28803</c:v>
                </c:pt>
                <c:pt idx="841">
                  <c:v>20577</c:v>
                </c:pt>
                <c:pt idx="842">
                  <c:v>17208</c:v>
                </c:pt>
                <c:pt idx="843">
                  <c:v>13534</c:v>
                </c:pt>
                <c:pt idx="844">
                  <c:v>12814</c:v>
                </c:pt>
                <c:pt idx="845">
                  <c:v>12365</c:v>
                </c:pt>
                <c:pt idx="846">
                  <c:v>10679</c:v>
                </c:pt>
                <c:pt idx="847">
                  <c:v>10767</c:v>
                </c:pt>
                <c:pt idx="848">
                  <c:v>12443</c:v>
                </c:pt>
                <c:pt idx="849">
                  <c:v>12067</c:v>
                </c:pt>
                <c:pt idx="850">
                  <c:v>14844</c:v>
                </c:pt>
                <c:pt idx="851">
                  <c:v>15210</c:v>
                </c:pt>
                <c:pt idx="852">
                  <c:v>14414</c:v>
                </c:pt>
                <c:pt idx="853">
                  <c:v>20138</c:v>
                </c:pt>
                <c:pt idx="854">
                  <c:v>14305</c:v>
                </c:pt>
                <c:pt idx="855">
                  <c:v>14208</c:v>
                </c:pt>
                <c:pt idx="856">
                  <c:v>12787</c:v>
                </c:pt>
                <c:pt idx="857">
                  <c:v>11946</c:v>
                </c:pt>
                <c:pt idx="858">
                  <c:v>12415</c:v>
                </c:pt>
                <c:pt idx="859">
                  <c:v>11853</c:v>
                </c:pt>
                <c:pt idx="860">
                  <c:v>10256</c:v>
                </c:pt>
                <c:pt idx="861">
                  <c:v>9656</c:v>
                </c:pt>
                <c:pt idx="862">
                  <c:v>10554</c:v>
                </c:pt>
                <c:pt idx="863">
                  <c:v>11229</c:v>
                </c:pt>
                <c:pt idx="864">
                  <c:v>12654</c:v>
                </c:pt>
                <c:pt idx="865">
                  <c:v>11777</c:v>
                </c:pt>
                <c:pt idx="866">
                  <c:v>14610</c:v>
                </c:pt>
                <c:pt idx="867">
                  <c:v>12154</c:v>
                </c:pt>
                <c:pt idx="868">
                  <c:v>10019</c:v>
                </c:pt>
                <c:pt idx="869">
                  <c:v>11498</c:v>
                </c:pt>
                <c:pt idx="870">
                  <c:v>14228</c:v>
                </c:pt>
                <c:pt idx="871">
                  <c:v>12342</c:v>
                </c:pt>
                <c:pt idx="872">
                  <c:v>11233</c:v>
                </c:pt>
                <c:pt idx="873">
                  <c:v>10679</c:v>
                </c:pt>
                <c:pt idx="874">
                  <c:v>9352</c:v>
                </c:pt>
                <c:pt idx="875">
                  <c:v>9113</c:v>
                </c:pt>
                <c:pt idx="876">
                  <c:v>10675</c:v>
                </c:pt>
                <c:pt idx="877">
                  <c:v>11156</c:v>
                </c:pt>
                <c:pt idx="878">
                  <c:v>11724</c:v>
                </c:pt>
                <c:pt idx="879">
                  <c:v>10534</c:v>
                </c:pt>
                <c:pt idx="880">
                  <c:v>11459</c:v>
                </c:pt>
                <c:pt idx="881">
                  <c:v>10969</c:v>
                </c:pt>
                <c:pt idx="882">
                  <c:v>10684</c:v>
                </c:pt>
                <c:pt idx="883">
                  <c:v>11660</c:v>
                </c:pt>
                <c:pt idx="884">
                  <c:v>11449</c:v>
                </c:pt>
                <c:pt idx="885">
                  <c:v>11164</c:v>
                </c:pt>
                <c:pt idx="886">
                  <c:v>40281</c:v>
                </c:pt>
                <c:pt idx="887">
                  <c:v>18913</c:v>
                </c:pt>
                <c:pt idx="888">
                  <c:v>12351</c:v>
                </c:pt>
                <c:pt idx="889">
                  <c:v>13720</c:v>
                </c:pt>
                <c:pt idx="890">
                  <c:v>14512</c:v>
                </c:pt>
                <c:pt idx="891">
                  <c:v>14209</c:v>
                </c:pt>
                <c:pt idx="892">
                  <c:v>21372</c:v>
                </c:pt>
                <c:pt idx="893">
                  <c:v>19877</c:v>
                </c:pt>
                <c:pt idx="894">
                  <c:v>14693</c:v>
                </c:pt>
                <c:pt idx="895">
                  <c:v>11110</c:v>
                </c:pt>
                <c:pt idx="896">
                  <c:v>10239</c:v>
                </c:pt>
                <c:pt idx="897">
                  <c:v>11403</c:v>
                </c:pt>
                <c:pt idx="898">
                  <c:v>11317</c:v>
                </c:pt>
                <c:pt idx="899">
                  <c:v>11584</c:v>
                </c:pt>
                <c:pt idx="900">
                  <c:v>15610</c:v>
                </c:pt>
                <c:pt idx="901">
                  <c:v>14676</c:v>
                </c:pt>
                <c:pt idx="902">
                  <c:v>14357</c:v>
                </c:pt>
                <c:pt idx="903">
                  <c:v>12298</c:v>
                </c:pt>
                <c:pt idx="904">
                  <c:v>12318</c:v>
                </c:pt>
                <c:pt idx="905">
                  <c:v>18073</c:v>
                </c:pt>
                <c:pt idx="906">
                  <c:v>14551</c:v>
                </c:pt>
                <c:pt idx="907">
                  <c:v>16932</c:v>
                </c:pt>
                <c:pt idx="908">
                  <c:v>13384</c:v>
                </c:pt>
                <c:pt idx="909">
                  <c:v>11742</c:v>
                </c:pt>
                <c:pt idx="910">
                  <c:v>10061</c:v>
                </c:pt>
                <c:pt idx="911">
                  <c:v>10324</c:v>
                </c:pt>
                <c:pt idx="912">
                  <c:v>10654</c:v>
                </c:pt>
                <c:pt idx="913">
                  <c:v>10118</c:v>
                </c:pt>
                <c:pt idx="914">
                  <c:v>9032</c:v>
                </c:pt>
                <c:pt idx="915">
                  <c:v>8669</c:v>
                </c:pt>
                <c:pt idx="916">
                  <c:v>9850</c:v>
                </c:pt>
                <c:pt idx="917">
                  <c:v>13922</c:v>
                </c:pt>
                <c:pt idx="918">
                  <c:v>10866</c:v>
                </c:pt>
                <c:pt idx="919">
                  <c:v>9491</c:v>
                </c:pt>
                <c:pt idx="920">
                  <c:v>11413</c:v>
                </c:pt>
                <c:pt idx="921">
                  <c:v>11903</c:v>
                </c:pt>
                <c:pt idx="922">
                  <c:v>10895</c:v>
                </c:pt>
                <c:pt idx="923">
                  <c:v>10120</c:v>
                </c:pt>
                <c:pt idx="924">
                  <c:v>9949</c:v>
                </c:pt>
                <c:pt idx="925">
                  <c:v>9841</c:v>
                </c:pt>
                <c:pt idx="926">
                  <c:v>4176</c:v>
                </c:pt>
                <c:pt idx="927">
                  <c:v>12091</c:v>
                </c:pt>
                <c:pt idx="928">
                  <c:v>11985</c:v>
                </c:pt>
                <c:pt idx="929">
                  <c:v>13587</c:v>
                </c:pt>
                <c:pt idx="930">
                  <c:v>20035</c:v>
                </c:pt>
                <c:pt idx="931">
                  <c:v>14439</c:v>
                </c:pt>
                <c:pt idx="932">
                  <c:v>12337</c:v>
                </c:pt>
                <c:pt idx="933">
                  <c:v>15058</c:v>
                </c:pt>
                <c:pt idx="934">
                  <c:v>12571</c:v>
                </c:pt>
                <c:pt idx="935">
                  <c:v>10667</c:v>
                </c:pt>
                <c:pt idx="936">
                  <c:v>10266</c:v>
                </c:pt>
                <c:pt idx="937">
                  <c:v>10433</c:v>
                </c:pt>
                <c:pt idx="938">
                  <c:v>10215</c:v>
                </c:pt>
                <c:pt idx="939">
                  <c:v>13938</c:v>
                </c:pt>
                <c:pt idx="940">
                  <c:v>5964</c:v>
                </c:pt>
                <c:pt idx="941">
                  <c:v>11359</c:v>
                </c:pt>
                <c:pt idx="942">
                  <c:v>12507</c:v>
                </c:pt>
                <c:pt idx="943">
                  <c:v>10905</c:v>
                </c:pt>
                <c:pt idx="944">
                  <c:v>9087</c:v>
                </c:pt>
                <c:pt idx="945">
                  <c:v>9963</c:v>
                </c:pt>
                <c:pt idx="946">
                  <c:v>12422</c:v>
                </c:pt>
                <c:pt idx="947">
                  <c:v>11118</c:v>
                </c:pt>
                <c:pt idx="948">
                  <c:v>10262</c:v>
                </c:pt>
                <c:pt idx="949">
                  <c:v>14950</c:v>
                </c:pt>
                <c:pt idx="950">
                  <c:v>15261</c:v>
                </c:pt>
                <c:pt idx="951">
                  <c:v>12390</c:v>
                </c:pt>
                <c:pt idx="952">
                  <c:v>10405</c:v>
                </c:pt>
                <c:pt idx="953">
                  <c:v>18366</c:v>
                </c:pt>
                <c:pt idx="954">
                  <c:v>22868</c:v>
                </c:pt>
                <c:pt idx="955">
                  <c:v>12030</c:v>
                </c:pt>
                <c:pt idx="956">
                  <c:v>12000</c:v>
                </c:pt>
                <c:pt idx="957">
                  <c:v>11373</c:v>
                </c:pt>
                <c:pt idx="958">
                  <c:v>9070</c:v>
                </c:pt>
                <c:pt idx="959">
                  <c:v>8840</c:v>
                </c:pt>
                <c:pt idx="960">
                  <c:v>9310</c:v>
                </c:pt>
                <c:pt idx="961">
                  <c:v>10197</c:v>
                </c:pt>
                <c:pt idx="962">
                  <c:v>11365</c:v>
                </c:pt>
                <c:pt idx="963">
                  <c:v>9347</c:v>
                </c:pt>
                <c:pt idx="964">
                  <c:v>8160</c:v>
                </c:pt>
                <c:pt idx="965">
                  <c:v>7001</c:v>
                </c:pt>
                <c:pt idx="966">
                  <c:v>6959</c:v>
                </c:pt>
                <c:pt idx="967">
                  <c:v>8033</c:v>
                </c:pt>
                <c:pt idx="968">
                  <c:v>8315</c:v>
                </c:pt>
                <c:pt idx="969">
                  <c:v>16128</c:v>
                </c:pt>
                <c:pt idx="970">
                  <c:v>12813</c:v>
                </c:pt>
                <c:pt idx="971">
                  <c:v>10930</c:v>
                </c:pt>
                <c:pt idx="972">
                  <c:v>14794</c:v>
                </c:pt>
                <c:pt idx="973">
                  <c:v>14627</c:v>
                </c:pt>
                <c:pt idx="974">
                  <c:v>8695</c:v>
                </c:pt>
                <c:pt idx="975">
                  <c:v>8340</c:v>
                </c:pt>
                <c:pt idx="976">
                  <c:v>10296</c:v>
                </c:pt>
                <c:pt idx="977">
                  <c:v>25821</c:v>
                </c:pt>
                <c:pt idx="978">
                  <c:v>11170</c:v>
                </c:pt>
                <c:pt idx="979">
                  <c:v>10037</c:v>
                </c:pt>
                <c:pt idx="980">
                  <c:v>9921</c:v>
                </c:pt>
                <c:pt idx="981">
                  <c:v>7993</c:v>
                </c:pt>
                <c:pt idx="982">
                  <c:v>7871</c:v>
                </c:pt>
                <c:pt idx="983">
                  <c:v>15129</c:v>
                </c:pt>
                <c:pt idx="984">
                  <c:v>11051</c:v>
                </c:pt>
                <c:pt idx="985">
                  <c:v>18065</c:v>
                </c:pt>
                <c:pt idx="986">
                  <c:v>23228</c:v>
                </c:pt>
                <c:pt idx="987">
                  <c:v>18797</c:v>
                </c:pt>
                <c:pt idx="988">
                  <c:v>14136</c:v>
                </c:pt>
                <c:pt idx="989">
                  <c:v>9528</c:v>
                </c:pt>
                <c:pt idx="990">
                  <c:v>9187</c:v>
                </c:pt>
                <c:pt idx="991">
                  <c:v>9078</c:v>
                </c:pt>
                <c:pt idx="992">
                  <c:v>10102</c:v>
                </c:pt>
                <c:pt idx="993">
                  <c:v>10161</c:v>
                </c:pt>
                <c:pt idx="994">
                  <c:v>13074</c:v>
                </c:pt>
                <c:pt idx="995">
                  <c:v>11947</c:v>
                </c:pt>
                <c:pt idx="996">
                  <c:v>27064</c:v>
                </c:pt>
                <c:pt idx="997">
                  <c:v>20065</c:v>
                </c:pt>
                <c:pt idx="998">
                  <c:v>16694</c:v>
                </c:pt>
                <c:pt idx="999">
                  <c:v>13417</c:v>
                </c:pt>
                <c:pt idx="1000">
                  <c:v>11283</c:v>
                </c:pt>
                <c:pt idx="1001">
                  <c:v>10719</c:v>
                </c:pt>
                <c:pt idx="1002">
                  <c:v>11582</c:v>
                </c:pt>
                <c:pt idx="1003">
                  <c:v>12212</c:v>
                </c:pt>
                <c:pt idx="1004">
                  <c:v>11405</c:v>
                </c:pt>
                <c:pt idx="1005">
                  <c:v>11627</c:v>
                </c:pt>
                <c:pt idx="1006">
                  <c:v>11427</c:v>
                </c:pt>
                <c:pt idx="1007">
                  <c:v>12796</c:v>
                </c:pt>
                <c:pt idx="1008">
                  <c:v>14441</c:v>
                </c:pt>
                <c:pt idx="1009">
                  <c:v>17752</c:v>
                </c:pt>
                <c:pt idx="1010">
                  <c:v>16721</c:v>
                </c:pt>
                <c:pt idx="1011">
                  <c:v>13744</c:v>
                </c:pt>
                <c:pt idx="1012">
                  <c:v>12265</c:v>
                </c:pt>
                <c:pt idx="1013">
                  <c:v>10819</c:v>
                </c:pt>
                <c:pt idx="1014">
                  <c:v>10731</c:v>
                </c:pt>
                <c:pt idx="1015">
                  <c:v>11359</c:v>
                </c:pt>
                <c:pt idx="1016">
                  <c:v>11114</c:v>
                </c:pt>
                <c:pt idx="1017">
                  <c:v>10913</c:v>
                </c:pt>
                <c:pt idx="1018">
                  <c:v>9965</c:v>
                </c:pt>
                <c:pt idx="1019">
                  <c:v>10564</c:v>
                </c:pt>
                <c:pt idx="1020">
                  <c:v>10955</c:v>
                </c:pt>
                <c:pt idx="1021">
                  <c:v>9374</c:v>
                </c:pt>
                <c:pt idx="1022">
                  <c:v>9363</c:v>
                </c:pt>
                <c:pt idx="1023">
                  <c:v>10841</c:v>
                </c:pt>
                <c:pt idx="1024">
                  <c:v>12348</c:v>
                </c:pt>
                <c:pt idx="1025">
                  <c:v>9297</c:v>
                </c:pt>
                <c:pt idx="1026">
                  <c:v>10441</c:v>
                </c:pt>
                <c:pt idx="1027">
                  <c:v>11573</c:v>
                </c:pt>
                <c:pt idx="1028">
                  <c:v>9629</c:v>
                </c:pt>
                <c:pt idx="1029">
                  <c:v>8494</c:v>
                </c:pt>
                <c:pt idx="1030">
                  <c:v>9180</c:v>
                </c:pt>
                <c:pt idx="1031">
                  <c:v>10130</c:v>
                </c:pt>
                <c:pt idx="1032">
                  <c:v>9234</c:v>
                </c:pt>
                <c:pt idx="1033">
                  <c:v>7856</c:v>
                </c:pt>
                <c:pt idx="1034">
                  <c:v>9494</c:v>
                </c:pt>
                <c:pt idx="1035">
                  <c:v>8702</c:v>
                </c:pt>
                <c:pt idx="1036">
                  <c:v>10333</c:v>
                </c:pt>
                <c:pt idx="1037">
                  <c:v>9978</c:v>
                </c:pt>
                <c:pt idx="1038">
                  <c:v>10297</c:v>
                </c:pt>
                <c:pt idx="1039">
                  <c:v>10591</c:v>
                </c:pt>
                <c:pt idx="1040">
                  <c:v>9534</c:v>
                </c:pt>
                <c:pt idx="1041">
                  <c:v>8732</c:v>
                </c:pt>
                <c:pt idx="1042">
                  <c:v>8736</c:v>
                </c:pt>
                <c:pt idx="1043">
                  <c:v>9430</c:v>
                </c:pt>
                <c:pt idx="1044">
                  <c:v>10541</c:v>
                </c:pt>
                <c:pt idx="1045">
                  <c:v>11674</c:v>
                </c:pt>
                <c:pt idx="1046">
                  <c:v>16101</c:v>
                </c:pt>
                <c:pt idx="1047">
                  <c:v>35920</c:v>
                </c:pt>
                <c:pt idx="1048">
                  <c:v>31921</c:v>
                </c:pt>
                <c:pt idx="1049">
                  <c:v>20894</c:v>
                </c:pt>
                <c:pt idx="1050">
                  <c:v>15511</c:v>
                </c:pt>
                <c:pt idx="1051">
                  <c:v>22021</c:v>
                </c:pt>
                <c:pt idx="1052">
                  <c:v>82270</c:v>
                </c:pt>
                <c:pt idx="1053">
                  <c:v>1130463</c:v>
                </c:pt>
                <c:pt idx="1054">
                  <c:v>299375</c:v>
                </c:pt>
                <c:pt idx="1055">
                  <c:v>117189</c:v>
                </c:pt>
                <c:pt idx="1056">
                  <c:v>80045</c:v>
                </c:pt>
                <c:pt idx="1057">
                  <c:v>82649</c:v>
                </c:pt>
                <c:pt idx="1058">
                  <c:v>77906</c:v>
                </c:pt>
                <c:pt idx="1059">
                  <c:v>61179</c:v>
                </c:pt>
                <c:pt idx="1060">
                  <c:v>62492</c:v>
                </c:pt>
                <c:pt idx="1061">
                  <c:v>38787</c:v>
                </c:pt>
                <c:pt idx="1062">
                  <c:v>30157</c:v>
                </c:pt>
                <c:pt idx="1063">
                  <c:v>27939</c:v>
                </c:pt>
                <c:pt idx="1064">
                  <c:v>24553</c:v>
                </c:pt>
                <c:pt idx="1065">
                  <c:v>22364</c:v>
                </c:pt>
                <c:pt idx="1066">
                  <c:v>22129</c:v>
                </c:pt>
                <c:pt idx="1067">
                  <c:v>24693</c:v>
                </c:pt>
                <c:pt idx="1068">
                  <c:v>25202</c:v>
                </c:pt>
                <c:pt idx="1069">
                  <c:v>21967</c:v>
                </c:pt>
                <c:pt idx="1070">
                  <c:v>18397</c:v>
                </c:pt>
                <c:pt idx="1071">
                  <c:v>20762</c:v>
                </c:pt>
                <c:pt idx="1072">
                  <c:v>25476</c:v>
                </c:pt>
                <c:pt idx="1073">
                  <c:v>25792</c:v>
                </c:pt>
                <c:pt idx="1074">
                  <c:v>23778</c:v>
                </c:pt>
                <c:pt idx="1075">
                  <c:v>20997</c:v>
                </c:pt>
                <c:pt idx="1076">
                  <c:v>20475</c:v>
                </c:pt>
                <c:pt idx="1077">
                  <c:v>18742</c:v>
                </c:pt>
                <c:pt idx="1078">
                  <c:v>19131</c:v>
                </c:pt>
                <c:pt idx="1079">
                  <c:v>18022</c:v>
                </c:pt>
                <c:pt idx="1080">
                  <c:v>19550</c:v>
                </c:pt>
                <c:pt idx="1081">
                  <c:v>18721</c:v>
                </c:pt>
                <c:pt idx="1082">
                  <c:v>18308</c:v>
                </c:pt>
                <c:pt idx="1083">
                  <c:v>17747</c:v>
                </c:pt>
                <c:pt idx="1084">
                  <c:v>15927</c:v>
                </c:pt>
                <c:pt idx="1085">
                  <c:v>15731</c:v>
                </c:pt>
                <c:pt idx="1086">
                  <c:v>16400</c:v>
                </c:pt>
                <c:pt idx="1087">
                  <c:v>15063</c:v>
                </c:pt>
                <c:pt idx="1088">
                  <c:v>14357</c:v>
                </c:pt>
                <c:pt idx="1089">
                  <c:v>15433</c:v>
                </c:pt>
                <c:pt idx="1090">
                  <c:v>16127</c:v>
                </c:pt>
                <c:pt idx="1091">
                  <c:v>16420</c:v>
                </c:pt>
                <c:pt idx="1092">
                  <c:v>18250</c:v>
                </c:pt>
                <c:pt idx="1093">
                  <c:v>18083</c:v>
                </c:pt>
                <c:pt idx="1094">
                  <c:v>29389</c:v>
                </c:pt>
                <c:pt idx="1095">
                  <c:v>18485</c:v>
                </c:pt>
                <c:pt idx="1096">
                  <c:v>20550</c:v>
                </c:pt>
                <c:pt idx="1097">
                  <c:v>20712</c:v>
                </c:pt>
                <c:pt idx="1098">
                  <c:v>20738</c:v>
                </c:pt>
                <c:pt idx="1099">
                  <c:v>30413</c:v>
                </c:pt>
                <c:pt idx="1100">
                  <c:v>34103</c:v>
                </c:pt>
                <c:pt idx="1101">
                  <c:v>27628</c:v>
                </c:pt>
                <c:pt idx="1102">
                  <c:v>44062</c:v>
                </c:pt>
                <c:pt idx="1103">
                  <c:v>33177</c:v>
                </c:pt>
                <c:pt idx="1104">
                  <c:v>27813</c:v>
                </c:pt>
                <c:pt idx="1105">
                  <c:v>35869</c:v>
                </c:pt>
                <c:pt idx="1106">
                  <c:v>33297</c:v>
                </c:pt>
                <c:pt idx="1107">
                  <c:v>33987</c:v>
                </c:pt>
                <c:pt idx="1108">
                  <c:v>52583</c:v>
                </c:pt>
                <c:pt idx="1109">
                  <c:v>58571</c:v>
                </c:pt>
                <c:pt idx="1110">
                  <c:v>40561</c:v>
                </c:pt>
                <c:pt idx="1111">
                  <c:v>37597</c:v>
                </c:pt>
                <c:pt idx="1112">
                  <c:v>34892</c:v>
                </c:pt>
                <c:pt idx="1113">
                  <c:v>55119</c:v>
                </c:pt>
                <c:pt idx="1114">
                  <c:v>46281</c:v>
                </c:pt>
                <c:pt idx="1115">
                  <c:v>60163</c:v>
                </c:pt>
                <c:pt idx="1116">
                  <c:v>86179</c:v>
                </c:pt>
                <c:pt idx="1117">
                  <c:v>166060</c:v>
                </c:pt>
                <c:pt idx="1118">
                  <c:v>145152</c:v>
                </c:pt>
                <c:pt idx="1119">
                  <c:v>208046</c:v>
                </c:pt>
                <c:pt idx="1120">
                  <c:v>2261512</c:v>
                </c:pt>
                <c:pt idx="1121">
                  <c:v>1473248</c:v>
                </c:pt>
                <c:pt idx="1122">
                  <c:v>402339</c:v>
                </c:pt>
                <c:pt idx="1123">
                  <c:v>185134</c:v>
                </c:pt>
                <c:pt idx="1124">
                  <c:v>109443</c:v>
                </c:pt>
                <c:pt idx="1125">
                  <c:v>106853</c:v>
                </c:pt>
                <c:pt idx="1126">
                  <c:v>98319</c:v>
                </c:pt>
                <c:pt idx="1127">
                  <c:v>94254</c:v>
                </c:pt>
                <c:pt idx="1128">
                  <c:v>80043</c:v>
                </c:pt>
                <c:pt idx="1129">
                  <c:v>54334</c:v>
                </c:pt>
                <c:pt idx="1130">
                  <c:v>41409</c:v>
                </c:pt>
                <c:pt idx="1131">
                  <c:v>38833</c:v>
                </c:pt>
                <c:pt idx="1132">
                  <c:v>35022</c:v>
                </c:pt>
                <c:pt idx="1133">
                  <c:v>35951</c:v>
                </c:pt>
                <c:pt idx="1134">
                  <c:v>74640</c:v>
                </c:pt>
                <c:pt idx="1135">
                  <c:v>86393</c:v>
                </c:pt>
                <c:pt idx="1136">
                  <c:v>40484</c:v>
                </c:pt>
                <c:pt idx="1137">
                  <c:v>32930</c:v>
                </c:pt>
                <c:pt idx="1138">
                  <c:v>30210</c:v>
                </c:pt>
                <c:pt idx="1139">
                  <c:v>29348</c:v>
                </c:pt>
                <c:pt idx="1140">
                  <c:v>28108</c:v>
                </c:pt>
                <c:pt idx="1141">
                  <c:v>32926</c:v>
                </c:pt>
                <c:pt idx="1142">
                  <c:v>38721</c:v>
                </c:pt>
                <c:pt idx="1143">
                  <c:v>24945</c:v>
                </c:pt>
                <c:pt idx="1144">
                  <c:v>24581</c:v>
                </c:pt>
                <c:pt idx="1145">
                  <c:v>20553</c:v>
                </c:pt>
                <c:pt idx="1146">
                  <c:v>20345</c:v>
                </c:pt>
                <c:pt idx="1147">
                  <c:v>58424</c:v>
                </c:pt>
                <c:pt idx="1148">
                  <c:v>33560</c:v>
                </c:pt>
                <c:pt idx="1149">
                  <c:v>30211</c:v>
                </c:pt>
                <c:pt idx="1150">
                  <c:v>20889</c:v>
                </c:pt>
                <c:pt idx="1151">
                  <c:v>18030</c:v>
                </c:pt>
                <c:pt idx="1152">
                  <c:v>24088</c:v>
                </c:pt>
                <c:pt idx="1153">
                  <c:v>23395</c:v>
                </c:pt>
                <c:pt idx="1154">
                  <c:v>26798</c:v>
                </c:pt>
                <c:pt idx="1155">
                  <c:v>22925</c:v>
                </c:pt>
                <c:pt idx="1156">
                  <c:v>19381</c:v>
                </c:pt>
                <c:pt idx="1157">
                  <c:v>15908</c:v>
                </c:pt>
                <c:pt idx="1158">
                  <c:v>19766</c:v>
                </c:pt>
                <c:pt idx="1159">
                  <c:v>19719</c:v>
                </c:pt>
                <c:pt idx="1160">
                  <c:v>17548</c:v>
                </c:pt>
                <c:pt idx="1161">
                  <c:v>16518</c:v>
                </c:pt>
                <c:pt idx="1162">
                  <c:v>16027</c:v>
                </c:pt>
                <c:pt idx="1163">
                  <c:v>15133</c:v>
                </c:pt>
                <c:pt idx="1164">
                  <c:v>16815</c:v>
                </c:pt>
                <c:pt idx="1165">
                  <c:v>15536</c:v>
                </c:pt>
                <c:pt idx="1166">
                  <c:v>13219</c:v>
                </c:pt>
                <c:pt idx="1167">
                  <c:v>12177</c:v>
                </c:pt>
                <c:pt idx="1168">
                  <c:v>12401</c:v>
                </c:pt>
                <c:pt idx="1169">
                  <c:v>11101</c:v>
                </c:pt>
                <c:pt idx="1170">
                  <c:v>10969</c:v>
                </c:pt>
                <c:pt idx="1171">
                  <c:v>12614</c:v>
                </c:pt>
                <c:pt idx="1172">
                  <c:v>13580</c:v>
                </c:pt>
                <c:pt idx="1173">
                  <c:v>13637</c:v>
                </c:pt>
                <c:pt idx="1174">
                  <c:v>12790</c:v>
                </c:pt>
                <c:pt idx="1175">
                  <c:v>13464</c:v>
                </c:pt>
                <c:pt idx="1176">
                  <c:v>12115</c:v>
                </c:pt>
                <c:pt idx="1177">
                  <c:v>12679</c:v>
                </c:pt>
                <c:pt idx="1178">
                  <c:v>13124</c:v>
                </c:pt>
                <c:pt idx="1179">
                  <c:v>15150</c:v>
                </c:pt>
                <c:pt idx="1180">
                  <c:v>13628</c:v>
                </c:pt>
                <c:pt idx="1181">
                  <c:v>14196</c:v>
                </c:pt>
                <c:pt idx="1182">
                  <c:v>14730</c:v>
                </c:pt>
                <c:pt idx="1183">
                  <c:v>15682</c:v>
                </c:pt>
                <c:pt idx="1184">
                  <c:v>16101</c:v>
                </c:pt>
                <c:pt idx="1185">
                  <c:v>20813</c:v>
                </c:pt>
                <c:pt idx="1186">
                  <c:v>18988</c:v>
                </c:pt>
                <c:pt idx="1187">
                  <c:v>16097</c:v>
                </c:pt>
                <c:pt idx="1188">
                  <c:v>17584</c:v>
                </c:pt>
                <c:pt idx="1189">
                  <c:v>15075</c:v>
                </c:pt>
                <c:pt idx="1190">
                  <c:v>14318</c:v>
                </c:pt>
                <c:pt idx="1191">
                  <c:v>16350</c:v>
                </c:pt>
                <c:pt idx="1192">
                  <c:v>30882</c:v>
                </c:pt>
                <c:pt idx="1193">
                  <c:v>23459</c:v>
                </c:pt>
                <c:pt idx="1194">
                  <c:v>37775</c:v>
                </c:pt>
                <c:pt idx="1195">
                  <c:v>59911</c:v>
                </c:pt>
                <c:pt idx="1196">
                  <c:v>34484</c:v>
                </c:pt>
                <c:pt idx="1197">
                  <c:v>29392</c:v>
                </c:pt>
                <c:pt idx="1198">
                  <c:v>24009</c:v>
                </c:pt>
                <c:pt idx="1199">
                  <c:v>21789</c:v>
                </c:pt>
                <c:pt idx="1200">
                  <c:v>25039</c:v>
                </c:pt>
                <c:pt idx="1201">
                  <c:v>24642</c:v>
                </c:pt>
                <c:pt idx="1202">
                  <c:v>26872</c:v>
                </c:pt>
                <c:pt idx="1203">
                  <c:v>28685</c:v>
                </c:pt>
                <c:pt idx="1204">
                  <c:v>22772</c:v>
                </c:pt>
                <c:pt idx="1205">
                  <c:v>23122</c:v>
                </c:pt>
                <c:pt idx="1206">
                  <c:v>64079</c:v>
                </c:pt>
                <c:pt idx="1207">
                  <c:v>46135</c:v>
                </c:pt>
                <c:pt idx="1208">
                  <c:v>45185</c:v>
                </c:pt>
                <c:pt idx="1209">
                  <c:v>35853</c:v>
                </c:pt>
                <c:pt idx="1210">
                  <c:v>38782</c:v>
                </c:pt>
                <c:pt idx="1211">
                  <c:v>31371</c:v>
                </c:pt>
                <c:pt idx="1212">
                  <c:v>21492</c:v>
                </c:pt>
                <c:pt idx="1213">
                  <c:v>20397</c:v>
                </c:pt>
                <c:pt idx="1214">
                  <c:v>20771</c:v>
                </c:pt>
                <c:pt idx="1215">
                  <c:v>19230</c:v>
                </c:pt>
                <c:pt idx="1216">
                  <c:v>18276</c:v>
                </c:pt>
                <c:pt idx="1217">
                  <c:v>17143</c:v>
                </c:pt>
                <c:pt idx="1218">
                  <c:v>18068</c:v>
                </c:pt>
                <c:pt idx="1219">
                  <c:v>18477</c:v>
                </c:pt>
                <c:pt idx="1220">
                  <c:v>20217</c:v>
                </c:pt>
                <c:pt idx="1221">
                  <c:v>25702</c:v>
                </c:pt>
                <c:pt idx="1222">
                  <c:v>22901</c:v>
                </c:pt>
                <c:pt idx="1223">
                  <c:v>20690</c:v>
                </c:pt>
                <c:pt idx="1224">
                  <c:v>20417</c:v>
                </c:pt>
                <c:pt idx="1225">
                  <c:v>18201</c:v>
                </c:pt>
                <c:pt idx="1226">
                  <c:v>18382</c:v>
                </c:pt>
                <c:pt idx="1227">
                  <c:v>17456</c:v>
                </c:pt>
                <c:pt idx="1228">
                  <c:v>18307</c:v>
                </c:pt>
                <c:pt idx="1229">
                  <c:v>23339</c:v>
                </c:pt>
                <c:pt idx="1230">
                  <c:v>24307</c:v>
                </c:pt>
                <c:pt idx="1231">
                  <c:v>22974</c:v>
                </c:pt>
                <c:pt idx="1232">
                  <c:v>19652</c:v>
                </c:pt>
                <c:pt idx="1233">
                  <c:v>17842</c:v>
                </c:pt>
                <c:pt idx="1234">
                  <c:v>17582</c:v>
                </c:pt>
                <c:pt idx="1235">
                  <c:v>18808</c:v>
                </c:pt>
                <c:pt idx="1236">
                  <c:v>19197</c:v>
                </c:pt>
                <c:pt idx="1237">
                  <c:v>18912</c:v>
                </c:pt>
                <c:pt idx="1238">
                  <c:v>16808</c:v>
                </c:pt>
                <c:pt idx="1239">
                  <c:v>16070</c:v>
                </c:pt>
                <c:pt idx="1240">
                  <c:v>16047</c:v>
                </c:pt>
                <c:pt idx="1241">
                  <c:v>26587</c:v>
                </c:pt>
                <c:pt idx="1242">
                  <c:v>27123</c:v>
                </c:pt>
                <c:pt idx="1243">
                  <c:v>20603</c:v>
                </c:pt>
                <c:pt idx="1244">
                  <c:v>21668</c:v>
                </c:pt>
                <c:pt idx="1245">
                  <c:v>21981</c:v>
                </c:pt>
                <c:pt idx="1246">
                  <c:v>17602</c:v>
                </c:pt>
                <c:pt idx="1247">
                  <c:v>15862</c:v>
                </c:pt>
                <c:pt idx="1248">
                  <c:v>13375</c:v>
                </c:pt>
                <c:pt idx="1249">
                  <c:v>13735</c:v>
                </c:pt>
                <c:pt idx="1250">
                  <c:v>27496</c:v>
                </c:pt>
                <c:pt idx="1251">
                  <c:v>48315</c:v>
                </c:pt>
                <c:pt idx="1252">
                  <c:v>21293</c:v>
                </c:pt>
                <c:pt idx="1253">
                  <c:v>16361</c:v>
                </c:pt>
                <c:pt idx="1254">
                  <c:v>19655</c:v>
                </c:pt>
                <c:pt idx="1255">
                  <c:v>23422</c:v>
                </c:pt>
                <c:pt idx="1256">
                  <c:v>29706</c:v>
                </c:pt>
                <c:pt idx="1257">
                  <c:v>24169</c:v>
                </c:pt>
                <c:pt idx="1258">
                  <c:v>21841</c:v>
                </c:pt>
                <c:pt idx="1259">
                  <c:v>18297</c:v>
                </c:pt>
                <c:pt idx="1260">
                  <c:v>16177</c:v>
                </c:pt>
                <c:pt idx="1261">
                  <c:v>20985</c:v>
                </c:pt>
                <c:pt idx="1262">
                  <c:v>21380</c:v>
                </c:pt>
                <c:pt idx="1263">
                  <c:v>22351</c:v>
                </c:pt>
                <c:pt idx="1264">
                  <c:v>23241</c:v>
                </c:pt>
                <c:pt idx="1265">
                  <c:v>23572</c:v>
                </c:pt>
                <c:pt idx="1266">
                  <c:v>29808</c:v>
                </c:pt>
                <c:pt idx="1267">
                  <c:v>27455</c:v>
                </c:pt>
                <c:pt idx="1268">
                  <c:v>28339</c:v>
                </c:pt>
                <c:pt idx="1269">
                  <c:v>24640</c:v>
                </c:pt>
                <c:pt idx="1270">
                  <c:v>23164</c:v>
                </c:pt>
                <c:pt idx="1271">
                  <c:v>20832</c:v>
                </c:pt>
                <c:pt idx="1272">
                  <c:v>19324</c:v>
                </c:pt>
                <c:pt idx="1273">
                  <c:v>18136</c:v>
                </c:pt>
                <c:pt idx="1274">
                  <c:v>20536</c:v>
                </c:pt>
                <c:pt idx="1275">
                  <c:v>26433</c:v>
                </c:pt>
                <c:pt idx="1276">
                  <c:v>35064</c:v>
                </c:pt>
                <c:pt idx="1277">
                  <c:v>24986</c:v>
                </c:pt>
                <c:pt idx="1278">
                  <c:v>18807</c:v>
                </c:pt>
                <c:pt idx="1279">
                  <c:v>17396</c:v>
                </c:pt>
                <c:pt idx="1280">
                  <c:v>16752</c:v>
                </c:pt>
                <c:pt idx="1281">
                  <c:v>16869</c:v>
                </c:pt>
                <c:pt idx="1282">
                  <c:v>19477</c:v>
                </c:pt>
                <c:pt idx="1283">
                  <c:v>17648</c:v>
                </c:pt>
                <c:pt idx="1284">
                  <c:v>29782</c:v>
                </c:pt>
                <c:pt idx="1285">
                  <c:v>21380</c:v>
                </c:pt>
                <c:pt idx="1286">
                  <c:v>16371</c:v>
                </c:pt>
                <c:pt idx="1287">
                  <c:v>14982</c:v>
                </c:pt>
                <c:pt idx="1288">
                  <c:v>14076</c:v>
                </c:pt>
                <c:pt idx="1289">
                  <c:v>14342</c:v>
                </c:pt>
                <c:pt idx="1290">
                  <c:v>14802</c:v>
                </c:pt>
                <c:pt idx="1291">
                  <c:v>15204</c:v>
                </c:pt>
                <c:pt idx="1292">
                  <c:v>15185</c:v>
                </c:pt>
                <c:pt idx="1293">
                  <c:v>18814</c:v>
                </c:pt>
                <c:pt idx="1294">
                  <c:v>16224</c:v>
                </c:pt>
                <c:pt idx="1295">
                  <c:v>17271</c:v>
                </c:pt>
                <c:pt idx="1296">
                  <c:v>15790</c:v>
                </c:pt>
                <c:pt idx="1297">
                  <c:v>17879</c:v>
                </c:pt>
                <c:pt idx="1298">
                  <c:v>17955</c:v>
                </c:pt>
                <c:pt idx="1299">
                  <c:v>22184</c:v>
                </c:pt>
                <c:pt idx="1300">
                  <c:v>18907</c:v>
                </c:pt>
                <c:pt idx="1301">
                  <c:v>17242</c:v>
                </c:pt>
                <c:pt idx="1302">
                  <c:v>16431</c:v>
                </c:pt>
                <c:pt idx="1303">
                  <c:v>15994</c:v>
                </c:pt>
                <c:pt idx="1304">
                  <c:v>16399</c:v>
                </c:pt>
                <c:pt idx="1305">
                  <c:v>18741</c:v>
                </c:pt>
                <c:pt idx="1306">
                  <c:v>23396</c:v>
                </c:pt>
                <c:pt idx="1307">
                  <c:v>18489</c:v>
                </c:pt>
                <c:pt idx="1308">
                  <c:v>16783</c:v>
                </c:pt>
                <c:pt idx="1309">
                  <c:v>15668</c:v>
                </c:pt>
                <c:pt idx="1310">
                  <c:v>15107</c:v>
                </c:pt>
                <c:pt idx="1311">
                  <c:v>15052</c:v>
                </c:pt>
                <c:pt idx="1312">
                  <c:v>14392</c:v>
                </c:pt>
                <c:pt idx="1313">
                  <c:v>15105</c:v>
                </c:pt>
                <c:pt idx="1314">
                  <c:v>15608</c:v>
                </c:pt>
                <c:pt idx="1315">
                  <c:v>18067</c:v>
                </c:pt>
                <c:pt idx="1316">
                  <c:v>15609</c:v>
                </c:pt>
                <c:pt idx="1317">
                  <c:v>15440</c:v>
                </c:pt>
                <c:pt idx="1318">
                  <c:v>15179</c:v>
                </c:pt>
                <c:pt idx="1319">
                  <c:v>15505</c:v>
                </c:pt>
                <c:pt idx="1320">
                  <c:v>18518</c:v>
                </c:pt>
                <c:pt idx="1321">
                  <c:v>17607</c:v>
                </c:pt>
                <c:pt idx="1322">
                  <c:v>15198</c:v>
                </c:pt>
                <c:pt idx="1323">
                  <c:v>18845</c:v>
                </c:pt>
                <c:pt idx="1324">
                  <c:v>20149</c:v>
                </c:pt>
                <c:pt idx="1325">
                  <c:v>16633</c:v>
                </c:pt>
                <c:pt idx="1326">
                  <c:v>17390</c:v>
                </c:pt>
                <c:pt idx="1327">
                  <c:v>23890</c:v>
                </c:pt>
                <c:pt idx="1328">
                  <c:v>63836</c:v>
                </c:pt>
                <c:pt idx="1329">
                  <c:v>31064</c:v>
                </c:pt>
                <c:pt idx="1330">
                  <c:v>24374</c:v>
                </c:pt>
                <c:pt idx="1331">
                  <c:v>19051</c:v>
                </c:pt>
                <c:pt idx="1332">
                  <c:v>17617</c:v>
                </c:pt>
                <c:pt idx="1333">
                  <c:v>16292</c:v>
                </c:pt>
                <c:pt idx="1334">
                  <c:v>15185</c:v>
                </c:pt>
                <c:pt idx="1335">
                  <c:v>15579</c:v>
                </c:pt>
                <c:pt idx="1336">
                  <c:v>17340</c:v>
                </c:pt>
                <c:pt idx="1337">
                  <c:v>26580</c:v>
                </c:pt>
                <c:pt idx="1338">
                  <c:v>28489</c:v>
                </c:pt>
                <c:pt idx="1339">
                  <c:v>24444</c:v>
                </c:pt>
                <c:pt idx="1340">
                  <c:v>25389</c:v>
                </c:pt>
                <c:pt idx="1341">
                  <c:v>25754</c:v>
                </c:pt>
                <c:pt idx="1342">
                  <c:v>24490</c:v>
                </c:pt>
                <c:pt idx="1343">
                  <c:v>20222</c:v>
                </c:pt>
                <c:pt idx="1344">
                  <c:v>20543</c:v>
                </c:pt>
                <c:pt idx="1345">
                  <c:v>18803</c:v>
                </c:pt>
                <c:pt idx="1346">
                  <c:v>16430</c:v>
                </c:pt>
                <c:pt idx="1347">
                  <c:v>24942</c:v>
                </c:pt>
                <c:pt idx="1348">
                  <c:v>24601</c:v>
                </c:pt>
                <c:pt idx="1349">
                  <c:v>19487</c:v>
                </c:pt>
                <c:pt idx="1350">
                  <c:v>17581</c:v>
                </c:pt>
                <c:pt idx="1351">
                  <c:v>16829</c:v>
                </c:pt>
                <c:pt idx="1352">
                  <c:v>17142</c:v>
                </c:pt>
                <c:pt idx="1353">
                  <c:v>16621</c:v>
                </c:pt>
                <c:pt idx="1354">
                  <c:v>20877</c:v>
                </c:pt>
                <c:pt idx="1355">
                  <c:v>20512</c:v>
                </c:pt>
                <c:pt idx="1356">
                  <c:v>203599</c:v>
                </c:pt>
                <c:pt idx="1357">
                  <c:v>98663</c:v>
                </c:pt>
                <c:pt idx="1358">
                  <c:v>54400</c:v>
                </c:pt>
                <c:pt idx="1359">
                  <c:v>38523</c:v>
                </c:pt>
                <c:pt idx="1360">
                  <c:v>37235</c:v>
                </c:pt>
                <c:pt idx="1361">
                  <c:v>26278</c:v>
                </c:pt>
                <c:pt idx="1362">
                  <c:v>30034</c:v>
                </c:pt>
                <c:pt idx="1363">
                  <c:v>37147</c:v>
                </c:pt>
                <c:pt idx="1364">
                  <c:v>36219</c:v>
                </c:pt>
                <c:pt idx="1365">
                  <c:v>24538</c:v>
                </c:pt>
                <c:pt idx="1366">
                  <c:v>24366</c:v>
                </c:pt>
                <c:pt idx="1367">
                  <c:v>75836</c:v>
                </c:pt>
                <c:pt idx="1368">
                  <c:v>43438</c:v>
                </c:pt>
                <c:pt idx="1369">
                  <c:v>41020</c:v>
                </c:pt>
                <c:pt idx="1370">
                  <c:v>34921</c:v>
                </c:pt>
                <c:pt idx="1371">
                  <c:v>28152</c:v>
                </c:pt>
                <c:pt idx="1372">
                  <c:v>24607</c:v>
                </c:pt>
                <c:pt idx="1373">
                  <c:v>22575</c:v>
                </c:pt>
                <c:pt idx="1374">
                  <c:v>28241</c:v>
                </c:pt>
                <c:pt idx="1375">
                  <c:v>37612</c:v>
                </c:pt>
                <c:pt idx="1376">
                  <c:v>31984</c:v>
                </c:pt>
                <c:pt idx="1377">
                  <c:v>25040</c:v>
                </c:pt>
                <c:pt idx="1378">
                  <c:v>22129</c:v>
                </c:pt>
                <c:pt idx="1379">
                  <c:v>21476</c:v>
                </c:pt>
                <c:pt idx="1380">
                  <c:v>27364</c:v>
                </c:pt>
                <c:pt idx="1381">
                  <c:v>23155</c:v>
                </c:pt>
                <c:pt idx="1382">
                  <c:v>22916</c:v>
                </c:pt>
                <c:pt idx="1383">
                  <c:v>21944</c:v>
                </c:pt>
                <c:pt idx="1384">
                  <c:v>24022</c:v>
                </c:pt>
                <c:pt idx="1385">
                  <c:v>20469</c:v>
                </c:pt>
                <c:pt idx="1386">
                  <c:v>18254</c:v>
                </c:pt>
                <c:pt idx="1387">
                  <c:v>17963</c:v>
                </c:pt>
                <c:pt idx="1388">
                  <c:v>17177</c:v>
                </c:pt>
                <c:pt idx="1389">
                  <c:v>34674</c:v>
                </c:pt>
                <c:pt idx="1390">
                  <c:v>25334</c:v>
                </c:pt>
                <c:pt idx="1391">
                  <c:v>20083</c:v>
                </c:pt>
                <c:pt idx="1392">
                  <c:v>19208</c:v>
                </c:pt>
                <c:pt idx="1393">
                  <c:v>17880</c:v>
                </c:pt>
                <c:pt idx="1394">
                  <c:v>29907</c:v>
                </c:pt>
                <c:pt idx="1395">
                  <c:v>20512</c:v>
                </c:pt>
                <c:pt idx="1396">
                  <c:v>21173</c:v>
                </c:pt>
                <c:pt idx="1397">
                  <c:v>19574</c:v>
                </c:pt>
                <c:pt idx="1398">
                  <c:v>17623</c:v>
                </c:pt>
                <c:pt idx="1399">
                  <c:v>13141</c:v>
                </c:pt>
                <c:pt idx="1400">
                  <c:v>14584</c:v>
                </c:pt>
                <c:pt idx="1401">
                  <c:v>15014</c:v>
                </c:pt>
                <c:pt idx="1402">
                  <c:v>13986</c:v>
                </c:pt>
                <c:pt idx="1403">
                  <c:v>13576</c:v>
                </c:pt>
                <c:pt idx="1404">
                  <c:v>13514</c:v>
                </c:pt>
                <c:pt idx="1405">
                  <c:v>14861</c:v>
                </c:pt>
                <c:pt idx="1406">
                  <c:v>13135</c:v>
                </c:pt>
                <c:pt idx="1407">
                  <c:v>13600</c:v>
                </c:pt>
                <c:pt idx="1408">
                  <c:v>18814</c:v>
                </c:pt>
                <c:pt idx="1409">
                  <c:v>16962</c:v>
                </c:pt>
                <c:pt idx="1410">
                  <c:v>17079</c:v>
                </c:pt>
                <c:pt idx="1411">
                  <c:v>18830</c:v>
                </c:pt>
                <c:pt idx="1412">
                  <c:v>16319</c:v>
                </c:pt>
                <c:pt idx="1413">
                  <c:v>15983</c:v>
                </c:pt>
                <c:pt idx="1414">
                  <c:v>17175</c:v>
                </c:pt>
                <c:pt idx="1415">
                  <c:v>20858</c:v>
                </c:pt>
                <c:pt idx="1416">
                  <c:v>25041</c:v>
                </c:pt>
                <c:pt idx="1417">
                  <c:v>25803</c:v>
                </c:pt>
                <c:pt idx="1418">
                  <c:v>61532</c:v>
                </c:pt>
                <c:pt idx="1419">
                  <c:v>42261</c:v>
                </c:pt>
                <c:pt idx="1420">
                  <c:v>24891</c:v>
                </c:pt>
                <c:pt idx="1421">
                  <c:v>32299</c:v>
                </c:pt>
                <c:pt idx="1422">
                  <c:v>63653</c:v>
                </c:pt>
                <c:pt idx="1423">
                  <c:v>1958933</c:v>
                </c:pt>
                <c:pt idx="1424">
                  <c:v>762775</c:v>
                </c:pt>
                <c:pt idx="1425">
                  <c:v>260940</c:v>
                </c:pt>
                <c:pt idx="1426">
                  <c:v>141310</c:v>
                </c:pt>
                <c:pt idx="1427">
                  <c:v>113877</c:v>
                </c:pt>
                <c:pt idx="1428">
                  <c:v>94497</c:v>
                </c:pt>
                <c:pt idx="1429">
                  <c:v>92980</c:v>
                </c:pt>
                <c:pt idx="1430">
                  <c:v>76758</c:v>
                </c:pt>
                <c:pt idx="1431">
                  <c:v>63844</c:v>
                </c:pt>
                <c:pt idx="1432">
                  <c:v>51087</c:v>
                </c:pt>
                <c:pt idx="1433">
                  <c:v>48800</c:v>
                </c:pt>
                <c:pt idx="1434">
                  <c:v>43764</c:v>
                </c:pt>
                <c:pt idx="1435">
                  <c:v>42409</c:v>
                </c:pt>
                <c:pt idx="1436">
                  <c:v>43390</c:v>
                </c:pt>
                <c:pt idx="1437">
                  <c:v>43146</c:v>
                </c:pt>
                <c:pt idx="1438">
                  <c:v>38797</c:v>
                </c:pt>
                <c:pt idx="1439">
                  <c:v>44347</c:v>
                </c:pt>
                <c:pt idx="1440">
                  <c:v>43634</c:v>
                </c:pt>
                <c:pt idx="1441">
                  <c:v>37815</c:v>
                </c:pt>
                <c:pt idx="1442">
                  <c:v>34527</c:v>
                </c:pt>
                <c:pt idx="1443">
                  <c:v>32447</c:v>
                </c:pt>
                <c:pt idx="1444">
                  <c:v>47318</c:v>
                </c:pt>
                <c:pt idx="1445">
                  <c:v>39080</c:v>
                </c:pt>
                <c:pt idx="1446">
                  <c:v>36052</c:v>
                </c:pt>
                <c:pt idx="1447">
                  <c:v>34217</c:v>
                </c:pt>
                <c:pt idx="1448">
                  <c:v>30628</c:v>
                </c:pt>
                <c:pt idx="1449">
                  <c:v>32345</c:v>
                </c:pt>
                <c:pt idx="1450">
                  <c:v>30430</c:v>
                </c:pt>
                <c:pt idx="1451">
                  <c:v>30528</c:v>
                </c:pt>
                <c:pt idx="1452">
                  <c:v>27639</c:v>
                </c:pt>
                <c:pt idx="1453">
                  <c:v>24138</c:v>
                </c:pt>
                <c:pt idx="1454">
                  <c:v>23066</c:v>
                </c:pt>
                <c:pt idx="1455">
                  <c:v>27622</c:v>
                </c:pt>
                <c:pt idx="1456">
                  <c:v>31899</c:v>
                </c:pt>
                <c:pt idx="1457">
                  <c:v>34809</c:v>
                </c:pt>
                <c:pt idx="1458">
                  <c:v>37251</c:v>
                </c:pt>
                <c:pt idx="1459">
                  <c:v>47761</c:v>
                </c:pt>
                <c:pt idx="1460">
                  <c:v>60092</c:v>
                </c:pt>
                <c:pt idx="1461">
                  <c:v>40258</c:v>
                </c:pt>
                <c:pt idx="1462">
                  <c:v>37616</c:v>
                </c:pt>
                <c:pt idx="1463">
                  <c:v>52820</c:v>
                </c:pt>
                <c:pt idx="1464">
                  <c:v>51998</c:v>
                </c:pt>
                <c:pt idx="1465">
                  <c:v>68607</c:v>
                </c:pt>
                <c:pt idx="1466">
                  <c:v>42536</c:v>
                </c:pt>
                <c:pt idx="1467">
                  <c:v>53905</c:v>
                </c:pt>
                <c:pt idx="1468">
                  <c:v>46932</c:v>
                </c:pt>
                <c:pt idx="1469">
                  <c:v>33569</c:v>
                </c:pt>
                <c:pt idx="1470">
                  <c:v>29415</c:v>
                </c:pt>
                <c:pt idx="1471">
                  <c:v>28714</c:v>
                </c:pt>
                <c:pt idx="1472">
                  <c:v>64897</c:v>
                </c:pt>
                <c:pt idx="1473">
                  <c:v>39162</c:v>
                </c:pt>
                <c:pt idx="1474">
                  <c:v>29025</c:v>
                </c:pt>
                <c:pt idx="1475">
                  <c:v>27081</c:v>
                </c:pt>
                <c:pt idx="1476">
                  <c:v>35318</c:v>
                </c:pt>
                <c:pt idx="1477">
                  <c:v>30540</c:v>
                </c:pt>
                <c:pt idx="1478">
                  <c:v>27897</c:v>
                </c:pt>
                <c:pt idx="1479">
                  <c:v>30789</c:v>
                </c:pt>
                <c:pt idx="1480">
                  <c:v>34055</c:v>
                </c:pt>
                <c:pt idx="1481">
                  <c:v>28723</c:v>
                </c:pt>
                <c:pt idx="1482">
                  <c:v>26986</c:v>
                </c:pt>
                <c:pt idx="1483">
                  <c:v>26181</c:v>
                </c:pt>
                <c:pt idx="1484">
                  <c:v>27607</c:v>
                </c:pt>
                <c:pt idx="1485">
                  <c:v>28697</c:v>
                </c:pt>
                <c:pt idx="1486">
                  <c:v>30624</c:v>
                </c:pt>
                <c:pt idx="1487">
                  <c:v>28918</c:v>
                </c:pt>
                <c:pt idx="1488">
                  <c:v>29339</c:v>
                </c:pt>
                <c:pt idx="1489">
                  <c:v>32113</c:v>
                </c:pt>
                <c:pt idx="1490">
                  <c:v>39955</c:v>
                </c:pt>
                <c:pt idx="1491">
                  <c:v>45327</c:v>
                </c:pt>
                <c:pt idx="1492">
                  <c:v>36153</c:v>
                </c:pt>
                <c:pt idx="1493">
                  <c:v>32165</c:v>
                </c:pt>
                <c:pt idx="1494">
                  <c:v>37163</c:v>
                </c:pt>
                <c:pt idx="1495">
                  <c:v>32797</c:v>
                </c:pt>
                <c:pt idx="1496">
                  <c:v>33624</c:v>
                </c:pt>
                <c:pt idx="1497">
                  <c:v>33292</c:v>
                </c:pt>
                <c:pt idx="1498">
                  <c:v>46467</c:v>
                </c:pt>
                <c:pt idx="1499">
                  <c:v>36737</c:v>
                </c:pt>
                <c:pt idx="1500">
                  <c:v>33478</c:v>
                </c:pt>
                <c:pt idx="1501">
                  <c:v>36115</c:v>
                </c:pt>
                <c:pt idx="1502">
                  <c:v>35117</c:v>
                </c:pt>
                <c:pt idx="1503">
                  <c:v>31024</c:v>
                </c:pt>
                <c:pt idx="1504">
                  <c:v>43253</c:v>
                </c:pt>
                <c:pt idx="1505">
                  <c:v>27848</c:v>
                </c:pt>
                <c:pt idx="1506">
                  <c:v>30025</c:v>
                </c:pt>
                <c:pt idx="1507">
                  <c:v>40727</c:v>
                </c:pt>
                <c:pt idx="1508">
                  <c:v>36765</c:v>
                </c:pt>
                <c:pt idx="1509">
                  <c:v>41094</c:v>
                </c:pt>
                <c:pt idx="1510">
                  <c:v>40017</c:v>
                </c:pt>
                <c:pt idx="1511">
                  <c:v>39861</c:v>
                </c:pt>
                <c:pt idx="1512">
                  <c:v>39107</c:v>
                </c:pt>
                <c:pt idx="1513">
                  <c:v>44411</c:v>
                </c:pt>
                <c:pt idx="1514">
                  <c:v>40381</c:v>
                </c:pt>
                <c:pt idx="1515">
                  <c:v>41689</c:v>
                </c:pt>
                <c:pt idx="1516">
                  <c:v>44507</c:v>
                </c:pt>
                <c:pt idx="1517">
                  <c:v>50087</c:v>
                </c:pt>
                <c:pt idx="1518">
                  <c:v>41470</c:v>
                </c:pt>
                <c:pt idx="1519">
                  <c:v>57598</c:v>
                </c:pt>
                <c:pt idx="1520">
                  <c:v>60583</c:v>
                </c:pt>
                <c:pt idx="1521">
                  <c:v>72866</c:v>
                </c:pt>
                <c:pt idx="1522">
                  <c:v>81467</c:v>
                </c:pt>
                <c:pt idx="1523">
                  <c:v>94367</c:v>
                </c:pt>
                <c:pt idx="1524">
                  <c:v>92324</c:v>
                </c:pt>
                <c:pt idx="1525">
                  <c:v>97176</c:v>
                </c:pt>
                <c:pt idx="1526">
                  <c:v>582099</c:v>
                </c:pt>
                <c:pt idx="1527">
                  <c:v>324136</c:v>
                </c:pt>
                <c:pt idx="1528">
                  <c:v>251019</c:v>
                </c:pt>
                <c:pt idx="1529">
                  <c:v>246802</c:v>
                </c:pt>
                <c:pt idx="1530">
                  <c:v>278768</c:v>
                </c:pt>
                <c:pt idx="1531">
                  <c:v>450745</c:v>
                </c:pt>
                <c:pt idx="1532">
                  <c:v>615568</c:v>
                </c:pt>
                <c:pt idx="1533">
                  <c:v>3241751</c:v>
                </c:pt>
                <c:pt idx="1534">
                  <c:v>642500</c:v>
                </c:pt>
                <c:pt idx="1535">
                  <c:v>613586</c:v>
                </c:pt>
                <c:pt idx="1536">
                  <c:v>441504</c:v>
                </c:pt>
                <c:pt idx="1537">
                  <c:v>272107</c:v>
                </c:pt>
                <c:pt idx="1538">
                  <c:v>226618</c:v>
                </c:pt>
                <c:pt idx="1539">
                  <c:v>152729</c:v>
                </c:pt>
                <c:pt idx="1540">
                  <c:v>104240</c:v>
                </c:pt>
                <c:pt idx="1541">
                  <c:v>80498</c:v>
                </c:pt>
                <c:pt idx="1542">
                  <c:v>64607</c:v>
                </c:pt>
                <c:pt idx="1543">
                  <c:v>58285</c:v>
                </c:pt>
                <c:pt idx="1544">
                  <c:v>62862</c:v>
                </c:pt>
                <c:pt idx="1545">
                  <c:v>64985</c:v>
                </c:pt>
                <c:pt idx="1546">
                  <c:v>47201</c:v>
                </c:pt>
                <c:pt idx="1547">
                  <c:v>42852</c:v>
                </c:pt>
                <c:pt idx="1548">
                  <c:v>40352</c:v>
                </c:pt>
                <c:pt idx="1549">
                  <c:v>40188</c:v>
                </c:pt>
                <c:pt idx="1550">
                  <c:v>45491</c:v>
                </c:pt>
                <c:pt idx="1551">
                  <c:v>45032</c:v>
                </c:pt>
                <c:pt idx="1552">
                  <c:v>39160</c:v>
                </c:pt>
                <c:pt idx="1553">
                  <c:v>36510</c:v>
                </c:pt>
                <c:pt idx="1554">
                  <c:v>32923</c:v>
                </c:pt>
                <c:pt idx="1555">
                  <c:v>29312</c:v>
                </c:pt>
                <c:pt idx="1556">
                  <c:v>29227</c:v>
                </c:pt>
                <c:pt idx="1557">
                  <c:v>27971</c:v>
                </c:pt>
                <c:pt idx="1558">
                  <c:v>29506</c:v>
                </c:pt>
                <c:pt idx="1559">
                  <c:v>29088</c:v>
                </c:pt>
                <c:pt idx="1560">
                  <c:v>23738</c:v>
                </c:pt>
                <c:pt idx="1561">
                  <c:v>22651</c:v>
                </c:pt>
                <c:pt idx="1562">
                  <c:v>25217</c:v>
                </c:pt>
                <c:pt idx="1563">
                  <c:v>24729</c:v>
                </c:pt>
                <c:pt idx="1564">
                  <c:v>22644</c:v>
                </c:pt>
                <c:pt idx="1565">
                  <c:v>24493</c:v>
                </c:pt>
                <c:pt idx="1566">
                  <c:v>23283</c:v>
                </c:pt>
                <c:pt idx="1567">
                  <c:v>22982</c:v>
                </c:pt>
                <c:pt idx="1568">
                  <c:v>20971</c:v>
                </c:pt>
                <c:pt idx="1569">
                  <c:v>25846</c:v>
                </c:pt>
                <c:pt idx="1570">
                  <c:v>26076</c:v>
                </c:pt>
                <c:pt idx="1571">
                  <c:v>22104</c:v>
                </c:pt>
                <c:pt idx="1572">
                  <c:v>21250</c:v>
                </c:pt>
                <c:pt idx="1573">
                  <c:v>27086</c:v>
                </c:pt>
                <c:pt idx="1574">
                  <c:v>29414</c:v>
                </c:pt>
                <c:pt idx="1575">
                  <c:v>33957</c:v>
                </c:pt>
                <c:pt idx="1576">
                  <c:v>36892</c:v>
                </c:pt>
                <c:pt idx="1577">
                  <c:v>25989</c:v>
                </c:pt>
                <c:pt idx="1578">
                  <c:v>25358</c:v>
                </c:pt>
                <c:pt idx="1579">
                  <c:v>21759</c:v>
                </c:pt>
                <c:pt idx="1580">
                  <c:v>25030</c:v>
                </c:pt>
                <c:pt idx="1581">
                  <c:v>22972</c:v>
                </c:pt>
                <c:pt idx="1582">
                  <c:v>21619</c:v>
                </c:pt>
                <c:pt idx="1583">
                  <c:v>22124</c:v>
                </c:pt>
                <c:pt idx="1584">
                  <c:v>21448</c:v>
                </c:pt>
                <c:pt idx="1585">
                  <c:v>20466</c:v>
                </c:pt>
                <c:pt idx="1586">
                  <c:v>20035</c:v>
                </c:pt>
                <c:pt idx="1587">
                  <c:v>19315</c:v>
                </c:pt>
                <c:pt idx="1588">
                  <c:v>18516</c:v>
                </c:pt>
                <c:pt idx="1589">
                  <c:v>20668</c:v>
                </c:pt>
                <c:pt idx="1590">
                  <c:v>22768</c:v>
                </c:pt>
                <c:pt idx="1591">
                  <c:v>23819</c:v>
                </c:pt>
                <c:pt idx="1592">
                  <c:v>20173</c:v>
                </c:pt>
                <c:pt idx="1593">
                  <c:v>18788</c:v>
                </c:pt>
                <c:pt idx="1594">
                  <c:v>18778</c:v>
                </c:pt>
                <c:pt idx="1595">
                  <c:v>16338</c:v>
                </c:pt>
                <c:pt idx="1596">
                  <c:v>16910</c:v>
                </c:pt>
                <c:pt idx="1597">
                  <c:v>16762</c:v>
                </c:pt>
                <c:pt idx="1598">
                  <c:v>18661</c:v>
                </c:pt>
                <c:pt idx="1599">
                  <c:v>17979</c:v>
                </c:pt>
                <c:pt idx="1600">
                  <c:v>18174</c:v>
                </c:pt>
                <c:pt idx="1601">
                  <c:v>18530</c:v>
                </c:pt>
                <c:pt idx="1602">
                  <c:v>16691</c:v>
                </c:pt>
                <c:pt idx="1603">
                  <c:v>19341</c:v>
                </c:pt>
                <c:pt idx="1604">
                  <c:v>19598</c:v>
                </c:pt>
                <c:pt idx="1605">
                  <c:v>16854</c:v>
                </c:pt>
                <c:pt idx="1606">
                  <c:v>38717</c:v>
                </c:pt>
                <c:pt idx="1607">
                  <c:v>24019</c:v>
                </c:pt>
                <c:pt idx="1608">
                  <c:v>20149</c:v>
                </c:pt>
                <c:pt idx="1609">
                  <c:v>16924</c:v>
                </c:pt>
                <c:pt idx="1610">
                  <c:v>34487</c:v>
                </c:pt>
                <c:pt idx="1611">
                  <c:v>24687</c:v>
                </c:pt>
                <c:pt idx="1612">
                  <c:v>25628</c:v>
                </c:pt>
                <c:pt idx="1613">
                  <c:v>25640</c:v>
                </c:pt>
                <c:pt idx="1614">
                  <c:v>20496</c:v>
                </c:pt>
                <c:pt idx="1615">
                  <c:v>19591</c:v>
                </c:pt>
                <c:pt idx="1616">
                  <c:v>19252</c:v>
                </c:pt>
                <c:pt idx="1617">
                  <c:v>17668</c:v>
                </c:pt>
                <c:pt idx="1618">
                  <c:v>18146</c:v>
                </c:pt>
                <c:pt idx="1619">
                  <c:v>23362</c:v>
                </c:pt>
                <c:pt idx="1620">
                  <c:v>19686</c:v>
                </c:pt>
                <c:pt idx="1621">
                  <c:v>19228</c:v>
                </c:pt>
                <c:pt idx="1622">
                  <c:v>16768</c:v>
                </c:pt>
                <c:pt idx="1623">
                  <c:v>14471</c:v>
                </c:pt>
                <c:pt idx="1624">
                  <c:v>14403</c:v>
                </c:pt>
                <c:pt idx="1625">
                  <c:v>14362</c:v>
                </c:pt>
                <c:pt idx="1626">
                  <c:v>14553</c:v>
                </c:pt>
                <c:pt idx="1627">
                  <c:v>14255</c:v>
                </c:pt>
                <c:pt idx="1628">
                  <c:v>14559</c:v>
                </c:pt>
                <c:pt idx="1629">
                  <c:v>14286</c:v>
                </c:pt>
                <c:pt idx="1630">
                  <c:v>14125</c:v>
                </c:pt>
                <c:pt idx="1631">
                  <c:v>13136</c:v>
                </c:pt>
                <c:pt idx="1632">
                  <c:v>14472</c:v>
                </c:pt>
                <c:pt idx="1633">
                  <c:v>15193</c:v>
                </c:pt>
                <c:pt idx="1634">
                  <c:v>18428</c:v>
                </c:pt>
                <c:pt idx="1635">
                  <c:v>16562</c:v>
                </c:pt>
                <c:pt idx="1636">
                  <c:v>14926</c:v>
                </c:pt>
                <c:pt idx="1637">
                  <c:v>13754</c:v>
                </c:pt>
                <c:pt idx="1638">
                  <c:v>15375</c:v>
                </c:pt>
                <c:pt idx="1639">
                  <c:v>16073</c:v>
                </c:pt>
                <c:pt idx="1640">
                  <c:v>14471</c:v>
                </c:pt>
                <c:pt idx="1641">
                  <c:v>13610</c:v>
                </c:pt>
                <c:pt idx="1642">
                  <c:v>17393</c:v>
                </c:pt>
                <c:pt idx="1643">
                  <c:v>20503</c:v>
                </c:pt>
                <c:pt idx="1644">
                  <c:v>15617</c:v>
                </c:pt>
                <c:pt idx="1645">
                  <c:v>18600</c:v>
                </c:pt>
                <c:pt idx="1646">
                  <c:v>14498</c:v>
                </c:pt>
                <c:pt idx="1647">
                  <c:v>15966</c:v>
                </c:pt>
                <c:pt idx="1648">
                  <c:v>14022</c:v>
                </c:pt>
                <c:pt idx="1649">
                  <c:v>13689</c:v>
                </c:pt>
                <c:pt idx="1650">
                  <c:v>13497</c:v>
                </c:pt>
                <c:pt idx="1651">
                  <c:v>12577</c:v>
                </c:pt>
                <c:pt idx="1652">
                  <c:v>12435</c:v>
                </c:pt>
                <c:pt idx="1653">
                  <c:v>14487</c:v>
                </c:pt>
                <c:pt idx="1654">
                  <c:v>18377</c:v>
                </c:pt>
                <c:pt idx="1655">
                  <c:v>18062</c:v>
                </c:pt>
                <c:pt idx="1656">
                  <c:v>17168</c:v>
                </c:pt>
                <c:pt idx="1657">
                  <c:v>18518</c:v>
                </c:pt>
                <c:pt idx="1658">
                  <c:v>17243</c:v>
                </c:pt>
                <c:pt idx="1659">
                  <c:v>15484</c:v>
                </c:pt>
                <c:pt idx="1660">
                  <c:v>19044</c:v>
                </c:pt>
                <c:pt idx="1661">
                  <c:v>18707</c:v>
                </c:pt>
                <c:pt idx="1662">
                  <c:v>10969</c:v>
                </c:pt>
                <c:pt idx="1663">
                  <c:v>16948</c:v>
                </c:pt>
                <c:pt idx="1664">
                  <c:v>16681</c:v>
                </c:pt>
                <c:pt idx="1665">
                  <c:v>14609</c:v>
                </c:pt>
                <c:pt idx="1666">
                  <c:v>14828</c:v>
                </c:pt>
                <c:pt idx="1667">
                  <c:v>16757</c:v>
                </c:pt>
                <c:pt idx="1668">
                  <c:v>19312</c:v>
                </c:pt>
                <c:pt idx="1669">
                  <c:v>23775</c:v>
                </c:pt>
                <c:pt idx="1670">
                  <c:v>21540</c:v>
                </c:pt>
                <c:pt idx="1671">
                  <c:v>18069</c:v>
                </c:pt>
                <c:pt idx="1672">
                  <c:v>16834</c:v>
                </c:pt>
                <c:pt idx="1673">
                  <c:v>16418</c:v>
                </c:pt>
                <c:pt idx="1674">
                  <c:v>16442</c:v>
                </c:pt>
                <c:pt idx="1675">
                  <c:v>20982</c:v>
                </c:pt>
                <c:pt idx="1676">
                  <c:v>19295</c:v>
                </c:pt>
                <c:pt idx="1677">
                  <c:v>15833</c:v>
                </c:pt>
                <c:pt idx="1678">
                  <c:v>14298</c:v>
                </c:pt>
                <c:pt idx="1679">
                  <c:v>13068</c:v>
                </c:pt>
                <c:pt idx="1680">
                  <c:v>12973</c:v>
                </c:pt>
                <c:pt idx="1681">
                  <c:v>14215</c:v>
                </c:pt>
                <c:pt idx="1682">
                  <c:v>13726</c:v>
                </c:pt>
                <c:pt idx="1683">
                  <c:v>14738</c:v>
                </c:pt>
                <c:pt idx="1684">
                  <c:v>15813</c:v>
                </c:pt>
                <c:pt idx="1685">
                  <c:v>14781</c:v>
                </c:pt>
                <c:pt idx="1686">
                  <c:v>14380</c:v>
                </c:pt>
                <c:pt idx="1687">
                  <c:v>12557</c:v>
                </c:pt>
                <c:pt idx="1688">
                  <c:v>12654</c:v>
                </c:pt>
                <c:pt idx="1689">
                  <c:v>12971</c:v>
                </c:pt>
                <c:pt idx="1690">
                  <c:v>14774</c:v>
                </c:pt>
                <c:pt idx="1691">
                  <c:v>14641</c:v>
                </c:pt>
                <c:pt idx="1692">
                  <c:v>13906</c:v>
                </c:pt>
                <c:pt idx="1693">
                  <c:v>13653</c:v>
                </c:pt>
                <c:pt idx="1694">
                  <c:v>16712</c:v>
                </c:pt>
                <c:pt idx="1695">
                  <c:v>16409</c:v>
                </c:pt>
                <c:pt idx="1696">
                  <c:v>16858</c:v>
                </c:pt>
                <c:pt idx="1697">
                  <c:v>17136</c:v>
                </c:pt>
                <c:pt idx="1698">
                  <c:v>16069</c:v>
                </c:pt>
                <c:pt idx="1699">
                  <c:v>17614</c:v>
                </c:pt>
                <c:pt idx="1700">
                  <c:v>17483</c:v>
                </c:pt>
                <c:pt idx="1701">
                  <c:v>18613</c:v>
                </c:pt>
                <c:pt idx="1702">
                  <c:v>18752</c:v>
                </c:pt>
                <c:pt idx="1703">
                  <c:v>18262</c:v>
                </c:pt>
                <c:pt idx="1704">
                  <c:v>17929</c:v>
                </c:pt>
                <c:pt idx="1705">
                  <c:v>18081</c:v>
                </c:pt>
                <c:pt idx="1706">
                  <c:v>18879</c:v>
                </c:pt>
                <c:pt idx="1707">
                  <c:v>16036</c:v>
                </c:pt>
                <c:pt idx="1708">
                  <c:v>16062</c:v>
                </c:pt>
                <c:pt idx="1709">
                  <c:v>15145</c:v>
                </c:pt>
                <c:pt idx="1710">
                  <c:v>15037</c:v>
                </c:pt>
                <c:pt idx="1711">
                  <c:v>15166</c:v>
                </c:pt>
                <c:pt idx="1712">
                  <c:v>18827</c:v>
                </c:pt>
                <c:pt idx="1713">
                  <c:v>19193</c:v>
                </c:pt>
                <c:pt idx="1714">
                  <c:v>22657</c:v>
                </c:pt>
                <c:pt idx="1715">
                  <c:v>20248</c:v>
                </c:pt>
                <c:pt idx="1716">
                  <c:v>19666</c:v>
                </c:pt>
                <c:pt idx="1717">
                  <c:v>16815</c:v>
                </c:pt>
                <c:pt idx="1718">
                  <c:v>16867</c:v>
                </c:pt>
                <c:pt idx="1719">
                  <c:v>19693</c:v>
                </c:pt>
                <c:pt idx="1720">
                  <c:v>16678</c:v>
                </c:pt>
                <c:pt idx="1721">
                  <c:v>14161</c:v>
                </c:pt>
                <c:pt idx="1722">
                  <c:v>17310</c:v>
                </c:pt>
                <c:pt idx="1723">
                  <c:v>18045</c:v>
                </c:pt>
                <c:pt idx="1724">
                  <c:v>21301</c:v>
                </c:pt>
                <c:pt idx="1725">
                  <c:v>19614</c:v>
                </c:pt>
                <c:pt idx="1726">
                  <c:v>19326</c:v>
                </c:pt>
                <c:pt idx="1727">
                  <c:v>15827</c:v>
                </c:pt>
                <c:pt idx="1728">
                  <c:v>13583</c:v>
                </c:pt>
                <c:pt idx="1729">
                  <c:v>13471</c:v>
                </c:pt>
                <c:pt idx="1730">
                  <c:v>14412</c:v>
                </c:pt>
                <c:pt idx="1731">
                  <c:v>22086</c:v>
                </c:pt>
                <c:pt idx="1732">
                  <c:v>26596</c:v>
                </c:pt>
                <c:pt idx="1733">
                  <c:v>23019</c:v>
                </c:pt>
                <c:pt idx="1734">
                  <c:v>16866</c:v>
                </c:pt>
                <c:pt idx="1735">
                  <c:v>14354</c:v>
                </c:pt>
                <c:pt idx="1736">
                  <c:v>13973</c:v>
                </c:pt>
                <c:pt idx="1737">
                  <c:v>14434</c:v>
                </c:pt>
                <c:pt idx="1738">
                  <c:v>17627</c:v>
                </c:pt>
                <c:pt idx="1739">
                  <c:v>16252</c:v>
                </c:pt>
                <c:pt idx="1740">
                  <c:v>15260</c:v>
                </c:pt>
                <c:pt idx="1741">
                  <c:v>14434</c:v>
                </c:pt>
                <c:pt idx="1742">
                  <c:v>12803</c:v>
                </c:pt>
                <c:pt idx="1743">
                  <c:v>13880</c:v>
                </c:pt>
                <c:pt idx="1744">
                  <c:v>12727</c:v>
                </c:pt>
                <c:pt idx="1745">
                  <c:v>13186</c:v>
                </c:pt>
                <c:pt idx="1746">
                  <c:v>14952</c:v>
                </c:pt>
                <c:pt idx="1747">
                  <c:v>16416</c:v>
                </c:pt>
                <c:pt idx="1748">
                  <c:v>16848</c:v>
                </c:pt>
                <c:pt idx="1749">
                  <c:v>14601</c:v>
                </c:pt>
                <c:pt idx="1750">
                  <c:v>14385</c:v>
                </c:pt>
                <c:pt idx="1751">
                  <c:v>13828</c:v>
                </c:pt>
                <c:pt idx="1752">
                  <c:v>13821</c:v>
                </c:pt>
                <c:pt idx="1753">
                  <c:v>19218</c:v>
                </c:pt>
                <c:pt idx="1754">
                  <c:v>17476</c:v>
                </c:pt>
                <c:pt idx="1755">
                  <c:v>24507</c:v>
                </c:pt>
                <c:pt idx="1756">
                  <c:v>24503</c:v>
                </c:pt>
                <c:pt idx="1757">
                  <c:v>23778</c:v>
                </c:pt>
                <c:pt idx="1758">
                  <c:v>21696</c:v>
                </c:pt>
                <c:pt idx="1759">
                  <c:v>26671</c:v>
                </c:pt>
                <c:pt idx="1760">
                  <c:v>23083</c:v>
                </c:pt>
                <c:pt idx="1761">
                  <c:v>20450</c:v>
                </c:pt>
                <c:pt idx="1762">
                  <c:v>18855</c:v>
                </c:pt>
                <c:pt idx="1763">
                  <c:v>16660</c:v>
                </c:pt>
                <c:pt idx="1764">
                  <c:v>14657</c:v>
                </c:pt>
                <c:pt idx="1765">
                  <c:v>17467</c:v>
                </c:pt>
                <c:pt idx="1766">
                  <c:v>18609</c:v>
                </c:pt>
                <c:pt idx="1767">
                  <c:v>18498</c:v>
                </c:pt>
                <c:pt idx="1768">
                  <c:v>21514</c:v>
                </c:pt>
                <c:pt idx="1769">
                  <c:v>21038</c:v>
                </c:pt>
                <c:pt idx="1770">
                  <c:v>16424</c:v>
                </c:pt>
                <c:pt idx="1771">
                  <c:v>15679</c:v>
                </c:pt>
                <c:pt idx="1772">
                  <c:v>17045</c:v>
                </c:pt>
                <c:pt idx="1773">
                  <c:v>21813</c:v>
                </c:pt>
                <c:pt idx="1774">
                  <c:v>20062</c:v>
                </c:pt>
                <c:pt idx="1775">
                  <c:v>19411</c:v>
                </c:pt>
                <c:pt idx="1776">
                  <c:v>21058</c:v>
                </c:pt>
                <c:pt idx="1777">
                  <c:v>19256</c:v>
                </c:pt>
                <c:pt idx="1778">
                  <c:v>19955</c:v>
                </c:pt>
                <c:pt idx="1779">
                  <c:v>19645</c:v>
                </c:pt>
                <c:pt idx="1780">
                  <c:v>20371</c:v>
                </c:pt>
                <c:pt idx="1781">
                  <c:v>21128</c:v>
                </c:pt>
                <c:pt idx="1782">
                  <c:v>29453</c:v>
                </c:pt>
                <c:pt idx="1783">
                  <c:v>23814</c:v>
                </c:pt>
                <c:pt idx="1784">
                  <c:v>19383</c:v>
                </c:pt>
                <c:pt idx="1785">
                  <c:v>26549</c:v>
                </c:pt>
                <c:pt idx="1786">
                  <c:v>48798</c:v>
                </c:pt>
                <c:pt idx="1787">
                  <c:v>1003504</c:v>
                </c:pt>
                <c:pt idx="1788">
                  <c:v>414730</c:v>
                </c:pt>
                <c:pt idx="1789">
                  <c:v>144668</c:v>
                </c:pt>
                <c:pt idx="1790">
                  <c:v>99395</c:v>
                </c:pt>
                <c:pt idx="1791">
                  <c:v>75306</c:v>
                </c:pt>
                <c:pt idx="1792">
                  <c:v>66848</c:v>
                </c:pt>
                <c:pt idx="1793">
                  <c:v>58110</c:v>
                </c:pt>
                <c:pt idx="1794">
                  <c:v>48440</c:v>
                </c:pt>
                <c:pt idx="1795">
                  <c:v>45485</c:v>
                </c:pt>
                <c:pt idx="1796">
                  <c:v>39226</c:v>
                </c:pt>
                <c:pt idx="1797">
                  <c:v>34250</c:v>
                </c:pt>
                <c:pt idx="1798">
                  <c:v>31242</c:v>
                </c:pt>
                <c:pt idx="1799">
                  <c:v>32553</c:v>
                </c:pt>
                <c:pt idx="1800">
                  <c:v>43623</c:v>
                </c:pt>
                <c:pt idx="1801">
                  <c:v>42044</c:v>
                </c:pt>
                <c:pt idx="1802">
                  <c:v>32332</c:v>
                </c:pt>
                <c:pt idx="1803">
                  <c:v>28173</c:v>
                </c:pt>
                <c:pt idx="1804">
                  <c:v>28200</c:v>
                </c:pt>
                <c:pt idx="1805">
                  <c:v>25699</c:v>
                </c:pt>
                <c:pt idx="1806">
                  <c:v>26464</c:v>
                </c:pt>
                <c:pt idx="1807">
                  <c:v>25485</c:v>
                </c:pt>
                <c:pt idx="1808">
                  <c:v>24091</c:v>
                </c:pt>
                <c:pt idx="1809">
                  <c:v>21457</c:v>
                </c:pt>
                <c:pt idx="1810">
                  <c:v>21360</c:v>
                </c:pt>
                <c:pt idx="1811">
                  <c:v>19782</c:v>
                </c:pt>
                <c:pt idx="1812">
                  <c:v>19568</c:v>
                </c:pt>
                <c:pt idx="1813">
                  <c:v>19727</c:v>
                </c:pt>
                <c:pt idx="1814">
                  <c:v>18962</c:v>
                </c:pt>
                <c:pt idx="1815">
                  <c:v>19503</c:v>
                </c:pt>
                <c:pt idx="1816">
                  <c:v>18941</c:v>
                </c:pt>
                <c:pt idx="1817">
                  <c:v>18618</c:v>
                </c:pt>
                <c:pt idx="1818">
                  <c:v>17222</c:v>
                </c:pt>
                <c:pt idx="1819">
                  <c:v>16779</c:v>
                </c:pt>
                <c:pt idx="1820">
                  <c:v>19561</c:v>
                </c:pt>
                <c:pt idx="1821">
                  <c:v>19361</c:v>
                </c:pt>
                <c:pt idx="1822">
                  <c:v>21521</c:v>
                </c:pt>
                <c:pt idx="1823">
                  <c:v>21924</c:v>
                </c:pt>
                <c:pt idx="1824">
                  <c:v>23859</c:v>
                </c:pt>
                <c:pt idx="1825">
                  <c:v>35922</c:v>
                </c:pt>
                <c:pt idx="1826">
                  <c:v>27103</c:v>
                </c:pt>
                <c:pt idx="1827">
                  <c:v>25403</c:v>
                </c:pt>
                <c:pt idx="1828">
                  <c:v>26678</c:v>
                </c:pt>
                <c:pt idx="1829">
                  <c:v>32722</c:v>
                </c:pt>
                <c:pt idx="1830">
                  <c:v>55461</c:v>
                </c:pt>
                <c:pt idx="1831">
                  <c:v>45882</c:v>
                </c:pt>
                <c:pt idx="1832">
                  <c:v>29218</c:v>
                </c:pt>
                <c:pt idx="1833">
                  <c:v>25857</c:v>
                </c:pt>
                <c:pt idx="1834">
                  <c:v>24280</c:v>
                </c:pt>
                <c:pt idx="1835">
                  <c:v>25051</c:v>
                </c:pt>
                <c:pt idx="1836">
                  <c:v>23817</c:v>
                </c:pt>
                <c:pt idx="1837">
                  <c:v>24678</c:v>
                </c:pt>
                <c:pt idx="1838">
                  <c:v>21036</c:v>
                </c:pt>
                <c:pt idx="1839">
                  <c:v>20509</c:v>
                </c:pt>
                <c:pt idx="1840">
                  <c:v>20504</c:v>
                </c:pt>
                <c:pt idx="1841">
                  <c:v>20630</c:v>
                </c:pt>
                <c:pt idx="1842">
                  <c:v>27402</c:v>
                </c:pt>
                <c:pt idx="1843">
                  <c:v>30324</c:v>
                </c:pt>
                <c:pt idx="1844">
                  <c:v>27005</c:v>
                </c:pt>
                <c:pt idx="1845">
                  <c:v>29376</c:v>
                </c:pt>
                <c:pt idx="1846">
                  <c:v>27532</c:v>
                </c:pt>
                <c:pt idx="1847">
                  <c:v>25187</c:v>
                </c:pt>
                <c:pt idx="1848">
                  <c:v>24506</c:v>
                </c:pt>
                <c:pt idx="1849">
                  <c:v>24248</c:v>
                </c:pt>
                <c:pt idx="1850">
                  <c:v>25663</c:v>
                </c:pt>
                <c:pt idx="1851">
                  <c:v>20306</c:v>
                </c:pt>
                <c:pt idx="1852">
                  <c:v>2</c:v>
                </c:pt>
                <c:pt idx="1853">
                  <c:v>32986</c:v>
                </c:pt>
                <c:pt idx="1854">
                  <c:v>37899</c:v>
                </c:pt>
                <c:pt idx="1855">
                  <c:v>39931</c:v>
                </c:pt>
                <c:pt idx="1856">
                  <c:v>38221</c:v>
                </c:pt>
                <c:pt idx="1857">
                  <c:v>33209</c:v>
                </c:pt>
                <c:pt idx="1858">
                  <c:v>30511</c:v>
                </c:pt>
                <c:pt idx="1859">
                  <c:v>31502</c:v>
                </c:pt>
                <c:pt idx="1860">
                  <c:v>26863</c:v>
                </c:pt>
                <c:pt idx="1861">
                  <c:v>18014</c:v>
                </c:pt>
                <c:pt idx="1862">
                  <c:v>18287</c:v>
                </c:pt>
                <c:pt idx="1863">
                  <c:v>19907</c:v>
                </c:pt>
                <c:pt idx="1864">
                  <c:v>30850</c:v>
                </c:pt>
                <c:pt idx="1865">
                  <c:v>26454</c:v>
                </c:pt>
                <c:pt idx="1866">
                  <c:v>23368</c:v>
                </c:pt>
                <c:pt idx="1867">
                  <c:v>23197</c:v>
                </c:pt>
                <c:pt idx="1868">
                  <c:v>19978</c:v>
                </c:pt>
                <c:pt idx="1869">
                  <c:v>22796</c:v>
                </c:pt>
                <c:pt idx="1870">
                  <c:v>16559</c:v>
                </c:pt>
                <c:pt idx="1871">
                  <c:v>17184</c:v>
                </c:pt>
                <c:pt idx="1872">
                  <c:v>19998</c:v>
                </c:pt>
                <c:pt idx="1873">
                  <c:v>17966</c:v>
                </c:pt>
                <c:pt idx="1874">
                  <c:v>14732</c:v>
                </c:pt>
                <c:pt idx="1875">
                  <c:v>13174</c:v>
                </c:pt>
                <c:pt idx="1876">
                  <c:v>14536</c:v>
                </c:pt>
                <c:pt idx="1877">
                  <c:v>14081</c:v>
                </c:pt>
                <c:pt idx="1878">
                  <c:v>16266</c:v>
                </c:pt>
                <c:pt idx="1879">
                  <c:v>16775</c:v>
                </c:pt>
                <c:pt idx="1880">
                  <c:v>13671</c:v>
                </c:pt>
                <c:pt idx="1881">
                  <c:v>20104</c:v>
                </c:pt>
                <c:pt idx="1882">
                  <c:v>15521</c:v>
                </c:pt>
                <c:pt idx="1883">
                  <c:v>14265</c:v>
                </c:pt>
                <c:pt idx="1884">
                  <c:v>14589</c:v>
                </c:pt>
                <c:pt idx="1885">
                  <c:v>12707</c:v>
                </c:pt>
                <c:pt idx="1886">
                  <c:v>13615</c:v>
                </c:pt>
                <c:pt idx="1887">
                  <c:v>15084</c:v>
                </c:pt>
                <c:pt idx="1888">
                  <c:v>16010</c:v>
                </c:pt>
                <c:pt idx="1889">
                  <c:v>14263</c:v>
                </c:pt>
                <c:pt idx="1890">
                  <c:v>13775</c:v>
                </c:pt>
                <c:pt idx="1891">
                  <c:v>15400</c:v>
                </c:pt>
                <c:pt idx="1892">
                  <c:v>14808</c:v>
                </c:pt>
                <c:pt idx="1893">
                  <c:v>14241</c:v>
                </c:pt>
                <c:pt idx="1894">
                  <c:v>14840</c:v>
                </c:pt>
                <c:pt idx="1895">
                  <c:v>14701</c:v>
                </c:pt>
                <c:pt idx="1896">
                  <c:v>14572</c:v>
                </c:pt>
                <c:pt idx="1897">
                  <c:v>18949</c:v>
                </c:pt>
                <c:pt idx="1898">
                  <c:v>26073</c:v>
                </c:pt>
                <c:pt idx="1899">
                  <c:v>48971</c:v>
                </c:pt>
                <c:pt idx="1900">
                  <c:v>26864</c:v>
                </c:pt>
                <c:pt idx="1901">
                  <c:v>23775</c:v>
                </c:pt>
                <c:pt idx="1902">
                  <c:v>26065</c:v>
                </c:pt>
                <c:pt idx="1903">
                  <c:v>31396</c:v>
                </c:pt>
                <c:pt idx="1904">
                  <c:v>33350</c:v>
                </c:pt>
                <c:pt idx="1905">
                  <c:v>32206</c:v>
                </c:pt>
                <c:pt idx="1906">
                  <c:v>37508</c:v>
                </c:pt>
                <c:pt idx="1907">
                  <c:v>34953</c:v>
                </c:pt>
                <c:pt idx="1908">
                  <c:v>33743</c:v>
                </c:pt>
                <c:pt idx="1909">
                  <c:v>35229</c:v>
                </c:pt>
                <c:pt idx="1910">
                  <c:v>39481</c:v>
                </c:pt>
                <c:pt idx="1911">
                  <c:v>81975</c:v>
                </c:pt>
                <c:pt idx="1912">
                  <c:v>95370</c:v>
                </c:pt>
                <c:pt idx="1913">
                  <c:v>92539</c:v>
                </c:pt>
                <c:pt idx="1914">
                  <c:v>98317</c:v>
                </c:pt>
                <c:pt idx="1915">
                  <c:v>82932</c:v>
                </c:pt>
                <c:pt idx="1916">
                  <c:v>111046</c:v>
                </c:pt>
                <c:pt idx="1917">
                  <c:v>219761</c:v>
                </c:pt>
                <c:pt idx="1918">
                  <c:v>2232007</c:v>
                </c:pt>
                <c:pt idx="1919">
                  <c:v>798488</c:v>
                </c:pt>
                <c:pt idx="1920">
                  <c:v>226589</c:v>
                </c:pt>
                <c:pt idx="1921">
                  <c:v>129318</c:v>
                </c:pt>
                <c:pt idx="1922">
                  <c:v>95852</c:v>
                </c:pt>
                <c:pt idx="1923">
                  <c:v>79275</c:v>
                </c:pt>
                <c:pt idx="1924">
                  <c:v>67699</c:v>
                </c:pt>
                <c:pt idx="1925">
                  <c:v>56971</c:v>
                </c:pt>
                <c:pt idx="1926">
                  <c:v>47764</c:v>
                </c:pt>
                <c:pt idx="1927">
                  <c:v>40892</c:v>
                </c:pt>
                <c:pt idx="1928">
                  <c:v>36954</c:v>
                </c:pt>
                <c:pt idx="1929">
                  <c:v>32305</c:v>
                </c:pt>
                <c:pt idx="1930">
                  <c:v>30018</c:v>
                </c:pt>
                <c:pt idx="1931">
                  <c:v>28244</c:v>
                </c:pt>
                <c:pt idx="1932">
                  <c:v>27885</c:v>
                </c:pt>
                <c:pt idx="1933">
                  <c:v>27322</c:v>
                </c:pt>
                <c:pt idx="1934">
                  <c:v>25837</c:v>
                </c:pt>
                <c:pt idx="1935">
                  <c:v>23687</c:v>
                </c:pt>
                <c:pt idx="1936">
                  <c:v>26941</c:v>
                </c:pt>
                <c:pt idx="1937">
                  <c:v>25546</c:v>
                </c:pt>
                <c:pt idx="1938">
                  <c:v>22712</c:v>
                </c:pt>
                <c:pt idx="1939">
                  <c:v>22428</c:v>
                </c:pt>
                <c:pt idx="1940">
                  <c:v>21356</c:v>
                </c:pt>
                <c:pt idx="1941">
                  <c:v>21257</c:v>
                </c:pt>
                <c:pt idx="1942">
                  <c:v>20075</c:v>
                </c:pt>
                <c:pt idx="1943">
                  <c:v>20883</c:v>
                </c:pt>
                <c:pt idx="1944">
                  <c:v>20039</c:v>
                </c:pt>
                <c:pt idx="1945">
                  <c:v>18375</c:v>
                </c:pt>
                <c:pt idx="1946">
                  <c:v>18836</c:v>
                </c:pt>
                <c:pt idx="1947">
                  <c:v>19433</c:v>
                </c:pt>
                <c:pt idx="1948">
                  <c:v>19978</c:v>
                </c:pt>
                <c:pt idx="1949">
                  <c:v>19977</c:v>
                </c:pt>
                <c:pt idx="1950">
                  <c:v>17547</c:v>
                </c:pt>
                <c:pt idx="1951">
                  <c:v>17715</c:v>
                </c:pt>
                <c:pt idx="1952">
                  <c:v>16185</c:v>
                </c:pt>
                <c:pt idx="1953">
                  <c:v>16968</c:v>
                </c:pt>
                <c:pt idx="1954">
                  <c:v>17829</c:v>
                </c:pt>
                <c:pt idx="1955">
                  <c:v>16427</c:v>
                </c:pt>
                <c:pt idx="1956">
                  <c:v>16426</c:v>
                </c:pt>
                <c:pt idx="1957">
                  <c:v>17904</c:v>
                </c:pt>
                <c:pt idx="1958">
                  <c:v>18736</c:v>
                </c:pt>
                <c:pt idx="1959">
                  <c:v>17024</c:v>
                </c:pt>
                <c:pt idx="1960">
                  <c:v>17735</c:v>
                </c:pt>
                <c:pt idx="1961">
                  <c:v>18330</c:v>
                </c:pt>
                <c:pt idx="1962">
                  <c:v>16759</c:v>
                </c:pt>
                <c:pt idx="1963">
                  <c:v>16373</c:v>
                </c:pt>
                <c:pt idx="1964">
                  <c:v>20000</c:v>
                </c:pt>
                <c:pt idx="1965">
                  <c:v>17920</c:v>
                </c:pt>
                <c:pt idx="1966">
                  <c:v>15453</c:v>
                </c:pt>
                <c:pt idx="1967">
                  <c:v>16225</c:v>
                </c:pt>
                <c:pt idx="1968">
                  <c:v>16740</c:v>
                </c:pt>
                <c:pt idx="1969">
                  <c:v>16516</c:v>
                </c:pt>
                <c:pt idx="1970">
                  <c:v>16286</c:v>
                </c:pt>
                <c:pt idx="1971">
                  <c:v>16047</c:v>
                </c:pt>
                <c:pt idx="1972">
                  <c:v>19071</c:v>
                </c:pt>
                <c:pt idx="1973">
                  <c:v>13187</c:v>
                </c:pt>
                <c:pt idx="1974">
                  <c:v>13145</c:v>
                </c:pt>
                <c:pt idx="1975">
                  <c:v>14439</c:v>
                </c:pt>
                <c:pt idx="1976">
                  <c:v>13836</c:v>
                </c:pt>
                <c:pt idx="1977">
                  <c:v>14341</c:v>
                </c:pt>
                <c:pt idx="1978">
                  <c:v>14193</c:v>
                </c:pt>
                <c:pt idx="1979">
                  <c:v>13029</c:v>
                </c:pt>
                <c:pt idx="1980">
                  <c:v>11962</c:v>
                </c:pt>
                <c:pt idx="1981">
                  <c:v>12620</c:v>
                </c:pt>
                <c:pt idx="1982">
                  <c:v>12713</c:v>
                </c:pt>
                <c:pt idx="1983">
                  <c:v>12716</c:v>
                </c:pt>
                <c:pt idx="1984">
                  <c:v>18533</c:v>
                </c:pt>
                <c:pt idx="1985">
                  <c:v>26238</c:v>
                </c:pt>
                <c:pt idx="1986">
                  <c:v>45469</c:v>
                </c:pt>
                <c:pt idx="1987">
                  <c:v>37018</c:v>
                </c:pt>
                <c:pt idx="1988">
                  <c:v>17783</c:v>
                </c:pt>
                <c:pt idx="1989">
                  <c:v>16613</c:v>
                </c:pt>
                <c:pt idx="1990">
                  <c:v>17487</c:v>
                </c:pt>
                <c:pt idx="1991">
                  <c:v>15027</c:v>
                </c:pt>
                <c:pt idx="1992">
                  <c:v>17098</c:v>
                </c:pt>
                <c:pt idx="1993">
                  <c:v>16714</c:v>
                </c:pt>
                <c:pt idx="1994">
                  <c:v>13139</c:v>
                </c:pt>
                <c:pt idx="1995">
                  <c:v>13386</c:v>
                </c:pt>
                <c:pt idx="1996">
                  <c:v>14666</c:v>
                </c:pt>
                <c:pt idx="1997">
                  <c:v>13925</c:v>
                </c:pt>
                <c:pt idx="1998">
                  <c:v>13454</c:v>
                </c:pt>
                <c:pt idx="1999">
                  <c:v>12772</c:v>
                </c:pt>
                <c:pt idx="2000">
                  <c:v>11694</c:v>
                </c:pt>
                <c:pt idx="2001">
                  <c:v>10238</c:v>
                </c:pt>
                <c:pt idx="2002">
                  <c:v>11475</c:v>
                </c:pt>
                <c:pt idx="2003">
                  <c:v>12283</c:v>
                </c:pt>
                <c:pt idx="2004">
                  <c:v>11902</c:v>
                </c:pt>
                <c:pt idx="2005">
                  <c:v>26488</c:v>
                </c:pt>
                <c:pt idx="2006">
                  <c:v>16166</c:v>
                </c:pt>
                <c:pt idx="2007">
                  <c:v>13709</c:v>
                </c:pt>
                <c:pt idx="2008">
                  <c:v>14755</c:v>
                </c:pt>
                <c:pt idx="2009">
                  <c:v>13397</c:v>
                </c:pt>
                <c:pt idx="2010">
                  <c:v>12725</c:v>
                </c:pt>
                <c:pt idx="2011">
                  <c:v>16349</c:v>
                </c:pt>
                <c:pt idx="2012">
                  <c:v>15172</c:v>
                </c:pt>
                <c:pt idx="2013">
                  <c:v>14743</c:v>
                </c:pt>
                <c:pt idx="2014">
                  <c:v>13523</c:v>
                </c:pt>
                <c:pt idx="2015">
                  <c:v>11128</c:v>
                </c:pt>
                <c:pt idx="2016">
                  <c:v>10700</c:v>
                </c:pt>
                <c:pt idx="2017">
                  <c:v>14960</c:v>
                </c:pt>
                <c:pt idx="2018">
                  <c:v>15789</c:v>
                </c:pt>
                <c:pt idx="2019">
                  <c:v>14306</c:v>
                </c:pt>
                <c:pt idx="2020">
                  <c:v>15147</c:v>
                </c:pt>
                <c:pt idx="2021">
                  <c:v>21402</c:v>
                </c:pt>
                <c:pt idx="2022">
                  <c:v>19870</c:v>
                </c:pt>
                <c:pt idx="2023">
                  <c:v>15648</c:v>
                </c:pt>
                <c:pt idx="2024">
                  <c:v>12023</c:v>
                </c:pt>
                <c:pt idx="2025">
                  <c:v>7554</c:v>
                </c:pt>
                <c:pt idx="2026">
                  <c:v>7749</c:v>
                </c:pt>
                <c:pt idx="2027">
                  <c:v>10785</c:v>
                </c:pt>
                <c:pt idx="2028">
                  <c:v>13596</c:v>
                </c:pt>
                <c:pt idx="2029">
                  <c:v>12225</c:v>
                </c:pt>
                <c:pt idx="2030">
                  <c:v>11431</c:v>
                </c:pt>
                <c:pt idx="2031">
                  <c:v>11959</c:v>
                </c:pt>
                <c:pt idx="2032">
                  <c:v>12474</c:v>
                </c:pt>
                <c:pt idx="2033">
                  <c:v>21822</c:v>
                </c:pt>
                <c:pt idx="2034">
                  <c:v>19871</c:v>
                </c:pt>
                <c:pt idx="2035">
                  <c:v>13088</c:v>
                </c:pt>
                <c:pt idx="2036">
                  <c:v>11719</c:v>
                </c:pt>
                <c:pt idx="2037">
                  <c:v>12228</c:v>
                </c:pt>
                <c:pt idx="2038">
                  <c:v>12316</c:v>
                </c:pt>
                <c:pt idx="2039">
                  <c:v>12952</c:v>
                </c:pt>
                <c:pt idx="2040">
                  <c:v>13172</c:v>
                </c:pt>
                <c:pt idx="2041">
                  <c:v>13603</c:v>
                </c:pt>
                <c:pt idx="2042">
                  <c:v>13386</c:v>
                </c:pt>
                <c:pt idx="2043">
                  <c:v>12694</c:v>
                </c:pt>
                <c:pt idx="2044">
                  <c:v>14196</c:v>
                </c:pt>
                <c:pt idx="2045">
                  <c:v>15694</c:v>
                </c:pt>
                <c:pt idx="2046">
                  <c:v>15516</c:v>
                </c:pt>
                <c:pt idx="2047">
                  <c:v>12616</c:v>
                </c:pt>
                <c:pt idx="2048">
                  <c:v>13488</c:v>
                </c:pt>
                <c:pt idx="2049">
                  <c:v>16914</c:v>
                </c:pt>
                <c:pt idx="2050">
                  <c:v>14944</c:v>
                </c:pt>
                <c:pt idx="2051">
                  <c:v>13311</c:v>
                </c:pt>
                <c:pt idx="2052">
                  <c:v>19371</c:v>
                </c:pt>
                <c:pt idx="2053">
                  <c:v>15829</c:v>
                </c:pt>
                <c:pt idx="2054">
                  <c:v>14771</c:v>
                </c:pt>
                <c:pt idx="2055">
                  <c:v>14224</c:v>
                </c:pt>
                <c:pt idx="2056">
                  <c:v>15151</c:v>
                </c:pt>
                <c:pt idx="2057">
                  <c:v>13505</c:v>
                </c:pt>
                <c:pt idx="2058">
                  <c:v>12725</c:v>
                </c:pt>
                <c:pt idx="2059">
                  <c:v>14104</c:v>
                </c:pt>
                <c:pt idx="2060">
                  <c:v>14076</c:v>
                </c:pt>
                <c:pt idx="2061">
                  <c:v>23193</c:v>
                </c:pt>
                <c:pt idx="2062">
                  <c:v>19653</c:v>
                </c:pt>
                <c:pt idx="2063">
                  <c:v>18555</c:v>
                </c:pt>
                <c:pt idx="2064">
                  <c:v>16368</c:v>
                </c:pt>
                <c:pt idx="2065">
                  <c:v>18079</c:v>
                </c:pt>
                <c:pt idx="2066">
                  <c:v>19023</c:v>
                </c:pt>
                <c:pt idx="2067">
                  <c:v>16726</c:v>
                </c:pt>
                <c:pt idx="2068">
                  <c:v>15906</c:v>
                </c:pt>
                <c:pt idx="2069">
                  <c:v>14717</c:v>
                </c:pt>
                <c:pt idx="2070">
                  <c:v>13537</c:v>
                </c:pt>
                <c:pt idx="2071">
                  <c:v>12640</c:v>
                </c:pt>
                <c:pt idx="2072">
                  <c:v>16173</c:v>
                </c:pt>
                <c:pt idx="2073">
                  <c:v>14463</c:v>
                </c:pt>
                <c:pt idx="2074">
                  <c:v>14006</c:v>
                </c:pt>
                <c:pt idx="2075">
                  <c:v>13985</c:v>
                </c:pt>
                <c:pt idx="2076">
                  <c:v>12302</c:v>
                </c:pt>
                <c:pt idx="2077">
                  <c:v>13770</c:v>
                </c:pt>
                <c:pt idx="2078">
                  <c:v>12699</c:v>
                </c:pt>
                <c:pt idx="2079">
                  <c:v>12298</c:v>
                </c:pt>
                <c:pt idx="2080">
                  <c:v>15940</c:v>
                </c:pt>
                <c:pt idx="2081">
                  <c:v>17884</c:v>
                </c:pt>
                <c:pt idx="2082">
                  <c:v>14750</c:v>
                </c:pt>
                <c:pt idx="2083">
                  <c:v>15206</c:v>
                </c:pt>
                <c:pt idx="2084">
                  <c:v>14188</c:v>
                </c:pt>
                <c:pt idx="2085">
                  <c:v>13156</c:v>
                </c:pt>
                <c:pt idx="2086">
                  <c:v>12928</c:v>
                </c:pt>
                <c:pt idx="2087">
                  <c:v>15726</c:v>
                </c:pt>
                <c:pt idx="2088">
                  <c:v>28219</c:v>
                </c:pt>
                <c:pt idx="2089">
                  <c:v>22555</c:v>
                </c:pt>
                <c:pt idx="2090">
                  <c:v>17196</c:v>
                </c:pt>
                <c:pt idx="2091">
                  <c:v>15413</c:v>
                </c:pt>
                <c:pt idx="2092">
                  <c:v>20170</c:v>
                </c:pt>
                <c:pt idx="2093">
                  <c:v>23476</c:v>
                </c:pt>
                <c:pt idx="2094">
                  <c:v>23366</c:v>
                </c:pt>
                <c:pt idx="2095">
                  <c:v>19241</c:v>
                </c:pt>
                <c:pt idx="2096">
                  <c:v>17284</c:v>
                </c:pt>
                <c:pt idx="2097">
                  <c:v>16730</c:v>
                </c:pt>
                <c:pt idx="2098">
                  <c:v>15226</c:v>
                </c:pt>
                <c:pt idx="2099">
                  <c:v>13580</c:v>
                </c:pt>
                <c:pt idx="2100">
                  <c:v>15936</c:v>
                </c:pt>
                <c:pt idx="2101">
                  <c:v>15386</c:v>
                </c:pt>
                <c:pt idx="2102">
                  <c:v>16843</c:v>
                </c:pt>
                <c:pt idx="2103">
                  <c:v>16405</c:v>
                </c:pt>
                <c:pt idx="2104">
                  <c:v>24494</c:v>
                </c:pt>
                <c:pt idx="2105">
                  <c:v>20492</c:v>
                </c:pt>
                <c:pt idx="2106">
                  <c:v>17795</c:v>
                </c:pt>
                <c:pt idx="2107">
                  <c:v>18533</c:v>
                </c:pt>
                <c:pt idx="2108">
                  <c:v>19853</c:v>
                </c:pt>
                <c:pt idx="2109">
                  <c:v>35630</c:v>
                </c:pt>
                <c:pt idx="2110">
                  <c:v>24908</c:v>
                </c:pt>
                <c:pt idx="2111">
                  <c:v>51723</c:v>
                </c:pt>
                <c:pt idx="2112">
                  <c:v>48989</c:v>
                </c:pt>
                <c:pt idx="2113">
                  <c:v>23796</c:v>
                </c:pt>
                <c:pt idx="2114">
                  <c:v>19642</c:v>
                </c:pt>
                <c:pt idx="2115">
                  <c:v>21736</c:v>
                </c:pt>
                <c:pt idx="2116">
                  <c:v>20802</c:v>
                </c:pt>
                <c:pt idx="2117">
                  <c:v>20397</c:v>
                </c:pt>
                <c:pt idx="2118">
                  <c:v>19405</c:v>
                </c:pt>
                <c:pt idx="2119">
                  <c:v>19220</c:v>
                </c:pt>
                <c:pt idx="2120">
                  <c:v>18182</c:v>
                </c:pt>
                <c:pt idx="2121">
                  <c:v>20169</c:v>
                </c:pt>
                <c:pt idx="2122">
                  <c:v>19076</c:v>
                </c:pt>
                <c:pt idx="2123">
                  <c:v>20894</c:v>
                </c:pt>
                <c:pt idx="2124">
                  <c:v>19227</c:v>
                </c:pt>
                <c:pt idx="2125">
                  <c:v>19672</c:v>
                </c:pt>
                <c:pt idx="2126">
                  <c:v>16749</c:v>
                </c:pt>
                <c:pt idx="2127">
                  <c:v>13558</c:v>
                </c:pt>
                <c:pt idx="2128">
                  <c:v>13081</c:v>
                </c:pt>
                <c:pt idx="2129">
                  <c:v>13678</c:v>
                </c:pt>
                <c:pt idx="2130">
                  <c:v>18129</c:v>
                </c:pt>
                <c:pt idx="2131">
                  <c:v>19340</c:v>
                </c:pt>
                <c:pt idx="2132">
                  <c:v>17165</c:v>
                </c:pt>
                <c:pt idx="2133">
                  <c:v>21757</c:v>
                </c:pt>
                <c:pt idx="2134">
                  <c:v>20072</c:v>
                </c:pt>
                <c:pt idx="2135">
                  <c:v>16032</c:v>
                </c:pt>
                <c:pt idx="2136">
                  <c:v>16675</c:v>
                </c:pt>
                <c:pt idx="2137">
                  <c:v>17985</c:v>
                </c:pt>
                <c:pt idx="2138">
                  <c:v>19475</c:v>
                </c:pt>
                <c:pt idx="2139">
                  <c:v>21297</c:v>
                </c:pt>
                <c:pt idx="2140">
                  <c:v>18887</c:v>
                </c:pt>
                <c:pt idx="2141">
                  <c:v>17205</c:v>
                </c:pt>
                <c:pt idx="2142">
                  <c:v>18219</c:v>
                </c:pt>
                <c:pt idx="2143">
                  <c:v>31150</c:v>
                </c:pt>
                <c:pt idx="2144">
                  <c:v>700437</c:v>
                </c:pt>
                <c:pt idx="2145">
                  <c:v>306464</c:v>
                </c:pt>
                <c:pt idx="2146">
                  <c:v>187301</c:v>
                </c:pt>
                <c:pt idx="2147">
                  <c:v>147950</c:v>
                </c:pt>
                <c:pt idx="2148">
                  <c:v>82284</c:v>
                </c:pt>
                <c:pt idx="2149">
                  <c:v>68258</c:v>
                </c:pt>
                <c:pt idx="2150">
                  <c:v>56746</c:v>
                </c:pt>
                <c:pt idx="2151">
                  <c:v>40264</c:v>
                </c:pt>
                <c:pt idx="2152">
                  <c:v>31859</c:v>
                </c:pt>
                <c:pt idx="2153">
                  <c:v>27771</c:v>
                </c:pt>
                <c:pt idx="2154">
                  <c:v>24089</c:v>
                </c:pt>
                <c:pt idx="2155">
                  <c:v>23458</c:v>
                </c:pt>
                <c:pt idx="2156">
                  <c:v>23161</c:v>
                </c:pt>
                <c:pt idx="2157">
                  <c:v>22893</c:v>
                </c:pt>
                <c:pt idx="2158">
                  <c:v>21623</c:v>
                </c:pt>
                <c:pt idx="2159">
                  <c:v>24260</c:v>
                </c:pt>
                <c:pt idx="2160">
                  <c:v>22518</c:v>
                </c:pt>
                <c:pt idx="2161">
                  <c:v>23940</c:v>
                </c:pt>
                <c:pt idx="2162">
                  <c:v>21070</c:v>
                </c:pt>
                <c:pt idx="2163">
                  <c:v>21313</c:v>
                </c:pt>
                <c:pt idx="2164">
                  <c:v>23651</c:v>
                </c:pt>
                <c:pt idx="2165">
                  <c:v>22911</c:v>
                </c:pt>
                <c:pt idx="2166">
                  <c:v>21158</c:v>
                </c:pt>
                <c:pt idx="2167">
                  <c:v>21222</c:v>
                </c:pt>
                <c:pt idx="2168">
                  <c:v>19116</c:v>
                </c:pt>
                <c:pt idx="2169">
                  <c:v>18114</c:v>
                </c:pt>
                <c:pt idx="2170">
                  <c:v>17517</c:v>
                </c:pt>
                <c:pt idx="2171">
                  <c:v>19425</c:v>
                </c:pt>
                <c:pt idx="2172">
                  <c:v>19116</c:v>
                </c:pt>
                <c:pt idx="2173">
                  <c:v>20520</c:v>
                </c:pt>
                <c:pt idx="2174">
                  <c:v>19881</c:v>
                </c:pt>
                <c:pt idx="2175">
                  <c:v>18308</c:v>
                </c:pt>
                <c:pt idx="2176">
                  <c:v>16285</c:v>
                </c:pt>
                <c:pt idx="2177">
                  <c:v>16882</c:v>
                </c:pt>
                <c:pt idx="2178">
                  <c:v>16884</c:v>
                </c:pt>
                <c:pt idx="2179">
                  <c:v>17975</c:v>
                </c:pt>
                <c:pt idx="2180">
                  <c:v>34234</c:v>
                </c:pt>
                <c:pt idx="2181">
                  <c:v>26118</c:v>
                </c:pt>
                <c:pt idx="2182">
                  <c:v>20065</c:v>
                </c:pt>
                <c:pt idx="2183">
                  <c:v>16347</c:v>
                </c:pt>
                <c:pt idx="2184">
                  <c:v>15042</c:v>
                </c:pt>
                <c:pt idx="2185">
                  <c:v>16458</c:v>
                </c:pt>
                <c:pt idx="2186">
                  <c:v>16794</c:v>
                </c:pt>
                <c:pt idx="2187">
                  <c:v>21087</c:v>
                </c:pt>
                <c:pt idx="2188">
                  <c:v>19914</c:v>
                </c:pt>
                <c:pt idx="2189">
                  <c:v>19732</c:v>
                </c:pt>
                <c:pt idx="2190">
                  <c:v>27350</c:v>
                </c:pt>
                <c:pt idx="2191">
                  <c:v>23236</c:v>
                </c:pt>
                <c:pt idx="2192">
                  <c:v>21469</c:v>
                </c:pt>
                <c:pt idx="2193">
                  <c:v>23516</c:v>
                </c:pt>
                <c:pt idx="2194">
                  <c:v>26984</c:v>
                </c:pt>
                <c:pt idx="2195">
                  <c:v>34723</c:v>
                </c:pt>
                <c:pt idx="2196">
                  <c:v>25792</c:v>
                </c:pt>
                <c:pt idx="2197">
                  <c:v>22199</c:v>
                </c:pt>
                <c:pt idx="2198">
                  <c:v>24901</c:v>
                </c:pt>
                <c:pt idx="2199">
                  <c:v>24156</c:v>
                </c:pt>
                <c:pt idx="2200">
                  <c:v>29935</c:v>
                </c:pt>
                <c:pt idx="2201">
                  <c:v>32371</c:v>
                </c:pt>
                <c:pt idx="2202">
                  <c:v>29192</c:v>
                </c:pt>
                <c:pt idx="2203">
                  <c:v>26645</c:v>
                </c:pt>
                <c:pt idx="2204">
                  <c:v>24105</c:v>
                </c:pt>
                <c:pt idx="2205">
                  <c:v>26010</c:v>
                </c:pt>
                <c:pt idx="2206">
                  <c:v>23335</c:v>
                </c:pt>
                <c:pt idx="2207">
                  <c:v>23291</c:v>
                </c:pt>
                <c:pt idx="2208">
                  <c:v>25933</c:v>
                </c:pt>
                <c:pt idx="2209">
                  <c:v>27785</c:v>
                </c:pt>
                <c:pt idx="2210">
                  <c:v>26096</c:v>
                </c:pt>
                <c:pt idx="2211">
                  <c:v>24615</c:v>
                </c:pt>
                <c:pt idx="2212">
                  <c:v>39303</c:v>
                </c:pt>
                <c:pt idx="2213">
                  <c:v>31024</c:v>
                </c:pt>
                <c:pt idx="2214">
                  <c:v>43446</c:v>
                </c:pt>
                <c:pt idx="2215">
                  <c:v>52127</c:v>
                </c:pt>
                <c:pt idx="2216">
                  <c:v>48124</c:v>
                </c:pt>
                <c:pt idx="2217">
                  <c:v>45990</c:v>
                </c:pt>
                <c:pt idx="2218">
                  <c:v>42476</c:v>
                </c:pt>
                <c:pt idx="2219">
                  <c:v>75403</c:v>
                </c:pt>
                <c:pt idx="2220">
                  <c:v>65228</c:v>
                </c:pt>
                <c:pt idx="2221">
                  <c:v>64084</c:v>
                </c:pt>
                <c:pt idx="2222">
                  <c:v>77233</c:v>
                </c:pt>
                <c:pt idx="2223">
                  <c:v>88913</c:v>
                </c:pt>
                <c:pt idx="2224">
                  <c:v>123104</c:v>
                </c:pt>
                <c:pt idx="2225">
                  <c:v>198665</c:v>
                </c:pt>
                <c:pt idx="2226">
                  <c:v>2824595</c:v>
                </c:pt>
                <c:pt idx="2227">
                  <c:v>1441282</c:v>
                </c:pt>
                <c:pt idx="2228">
                  <c:v>367787</c:v>
                </c:pt>
                <c:pt idx="2229">
                  <c:v>209378</c:v>
                </c:pt>
                <c:pt idx="2230">
                  <c:v>151241</c:v>
                </c:pt>
                <c:pt idx="2231">
                  <c:v>122553</c:v>
                </c:pt>
                <c:pt idx="2232">
                  <c:v>122153</c:v>
                </c:pt>
                <c:pt idx="2233">
                  <c:v>126021</c:v>
                </c:pt>
                <c:pt idx="2234">
                  <c:v>81844</c:v>
                </c:pt>
                <c:pt idx="2235">
                  <c:v>55874</c:v>
                </c:pt>
                <c:pt idx="2236">
                  <c:v>48658</c:v>
                </c:pt>
                <c:pt idx="2237">
                  <c:v>43914</c:v>
                </c:pt>
                <c:pt idx="2238">
                  <c:v>42247</c:v>
                </c:pt>
                <c:pt idx="2239">
                  <c:v>37337</c:v>
                </c:pt>
                <c:pt idx="2240">
                  <c:v>34338</c:v>
                </c:pt>
                <c:pt idx="2241">
                  <c:v>29949</c:v>
                </c:pt>
                <c:pt idx="2242">
                  <c:v>27896</c:v>
                </c:pt>
                <c:pt idx="2243">
                  <c:v>26660</c:v>
                </c:pt>
                <c:pt idx="2244">
                  <c:v>26618</c:v>
                </c:pt>
                <c:pt idx="2245">
                  <c:v>27396</c:v>
                </c:pt>
                <c:pt idx="2246">
                  <c:v>24847</c:v>
                </c:pt>
                <c:pt idx="2247">
                  <c:v>21871</c:v>
                </c:pt>
                <c:pt idx="2248">
                  <c:v>21367</c:v>
                </c:pt>
                <c:pt idx="2249">
                  <c:v>20536</c:v>
                </c:pt>
                <c:pt idx="2250">
                  <c:v>20487</c:v>
                </c:pt>
                <c:pt idx="2251">
                  <c:v>20803</c:v>
                </c:pt>
                <c:pt idx="2252">
                  <c:v>19518</c:v>
                </c:pt>
                <c:pt idx="2253">
                  <c:v>18295</c:v>
                </c:pt>
                <c:pt idx="2254">
                  <c:v>18840</c:v>
                </c:pt>
                <c:pt idx="2255">
                  <c:v>18650</c:v>
                </c:pt>
                <c:pt idx="2256">
                  <c:v>18921</c:v>
                </c:pt>
                <c:pt idx="2257">
                  <c:v>18656</c:v>
                </c:pt>
                <c:pt idx="2258">
                  <c:v>17114</c:v>
                </c:pt>
                <c:pt idx="2259">
                  <c:v>19174</c:v>
                </c:pt>
                <c:pt idx="2260">
                  <c:v>18801</c:v>
                </c:pt>
                <c:pt idx="2261">
                  <c:v>37150</c:v>
                </c:pt>
                <c:pt idx="2262">
                  <c:v>36086</c:v>
                </c:pt>
                <c:pt idx="2263">
                  <c:v>21167</c:v>
                </c:pt>
                <c:pt idx="2264">
                  <c:v>18476</c:v>
                </c:pt>
                <c:pt idx="2265">
                  <c:v>18763</c:v>
                </c:pt>
                <c:pt idx="2266">
                  <c:v>18023</c:v>
                </c:pt>
                <c:pt idx="2267">
                  <c:v>27380</c:v>
                </c:pt>
                <c:pt idx="2268">
                  <c:v>20211</c:v>
                </c:pt>
                <c:pt idx="2269">
                  <c:v>18764</c:v>
                </c:pt>
                <c:pt idx="2270">
                  <c:v>17787</c:v>
                </c:pt>
                <c:pt idx="2271">
                  <c:v>17157</c:v>
                </c:pt>
                <c:pt idx="2272">
                  <c:v>16723</c:v>
                </c:pt>
                <c:pt idx="2273">
                  <c:v>20952</c:v>
                </c:pt>
                <c:pt idx="2274">
                  <c:v>18056</c:v>
                </c:pt>
                <c:pt idx="2275">
                  <c:v>16435</c:v>
                </c:pt>
                <c:pt idx="2276">
                  <c:v>17009</c:v>
                </c:pt>
                <c:pt idx="2277">
                  <c:v>16828</c:v>
                </c:pt>
                <c:pt idx="2278">
                  <c:v>18432</c:v>
                </c:pt>
                <c:pt idx="2279">
                  <c:v>16727</c:v>
                </c:pt>
                <c:pt idx="2280">
                  <c:v>17114</c:v>
                </c:pt>
                <c:pt idx="2281">
                  <c:v>14697</c:v>
                </c:pt>
                <c:pt idx="2282">
                  <c:v>15613</c:v>
                </c:pt>
                <c:pt idx="2283">
                  <c:v>18315</c:v>
                </c:pt>
                <c:pt idx="2284">
                  <c:v>18358</c:v>
                </c:pt>
                <c:pt idx="2285">
                  <c:v>16876</c:v>
                </c:pt>
                <c:pt idx="2286">
                  <c:v>17771</c:v>
                </c:pt>
                <c:pt idx="2287">
                  <c:v>15930</c:v>
                </c:pt>
                <c:pt idx="2288">
                  <c:v>17143</c:v>
                </c:pt>
                <c:pt idx="2289">
                  <c:v>35841</c:v>
                </c:pt>
                <c:pt idx="2290">
                  <c:v>22844</c:v>
                </c:pt>
                <c:pt idx="2291">
                  <c:v>17192</c:v>
                </c:pt>
                <c:pt idx="2292">
                  <c:v>16241</c:v>
                </c:pt>
                <c:pt idx="2293">
                  <c:v>16256</c:v>
                </c:pt>
                <c:pt idx="2294">
                  <c:v>16682</c:v>
                </c:pt>
                <c:pt idx="2295">
                  <c:v>15644</c:v>
                </c:pt>
                <c:pt idx="2296">
                  <c:v>15983</c:v>
                </c:pt>
                <c:pt idx="2297">
                  <c:v>16776</c:v>
                </c:pt>
                <c:pt idx="2298">
                  <c:v>15899</c:v>
                </c:pt>
                <c:pt idx="2299">
                  <c:v>18310</c:v>
                </c:pt>
                <c:pt idx="2300">
                  <c:v>18790</c:v>
                </c:pt>
                <c:pt idx="2301">
                  <c:v>18368</c:v>
                </c:pt>
                <c:pt idx="2302">
                  <c:v>16403</c:v>
                </c:pt>
                <c:pt idx="2303">
                  <c:v>16362</c:v>
                </c:pt>
                <c:pt idx="2304">
                  <c:v>17541</c:v>
                </c:pt>
                <c:pt idx="2305">
                  <c:v>18262</c:v>
                </c:pt>
                <c:pt idx="2306">
                  <c:v>15660</c:v>
                </c:pt>
                <c:pt idx="2307">
                  <c:v>14039</c:v>
                </c:pt>
                <c:pt idx="2308">
                  <c:v>13947</c:v>
                </c:pt>
                <c:pt idx="2309">
                  <c:v>13127</c:v>
                </c:pt>
                <c:pt idx="2310">
                  <c:v>13662</c:v>
                </c:pt>
                <c:pt idx="2311">
                  <c:v>16266</c:v>
                </c:pt>
                <c:pt idx="2312">
                  <c:v>18538</c:v>
                </c:pt>
                <c:pt idx="2313">
                  <c:v>18070</c:v>
                </c:pt>
                <c:pt idx="2314">
                  <c:v>17018</c:v>
                </c:pt>
                <c:pt idx="2315">
                  <c:v>13993</c:v>
                </c:pt>
                <c:pt idx="2316">
                  <c:v>12198</c:v>
                </c:pt>
                <c:pt idx="2317">
                  <c:v>12689</c:v>
                </c:pt>
                <c:pt idx="2318">
                  <c:v>25026</c:v>
                </c:pt>
                <c:pt idx="2319">
                  <c:v>22255</c:v>
                </c:pt>
                <c:pt idx="2320">
                  <c:v>25566</c:v>
                </c:pt>
                <c:pt idx="2321">
                  <c:v>20696</c:v>
                </c:pt>
                <c:pt idx="2322">
                  <c:v>16972</c:v>
                </c:pt>
                <c:pt idx="2323">
                  <c:v>14081</c:v>
                </c:pt>
                <c:pt idx="2324">
                  <c:v>17400</c:v>
                </c:pt>
                <c:pt idx="2325">
                  <c:v>15662</c:v>
                </c:pt>
                <c:pt idx="2326">
                  <c:v>13441</c:v>
                </c:pt>
                <c:pt idx="2327">
                  <c:v>14293</c:v>
                </c:pt>
                <c:pt idx="2328">
                  <c:v>13468</c:v>
                </c:pt>
                <c:pt idx="2329">
                  <c:v>17532</c:v>
                </c:pt>
                <c:pt idx="2330">
                  <c:v>17796</c:v>
                </c:pt>
                <c:pt idx="2331">
                  <c:v>16294</c:v>
                </c:pt>
                <c:pt idx="2332">
                  <c:v>15471</c:v>
                </c:pt>
                <c:pt idx="2333">
                  <c:v>17691</c:v>
                </c:pt>
                <c:pt idx="2334">
                  <c:v>19607</c:v>
                </c:pt>
                <c:pt idx="2335">
                  <c:v>21680</c:v>
                </c:pt>
                <c:pt idx="2336">
                  <c:v>17211</c:v>
                </c:pt>
                <c:pt idx="2337">
                  <c:v>14332</c:v>
                </c:pt>
                <c:pt idx="2338">
                  <c:v>13798</c:v>
                </c:pt>
                <c:pt idx="2339">
                  <c:v>20563</c:v>
                </c:pt>
                <c:pt idx="2340">
                  <c:v>16105</c:v>
                </c:pt>
                <c:pt idx="2341">
                  <c:v>31253</c:v>
                </c:pt>
              </c:numCache>
            </c:numRef>
          </c:val>
          <c:smooth val="0"/>
          <c:extLst>
            <c:ext xmlns:c16="http://schemas.microsoft.com/office/drawing/2014/chart" uri="{C3380CC4-5D6E-409C-BE32-E72D297353CC}">
              <c16:uniqueId val="{00000000-0260-42B1-8BA4-99ACA0C9C8AF}"/>
            </c:ext>
          </c:extLst>
        </c:ser>
        <c:dLbls>
          <c:showLegendKey val="0"/>
          <c:showVal val="0"/>
          <c:showCatName val="0"/>
          <c:showSerName val="0"/>
          <c:showPercent val="0"/>
          <c:showBubbleSize val="0"/>
        </c:dLbls>
        <c:smooth val="0"/>
        <c:axId val="10167816"/>
        <c:axId val="10169864"/>
      </c:lineChart>
      <c:dateAx>
        <c:axId val="10167816"/>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Dates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9864"/>
        <c:crosses val="autoZero"/>
        <c:auto val="1"/>
        <c:lblOffset val="100"/>
        <c:baseTimeUnit val="days"/>
      </c:dateAx>
      <c:valAx>
        <c:axId val="10169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Number of Visitors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7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23</xdr:row>
      <xdr:rowOff>9525</xdr:rowOff>
    </xdr:from>
    <xdr:to>
      <xdr:col>2</xdr:col>
      <xdr:colOff>904875</xdr:colOff>
      <xdr:row>39</xdr:row>
      <xdr:rowOff>0</xdr:rowOff>
    </xdr:to>
    <xdr:graphicFrame macro="">
      <xdr:nvGraphicFramePr>
        <xdr:cNvPr id="2" name="Chart 1">
          <a:extLst>
            <a:ext uri="{FF2B5EF4-FFF2-40B4-BE49-F238E27FC236}">
              <a16:creationId xmlns:a16="http://schemas.microsoft.com/office/drawing/2014/main" id="{4DF9CBB4-D200-455F-A5E4-C1854B246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800100</xdr:colOff>
      <xdr:row>58</xdr:row>
      <xdr:rowOff>95250</xdr:rowOff>
    </xdr:from>
    <xdr:to>
      <xdr:col>8</xdr:col>
      <xdr:colOff>1057275</xdr:colOff>
      <xdr:row>60</xdr:row>
      <xdr:rowOff>171450</xdr:rowOff>
    </xdr:to>
    <xdr:sp macro="" textlink="">
      <xdr:nvSpPr>
        <xdr:cNvPr id="3" name="Rounded Rectangle 2">
          <a:extLst>
            <a:ext uri="{FF2B5EF4-FFF2-40B4-BE49-F238E27FC236}">
              <a16:creationId xmlns:a16="http://schemas.microsoft.com/office/drawing/2014/main" id="{15295E04-C492-06EE-4E1D-7A0E45BD1E7D}"/>
            </a:ext>
            <a:ext uri="{147F2762-F138-4A5C-976F-8EAC2B608ADB}">
              <a16:predDERef xmlns:a16="http://schemas.microsoft.com/office/drawing/2014/main" pred="{4DF9CBB4-D200-455F-A5E4-C1854B246638}"/>
            </a:ext>
          </a:extLst>
        </xdr:cNvPr>
        <xdr:cNvSpPr/>
      </xdr:nvSpPr>
      <xdr:spPr>
        <a:xfrm>
          <a:off x="10925175" y="12068175"/>
          <a:ext cx="3686175" cy="476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Pivot Table for calculating "pages per session" for Grammys and Grammys TRA</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828675</xdr:colOff>
      <xdr:row>1</xdr:row>
      <xdr:rowOff>161925</xdr:rowOff>
    </xdr:from>
    <xdr:to>
      <xdr:col>12</xdr:col>
      <xdr:colOff>57150</xdr:colOff>
      <xdr:row>3</xdr:row>
      <xdr:rowOff>180975</xdr:rowOff>
    </xdr:to>
    <xdr:sp macro="" textlink="">
      <xdr:nvSpPr>
        <xdr:cNvPr id="2" name="Rounded Rectangle 1">
          <a:extLst>
            <a:ext uri="{FF2B5EF4-FFF2-40B4-BE49-F238E27FC236}">
              <a16:creationId xmlns:a16="http://schemas.microsoft.com/office/drawing/2014/main" id="{55EC1901-0D10-8E4E-58C6-DC342F83C3F3}"/>
            </a:ext>
          </a:extLst>
        </xdr:cNvPr>
        <xdr:cNvSpPr/>
      </xdr:nvSpPr>
      <xdr:spPr>
        <a:xfrm>
          <a:off x="11325225" y="361950"/>
          <a:ext cx="2438400" cy="419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Pivot Table for Average Daily Visitors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82.527204398146" createdVersion="8" refreshedVersion="8" minRefreshableVersion="3" recordCount="2343" xr:uid="{57ED0E11-2AF7-4934-A67C-F4A7ADA86B5F}">
  <cacheSource type="worksheet">
    <worksheetSource ref="A1:G1048576" sheet="Grammys Data"/>
  </cacheSource>
  <cacheFields count="7">
    <cacheField name="date" numFmtId="0">
      <sharedItems containsNonDate="0" containsDate="1" containsString="0" containsBlank="1" minDate="2017-01-01T00:00:00" maxDate="2023-06-01T00:00:00"/>
    </cacheField>
    <cacheField name="visitors" numFmtId="0">
      <sharedItems containsString="0" containsBlank="1" containsNumber="1" containsInteger="1" minValue="2" maxValue="3241751"/>
    </cacheField>
    <cacheField name="pageviews" numFmtId="0">
      <sharedItems containsString="0" containsBlank="1" containsNumber="1" containsInteger="1" minValue="2" maxValue="13494574"/>
    </cacheField>
    <cacheField name="sessions" numFmtId="0">
      <sharedItems containsString="0" containsBlank="1" containsNumber="1" containsInteger="1" minValue="2" maxValue="4255163"/>
    </cacheField>
    <cacheField name="bounced_sessions" numFmtId="0">
      <sharedItems containsString="0" containsBlank="1" containsNumber="1" containsInteger="1" minValue="2" maxValue="1300402"/>
    </cacheField>
    <cacheField name="avg_session_duration_secs" numFmtId="0">
      <sharedItems containsString="0" containsBlank="1" containsNumber="1" containsInteger="1" minValue="0" maxValue="411"/>
    </cacheField>
    <cacheField name="event_type" numFmtId="0">
      <sharedItems containsBlank="1" count="3">
        <s v="Regular Day"/>
        <s v="Grammy Awards"/>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82.587187152778" createdVersion="8" refreshedVersion="8" minRefreshableVersion="3" recordCount="2343" xr:uid="{6B85823B-682B-4D5F-97B8-6A6BA3232722}">
  <cacheSource type="worksheet">
    <worksheetSource ref="A1:H1048576" sheet="Grammys Data"/>
  </cacheSource>
  <cacheFields count="8">
    <cacheField name="date" numFmtId="0">
      <sharedItems containsNonDate="0" containsDate="1" containsString="0" containsBlank="1" minDate="2017-01-01T00:00:00" maxDate="2023-06-01T00:00:00"/>
    </cacheField>
    <cacheField name="visitors" numFmtId="0">
      <sharedItems containsString="0" containsBlank="1" containsNumber="1" containsInteger="1" minValue="2" maxValue="3241751"/>
    </cacheField>
    <cacheField name="pageviews" numFmtId="0">
      <sharedItems containsString="0" containsBlank="1" containsNumber="1" containsInteger="1" minValue="2" maxValue="13494574" count="2303">
        <n v="21407"/>
        <n v="25658"/>
        <n v="27062"/>
        <n v="29189"/>
        <n v="28288"/>
        <n v="28022"/>
        <n v="27491"/>
        <n v="38529"/>
        <n v="40698"/>
        <n v="33218"/>
        <n v="30704"/>
        <n v="31559"/>
        <n v="27526"/>
        <n v="27940"/>
        <n v="29109"/>
        <n v="30284"/>
        <n v="33596"/>
        <n v="36586"/>
        <n v="31964"/>
        <n v="32339"/>
        <n v="32504"/>
        <n v="42656"/>
        <n v="35936"/>
        <n v="43392"/>
        <n v="38741"/>
        <n v="35885"/>
        <n v="32563"/>
        <n v="30170"/>
        <n v="35206"/>
        <n v="45298"/>
        <n v="89209"/>
        <n v="69292"/>
        <n v="63795"/>
        <n v="54418"/>
        <n v="69341"/>
        <n v="84077"/>
        <n v="88352"/>
        <n v="122424"/>
        <n v="133884"/>
        <n v="191472"/>
        <n v="230302"/>
        <n v="346375"/>
        <n v="5406421"/>
        <n v="2926094"/>
        <n v="526079"/>
        <n v="257780"/>
        <n v="176323"/>
        <n v="137206"/>
        <n v="122892"/>
        <n v="94898"/>
        <n v="76531"/>
        <n v="67242"/>
        <n v="65302"/>
        <n v="55174"/>
        <n v="47921"/>
        <n v="49579"/>
        <n v="60222"/>
        <n v="53034"/>
        <n v="38080"/>
        <n v="33835"/>
        <n v="38318"/>
        <n v="39240"/>
        <n v="31000"/>
        <n v="29655"/>
        <n v="28074"/>
        <n v="24940"/>
        <n v="23070"/>
        <n v="23221"/>
        <n v="21259"/>
        <n v="25447"/>
        <n v="19257"/>
        <n v="19886"/>
        <n v="20742"/>
        <n v="19267"/>
        <n v="17184"/>
        <n v="15837"/>
        <n v="16195"/>
        <n v="17393"/>
        <n v="16708"/>
        <n v="21578"/>
        <n v="17646"/>
        <n v="16532"/>
        <n v="15290"/>
        <n v="14023"/>
        <n v="14420"/>
        <n v="14722"/>
        <n v="14785"/>
        <n v="15487"/>
        <n v="15014"/>
        <n v="14068"/>
        <n v="13840"/>
        <n v="15161"/>
        <n v="15386"/>
        <n v="15506"/>
        <n v="13538"/>
        <n v="13767"/>
        <n v="13052"/>
        <n v="11439"/>
        <n v="12067"/>
        <n v="12033"/>
        <n v="13225"/>
        <n v="13900"/>
        <n v="17707"/>
        <n v="17967"/>
        <n v="15271"/>
        <n v="37310"/>
        <n v="27777"/>
        <n v="20391"/>
        <n v="50045"/>
        <n v="23052"/>
        <n v="20578"/>
        <n v="14911"/>
        <n v="14772"/>
        <n v="15685"/>
        <n v="14435"/>
        <n v="14183"/>
        <n v="13680"/>
        <n v="13079"/>
        <n v="16223"/>
        <n v="14750"/>
        <n v="14731"/>
        <n v="13879"/>
        <n v="21432"/>
        <n v="17003"/>
        <n v="15453"/>
        <n v="12839"/>
        <n v="12279"/>
        <n v="13694"/>
        <n v="14439"/>
        <n v="13436"/>
        <n v="12511"/>
        <n v="12084"/>
        <n v="11498"/>
        <n v="11085"/>
        <n v="11424"/>
        <n v="11956"/>
        <n v="2493"/>
        <n v="6743"/>
        <n v="6443"/>
        <n v="5451"/>
        <n v="7596"/>
        <n v="8280"/>
        <n v="6434"/>
        <n v="6088"/>
        <n v="7003"/>
        <n v="7131"/>
        <n v="6774"/>
        <n v="12019"/>
        <n v="7122"/>
        <n v="8187"/>
        <n v="8021"/>
        <n v="6474"/>
        <n v="5890"/>
        <n v="6006"/>
        <n v="6189"/>
        <n v="8047"/>
        <n v="9770"/>
        <n v="11189"/>
        <n v="9638"/>
        <n v="8029"/>
        <n v="7389"/>
        <n v="8070"/>
        <n v="8580"/>
        <n v="8196"/>
        <n v="9445"/>
        <n v="8453"/>
        <n v="7681"/>
        <n v="6917"/>
        <n v="7482"/>
        <n v="8225"/>
        <n v="8230"/>
        <n v="8407"/>
        <n v="8053"/>
        <n v="7795"/>
        <n v="9476"/>
        <n v="9981"/>
        <n v="9714"/>
        <n v="9964"/>
        <n v="9903"/>
        <n v="9003"/>
        <n v="9049"/>
        <n v="11298"/>
        <n v="32203"/>
        <n v="24464"/>
        <n v="11251"/>
        <n v="9883"/>
        <n v="9138"/>
        <n v="8911"/>
        <n v="9016"/>
        <n v="8960"/>
        <n v="9433"/>
        <n v="10583"/>
        <n v="9053"/>
        <n v="9682"/>
        <n v="9757"/>
        <n v="9198"/>
        <n v="9840"/>
        <n v="9063"/>
        <n v="8922"/>
        <n v="10065"/>
        <n v="10223"/>
        <n v="7853"/>
        <n v="8514"/>
        <n v="8742"/>
        <n v="8973"/>
        <n v="9092"/>
        <n v="9154"/>
        <n v="8907"/>
        <n v="15138"/>
        <n v="12684"/>
        <n v="10088"/>
        <n v="9805"/>
        <n v="11135"/>
        <n v="9464"/>
        <n v="9176"/>
        <n v="8344"/>
        <n v="8486"/>
        <n v="9509"/>
        <n v="9782"/>
        <n v="9949"/>
        <n v="9061"/>
        <n v="8404"/>
        <n v="7360"/>
        <n v="7524"/>
        <n v="8659"/>
        <n v="9708"/>
        <n v="8786"/>
        <n v="9480"/>
        <n v="9980"/>
        <n v="9131"/>
        <n v="8030"/>
        <n v="8049"/>
        <n v="8969"/>
        <n v="9378"/>
        <n v="11502"/>
        <n v="8318"/>
        <n v="7030"/>
        <n v="8975"/>
        <n v="11016"/>
        <n v="10640"/>
        <n v="12859"/>
        <n v="23969"/>
        <n v="12236"/>
        <n v="14989"/>
        <n v="10915"/>
        <n v="10127"/>
        <n v="9460"/>
        <n v="10706"/>
        <n v="10516"/>
        <n v="9391"/>
        <n v="8745"/>
        <n v="8731"/>
        <n v="9635"/>
        <n v="12415"/>
        <n v="17765"/>
        <n v="14138"/>
        <n v="11905"/>
        <n v="11067"/>
        <n v="14027"/>
        <n v="14818"/>
        <n v="16371"/>
        <n v="12125"/>
        <n v="18665"/>
        <n v="15042"/>
        <n v="12882"/>
        <n v="14187"/>
        <n v="19678"/>
        <n v="25433"/>
        <n v="22289"/>
        <n v="21335"/>
        <n v="17578"/>
        <n v="19058"/>
        <n v="16586"/>
        <n v="18685"/>
        <n v="60005"/>
        <n v="159403"/>
        <n v="28073"/>
        <n v="17398"/>
        <n v="19278"/>
        <n v="18643"/>
        <n v="17693"/>
        <n v="31075"/>
        <n v="28488"/>
        <n v="20706"/>
        <n v="17176"/>
        <n v="12832"/>
        <n v="12935"/>
        <n v="17110"/>
        <n v="23347"/>
        <n v="19512"/>
        <n v="17425"/>
        <n v="30482"/>
        <n v="25629"/>
        <n v="20556"/>
        <n v="19346"/>
        <n v="17702"/>
        <n v="19449"/>
        <n v="18188"/>
        <n v="15493"/>
        <n v="13627"/>
        <n v="15074"/>
        <n v="16841"/>
        <n v="20442"/>
        <n v="16012"/>
        <n v="15316"/>
        <n v="21692"/>
        <n v="13874"/>
        <n v="16605"/>
        <n v="16315"/>
        <n v="17199"/>
        <n v="18215"/>
        <n v="16576"/>
        <n v="53728"/>
        <n v="30605"/>
        <n v="21547"/>
        <n v="20598"/>
        <n v="22197"/>
        <n v="33055"/>
        <n v="41746"/>
        <n v="31248"/>
        <n v="19518"/>
        <n v="24267"/>
        <n v="25053"/>
        <n v="21783"/>
        <n v="20360"/>
        <n v="18114"/>
        <n v="40067"/>
        <n v="31300"/>
        <n v="31854"/>
        <n v="59979"/>
        <n v="1356165"/>
        <n v="291230"/>
        <n v="130091"/>
        <n v="81894"/>
        <n v="64605"/>
        <n v="57946"/>
        <n v="57595"/>
        <n v="54728"/>
        <n v="44176"/>
        <n v="38197"/>
        <n v="35631"/>
        <n v="32535"/>
        <n v="31925"/>
        <n v="38096"/>
        <n v="35942"/>
        <n v="38030"/>
        <n v="31010"/>
        <n v="31789"/>
        <n v="29059"/>
        <n v="31423"/>
        <n v="27831"/>
        <n v="40908"/>
        <n v="35375"/>
        <n v="37403"/>
        <n v="33500"/>
        <n v="34410"/>
        <n v="33229"/>
        <n v="27092"/>
        <n v="33811"/>
        <n v="42281"/>
        <n v="47039"/>
        <n v="41543"/>
        <n v="50253"/>
        <n v="121293"/>
        <n v="46598"/>
        <n v="50586"/>
        <n v="49068"/>
        <n v="66914"/>
        <n v="58317"/>
        <n v="49765"/>
        <n v="76914"/>
        <n v="75583"/>
        <n v="67847"/>
        <n v="74447"/>
        <n v="72655"/>
        <n v="59126"/>
        <n v="56649"/>
        <n v="60700"/>
        <n v="58594"/>
        <n v="68125"/>
        <n v="94367"/>
        <n v="71147"/>
        <n v="68975"/>
        <n v="68689"/>
        <n v="105697"/>
        <n v="120459"/>
        <n v="166205"/>
        <n v="125934"/>
        <n v="188772"/>
        <n v="263485"/>
        <n v="400447"/>
        <n v="5446407"/>
        <n v="1841975"/>
        <n v="454551"/>
        <n v="221899"/>
        <n v="154508"/>
        <n v="121012"/>
        <n v="102467"/>
        <n v="83790"/>
        <n v="65429"/>
        <n v="58188"/>
        <n v="51669"/>
        <n v="45856"/>
        <n v="41945"/>
        <n v="37309"/>
        <n v="37770"/>
        <n v="32714"/>
        <n v="31984"/>
        <n v="28243"/>
        <n v="26273"/>
        <n v="24523"/>
        <n v="22603"/>
        <n v="22198"/>
        <n v="23125"/>
        <n v="22345"/>
        <n v="24313"/>
        <n v="27823"/>
        <n v="23056"/>
        <n v="21663"/>
        <n v="23188"/>
        <n v="23608"/>
        <n v="23642"/>
        <n v="22652"/>
        <n v="22484"/>
        <n v="21964"/>
        <n v="20612"/>
        <n v="30671"/>
        <n v="27105"/>
        <n v="23846"/>
        <n v="21700"/>
        <n v="36689"/>
        <n v="32319"/>
        <n v="19936"/>
        <n v="20129"/>
        <n v="22542"/>
        <n v="18902"/>
        <n v="18381"/>
        <n v="16916"/>
        <n v="15929"/>
        <n v="14987"/>
        <n v="17448"/>
        <n v="17647"/>
        <n v="17751"/>
        <n v="16460"/>
        <n v="17304"/>
        <n v="15230"/>
        <n v="18858"/>
        <n v="16236"/>
        <n v="16205"/>
        <n v="17194"/>
        <n v="16114"/>
        <n v="15037"/>
        <n v="19334"/>
        <n v="17515"/>
        <n v="14529"/>
        <n v="15752"/>
        <n v="16220"/>
        <n v="15648"/>
        <n v="17980"/>
        <n v="19798"/>
        <n v="18796"/>
        <n v="17427"/>
        <n v="19018"/>
        <n v="35926"/>
        <n v="33376"/>
        <n v="24528"/>
        <n v="20125"/>
        <n v="18419"/>
        <n v="22607"/>
        <n v="22296"/>
        <n v="21951"/>
        <n v="42159"/>
        <n v="27166"/>
        <n v="26827"/>
        <n v="26620"/>
        <n v="23655"/>
        <n v="24007"/>
        <n v="22103"/>
        <n v="21472"/>
        <n v="22733"/>
        <n v="20153"/>
        <n v="20754"/>
        <n v="19795"/>
        <n v="25173"/>
        <n v="19391"/>
        <n v="19817"/>
        <n v="18984"/>
        <n v="15934"/>
        <n v="13375"/>
        <n v="13604"/>
        <n v="20591"/>
        <n v="18736"/>
        <n v="20933"/>
        <n v="21462"/>
        <n v="52629"/>
        <n v="18952"/>
        <n v="15906"/>
        <n v="18954"/>
        <n v="30010"/>
        <n v="21813"/>
        <n v="20592"/>
        <n v="18406"/>
        <n v="17815"/>
        <n v="18618"/>
        <n v="19891"/>
        <n v="19572"/>
        <n v="15844"/>
        <n v="14690"/>
        <n v="13473"/>
        <n v="15344"/>
        <n v="15365"/>
        <n v="17419"/>
        <n v="20555"/>
        <n v="17758"/>
        <n v="16289"/>
        <n v="13248"/>
        <n v="13226"/>
        <n v="14899"/>
        <n v="14842"/>
        <n v="15810"/>
        <n v="15170"/>
        <n v="14300"/>
        <n v="27986"/>
        <n v="20506"/>
        <n v="30176"/>
        <n v="28428"/>
        <n v="17162"/>
        <n v="14019"/>
        <n v="17017"/>
        <n v="22000"/>
        <n v="16463"/>
        <n v="9858"/>
        <n v="13029"/>
        <n v="20501"/>
        <n v="14895"/>
        <n v="13361"/>
        <n v="13669"/>
        <n v="14251"/>
        <n v="14653"/>
        <n v="14784"/>
        <n v="14621"/>
        <n v="14892"/>
        <n v="91866"/>
        <n v="69493"/>
        <n v="28519"/>
        <n v="23245"/>
        <n v="46992"/>
        <n v="46183"/>
        <n v="22846"/>
        <n v="35809"/>
        <n v="34600"/>
        <n v="23675"/>
        <n v="19585"/>
        <n v="18823"/>
        <n v="18378"/>
        <n v="17576"/>
        <n v="15569"/>
        <n v="22251"/>
        <n v="23123"/>
        <n v="21344"/>
        <n v="14262"/>
        <n v="13378"/>
        <n v="14081"/>
        <n v="22115"/>
        <n v="18826"/>
        <n v="15171"/>
        <n v="13174"/>
        <n v="14910"/>
        <n v="13393"/>
        <n v="13075"/>
        <n v="12721"/>
        <n v="13757"/>
        <n v="15377"/>
        <n v="14813"/>
        <n v="13447"/>
        <n v="12808"/>
        <n v="11814"/>
        <n v="12984"/>
        <n v="11929"/>
        <n v="12945"/>
        <n v="13631"/>
        <n v="31433"/>
        <n v="22140"/>
        <n v="16046"/>
        <n v="14776"/>
        <n v="15782"/>
        <n v="15071"/>
        <n v="13865"/>
        <n v="23476"/>
        <n v="17293"/>
        <n v="14508"/>
        <n v="13394"/>
        <n v="15232"/>
        <n v="17676"/>
        <n v="14917"/>
        <n v="14272"/>
        <n v="18400"/>
        <n v="16080"/>
        <n v="15215"/>
        <n v="15578"/>
        <n v="17155"/>
        <n v="14372"/>
        <n v="13367"/>
        <n v="15053"/>
        <n v="12752"/>
        <n v="13215"/>
        <n v="13675"/>
        <n v="14242"/>
        <n v="14843"/>
        <n v="14189"/>
        <n v="12870"/>
        <n v="12271"/>
        <n v="14836"/>
        <n v="18947"/>
        <n v="45342"/>
        <n v="51866"/>
        <n v="32157"/>
        <n v="24855"/>
        <n v="16956"/>
        <n v="18299"/>
        <n v="18369"/>
        <n v="19122"/>
        <n v="22108"/>
        <n v="17922"/>
        <n v="14240"/>
        <n v="13905"/>
        <n v="15820"/>
        <n v="16927"/>
        <n v="18343"/>
        <n v="18037"/>
        <n v="15767"/>
        <n v="14105"/>
        <n v="15655"/>
        <n v="16516"/>
        <n v="17267"/>
        <n v="16801"/>
        <n v="16939"/>
        <n v="18060"/>
        <n v="14806"/>
        <n v="14551"/>
        <n v="17962"/>
        <n v="22843"/>
        <n v="22695"/>
        <n v="24788"/>
        <n v="19372"/>
        <n v="15072"/>
        <n v="15620"/>
        <n v="18164"/>
        <n v="17435"/>
        <n v="24466"/>
        <n v="27970"/>
        <n v="25714"/>
        <n v="21293"/>
        <n v="20525"/>
        <n v="24647"/>
        <n v="23469"/>
        <n v="21149"/>
        <n v="20583"/>
        <n v="19645"/>
        <n v="16872"/>
        <n v="15950"/>
        <n v="20919"/>
        <n v="19818"/>
        <n v="20528"/>
        <n v="16969"/>
        <n v="15391"/>
        <n v="16757"/>
        <n v="16957"/>
        <n v="17389"/>
        <n v="15838"/>
        <n v="15361"/>
        <n v="15312"/>
        <n v="14203"/>
        <n v="15279"/>
        <n v="16954"/>
        <n v="20119"/>
        <n v="34995"/>
        <n v="29465"/>
        <n v="18615"/>
        <n v="16901"/>
        <n v="16562"/>
        <n v="18093"/>
        <n v="14668"/>
        <n v="12263"/>
        <n v="12233"/>
        <n v="12899"/>
        <n v="14057"/>
        <n v="17785"/>
        <n v="17045"/>
        <n v="18229"/>
        <n v="22312"/>
        <n v="24996"/>
        <n v="19490"/>
        <n v="24702"/>
        <n v="27294"/>
        <n v="27024"/>
        <n v="33537"/>
        <n v="62256"/>
        <n v="1572079"/>
        <n v="440312"/>
        <n v="214665"/>
        <n v="166528"/>
        <n v="117292"/>
        <n v="95091"/>
        <n v="80658"/>
        <n v="62964"/>
        <n v="50486"/>
        <n v="49743"/>
        <n v="49407"/>
        <n v="50588"/>
        <n v="55388"/>
        <n v="44186"/>
        <n v="44597"/>
        <n v="38493"/>
        <n v="39980"/>
        <n v="31711"/>
        <n v="30036"/>
        <n v="40634"/>
        <n v="44501"/>
        <n v="39348"/>
        <n v="40028"/>
        <n v="40143"/>
        <n v="49465"/>
        <n v="38124"/>
        <n v="44342"/>
        <n v="44051"/>
        <n v="46178"/>
        <n v="37101"/>
        <n v="63585"/>
        <n v="55397"/>
        <n v="46816"/>
        <n v="55619"/>
        <n v="56375"/>
        <n v="50135"/>
        <n v="43730"/>
        <n v="55601"/>
        <n v="44739"/>
        <n v="50994"/>
        <n v="53170"/>
        <n v="88536"/>
        <n v="54681"/>
        <n v="44504"/>
        <n v="48212"/>
        <n v="49574"/>
        <n v="63960"/>
        <n v="53285"/>
        <n v="59189"/>
        <n v="51309"/>
        <n v="44203"/>
        <n v="48697"/>
        <n v="75119"/>
        <n v="63300"/>
        <n v="54759"/>
        <n v="60166"/>
        <n v="63519"/>
        <n v="61390"/>
        <n v="126660"/>
        <n v="148003"/>
        <n v="186102"/>
        <n v="186301"/>
        <n v="240734"/>
        <n v="301769"/>
        <n v="500178"/>
        <n v="13494574"/>
        <n v="3515775"/>
        <n v="1042436"/>
        <n v="1137085"/>
        <n v="509914"/>
        <n v="319546"/>
        <n v="256767"/>
        <n v="212415"/>
        <n v="151607"/>
        <n v="124452"/>
        <n v="153757"/>
        <n v="121003"/>
        <n v="102010"/>
        <n v="136496"/>
        <n v="185158"/>
        <n v="159223"/>
        <n v="88008"/>
        <n v="352906"/>
        <n v="96865"/>
        <n v="74412"/>
        <n v="59770"/>
        <n v="49948"/>
        <n v="41430"/>
        <n v="35805"/>
        <n v="34070"/>
        <n v="40576"/>
        <n v="36537"/>
        <n v="34300"/>
        <n v="54122"/>
        <n v="39271"/>
        <n v="32256"/>
        <n v="33671"/>
        <n v="38551"/>
        <n v="30525"/>
        <n v="28442"/>
        <n v="25169"/>
        <n v="28043"/>
        <n v="29004"/>
        <n v="29559"/>
        <n v="24935"/>
        <n v="22612"/>
        <n v="21927"/>
        <n v="21879"/>
        <n v="23485"/>
        <n v="26646"/>
        <n v="24409"/>
        <n v="26341"/>
        <n v="23334"/>
        <n v="23637"/>
        <n v="30396"/>
        <n v="25540"/>
        <n v="23438"/>
        <n v="25352"/>
        <n v="24098"/>
        <n v="19143"/>
        <n v="21817"/>
        <n v="23262"/>
        <n v="23381"/>
        <n v="21123"/>
        <n v="23201"/>
        <n v="31699"/>
        <n v="31514"/>
        <n v="25283"/>
        <n v="20204"/>
        <n v="21654"/>
        <n v="21371"/>
        <n v="20669"/>
        <n v="18967"/>
        <n v="18226"/>
        <n v="40847"/>
        <n v="28934"/>
        <n v="24969"/>
        <n v="19797"/>
        <n v="18761"/>
        <n v="17882"/>
        <n v="15677"/>
        <n v="15946"/>
        <n v="18374"/>
        <n v="17350"/>
        <n v="21638"/>
        <n v="22163"/>
        <n v="20158"/>
        <n v="28287"/>
        <n v="20290"/>
        <n v="20349"/>
        <n v="17483"/>
        <n v="18017"/>
        <n v="16821"/>
        <n v="14932"/>
        <n v="14281"/>
        <n v="15211"/>
        <n v="16285"/>
        <n v="17915"/>
        <n v="16651"/>
        <n v="19451"/>
        <n v="16288"/>
        <n v="14221"/>
        <n v="15855"/>
        <n v="15865"/>
        <n v="15532"/>
        <n v="15575"/>
        <n v="14604"/>
        <n v="12768"/>
        <n v="12922"/>
        <n v="16479"/>
        <n v="16027"/>
        <n v="16378"/>
        <n v="15021"/>
        <n v="15778"/>
        <n v="15236"/>
        <n v="14872"/>
        <n v="16527"/>
        <n v="16748"/>
        <n v="16837"/>
        <n v="56659"/>
        <n v="26064"/>
        <n v="17243"/>
        <n v="19221"/>
        <n v="21045"/>
        <n v="20085"/>
        <n v="28002"/>
        <n v="27064"/>
        <n v="20061"/>
        <n v="15609"/>
        <n v="14384"/>
        <n v="16328"/>
        <n v="16183"/>
        <n v="16593"/>
        <n v="21956"/>
        <n v="20373"/>
        <n v="19722"/>
        <n v="17456"/>
        <n v="18682"/>
        <n v="25187"/>
        <n v="20882"/>
        <n v="22637"/>
        <n v="18785"/>
        <n v="16665"/>
        <n v="14381"/>
        <n v="15336"/>
        <n v="15798"/>
        <n v="14952"/>
        <n v="12833"/>
        <n v="12947"/>
        <n v="20236"/>
        <n v="14362"/>
        <n v="16263"/>
        <n v="16926"/>
        <n v="15753"/>
        <n v="14423"/>
        <n v="14394"/>
        <n v="14865"/>
        <n v="3958"/>
        <n v="17422"/>
        <n v="17731"/>
        <n v="19481"/>
        <n v="26922"/>
        <n v="20217"/>
        <n v="17790"/>
        <n v="20678"/>
        <n v="18420"/>
        <n v="15746"/>
        <n v="15396"/>
        <n v="15119"/>
        <n v="19368"/>
        <n v="7773"/>
        <n v="16330"/>
        <n v="17639"/>
        <n v="15866"/>
        <n v="13134"/>
        <n v="14563"/>
        <n v="17279"/>
        <n v="16524"/>
        <n v="15004"/>
        <n v="20165"/>
        <n v="20305"/>
        <n v="17348"/>
        <n v="14656"/>
        <n v="24391"/>
        <n v="29473"/>
        <n v="16952"/>
        <n v="15960"/>
        <n v="15525"/>
        <n v="13362"/>
        <n v="13295"/>
        <n v="13995"/>
        <n v="14888"/>
        <n v="12687"/>
        <n v="11245"/>
        <n v="9968"/>
        <n v="9739"/>
        <n v="12085"/>
        <n v="12225"/>
        <n v="23256"/>
        <n v="18124"/>
        <n v="15938"/>
        <n v="18583"/>
        <n v="17877"/>
        <n v="12655"/>
        <n v="12519"/>
        <n v="13732"/>
        <n v="30424"/>
        <n v="14380"/>
        <n v="13005"/>
        <n v="13048"/>
        <n v="11633"/>
        <n v="17449"/>
        <n v="13777"/>
        <n v="21594"/>
        <n v="27025"/>
        <n v="22900"/>
        <n v="17913"/>
        <n v="13382"/>
        <n v="13050"/>
        <n v="12770"/>
        <n v="13531"/>
        <n v="13843"/>
        <n v="18192"/>
        <n v="17078"/>
        <n v="34492"/>
        <n v="28921"/>
        <n v="25131"/>
        <n v="20939"/>
        <n v="17859"/>
        <n v="16852"/>
        <n v="17360"/>
        <n v="17328"/>
        <n v="16876"/>
        <n v="17068"/>
        <n v="16908"/>
        <n v="20098"/>
        <n v="23729"/>
        <n v="27229"/>
        <n v="25420"/>
        <n v="21194"/>
        <n v="19320"/>
        <n v="15829"/>
        <n v="15343"/>
        <n v="16675"/>
        <n v="15872"/>
        <n v="15477"/>
        <n v="14896"/>
        <n v="15268"/>
        <n v="14128"/>
        <n v="14163"/>
        <n v="15819"/>
        <n v="17285"/>
        <n v="13491"/>
        <n v="15149"/>
        <n v="16098"/>
        <n v="13729"/>
        <n v="12702"/>
        <n v="13755"/>
        <n v="14605"/>
        <n v="13093"/>
        <n v="11073"/>
        <n v="13369"/>
        <n v="12735"/>
        <n v="14736"/>
        <n v="14584"/>
        <n v="14928"/>
        <n v="14923"/>
        <n v="14168"/>
        <n v="12936"/>
        <n v="14059"/>
        <n v="15736"/>
        <n v="17844"/>
        <n v="22758"/>
        <n v="47951"/>
        <n v="40709"/>
        <n v="30222"/>
        <n v="23757"/>
        <n v="32224"/>
        <n v="167996"/>
        <n v="1648239"/>
        <n v="391840"/>
        <n v="159397"/>
        <n v="112196"/>
        <n v="121816"/>
        <n v="122232"/>
        <n v="104900"/>
        <n v="114200"/>
        <n v="66015"/>
        <n v="50691"/>
        <n v="45503"/>
        <n v="37584"/>
        <n v="34416"/>
        <n v="34005"/>
        <n v="36077"/>
        <n v="36047"/>
        <n v="32791"/>
        <n v="27406"/>
        <n v="30991"/>
        <n v="38792"/>
        <n v="38603"/>
        <n v="33978"/>
        <n v="30602"/>
        <n v="29799"/>
        <n v="27880"/>
        <n v="27595"/>
        <n v="26803"/>
        <n v="28747"/>
        <n v="26936"/>
        <n v="26561"/>
        <n v="25199"/>
        <n v="23174"/>
        <n v="23614"/>
        <n v="23477"/>
        <n v="21327"/>
        <n v="20952"/>
        <n v="23630"/>
        <n v="23795"/>
        <n v="24097"/>
        <n v="26428"/>
        <n v="27361"/>
        <n v="37027"/>
        <n v="26293"/>
        <n v="30007"/>
        <n v="29158"/>
        <n v="29467"/>
        <n v="42773"/>
        <n v="46393"/>
        <n v="41006"/>
        <n v="60557"/>
        <n v="46770"/>
        <n v="39093"/>
        <n v="51048"/>
        <n v="48803"/>
        <n v="49624"/>
        <n v="75105"/>
        <n v="86819"/>
        <n v="60485"/>
        <n v="55752"/>
        <n v="50430"/>
        <n v="79862"/>
        <n v="71863"/>
        <n v="91734"/>
        <n v="130932"/>
        <n v="245647"/>
        <n v="209696"/>
        <n v="304052"/>
        <n v="6688450"/>
        <n v="2837611"/>
        <n v="741599"/>
        <n v="352986"/>
        <n v="217120"/>
        <n v="190538"/>
        <n v="160279"/>
        <n v="145051"/>
        <n v="117792"/>
        <n v="76752"/>
        <n v="59957"/>
        <n v="55270"/>
        <n v="50920"/>
        <n v="49920"/>
        <n v="94059"/>
        <n v="105695"/>
        <n v="53623"/>
        <n v="44242"/>
        <n v="37863"/>
        <n v="37498"/>
        <n v="38672"/>
        <n v="43729"/>
        <n v="50771"/>
        <n v="34840"/>
        <n v="33734"/>
        <n v="28565"/>
        <n v="28083"/>
        <n v="67710"/>
        <n v="41266"/>
        <n v="37848"/>
        <n v="27990"/>
        <n v="25466"/>
        <n v="30779"/>
        <n v="28951"/>
        <n v="31915"/>
        <n v="28553"/>
        <n v="25174"/>
        <n v="21840"/>
        <n v="25415"/>
        <n v="25816"/>
        <n v="22707"/>
        <n v="21999"/>
        <n v="20817"/>
        <n v="19590"/>
        <n v="21118"/>
        <n v="19998"/>
        <n v="17624"/>
        <n v="16851"/>
        <n v="16713"/>
        <n v="15447"/>
        <n v="15387"/>
        <n v="16372"/>
        <n v="17298"/>
        <n v="17323"/>
        <n v="16987"/>
        <n v="18264"/>
        <n v="16473"/>
        <n v="17714"/>
        <n v="18239"/>
        <n v="19976"/>
        <n v="18809"/>
        <n v="19066"/>
        <n v="19145"/>
        <n v="21582"/>
        <n v="26030"/>
        <n v="24232"/>
        <n v="21916"/>
        <n v="22465"/>
        <n v="20446"/>
        <n v="20032"/>
        <n v="22036"/>
        <n v="32583"/>
        <n v="24826"/>
        <n v="41731"/>
        <n v="66116"/>
        <n v="41875"/>
        <n v="37028"/>
        <n v="30853"/>
        <n v="27991"/>
        <n v="31949"/>
        <n v="33662"/>
        <n v="35680"/>
        <n v="29453"/>
        <n v="31876"/>
        <n v="84543"/>
        <n v="67713"/>
        <n v="68731"/>
        <n v="48940"/>
        <n v="54324"/>
        <n v="42570"/>
        <n v="30360"/>
        <n v="27741"/>
        <n v="28566"/>
        <n v="26856"/>
        <n v="25436"/>
        <n v="23845"/>
        <n v="24951"/>
        <n v="35919"/>
        <n v="44704"/>
        <n v="41383"/>
        <n v="37348"/>
        <n v="36676"/>
        <n v="33186"/>
        <n v="33614"/>
        <n v="32518"/>
        <n v="34197"/>
        <n v="39684"/>
        <n v="40751"/>
        <n v="37936"/>
        <n v="33729"/>
        <n v="32873"/>
        <n v="32037"/>
        <n v="34488"/>
        <n v="34716"/>
        <n v="33561"/>
        <n v="30077"/>
        <n v="28483"/>
        <n v="29415"/>
        <n v="48552"/>
        <n v="44770"/>
        <n v="35983"/>
        <n v="37088"/>
        <n v="35284"/>
        <n v="29880"/>
        <n v="28598"/>
        <n v="23992"/>
        <n v="26006"/>
        <n v="45073"/>
        <n v="84975"/>
        <n v="34355"/>
        <n v="28845"/>
        <n v="34801"/>
        <n v="41381"/>
        <n v="53417"/>
        <n v="43314"/>
        <n v="37740"/>
        <n v="31078"/>
        <n v="28864"/>
        <n v="38959"/>
        <n v="39155"/>
        <n v="38691"/>
        <n v="40393"/>
        <n v="42255"/>
        <n v="52223"/>
        <n v="47797"/>
        <n v="52348"/>
        <n v="43860"/>
        <n v="40684"/>
        <n v="37499"/>
        <n v="34472"/>
        <n v="32023"/>
        <n v="36420"/>
        <n v="45409"/>
        <n v="56582"/>
        <n v="42994"/>
        <n v="33232"/>
        <n v="30603"/>
        <n v="28733"/>
        <n v="29572"/>
        <n v="35569"/>
        <n v="31629"/>
        <n v="60872"/>
        <n v="38811"/>
        <n v="28987"/>
        <n v="26435"/>
        <n v="25318"/>
        <n v="26365"/>
        <n v="27524"/>
        <n v="28213"/>
        <n v="27360"/>
        <n v="32114"/>
        <n v="27987"/>
        <n v="29618"/>
        <n v="29030"/>
        <n v="31519"/>
        <n v="31411"/>
        <n v="35867"/>
        <n v="32744"/>
        <n v="30466"/>
        <n v="28503"/>
        <n v="29142"/>
        <n v="30388"/>
        <n v="33459"/>
        <n v="39715"/>
        <n v="32087"/>
        <n v="28577"/>
        <n v="27637"/>
        <n v="28168"/>
        <n v="27217"/>
        <n v="26982"/>
        <n v="28705"/>
        <n v="28365"/>
        <n v="31331"/>
        <n v="27194"/>
        <n v="27626"/>
        <n v="28015"/>
        <n v="28978"/>
        <n v="34109"/>
        <n v="31522"/>
        <n v="26650"/>
        <n v="32584"/>
        <n v="34144"/>
        <n v="29941"/>
        <n v="30874"/>
        <n v="40386"/>
        <n v="99296"/>
        <n v="54059"/>
        <n v="47142"/>
        <n v="36209"/>
        <n v="32245"/>
        <n v="29901"/>
        <n v="28378"/>
        <n v="28805"/>
        <n v="29594"/>
        <n v="43533"/>
        <n v="49997"/>
        <n v="44794"/>
        <n v="47134"/>
        <n v="48723"/>
        <n v="44844"/>
        <n v="35989"/>
        <n v="34324"/>
        <n v="32470"/>
        <n v="30171"/>
        <n v="41787"/>
        <n v="42931"/>
        <n v="35094"/>
        <n v="30172"/>
        <n v="30457"/>
        <n v="32163"/>
        <n v="31054"/>
        <n v="38227"/>
        <n v="37859"/>
        <n v="382632"/>
        <n v="166622"/>
        <n v="93627"/>
        <n v="70581"/>
        <n v="63629"/>
        <n v="46667"/>
        <n v="52409"/>
        <n v="66274"/>
        <n v="58412"/>
        <n v="42013"/>
        <n v="44509"/>
        <n v="146462"/>
        <n v="91877"/>
        <n v="76997"/>
        <n v="67067"/>
        <n v="51979"/>
        <n v="45997"/>
        <n v="44417"/>
        <n v="52151"/>
        <n v="71687"/>
        <n v="58043"/>
        <n v="46936"/>
        <n v="39559"/>
        <n v="40992"/>
        <n v="53377"/>
        <n v="43879"/>
        <n v="43410"/>
        <n v="41694"/>
        <n v="44842"/>
        <n v="37718"/>
        <n v="34564"/>
        <n v="34833"/>
        <n v="33673"/>
        <n v="66396"/>
        <n v="48598"/>
        <n v="38755"/>
        <n v="37695"/>
        <n v="34580"/>
        <n v="53516"/>
        <n v="39791"/>
        <n v="43393"/>
        <n v="38305"/>
        <n v="32898"/>
        <n v="24495"/>
        <n v="27731"/>
        <n v="29404"/>
        <n v="26426"/>
        <n v="27232"/>
        <n v="28090"/>
        <n v="25767"/>
        <n v="26410"/>
        <n v="34866"/>
        <n v="33261"/>
        <n v="33553"/>
        <n v="35501"/>
        <n v="30687"/>
        <n v="30682"/>
        <n v="32326"/>
        <n v="41662"/>
        <n v="51792"/>
        <n v="50872"/>
        <n v="106845"/>
        <n v="75620"/>
        <n v="48028"/>
        <n v="60680"/>
        <n v="140266"/>
        <n v="4148435"/>
        <n v="1441502"/>
        <n v="505559"/>
        <n v="283121"/>
        <n v="227719"/>
        <n v="189935"/>
        <n v="194194"/>
        <n v="163418"/>
        <n v="137753"/>
        <n v="107078"/>
        <n v="99890"/>
        <n v="87082"/>
        <n v="87619"/>
        <n v="96172"/>
        <n v="90214"/>
        <n v="83490"/>
        <n v="92506"/>
        <n v="97289"/>
        <n v="77135"/>
        <n v="68666"/>
        <n v="68981"/>
        <n v="103196"/>
        <n v="79662"/>
        <n v="72926"/>
        <n v="68546"/>
        <n v="60462"/>
        <n v="64112"/>
        <n v="60128"/>
        <n v="59146"/>
        <n v="52727"/>
        <n v="44714"/>
        <n v="42606"/>
        <n v="53539"/>
        <n v="59573"/>
        <n v="67685"/>
        <n v="70736"/>
        <n v="84979"/>
        <n v="104198"/>
        <n v="73036"/>
        <n v="72572"/>
        <n v="97686"/>
        <n v="111180"/>
        <n v="134845"/>
        <n v="89142"/>
        <n v="101276"/>
        <n v="84378"/>
        <n v="61814"/>
        <n v="58413"/>
        <n v="58685"/>
        <n v="110033"/>
        <n v="73050"/>
        <n v="56357"/>
        <n v="52345"/>
        <n v="68794"/>
        <n v="59273"/>
        <n v="56048"/>
        <n v="62492"/>
        <n v="73428"/>
        <n v="66901"/>
        <n v="55672"/>
        <n v="50255"/>
        <n v="54100"/>
        <n v="61356"/>
        <n v="64845"/>
        <n v="61156"/>
        <n v="62821"/>
        <n v="66109"/>
        <n v="75401"/>
        <n v="88713"/>
        <n v="74128"/>
        <n v="65706"/>
        <n v="73039"/>
        <n v="65509"/>
        <n v="66410"/>
        <n v="63643"/>
        <n v="86636"/>
        <n v="78679"/>
        <n v="69823"/>
        <n v="74597"/>
        <n v="73269"/>
        <n v="62657"/>
        <n v="78489"/>
        <n v="54855"/>
        <n v="61121"/>
        <n v="82037"/>
        <n v="74326"/>
        <n v="79060"/>
        <n v="77273"/>
        <n v="73759"/>
        <n v="77081"/>
        <n v="91137"/>
        <n v="82465"/>
        <n v="84093"/>
        <n v="92221"/>
        <n v="97920"/>
        <n v="76732"/>
        <n v="109205"/>
        <n v="128453"/>
        <n v="145950"/>
        <n v="162861"/>
        <n v="189496"/>
        <n v="183052"/>
        <n v="187155"/>
        <n v="1115885"/>
        <n v="652820"/>
        <n v="524922"/>
        <n v="507277"/>
        <n v="607396"/>
        <n v="958929"/>
        <n v="1393434"/>
        <n v="8182910"/>
        <n v="812061"/>
        <n v="1077837"/>
        <n v="767342"/>
        <n v="497278"/>
        <n v="394333"/>
        <n v="273866"/>
        <n v="195150"/>
        <n v="155519"/>
        <n v="126309"/>
        <n v="112012"/>
        <n v="110626"/>
        <n v="103938"/>
        <n v="79078"/>
        <n v="76808"/>
        <n v="73935"/>
        <n v="72635"/>
        <n v="77430"/>
        <n v="75574"/>
        <n v="65835"/>
        <n v="60600"/>
        <n v="55530"/>
        <n v="53494"/>
        <n v="53140"/>
        <n v="50761"/>
        <n v="52622"/>
        <n v="50349"/>
        <n v="41628"/>
        <n v="40486"/>
        <n v="45187"/>
        <n v="44086"/>
        <n v="41598"/>
        <n v="43446"/>
        <n v="41595"/>
        <n v="38317"/>
        <n v="36750"/>
        <n v="44808"/>
        <n v="44591"/>
        <n v="40237"/>
        <n v="39483"/>
        <n v="48969"/>
        <n v="50866"/>
        <n v="59096"/>
        <n v="66310"/>
        <n v="47810"/>
        <n v="46269"/>
        <n v="40180"/>
        <n v="44062"/>
        <n v="39628"/>
        <n v="37451"/>
        <n v="40817"/>
        <n v="39030"/>
        <n v="36675"/>
        <n v="35707"/>
        <n v="34128"/>
        <n v="31694"/>
        <n v="40232"/>
        <n v="41665"/>
        <n v="36872"/>
        <n v="33973"/>
        <n v="33005"/>
        <n v="27774"/>
        <n v="29617"/>
        <n v="31251"/>
        <n v="33123"/>
        <n v="31983"/>
        <n v="32219"/>
        <n v="32337"/>
        <n v="33611"/>
        <n v="34816"/>
        <n v="30591"/>
        <n v="65080"/>
        <n v="42916"/>
        <n v="35235"/>
        <n v="29265"/>
        <n v="58234"/>
        <n v="42693"/>
        <n v="46403"/>
        <n v="49256"/>
        <n v="38476"/>
        <n v="35236"/>
        <n v="32828"/>
        <n v="30073"/>
        <n v="32246"/>
        <n v="41135"/>
        <n v="34375"/>
        <n v="33348"/>
        <n v="29449"/>
        <n v="25328"/>
        <n v="25142"/>
        <n v="26251"/>
        <n v="26364"/>
        <n v="25801"/>
        <n v="26380"/>
        <n v="25481"/>
        <n v="23833"/>
        <n v="23148"/>
        <n v="26057"/>
        <n v="26440"/>
        <n v="31614"/>
        <n v="28605"/>
        <n v="25275"/>
        <n v="23432"/>
        <n v="25513"/>
        <n v="27499"/>
        <n v="25271"/>
        <n v="24530"/>
        <n v="30956"/>
        <n v="36769"/>
        <n v="26980"/>
        <n v="25966"/>
        <n v="28142"/>
        <n v="25828"/>
        <n v="24186"/>
        <n v="25739"/>
        <n v="22005"/>
        <n v="21877"/>
        <n v="25176"/>
        <n v="33679"/>
        <n v="32961"/>
        <n v="30250"/>
        <n v="32725"/>
        <n v="30213"/>
        <n v="27277"/>
        <n v="35532"/>
        <n v="33719"/>
        <n v="18603"/>
        <n v="30600"/>
        <n v="28253"/>
        <n v="24739"/>
        <n v="25969"/>
        <n v="31585"/>
        <n v="36888"/>
        <n v="42911"/>
        <n v="39597"/>
        <n v="34359"/>
        <n v="31618"/>
        <n v="30929"/>
        <n v="31250"/>
        <n v="39430"/>
        <n v="34044"/>
        <n v="27054"/>
        <n v="24571"/>
        <n v="22430"/>
        <n v="22720"/>
        <n v="24965"/>
        <n v="24367"/>
        <n v="26681"/>
        <n v="28001"/>
        <n v="25148"/>
        <n v="24175"/>
        <n v="21825"/>
        <n v="23446"/>
        <n v="23157"/>
        <n v="25920"/>
        <n v="25385"/>
        <n v="30807"/>
        <n v="31126"/>
        <n v="31394"/>
        <n v="32042"/>
        <n v="30681"/>
        <n v="35499"/>
        <n v="35329"/>
        <n v="36847"/>
        <n v="38287"/>
        <n v="37492"/>
        <n v="35892"/>
        <n v="35607"/>
        <n v="36624"/>
        <n v="27666"/>
        <n v="28619"/>
        <n v="27159"/>
        <n v="27603"/>
        <n v="32688"/>
        <n v="32630"/>
        <n v="36628"/>
        <n v="33080"/>
        <n v="34798"/>
        <n v="29580"/>
        <n v="29587"/>
        <n v="33949"/>
        <n v="28797"/>
        <n v="24550"/>
        <n v="29350"/>
        <n v="32283"/>
        <n v="38478"/>
        <n v="33573"/>
        <n v="33634"/>
        <n v="28007"/>
        <n v="23427"/>
        <n v="22886"/>
        <n v="26086"/>
        <n v="38685"/>
        <n v="49236"/>
        <n v="40690"/>
        <n v="29437"/>
        <n v="25539"/>
        <n v="25036"/>
        <n v="26259"/>
        <n v="33093"/>
        <n v="30017"/>
        <n v="27328"/>
        <n v="25515"/>
        <n v="22116"/>
        <n v="23723"/>
        <n v="23689"/>
        <n v="27160"/>
        <n v="28787"/>
        <n v="29659"/>
        <n v="25070"/>
        <n v="28575"/>
        <n v="25133"/>
        <n v="25811"/>
        <n v="34142"/>
        <n v="31283"/>
        <n v="43595"/>
        <n v="46855"/>
        <n v="44120"/>
        <n v="39782"/>
        <n v="49262"/>
        <n v="41932"/>
        <n v="38216"/>
        <n v="35107"/>
        <n v="29653"/>
        <n v="27284"/>
        <n v="32774"/>
        <n v="34777"/>
        <n v="40260"/>
        <n v="39601"/>
        <n v="28301"/>
        <n v="27108"/>
        <n v="30646"/>
        <n v="37060"/>
        <n v="33961"/>
        <n v="33307"/>
        <n v="35006"/>
        <n v="31787"/>
        <n v="33316"/>
        <n v="34870"/>
        <n v="35957"/>
        <n v="37176"/>
        <n v="49787"/>
        <n v="42481"/>
        <n v="32215"/>
        <n v="45972"/>
        <n v="89115"/>
        <n v="1894717"/>
        <n v="711688"/>
        <n v="258031"/>
        <n v="179326"/>
        <n v="132900"/>
        <n v="120251"/>
        <n v="108988"/>
        <n v="88931"/>
        <n v="84789"/>
        <n v="73000"/>
        <n v="63092"/>
        <n v="55453"/>
        <n v="59475"/>
        <n v="81820"/>
        <n v="78539"/>
        <n v="62197"/>
        <n v="53624"/>
        <n v="50142"/>
        <n v="47839"/>
        <n v="43194"/>
        <n v="40012"/>
        <n v="38662"/>
        <n v="35502"/>
        <n v="33898"/>
        <n v="34366"/>
        <n v="34547"/>
        <n v="34327"/>
        <n v="33995"/>
        <n v="33070"/>
        <n v="29762"/>
        <n v="28706"/>
        <n v="34337"/>
        <n v="35186"/>
        <n v="39175"/>
        <n v="39992"/>
        <n v="44054"/>
        <n v="59931"/>
        <n v="46877"/>
        <n v="45582"/>
        <n v="49216"/>
        <n v="65614"/>
        <n v="93767"/>
        <n v="76172"/>
        <n v="53763"/>
        <n v="45869"/>
        <n v="43870"/>
        <n v="47148"/>
        <n v="44172"/>
        <n v="44288"/>
        <n v="37789"/>
        <n v="37322"/>
        <n v="35844"/>
        <n v="37128"/>
        <n v="47815"/>
        <n v="57248"/>
        <n v="51902"/>
        <n v="50163"/>
        <n v="47663"/>
        <n v="41634"/>
        <n v="40899"/>
        <n v="42219"/>
        <n v="44387"/>
        <n v="37956"/>
        <n v="2"/>
        <n v="79160"/>
        <n v="79095"/>
        <n v="81186"/>
        <n v="92863"/>
        <n v="74033"/>
        <n v="43642"/>
        <n v="44147"/>
        <n v="35046"/>
        <n v="34397"/>
        <n v="37993"/>
        <n v="69727"/>
        <n v="61007"/>
        <n v="51566"/>
        <n v="44579"/>
        <n v="51628"/>
        <n v="29185"/>
        <n v="28356"/>
        <n v="33813"/>
        <n v="26957"/>
        <n v="23038"/>
        <n v="19607"/>
        <n v="22723"/>
        <n v="22226"/>
        <n v="25600"/>
        <n v="25088"/>
        <n v="20261"/>
        <n v="31104"/>
        <n v="25252"/>
        <n v="23380"/>
        <n v="22474"/>
        <n v="21191"/>
        <n v="23165"/>
        <n v="26558"/>
        <n v="33121"/>
        <n v="31479"/>
        <n v="28828"/>
        <n v="31321"/>
        <n v="29520"/>
        <n v="28081"/>
        <n v="30453"/>
        <n v="29701"/>
        <n v="29527"/>
        <n v="33107"/>
        <n v="48843"/>
        <n v="106667"/>
        <n v="60009"/>
        <n v="57572"/>
        <n v="65859"/>
        <n v="77684"/>
        <n v="83321"/>
        <n v="81304"/>
        <n v="103033"/>
        <n v="95806"/>
        <n v="90676"/>
        <n v="94117"/>
        <n v="104183"/>
        <n v="238268"/>
        <n v="289065"/>
        <n v="282285"/>
        <n v="282865"/>
        <n v="232120"/>
        <n v="318102"/>
        <n v="624465"/>
        <n v="7344507"/>
        <n v="2168600"/>
        <n v="592457"/>
        <n v="327200"/>
        <n v="259527"/>
        <n v="210139"/>
        <n v="172244"/>
        <n v="143400"/>
        <n v="118990"/>
        <n v="98622"/>
        <n v="88367"/>
        <n v="79681"/>
        <n v="75580"/>
        <n v="71235"/>
        <n v="69707"/>
        <n v="66029"/>
        <n v="62994"/>
        <n v="63492"/>
        <n v="72875"/>
        <n v="57706"/>
        <n v="51852"/>
        <n v="51040"/>
        <n v="49883"/>
        <n v="51535"/>
        <n v="45732"/>
        <n v="48700"/>
        <n v="45345"/>
        <n v="41477"/>
        <n v="41240"/>
        <n v="43453"/>
        <n v="45328"/>
        <n v="45357"/>
        <n v="40225"/>
        <n v="39910"/>
        <n v="35937"/>
        <n v="38904"/>
        <n v="39983"/>
        <n v="37711"/>
        <n v="36679"/>
        <n v="40027"/>
        <n v="42160"/>
        <n v="39169"/>
        <n v="40322"/>
        <n v="41167"/>
        <n v="37590"/>
        <n v="37459"/>
        <n v="43958"/>
        <n v="39785"/>
        <n v="35273"/>
        <n v="37405"/>
        <n v="36342"/>
        <n v="35444"/>
        <n v="36436"/>
        <n v="36196"/>
        <n v="43271"/>
        <n v="29792"/>
        <n v="29366"/>
        <n v="32368"/>
        <n v="30743"/>
        <n v="32659"/>
        <n v="32029"/>
        <n v="29514"/>
        <n v="27349"/>
        <n v="28516"/>
        <n v="29847"/>
        <n v="29405"/>
        <n v="43318"/>
        <n v="58460"/>
        <n v="82355"/>
        <n v="64873"/>
        <n v="39700"/>
        <n v="37355"/>
        <n v="35065"/>
        <n v="38634"/>
        <n v="37291"/>
        <n v="31116"/>
        <n v="31183"/>
        <n v="32816"/>
        <n v="31781"/>
        <n v="30214"/>
        <n v="29122"/>
        <n v="26523"/>
        <n v="23664"/>
        <n v="26986"/>
        <n v="28034"/>
        <n v="27279"/>
        <n v="57994"/>
        <n v="35566"/>
        <n v="30283"/>
        <n v="32510"/>
        <n v="30864"/>
        <n v="28977"/>
        <n v="38460"/>
        <n v="36118"/>
        <n v="30984"/>
        <n v="25615"/>
        <n v="24668"/>
        <n v="34317"/>
        <n v="35827"/>
        <n v="32762"/>
        <n v="33933"/>
        <n v="43295"/>
        <n v="38393"/>
        <n v="34175"/>
        <n v="23667"/>
        <n v="13952"/>
        <n v="14172"/>
        <n v="21857"/>
        <n v="31363"/>
        <n v="27433"/>
        <n v="26081"/>
        <n v="26890"/>
        <n v="28876"/>
        <n v="58870"/>
        <n v="50883"/>
        <n v="30358"/>
        <n v="26386"/>
        <n v="27681"/>
        <n v="28465"/>
        <n v="29553"/>
        <n v="30852"/>
        <n v="30836"/>
        <n v="30885"/>
        <n v="29087"/>
        <n v="33043"/>
        <n v="38040"/>
        <n v="37196"/>
        <n v="28181"/>
        <n v="29614"/>
        <n v="37303"/>
        <n v="34538"/>
        <n v="29417"/>
        <n v="43773"/>
        <n v="36501"/>
        <n v="33625"/>
        <n v="32375"/>
        <n v="33882"/>
        <n v="30359"/>
        <n v="29389"/>
        <n v="33078"/>
        <n v="30045"/>
        <n v="53721"/>
        <n v="44169"/>
        <n v="41191"/>
        <n v="37216"/>
        <n v="45154"/>
        <n v="38697"/>
        <n v="35815"/>
        <n v="34183"/>
        <n v="32010"/>
        <n v="29167"/>
        <n v="38673"/>
        <n v="35491"/>
        <n v="33333"/>
        <n v="32380"/>
        <n v="28366"/>
        <n v="31668"/>
        <n v="29441"/>
        <n v="30299"/>
        <n v="36708"/>
        <n v="42043"/>
        <n v="33644"/>
        <n v="34872"/>
        <n v="32761"/>
        <n v="30167"/>
        <n v="35402"/>
        <n v="74195"/>
        <n v="59741"/>
        <n v="42621"/>
        <n v="37637"/>
        <n v="46625"/>
        <n v="53094"/>
        <n v="51900"/>
        <n v="44098"/>
        <n v="39640"/>
        <n v="39594"/>
        <n v="35978"/>
        <n v="31322"/>
        <n v="37142"/>
        <n v="38577"/>
        <n v="39832"/>
        <n v="38588"/>
        <n v="55519"/>
        <n v="47255"/>
        <n v="40562"/>
        <n v="41338"/>
        <n v="47122"/>
        <n v="83584"/>
        <n v="59672"/>
        <n v="141745"/>
        <n v="143591"/>
        <n v="66405"/>
        <n v="52203"/>
        <n v="58032"/>
        <n v="54669"/>
        <n v="52953"/>
        <n v="48990"/>
        <n v="47998"/>
        <n v="46969"/>
        <n v="51782"/>
        <n v="47745"/>
        <n v="49519"/>
        <n v="45469"/>
        <n v="47746"/>
        <n v="31928"/>
        <n v="32000"/>
        <n v="32259"/>
        <n v="45109"/>
        <n v="39489"/>
        <n v="52944"/>
        <n v="50056"/>
        <n v="38348"/>
        <n v="40010"/>
        <n v="42529"/>
        <n v="45165"/>
        <n v="50822"/>
        <n v="42447"/>
        <n v="45859"/>
        <n v="76192"/>
        <n v="2214758"/>
        <n v="953774"/>
        <n v="600706"/>
        <n v="493115"/>
        <n v="254046"/>
        <n v="207070"/>
        <n v="168846"/>
        <n v="117676"/>
        <n v="91795"/>
        <n v="80112"/>
        <n v="66840"/>
        <n v="65996"/>
        <n v="64245"/>
        <n v="60742"/>
        <n v="58374"/>
        <n v="63867"/>
        <n v="59598"/>
        <n v="61174"/>
        <n v="55246"/>
        <n v="55274"/>
        <n v="60209"/>
        <n v="57761"/>
        <n v="57154"/>
        <n v="57811"/>
        <n v="49007"/>
        <n v="46423"/>
        <n v="44295"/>
        <n v="48112"/>
        <n v="46308"/>
        <n v="49148"/>
        <n v="49132"/>
        <n v="45907"/>
        <n v="42439"/>
        <n v="44035"/>
        <n v="43078"/>
        <n v="44573"/>
        <n v="92235"/>
        <n v="67667"/>
        <n v="50345"/>
        <n v="36722"/>
        <n v="41674"/>
        <n v="43657"/>
        <n v="53209"/>
        <n v="50427"/>
        <n v="51678"/>
        <n v="71840"/>
        <n v="60374"/>
        <n v="56678"/>
        <n v="60912"/>
        <n v="74166"/>
        <n v="86444"/>
        <n v="66397"/>
        <n v="58042"/>
        <n v="65539"/>
        <n v="64106"/>
        <n v="80496"/>
        <n v="86980"/>
        <n v="74991"/>
        <n v="69538"/>
        <n v="62570"/>
        <n v="68642"/>
        <n v="64038"/>
        <n v="145866"/>
        <n v="170210"/>
        <n v="183587"/>
        <n v="125693"/>
        <n v="64786"/>
        <n v="103388"/>
        <n v="81100"/>
        <n v="115557"/>
        <n v="140288"/>
        <n v="113561"/>
        <n v="99612"/>
        <n v="92595"/>
        <n v="173982"/>
        <n v="152244"/>
        <n v="146379"/>
        <n v="178624"/>
        <n v="203918"/>
        <n v="291271"/>
        <n v="483438"/>
        <n v="7895521"/>
        <n v="3390650"/>
        <n v="836729"/>
        <n v="473098"/>
        <n v="330990"/>
        <n v="275305"/>
        <n v="273913"/>
        <n v="260762"/>
        <n v="162329"/>
        <n v="109908"/>
        <n v="98360"/>
        <n v="87613"/>
        <n v="85376"/>
        <n v="75567"/>
        <n v="69655"/>
        <n v="59554"/>
        <n v="55157"/>
        <n v="51730"/>
        <n v="51344"/>
        <n v="53956"/>
        <n v="50086"/>
        <n v="43844"/>
        <n v="41234"/>
        <n v="40037"/>
        <n v="38927"/>
        <n v="39818"/>
        <n v="37294"/>
        <n v="35962"/>
        <n v="36418"/>
        <n v="35807"/>
        <n v="35836"/>
        <n v="35916"/>
        <n v="33313"/>
        <n v="36701"/>
        <n v="35623"/>
        <n v="75379"/>
        <n v="77071"/>
        <n v="41054"/>
        <n v="36023"/>
        <n v="35997"/>
        <n v="34579"/>
        <n v="50004"/>
        <n v="37913"/>
        <n v="34670"/>
        <n v="32293"/>
        <n v="30657"/>
        <n v="30548"/>
        <n v="39241"/>
        <n v="33788"/>
        <n v="31118"/>
        <n v="31091"/>
        <n v="30960"/>
        <n v="34576"/>
        <n v="30475"/>
        <n v="32051"/>
        <n v="28144"/>
        <n v="28868"/>
        <n v="34889"/>
        <n v="34544"/>
        <n v="31812"/>
        <n v="33022"/>
        <n v="29951"/>
        <n v="31697"/>
        <n v="78751"/>
        <n v="44119"/>
        <n v="32481"/>
        <n v="30063"/>
        <n v="29864"/>
        <n v="31019"/>
        <n v="29586"/>
        <n v="29801"/>
        <n v="30658"/>
        <n v="29916"/>
        <n v="35347"/>
        <n v="35413"/>
        <n v="34490"/>
        <n v="30386"/>
        <n v="30751"/>
        <n v="32689"/>
        <n v="33281"/>
        <n v="29018"/>
        <n v="25944"/>
        <n v="25573"/>
        <n v="24285"/>
        <n v="25691"/>
        <n v="30062"/>
        <n v="34007"/>
        <n v="32890"/>
        <n v="29738"/>
        <n v="25219"/>
        <n v="22095"/>
        <n v="22960"/>
        <n v="45418"/>
        <n v="39841"/>
        <n v="47510"/>
        <n v="38328"/>
        <n v="30792"/>
        <n v="26593"/>
        <n v="35653"/>
        <n v="29597"/>
        <n v="25008"/>
        <n v="26016"/>
        <n v="24487"/>
        <n v="33040"/>
        <n v="33296"/>
        <n v="30442"/>
        <n v="34636"/>
        <n v="41993"/>
        <n v="46388"/>
        <n v="51484"/>
        <n v="41580"/>
        <n v="34178"/>
        <n v="31708"/>
        <n v="53396"/>
        <n v="37950"/>
        <n v="85686"/>
        <m/>
      </sharedItems>
    </cacheField>
    <cacheField name="sessions" numFmtId="0">
      <sharedItems containsString="0" containsBlank="1" containsNumber="1" containsInteger="1" minValue="2" maxValue="4255163" count="2271">
        <n v="10196"/>
        <n v="11350"/>
        <n v="12215"/>
        <n v="13852"/>
        <n v="12990"/>
        <n v="12309"/>
        <n v="11993"/>
        <n v="17361"/>
        <n v="18914"/>
        <n v="15124"/>
        <n v="14397"/>
        <n v="14613"/>
        <n v="12805"/>
        <n v="12608"/>
        <n v="13416"/>
        <n v="13525"/>
        <n v="14260"/>
        <n v="15809"/>
        <n v="14694"/>
        <n v="14083"/>
        <n v="13725"/>
        <n v="17814"/>
        <n v="15755"/>
        <n v="19070"/>
        <n v="16650"/>
        <n v="16507"/>
        <n v="15147"/>
        <n v="13920"/>
        <n v="17316"/>
        <n v="20142"/>
        <n v="38493"/>
        <n v="31107"/>
        <n v="29756"/>
        <n v="24902"/>
        <n v="27585"/>
        <n v="33575"/>
        <n v="38058"/>
        <n v="52246"/>
        <n v="57599"/>
        <n v="81432"/>
        <n v="99229"/>
        <n v="145977"/>
        <n v="2254973"/>
        <n v="1150572"/>
        <n v="229644"/>
        <n v="113153"/>
        <n v="78087"/>
        <n v="66572"/>
        <n v="60790"/>
        <n v="48812"/>
        <n v="38674"/>
        <n v="34335"/>
        <n v="31991"/>
        <n v="27515"/>
        <n v="24605"/>
        <n v="28030"/>
        <n v="35116"/>
        <n v="29224"/>
        <n v="21147"/>
        <n v="18085"/>
        <n v="22885"/>
        <n v="22932"/>
        <n v="17007"/>
        <n v="16135"/>
        <n v="15733"/>
        <n v="13571"/>
        <n v="12432"/>
        <n v="12217"/>
        <n v="11382"/>
        <n v="12524"/>
        <n v="10334"/>
        <n v="10432"/>
        <n v="11257"/>
        <n v="10205"/>
        <n v="9291"/>
        <n v="8790"/>
        <n v="8767"/>
        <n v="9573"/>
        <n v="9077"/>
        <n v="12929"/>
        <n v="9899"/>
        <n v="9261"/>
        <n v="8334"/>
        <n v="8081"/>
        <n v="8076"/>
        <n v="8454"/>
        <n v="8517"/>
        <n v="8531"/>
        <n v="8122"/>
        <n v="7817"/>
        <n v="7987"/>
        <n v="8488"/>
        <n v="8361"/>
        <n v="7811"/>
        <n v="7526"/>
        <n v="7605"/>
        <n v="7292"/>
        <n v="6648"/>
        <n v="6701"/>
        <n v="6719"/>
        <n v="7513"/>
        <n v="8415"/>
        <n v="10830"/>
        <n v="10990"/>
        <n v="9285"/>
        <n v="22710"/>
        <n v="14922"/>
        <n v="11127"/>
        <n v="36246"/>
        <n v="13730"/>
        <n v="11770"/>
        <n v="8892"/>
        <n v="8486"/>
        <n v="8981"/>
        <n v="8633"/>
        <n v="8186"/>
        <n v="7869"/>
        <n v="7342"/>
        <n v="11306"/>
        <n v="8418"/>
        <n v="8382"/>
        <n v="8156"/>
        <n v="12821"/>
        <n v="9524"/>
        <n v="9066"/>
        <n v="8032"/>
        <n v="7410"/>
        <n v="7946"/>
        <n v="8440"/>
        <n v="7787"/>
        <n v="7409"/>
        <n v="7098"/>
        <n v="6524"/>
        <n v="6111"/>
        <n v="6691"/>
        <n v="6735"/>
        <n v="1516"/>
        <n v="4490"/>
        <n v="4220"/>
        <n v="3610"/>
        <n v="5018"/>
        <n v="5687"/>
        <n v="4412"/>
        <n v="3986"/>
        <n v="4582"/>
        <n v="4729"/>
        <n v="4272"/>
        <n v="5566"/>
        <n v="4245"/>
        <n v="5624"/>
        <n v="5307"/>
        <n v="4233"/>
        <n v="3972"/>
        <n v="3967"/>
        <n v="4103"/>
        <n v="5355"/>
        <n v="5054"/>
        <n v="5290"/>
        <n v="5648"/>
        <n v="5214"/>
        <n v="5034"/>
        <n v="5513"/>
        <n v="5962"/>
        <n v="5504"/>
        <n v="6368"/>
        <n v="5597"/>
        <n v="5050"/>
        <n v="4743"/>
        <n v="4998"/>
        <n v="5481"/>
        <n v="5586"/>
        <n v="5518"/>
        <n v="5341"/>
        <n v="5313"/>
        <n v="5551"/>
        <n v="6584"/>
        <n v="6805"/>
        <n v="6531"/>
        <n v="6335"/>
        <n v="6725"/>
        <n v="6129"/>
        <n v="6472"/>
        <n v="7985"/>
        <n v="23606"/>
        <n v="18655"/>
        <n v="7676"/>
        <n v="6635"/>
        <n v="6285"/>
        <n v="6149"/>
        <n v="6131"/>
        <n v="5958"/>
        <n v="6286"/>
        <n v="7201"/>
        <n v="5967"/>
        <n v="6542"/>
        <n v="6726"/>
        <n v="6236"/>
        <n v="6509"/>
        <n v="5975"/>
        <n v="5872"/>
        <n v="6981"/>
        <n v="5370"/>
        <n v="5647"/>
        <n v="5699"/>
        <n v="5845"/>
        <n v="5851"/>
        <n v="5810"/>
        <n v="5552"/>
        <n v="10018"/>
        <n v="8190"/>
        <n v="6300"/>
        <n v="6188"/>
        <n v="6832"/>
        <n v="5776"/>
        <n v="5320"/>
        <n v="5611"/>
        <n v="6047"/>
        <n v="6230"/>
        <n v="6384"/>
        <n v="6109"/>
        <n v="5533"/>
        <n v="4860"/>
        <n v="4972"/>
        <n v="5704"/>
        <n v="6495"/>
        <n v="5764"/>
        <n v="6084"/>
        <n v="6405"/>
        <n v="5898"/>
        <n v="5152"/>
        <n v="5141"/>
        <n v="5719"/>
        <n v="6079"/>
        <n v="8051"/>
        <n v="5537"/>
        <n v="4586"/>
        <n v="6006"/>
        <n v="7183"/>
        <n v="6870"/>
        <n v="8490"/>
        <n v="16607"/>
        <n v="8290"/>
        <n v="10327"/>
        <n v="7273"/>
        <n v="6529"/>
        <n v="6193"/>
        <n v="7050"/>
        <n v="5984"/>
        <n v="5682"/>
        <n v="5363"/>
        <n v="5974"/>
        <n v="8574"/>
        <n v="13596"/>
        <n v="10376"/>
        <n v="7861"/>
        <n v="7454"/>
        <n v="9378"/>
        <n v="9587"/>
        <n v="9803"/>
        <n v="7840"/>
        <n v="13165"/>
        <n v="7387"/>
        <n v="6266"/>
        <n v="6671"/>
        <n v="9717"/>
        <n v="11990"/>
        <n v="10700"/>
        <n v="10009"/>
        <n v="8401"/>
        <n v="8988"/>
        <n v="8196"/>
        <n v="8908"/>
        <n v="26587"/>
        <n v="71386"/>
        <n v="19550"/>
        <n v="11956"/>
        <n v="12488"/>
        <n v="12397"/>
        <n v="11810"/>
        <n v="21732"/>
        <n v="21118"/>
        <n v="14557"/>
        <n v="11429"/>
        <n v="8544"/>
        <n v="8294"/>
        <n v="10348"/>
        <n v="15085"/>
        <n v="12498"/>
        <n v="11061"/>
        <n v="22605"/>
        <n v="16531"/>
        <n v="12851"/>
        <n v="11927"/>
        <n v="10962"/>
        <n v="11764"/>
        <n v="11510"/>
        <n v="9850"/>
        <n v="8149"/>
        <n v="9065"/>
        <n v="10331"/>
        <n v="14434"/>
        <n v="10136"/>
        <n v="9775"/>
        <n v="15654"/>
        <n v="9067"/>
        <n v="10761"/>
        <n v="10258"/>
        <n v="10464"/>
        <n v="11982"/>
        <n v="10741"/>
        <n v="25540"/>
        <n v="17480"/>
        <n v="12730"/>
        <n v="12971"/>
        <n v="14916"/>
        <n v="24581"/>
        <n v="29447"/>
        <n v="21184"/>
        <n v="12918"/>
        <n v="15558"/>
        <n v="15967"/>
        <n v="13754"/>
        <n v="13002"/>
        <n v="11592"/>
        <n v="24849"/>
        <n v="19562"/>
        <n v="19972"/>
        <n v="37230"/>
        <n v="736434"/>
        <n v="166307"/>
        <n v="75856"/>
        <n v="47014"/>
        <n v="36312"/>
        <n v="32674"/>
        <n v="34667"/>
        <n v="30829"/>
        <n v="24668"/>
        <n v="21405"/>
        <n v="19933"/>
        <n v="18859"/>
        <n v="18287"/>
        <n v="21751"/>
        <n v="21042"/>
        <n v="22322"/>
        <n v="19140"/>
        <n v="20364"/>
        <n v="19142"/>
        <n v="20321"/>
        <n v="16734"/>
        <n v="17607"/>
        <n v="15251"/>
        <n v="15696"/>
        <n v="13999"/>
        <n v="14517"/>
        <n v="14474"/>
        <n v="11641"/>
        <n v="14136"/>
        <n v="18299"/>
        <n v="21136"/>
        <n v="17258"/>
        <n v="20021"/>
        <n v="48383"/>
        <n v="19083"/>
        <n v="20690"/>
        <n v="19334"/>
        <n v="27702"/>
        <n v="24544"/>
        <n v="21145"/>
        <n v="32303"/>
        <n v="30176"/>
        <n v="26838"/>
        <n v="32079"/>
        <n v="32374"/>
        <n v="25910"/>
        <n v="24808"/>
        <n v="27087"/>
        <n v="25342"/>
        <n v="29215"/>
        <n v="38031"/>
        <n v="31083"/>
        <n v="29878"/>
        <n v="30472"/>
        <n v="46839"/>
        <n v="53238"/>
        <n v="74059"/>
        <n v="74786"/>
        <n v="113915"/>
        <n v="162553"/>
        <n v="239369"/>
        <n v="1934941"/>
        <n v="810777"/>
        <n v="210881"/>
        <n v="105589"/>
        <n v="76868"/>
        <n v="62334"/>
        <n v="53676"/>
        <n v="46103"/>
        <n v="35648"/>
        <n v="31942"/>
        <n v="28333"/>
        <n v="26199"/>
        <n v="24302"/>
        <n v="21866"/>
        <n v="21661"/>
        <n v="19975"/>
        <n v="20994"/>
        <n v="19391"/>
        <n v="17483"/>
        <n v="16367"/>
        <n v="15224"/>
        <n v="14881"/>
        <n v="15714"/>
        <n v="15249"/>
        <n v="16096"/>
        <n v="19264"/>
        <n v="15644"/>
        <n v="15125"/>
        <n v="16015"/>
        <n v="16312"/>
        <n v="15825"/>
        <n v="15049"/>
        <n v="15255"/>
        <n v="14217"/>
        <n v="21564"/>
        <n v="18688"/>
        <n v="16543"/>
        <n v="14866"/>
        <n v="19241"/>
        <n v="17298"/>
        <n v="13967"/>
        <n v="13972"/>
        <n v="15710"/>
        <n v="13167"/>
        <n v="13029"/>
        <n v="11832"/>
        <n v="11447"/>
        <n v="10714"/>
        <n v="12801"/>
        <n v="12598"/>
        <n v="12335"/>
        <n v="11654"/>
        <n v="10893"/>
        <n v="14345"/>
        <n v="11672"/>
        <n v="11400"/>
        <n v="12467"/>
        <n v="11798"/>
        <n v="11006"/>
        <n v="15052"/>
        <n v="13226"/>
        <n v="10544"/>
        <n v="11194"/>
        <n v="11647"/>
        <n v="11330"/>
        <n v="13104"/>
        <n v="15095"/>
        <n v="14281"/>
        <n v="12844"/>
        <n v="13480"/>
        <n v="25403"/>
        <n v="23297"/>
        <n v="17327"/>
        <n v="14311"/>
        <n v="13835"/>
        <n v="16643"/>
        <n v="16319"/>
        <n v="16287"/>
        <n v="30690"/>
        <n v="20472"/>
        <n v="21019"/>
        <n v="21546"/>
        <n v="18978"/>
        <n v="18486"/>
        <n v="17129"/>
        <n v="16376"/>
        <n v="17603"/>
        <n v="15462"/>
        <n v="16418"/>
        <n v="15706"/>
        <n v="20200"/>
        <n v="14711"/>
        <n v="14832"/>
        <n v="14569"/>
        <n v="12086"/>
        <n v="9982"/>
        <n v="10192"/>
        <n v="15712"/>
        <n v="14147"/>
        <n v="15880"/>
        <n v="16752"/>
        <n v="42948"/>
        <n v="14775"/>
        <n v="11895"/>
        <n v="13901"/>
        <n v="19921"/>
        <n v="15343"/>
        <n v="14677"/>
        <n v="13422"/>
        <n v="13609"/>
        <n v="13528"/>
        <n v="13898"/>
        <n v="13888"/>
        <n v="12205"/>
        <n v="11312"/>
        <n v="10476"/>
        <n v="9966"/>
        <n v="10927"/>
        <n v="10822"/>
        <n v="11870"/>
        <n v="14911"/>
        <n v="13211"/>
        <n v="11767"/>
        <n v="9881"/>
        <n v="9530"/>
        <n v="10245"/>
        <n v="10405"/>
        <n v="11504"/>
        <n v="10796"/>
        <n v="10250"/>
        <n v="21659"/>
        <n v="15207"/>
        <n v="23244"/>
        <n v="21829"/>
        <n v="12829"/>
        <n v="11037"/>
        <n v="10243"/>
        <n v="12796"/>
        <n v="16169"/>
        <n v="11690"/>
        <n v="6680"/>
        <n v="8899"/>
        <n v="15259"/>
        <n v="10683"/>
        <n v="9719"/>
        <n v="9712"/>
        <n v="9973"/>
        <n v="11090"/>
        <n v="10391"/>
        <n v="10542"/>
        <n v="10260"/>
        <n v="11289"/>
        <n v="70234"/>
        <n v="51147"/>
        <n v="20511"/>
        <n v="16712"/>
        <n v="30868"/>
        <n v="32035"/>
        <n v="16185"/>
        <n v="26316"/>
        <n v="24161"/>
        <n v="16309"/>
        <n v="13614"/>
        <n v="13031"/>
        <n v="12875"/>
        <n v="12218"/>
        <n v="10970"/>
        <n v="16045"/>
        <n v="16655"/>
        <n v="16284"/>
        <n v="9946"/>
        <n v="9375"/>
        <n v="9965"/>
        <n v="15158"/>
        <n v="12264"/>
        <n v="9910"/>
        <n v="8920"/>
        <n v="10313"/>
        <n v="9374"/>
        <n v="9385"/>
        <n v="8845"/>
        <n v="9448"/>
        <n v="11083"/>
        <n v="11003"/>
        <n v="9506"/>
        <n v="8770"/>
        <n v="8172"/>
        <n v="9302"/>
        <n v="8238"/>
        <n v="9027"/>
        <n v="9342"/>
        <n v="25040"/>
        <n v="16832"/>
        <n v="11629"/>
        <n v="10413"/>
        <n v="10301"/>
        <n v="9330"/>
        <n v="16046"/>
        <n v="11787"/>
        <n v="9642"/>
        <n v="8809"/>
        <n v="9871"/>
        <n v="11565"/>
        <n v="10002"/>
        <n v="9681"/>
        <n v="12641"/>
        <n v="10578"/>
        <n v="10368"/>
        <n v="11434"/>
        <n v="9476"/>
        <n v="8876"/>
        <n v="10166"/>
        <n v="8130"/>
        <n v="8518"/>
        <n v="8878"/>
        <n v="9360"/>
        <n v="9928"/>
        <n v="9303"/>
        <n v="9401"/>
        <n v="8483"/>
        <n v="8111"/>
        <n v="9686"/>
        <n v="11575"/>
        <n v="35866"/>
        <n v="39928"/>
        <n v="23539"/>
        <n v="17446"/>
        <n v="11197"/>
        <n v="11737"/>
        <n v="12050"/>
        <n v="12950"/>
        <n v="14144"/>
        <n v="11356"/>
        <n v="9151"/>
        <n v="9162"/>
        <n v="10863"/>
        <n v="11970"/>
        <n v="12121"/>
        <n v="9216"/>
        <n v="10145"/>
        <n v="10725"/>
        <n v="11682"/>
        <n v="11193"/>
        <n v="11467"/>
        <n v="9731"/>
        <n v="9646"/>
        <n v="12161"/>
        <n v="14954"/>
        <n v="17238"/>
        <n v="13348"/>
        <n v="9868"/>
        <n v="11992"/>
        <n v="14149"/>
        <n v="13719"/>
        <n v="17660"/>
        <n v="19366"/>
        <n v="17821"/>
        <n v="14783"/>
        <n v="12774"/>
        <n v="18560"/>
        <n v="17127"/>
        <n v="15620"/>
        <n v="15317"/>
        <n v="14655"/>
        <n v="12581"/>
        <n v="12018"/>
        <n v="15208"/>
        <n v="14388"/>
        <n v="15621"/>
        <n v="13505"/>
        <n v="12763"/>
        <n v="11562"/>
        <n v="12356"/>
        <n v="11205"/>
        <n v="11398"/>
        <n v="10534"/>
        <n v="10469"/>
        <n v="10605"/>
        <n v="9841"/>
        <n v="10139"/>
        <n v="11292"/>
        <n v="11809"/>
        <n v="13845"/>
        <n v="24659"/>
        <n v="20116"/>
        <n v="12648"/>
        <n v="11547"/>
        <n v="10820"/>
        <n v="12486"/>
        <n v="9828"/>
        <n v="8309"/>
        <n v="8093"/>
        <n v="8262"/>
        <n v="9384"/>
        <n v="11801"/>
        <n v="11050"/>
        <n v="11658"/>
        <n v="15066"/>
        <n v="17661"/>
        <n v="13588"/>
        <n v="17368"/>
        <n v="17774"/>
        <n v="17194"/>
        <n v="20831"/>
        <n v="38093"/>
        <n v="940177"/>
        <n v="262488"/>
        <n v="123438"/>
        <n v="99749"/>
        <n v="71977"/>
        <n v="58518"/>
        <n v="48118"/>
        <n v="37956"/>
        <n v="30334"/>
        <n v="29959"/>
        <n v="31823"/>
        <n v="34998"/>
        <n v="27304"/>
        <n v="26204"/>
        <n v="22834"/>
        <n v="24140"/>
        <n v="19176"/>
        <n v="18289"/>
        <n v="26178"/>
        <n v="28228"/>
        <n v="23355"/>
        <n v="24247"/>
        <n v="24225"/>
        <n v="33002"/>
        <n v="22787"/>
        <n v="26414"/>
        <n v="26006"/>
        <n v="27086"/>
        <n v="21798"/>
        <n v="33980"/>
        <n v="31450"/>
        <n v="27975"/>
        <n v="33313"/>
        <n v="37426"/>
        <n v="33438"/>
        <n v="28595"/>
        <n v="37569"/>
        <n v="29045"/>
        <n v="31692"/>
        <n v="34107"/>
        <n v="62756"/>
        <n v="36723"/>
        <n v="28843"/>
        <n v="30951"/>
        <n v="32036"/>
        <n v="39698"/>
        <n v="32866"/>
        <n v="38524"/>
        <n v="33667"/>
        <n v="28040"/>
        <n v="30381"/>
        <n v="41251"/>
        <n v="38824"/>
        <n v="33422"/>
        <n v="37220"/>
        <n v="40210"/>
        <n v="37097"/>
        <n v="80575"/>
        <n v="86157"/>
        <n v="106565"/>
        <n v="109714"/>
        <n v="145643"/>
        <n v="180904"/>
        <n v="288669"/>
        <n v="3915507"/>
        <n v="1690040"/>
        <n v="492235"/>
        <n v="606438"/>
        <n v="279235"/>
        <n v="172766"/>
        <n v="138135"/>
        <n v="114833"/>
        <n v="83121"/>
        <n v="69865"/>
        <n v="89759"/>
        <n v="70986"/>
        <n v="61742"/>
        <n v="91101"/>
        <n v="118584"/>
        <n v="109512"/>
        <n v="59718"/>
        <n v="215909"/>
        <n v="67385"/>
        <n v="52749"/>
        <n v="42359"/>
        <n v="34898"/>
        <n v="28873"/>
        <n v="24472"/>
        <n v="23988"/>
        <n v="29692"/>
        <n v="27326"/>
        <n v="25061"/>
        <n v="39990"/>
        <n v="27647"/>
        <n v="22777"/>
        <n v="25071"/>
        <n v="29317"/>
        <n v="22659"/>
        <n v="21193"/>
        <n v="18164"/>
        <n v="20388"/>
        <n v="21840"/>
        <n v="21934"/>
        <n v="18394"/>
        <n v="16925"/>
        <n v="16143"/>
        <n v="16044"/>
        <n v="17043"/>
        <n v="20230"/>
        <n v="18032"/>
        <n v="19868"/>
        <n v="17171"/>
        <n v="15117"/>
        <n v="17673"/>
        <n v="22570"/>
        <n v="18376"/>
        <n v="17386"/>
        <n v="19152"/>
        <n v="17691"/>
        <n v="13924"/>
        <n v="16033"/>
        <n v="16909"/>
        <n v="16717"/>
        <n v="15293"/>
        <n v="16598"/>
        <n v="25367"/>
        <n v="25851"/>
        <n v="19590"/>
        <n v="15097"/>
        <n v="15921"/>
        <n v="16222"/>
        <n v="15756"/>
        <n v="14408"/>
        <n v="13862"/>
        <n v="30229"/>
        <n v="21593"/>
        <n v="18235"/>
        <n v="14350"/>
        <n v="13471"/>
        <n v="12967"/>
        <n v="11335"/>
        <n v="13305"/>
        <n v="15593"/>
        <n v="16028"/>
        <n v="15074"/>
        <n v="21140"/>
        <n v="15040"/>
        <n v="14838"/>
        <n v="13436"/>
        <n v="12736"/>
        <n v="12926"/>
        <n v="12402"/>
        <n v="10865"/>
        <n v="10297"/>
        <n v="10980"/>
        <n v="11863"/>
        <n v="13232"/>
        <n v="12321"/>
        <n v="15306"/>
        <n v="12765"/>
        <n v="10436"/>
        <n v="11640"/>
        <n v="11914"/>
        <n v="11637"/>
        <n v="11582"/>
        <n v="11051"/>
        <n v="9638"/>
        <n v="9487"/>
        <n v="11319"/>
        <n v="11631"/>
        <n v="12371"/>
        <n v="10974"/>
        <n v="11969"/>
        <n v="11465"/>
        <n v="11120"/>
        <n v="12255"/>
        <n v="12103"/>
        <n v="12042"/>
        <n v="46050"/>
        <n v="20341"/>
        <n v="13046"/>
        <n v="14506"/>
        <n v="15303"/>
        <n v="14991"/>
        <n v="22469"/>
        <n v="21102"/>
        <n v="15590"/>
        <n v="10646"/>
        <n v="11856"/>
        <n v="12058"/>
        <n v="16638"/>
        <n v="15467"/>
        <n v="14972"/>
        <n v="13042"/>
        <n v="13097"/>
        <n v="19304"/>
        <n v="15452"/>
        <n v="17748"/>
        <n v="14264"/>
        <n v="12474"/>
        <n v="10608"/>
        <n v="11026"/>
        <n v="10768"/>
        <n v="9276"/>
        <n v="10415"/>
        <n v="14559"/>
        <n v="11768"/>
        <n v="10054"/>
        <n v="11934"/>
        <n v="12695"/>
        <n v="11616"/>
        <n v="10666"/>
        <n v="10442"/>
        <n v="10474"/>
        <n v="4346"/>
        <n v="12775"/>
        <n v="14181"/>
        <n v="20867"/>
        <n v="15214"/>
        <n v="13115"/>
        <n v="15940"/>
        <n v="13397"/>
        <n v="11308"/>
        <n v="10966"/>
        <n v="11132"/>
        <n v="10903"/>
        <n v="14627"/>
        <n v="6325"/>
        <n v="11997"/>
        <n v="13281"/>
        <n v="11561"/>
        <n v="9665"/>
        <n v="10632"/>
        <n v="13065"/>
        <n v="11877"/>
        <n v="10932"/>
        <n v="15679"/>
        <n v="16127"/>
        <n v="13249"/>
        <n v="10996"/>
        <n v="19344"/>
        <n v="23849"/>
        <n v="12746"/>
        <n v="12515"/>
        <n v="11922"/>
        <n v="9651"/>
        <n v="9445"/>
        <n v="9814"/>
        <n v="10819"/>
        <n v="11996"/>
        <n v="9742"/>
        <n v="8523"/>
        <n v="7310"/>
        <n v="7241"/>
        <n v="8496"/>
        <n v="8797"/>
        <n v="17176"/>
        <n v="13458"/>
        <n v="15549"/>
        <n v="15121"/>
        <n v="9176"/>
        <n v="8781"/>
        <n v="10767"/>
        <n v="26382"/>
        <n v="11742"/>
        <n v="10528"/>
        <n v="10285"/>
        <n v="8515"/>
        <n v="8298"/>
        <n v="15883"/>
        <n v="11461"/>
        <n v="18658"/>
        <n v="23578"/>
        <n v="19270"/>
        <n v="14702"/>
        <n v="10084"/>
        <n v="9661"/>
        <n v="9630"/>
        <n v="10645"/>
        <n v="10710"/>
        <n v="13544"/>
        <n v="12455"/>
        <n v="28229"/>
        <n v="21178"/>
        <n v="17588"/>
        <n v="14267"/>
        <n v="12065"/>
        <n v="11446"/>
        <n v="12392"/>
        <n v="12816"/>
        <n v="12034"/>
        <n v="12341"/>
        <n v="12244"/>
        <n v="13735"/>
        <n v="15540"/>
        <n v="18772"/>
        <n v="17664"/>
        <n v="14515"/>
        <n v="13126"/>
        <n v="11457"/>
        <n v="12208"/>
        <n v="11783"/>
        <n v="11404"/>
        <n v="10591"/>
        <n v="11211"/>
        <n v="11645"/>
        <n v="9831"/>
        <n v="9980"/>
        <n v="11470"/>
        <n v="13163"/>
        <n v="9827"/>
        <n v="11055"/>
        <n v="12315"/>
        <n v="10105"/>
        <n v="9068"/>
        <n v="9759"/>
        <n v="10694"/>
        <n v="9767"/>
        <n v="8183"/>
        <n v="10037"/>
        <n v="9118"/>
        <n v="10771"/>
        <n v="10543"/>
        <n v="10967"/>
        <n v="11110"/>
        <n v="10082"/>
        <n v="9184"/>
        <n v="9174"/>
        <n v="10023"/>
        <n v="11207"/>
        <n v="12547"/>
        <n v="16984"/>
        <n v="38470"/>
        <n v="33095"/>
        <n v="21928"/>
        <n v="16273"/>
        <n v="23391"/>
        <n v="93174"/>
        <n v="1266668"/>
        <n v="327475"/>
        <n v="130105"/>
        <n v="88071"/>
        <n v="90178"/>
        <n v="85790"/>
        <n v="68266"/>
        <n v="71187"/>
        <n v="42528"/>
        <n v="32560"/>
        <n v="30239"/>
        <n v="26007"/>
        <n v="23810"/>
        <n v="23924"/>
        <n v="26619"/>
        <n v="26643"/>
        <n v="23657"/>
        <n v="19723"/>
        <n v="22423"/>
        <n v="27703"/>
        <n v="27751"/>
        <n v="25450"/>
        <n v="22870"/>
        <n v="22249"/>
        <n v="20367"/>
        <n v="20439"/>
        <n v="19511"/>
        <n v="20888"/>
        <n v="19973"/>
        <n v="19588"/>
        <n v="19122"/>
        <n v="17305"/>
        <n v="17337"/>
        <n v="17524"/>
        <n v="16201"/>
        <n v="15384"/>
        <n v="16581"/>
        <n v="17490"/>
        <n v="17577"/>
        <n v="19465"/>
        <n v="19740"/>
        <n v="31068"/>
        <n v="19936"/>
        <n v="22236"/>
        <n v="22353"/>
        <n v="22157"/>
        <n v="31971"/>
        <n v="36787"/>
        <n v="29776"/>
        <n v="47554"/>
        <n v="35669"/>
        <n v="29454"/>
        <n v="38471"/>
        <n v="36243"/>
        <n v="36675"/>
        <n v="56261"/>
        <n v="63958"/>
        <n v="43829"/>
        <n v="40722"/>
        <n v="37524"/>
        <n v="59662"/>
        <n v="51351"/>
        <n v="65946"/>
        <n v="95372"/>
        <n v="186227"/>
        <n v="156763"/>
        <n v="225912"/>
        <n v="2634408"/>
        <n v="1563182"/>
        <n v="412677"/>
        <n v="191260"/>
        <n v="115193"/>
        <n v="110860"/>
        <n v="101703"/>
        <n v="98917"/>
        <n v="84444"/>
        <n v="57429"/>
        <n v="44059"/>
        <n v="40895"/>
        <n v="37638"/>
        <n v="38169"/>
        <n v="76864"/>
        <n v="90116"/>
        <n v="42351"/>
        <n v="34861"/>
        <n v="31760"/>
        <n v="30809"/>
        <n v="29910"/>
        <n v="34668"/>
        <n v="41253"/>
        <n v="26615"/>
        <n v="25646"/>
        <n v="21641"/>
        <n v="21325"/>
        <n v="62112"/>
        <n v="35563"/>
        <n v="31455"/>
        <n v="22033"/>
        <n v="18918"/>
        <n v="25444"/>
        <n v="25249"/>
        <n v="28524"/>
        <n v="23772"/>
        <n v="20194"/>
        <n v="16960"/>
        <n v="21044"/>
        <n v="20616"/>
        <n v="18565"/>
        <n v="16535"/>
        <n v="15822"/>
        <n v="17430"/>
        <n v="16293"/>
        <n v="13890"/>
        <n v="12866"/>
        <n v="11715"/>
        <n v="11642"/>
        <n v="13445"/>
        <n v="14544"/>
        <n v="14645"/>
        <n v="13633"/>
        <n v="14459"/>
        <n v="12827"/>
        <n v="13692"/>
        <n v="14214"/>
        <n v="16146"/>
        <n v="14732"/>
        <n v="15159"/>
        <n v="15784"/>
        <n v="16645"/>
        <n v="17169"/>
        <n v="22255"/>
        <n v="20242"/>
        <n v="17381"/>
        <n v="18822"/>
        <n v="16082"/>
        <n v="15247"/>
        <n v="17404"/>
        <n v="32742"/>
        <n v="24662"/>
        <n v="39371"/>
        <n v="62197"/>
        <n v="36325"/>
        <n v="31142"/>
        <n v="25702"/>
        <n v="23546"/>
        <n v="27023"/>
        <n v="26363"/>
        <n v="28514"/>
        <n v="30333"/>
        <n v="24265"/>
        <n v="24920"/>
        <n v="69876"/>
        <n v="49576"/>
        <n v="49096"/>
        <n v="39106"/>
        <n v="42047"/>
        <n v="33966"/>
        <n v="23091"/>
        <n v="22061"/>
        <n v="22195"/>
        <n v="20799"/>
        <n v="19412"/>
        <n v="18166"/>
        <n v="19365"/>
        <n v="19831"/>
        <n v="21935"/>
        <n v="27667"/>
        <n v="24346"/>
        <n v="22338"/>
        <n v="21986"/>
        <n v="19446"/>
        <n v="19754"/>
        <n v="18748"/>
        <n v="19862"/>
        <n v="24683"/>
        <n v="25877"/>
        <n v="24286"/>
        <n v="20745"/>
        <n v="19081"/>
        <n v="18723"/>
        <n v="20236"/>
        <n v="20620"/>
        <n v="20010"/>
        <n v="17918"/>
        <n v="16947"/>
        <n v="17177"/>
        <n v="28423"/>
        <n v="29156"/>
        <n v="22404"/>
        <n v="23274"/>
        <n v="23259"/>
        <n v="18760"/>
        <n v="17168"/>
        <n v="14175"/>
        <n v="14885"/>
        <n v="29073"/>
        <n v="61681"/>
        <n v="22312"/>
        <n v="17410"/>
        <n v="20928"/>
        <n v="25258"/>
        <n v="32190"/>
        <n v="25810"/>
        <n v="23290"/>
        <n v="19471"/>
        <n v="17332"/>
        <n v="22628"/>
        <n v="22994"/>
        <n v="24136"/>
        <n v="24778"/>
        <n v="25011"/>
        <n v="31650"/>
        <n v="28851"/>
        <n v="30352"/>
        <n v="26255"/>
        <n v="24684"/>
        <n v="22355"/>
        <n v="20770"/>
        <n v="19323"/>
        <n v="21772"/>
        <n v="27907"/>
        <n v="38086"/>
        <n v="26822"/>
        <n v="20055"/>
        <n v="18432"/>
        <n v="17608"/>
        <n v="18098"/>
        <n v="20966"/>
        <n v="18972"/>
        <n v="32323"/>
        <n v="22975"/>
        <n v="17417"/>
        <n v="16021"/>
        <n v="15397"/>
        <n v="16145"/>
        <n v="16537"/>
        <n v="16590"/>
        <n v="20145"/>
        <n v="17553"/>
        <n v="18326"/>
        <n v="16990"/>
        <n v="18997"/>
        <n v="19111"/>
        <n v="23298"/>
        <n v="20051"/>
        <n v="18316"/>
        <n v="17479"/>
        <n v="17086"/>
        <n v="17477"/>
        <n v="19872"/>
        <n v="24676"/>
        <n v="19543"/>
        <n v="17593"/>
        <n v="16573"/>
        <n v="16213"/>
        <n v="16151"/>
        <n v="15454"/>
        <n v="16552"/>
        <n v="16562"/>
        <n v="19119"/>
        <n v="16267"/>
        <n v="16243"/>
        <n v="16659"/>
        <n v="19966"/>
        <n v="18648"/>
        <n v="16221"/>
        <n v="19945"/>
        <n v="21464"/>
        <n v="17981"/>
        <n v="18507"/>
        <n v="25341"/>
        <n v="68023"/>
        <n v="32496"/>
        <n v="25923"/>
        <n v="20382"/>
        <n v="18817"/>
        <n v="17442"/>
        <n v="16268"/>
        <n v="16751"/>
        <n v="18249"/>
        <n v="27777"/>
        <n v="29939"/>
        <n v="26226"/>
        <n v="27168"/>
        <n v="27196"/>
        <n v="25848"/>
        <n v="21380"/>
        <n v="21443"/>
        <n v="19678"/>
        <n v="17492"/>
        <n v="25973"/>
        <n v="26156"/>
        <n v="20521"/>
        <n v="18700"/>
        <n v="17905"/>
        <n v="18301"/>
        <n v="17803"/>
        <n v="22222"/>
        <n v="21946"/>
        <n v="242593"/>
        <n v="108305"/>
        <n v="59552"/>
        <n v="42353"/>
        <n v="40488"/>
        <n v="28131"/>
        <n v="32376"/>
        <n v="42189"/>
        <n v="39910"/>
        <n v="26612"/>
        <n v="25932"/>
        <n v="81578"/>
        <n v="48359"/>
        <n v="43465"/>
        <n v="37492"/>
        <n v="29803"/>
        <n v="26375"/>
        <n v="24434"/>
        <n v="30107"/>
        <n v="40733"/>
        <n v="33973"/>
        <n v="27021"/>
        <n v="23781"/>
        <n v="23184"/>
        <n v="29733"/>
        <n v="24752"/>
        <n v="24444"/>
        <n v="23463"/>
        <n v="25633"/>
        <n v="21780"/>
        <n v="19425"/>
        <n v="19150"/>
        <n v="18261"/>
        <n v="37000"/>
        <n v="27390"/>
        <n v="21310"/>
        <n v="20524"/>
        <n v="19086"/>
        <n v="32148"/>
        <n v="22144"/>
        <n v="22735"/>
        <n v="20930"/>
        <n v="18684"/>
        <n v="14002"/>
        <n v="15478"/>
        <n v="16137"/>
        <n v="14984"/>
        <n v="14579"/>
        <n v="15797"/>
        <n v="13984"/>
        <n v="14409"/>
        <n v="18232"/>
        <n v="18490"/>
        <n v="20505"/>
        <n v="17412"/>
        <n v="17289"/>
        <n v="18273"/>
        <n v="22350"/>
        <n v="27188"/>
        <n v="27947"/>
        <n v="67141"/>
        <n v="44995"/>
        <n v="26896"/>
        <n v="34794"/>
        <n v="70828"/>
        <n v="2261918"/>
        <n v="856904"/>
        <n v="290319"/>
        <n v="156211"/>
        <n v="125883"/>
        <n v="104784"/>
        <n v="100948"/>
        <n v="83983"/>
        <n v="71479"/>
        <n v="55955"/>
        <n v="52657"/>
        <n v="47498"/>
        <n v="46342"/>
        <n v="47278"/>
        <n v="46608"/>
        <n v="42421"/>
        <n v="47998"/>
        <n v="48654"/>
        <n v="41338"/>
        <n v="37085"/>
        <n v="35488"/>
        <n v="51756"/>
        <n v="43112"/>
        <n v="38693"/>
        <n v="36939"/>
        <n v="33394"/>
        <n v="32715"/>
        <n v="33100"/>
        <n v="29873"/>
        <n v="25710"/>
        <n v="24926"/>
        <n v="30223"/>
        <n v="33770"/>
        <n v="37855"/>
        <n v="39980"/>
        <n v="50686"/>
        <n v="64141"/>
        <n v="42932"/>
        <n v="57161"/>
        <n v="56799"/>
        <n v="73893"/>
        <n v="46318"/>
        <n v="58359"/>
        <n v="50215"/>
        <n v="35796"/>
        <n v="31787"/>
        <n v="30709"/>
        <n v="69036"/>
        <n v="42086"/>
        <n v="31616"/>
        <n v="28903"/>
        <n v="37345"/>
        <n v="33259"/>
        <n v="30360"/>
        <n v="33507"/>
        <n v="36975"/>
        <n v="31016"/>
        <n v="29219"/>
        <n v="28164"/>
        <n v="30227"/>
        <n v="31127"/>
        <n v="33059"/>
        <n v="31438"/>
        <n v="32152"/>
        <n v="34666"/>
        <n v="42248"/>
        <n v="49140"/>
        <n v="38762"/>
        <n v="34989"/>
        <n v="39661"/>
        <n v="35561"/>
        <n v="36262"/>
        <n v="35552"/>
        <n v="49416"/>
        <n v="40407"/>
        <n v="36131"/>
        <n v="39444"/>
        <n v="38237"/>
        <n v="33771"/>
        <n v="47351"/>
        <n v="30274"/>
        <n v="32589"/>
        <n v="44217"/>
        <n v="39900"/>
        <n v="44632"/>
        <n v="43171"/>
        <n v="43075"/>
        <n v="42827"/>
        <n v="48047"/>
        <n v="43739"/>
        <n v="45637"/>
        <n v="49002"/>
        <n v="53820"/>
        <n v="44062"/>
        <n v="62383"/>
        <n v="66476"/>
        <n v="79774"/>
        <n v="87919"/>
        <n v="103438"/>
        <n v="102226"/>
        <n v="109275"/>
        <n v="665492"/>
        <n v="363088"/>
        <n v="279366"/>
        <n v="273740"/>
        <n v="314160"/>
        <n v="503666"/>
        <n v="713174"/>
        <n v="4255163"/>
        <n v="693603"/>
        <n v="674664"/>
        <n v="480114"/>
        <n v="296177"/>
        <n v="240710"/>
        <n v="166331"/>
        <n v="113248"/>
        <n v="86778"/>
        <n v="70251"/>
        <n v="62957"/>
        <n v="67395"/>
        <n v="69565"/>
        <n v="50797"/>
        <n v="46500"/>
        <n v="43221"/>
        <n v="43001"/>
        <n v="48744"/>
        <n v="48641"/>
        <n v="42204"/>
        <n v="38740"/>
        <n v="35243"/>
        <n v="31728"/>
        <n v="31497"/>
        <n v="30287"/>
        <n v="31627"/>
        <n v="30865"/>
        <n v="25574"/>
        <n v="24187"/>
        <n v="26958"/>
        <n v="26468"/>
        <n v="24550"/>
        <n v="26273"/>
        <n v="24807"/>
        <n v="24274"/>
        <n v="22295"/>
        <n v="27556"/>
        <n v="27668"/>
        <n v="23719"/>
        <n v="23004"/>
        <n v="29119"/>
        <n v="31838"/>
        <n v="36257"/>
        <n v="38977"/>
        <n v="27922"/>
        <n v="27380"/>
        <n v="23695"/>
        <n v="26698"/>
        <n v="24539"/>
        <n v="22833"/>
        <n v="23727"/>
        <n v="23172"/>
        <n v="22102"/>
        <n v="21535"/>
        <n v="20661"/>
        <n v="19520"/>
        <n v="24365"/>
        <n v="25206"/>
        <n v="21761"/>
        <n v="20233"/>
        <n v="20082"/>
        <n v="17358"/>
        <n v="17988"/>
        <n v="18179"/>
        <n v="19866"/>
        <n v="19099"/>
        <n v="19518"/>
        <n v="19690"/>
        <n v="17546"/>
        <n v="20525"/>
        <n v="20857"/>
        <n v="18145"/>
        <n v="41699"/>
        <n v="25833"/>
        <n v="21362"/>
        <n v="36626"/>
        <n v="25674"/>
        <n v="27420"/>
        <n v="28061"/>
        <n v="21876"/>
        <n v="20845"/>
        <n v="20618"/>
        <n v="19000"/>
        <n v="19561"/>
        <n v="25255"/>
        <n v="21182"/>
        <n v="20648"/>
        <n v="17886"/>
        <n v="15560"/>
        <n v="15408"/>
        <n v="15566"/>
        <n v="15693"/>
        <n v="15423"/>
        <n v="15272"/>
        <n v="14860"/>
        <n v="14049"/>
        <n v="15594"/>
        <n v="16282"/>
        <n v="19705"/>
        <n v="17871"/>
        <n v="15801"/>
        <n v="14689"/>
        <n v="16274"/>
        <n v="17202"/>
        <n v="15498"/>
        <n v="14674"/>
        <n v="18503"/>
        <n v="21642"/>
        <n v="16544"/>
        <n v="19481"/>
        <n v="15267"/>
        <n v="17313"/>
        <n v="15194"/>
        <n v="14554"/>
        <n v="14450"/>
        <n v="13577"/>
        <n v="13279"/>
        <n v="15416"/>
        <n v="19801"/>
        <n v="19721"/>
        <n v="18431"/>
        <n v="19691"/>
        <n v="18260"/>
        <n v="20570"/>
        <n v="20190"/>
        <n v="11851"/>
        <n v="18244"/>
        <n v="17745"/>
        <n v="15704"/>
        <n v="19604"/>
        <n v="23161"/>
        <n v="27884"/>
        <n v="25496"/>
        <n v="21997"/>
        <n v="20501"/>
        <n v="19925"/>
        <n v="20004"/>
        <n v="25036"/>
        <n v="21045"/>
        <n v="16913"/>
        <n v="15201"/>
        <n v="13944"/>
        <n v="13846"/>
        <n v="15281"/>
        <n v="14781"/>
        <n v="15873"/>
        <n v="17140"/>
        <n v="15699"/>
        <n v="15274"/>
        <n v="13352"/>
        <n v="13831"/>
        <n v="15799"/>
        <n v="15603"/>
        <n v="14913"/>
        <n v="14648"/>
        <n v="19583"/>
        <n v="19217"/>
        <n v="19821"/>
        <n v="19094"/>
        <n v="22900"/>
        <n v="22569"/>
        <n v="23791"/>
        <n v="23932"/>
        <n v="23600"/>
        <n v="22688"/>
        <n v="22773"/>
        <n v="23725"/>
        <n v="17742"/>
        <n v="17913"/>
        <n v="16876"/>
        <n v="17117"/>
        <n v="20870"/>
        <n v="21030"/>
        <n v="21195"/>
        <n v="21017"/>
        <n v="17797"/>
        <n v="17999"/>
        <n v="20832"/>
        <n v="17755"/>
        <n v="15187"/>
        <n v="18447"/>
        <n v="19162"/>
        <n v="22986"/>
        <n v="16827"/>
        <n v="14372"/>
        <n v="15421"/>
        <n v="23551"/>
        <n v="28143"/>
        <n v="24589"/>
        <n v="18062"/>
        <n v="15426"/>
        <n v="14979"/>
        <n v="15405"/>
        <n v="18963"/>
        <n v="17451"/>
        <n v="16395"/>
        <n v="15469"/>
        <n v="13559"/>
        <n v="14773"/>
        <n v="17677"/>
        <n v="18037"/>
        <n v="15522"/>
        <n v="15324"/>
        <n v="14918"/>
        <n v="14917"/>
        <n v="20523"/>
        <n v="18675"/>
        <n v="26555"/>
        <n v="27570"/>
        <n v="26221"/>
        <n v="23784"/>
        <n v="29109"/>
        <n v="24961"/>
        <n v="22172"/>
        <n v="17902"/>
        <n v="15879"/>
        <n v="18866"/>
        <n v="20202"/>
        <n v="20152"/>
        <n v="23718"/>
        <n v="22990"/>
        <n v="17611"/>
        <n v="16806"/>
        <n v="18222"/>
        <n v="23289"/>
        <n v="21401"/>
        <n v="20800"/>
        <n v="22428"/>
        <n v="20508"/>
        <n v="21130"/>
        <n v="21254"/>
        <n v="21793"/>
        <n v="23041"/>
        <n v="31573"/>
        <n v="25899"/>
        <n v="20686"/>
        <n v="28520"/>
        <n v="53149"/>
        <n v="1139162"/>
        <n v="459412"/>
        <n v="162235"/>
        <n v="109041"/>
        <n v="82460"/>
        <n v="73229"/>
        <n v="63367"/>
        <n v="53457"/>
        <n v="50039"/>
        <n v="43337"/>
        <n v="38030"/>
        <n v="34124"/>
        <n v="35681"/>
        <n v="48175"/>
        <n v="46259"/>
        <n v="35880"/>
        <n v="31029"/>
        <n v="30273"/>
        <n v="27883"/>
        <n v="28753"/>
        <n v="28190"/>
        <n v="26089"/>
        <n v="23793"/>
        <n v="23302"/>
        <n v="21606"/>
        <n v="21348"/>
        <n v="21552"/>
        <n v="20771"/>
        <n v="21212"/>
        <n v="20901"/>
        <n v="20577"/>
        <n v="18848"/>
        <n v="18026"/>
        <n v="21534"/>
        <n v="21462"/>
        <n v="23579"/>
        <n v="24155"/>
        <n v="26137"/>
        <n v="38860"/>
        <n v="29266"/>
        <n v="27622"/>
        <n v="29098"/>
        <n v="36121"/>
        <n v="59677"/>
        <n v="49320"/>
        <n v="31714"/>
        <n v="27897"/>
        <n v="26562"/>
        <n v="27290"/>
        <n v="26166"/>
        <n v="26738"/>
        <n v="22598"/>
        <n v="22361"/>
        <n v="22568"/>
        <n v="22792"/>
        <n v="29844"/>
        <n v="32954"/>
        <n v="29456"/>
        <n v="31239"/>
        <n v="29526"/>
        <n v="26907"/>
        <n v="26326"/>
        <n v="26196"/>
        <n v="27496"/>
        <n v="22069"/>
        <n v="2"/>
        <n v="36571"/>
        <n v="41920"/>
        <n v="43743"/>
        <n v="42291"/>
        <n v="20761"/>
        <n v="20830"/>
        <n v="16860"/>
        <n v="17185"/>
        <n v="18426"/>
        <n v="30684"/>
        <n v="26184"/>
        <n v="23246"/>
        <n v="22567"/>
        <n v="19796"/>
        <n v="23326"/>
        <n v="13695"/>
        <n v="13548"/>
        <n v="17766"/>
        <n v="13449"/>
        <n v="10750"/>
        <n v="9024"/>
        <n v="10400"/>
        <n v="10183"/>
        <n v="11882"/>
        <n v="11576"/>
        <n v="9548"/>
        <n v="12733"/>
        <n v="10565"/>
        <n v="10265"/>
        <n v="9691"/>
        <n v="10378"/>
        <n v="11563"/>
        <n v="13823"/>
        <n v="11784"/>
        <n v="10936"/>
        <n v="12605"/>
        <n v="11915"/>
        <n v="11249"/>
        <n v="12201"/>
        <n v="12324"/>
        <n v="12313"/>
        <n v="14118"/>
        <n v="20992"/>
        <n v="45121"/>
        <n v="24616"/>
        <n v="23951"/>
        <n v="28685"/>
        <n v="34269"/>
        <n v="36290"/>
        <n v="35331"/>
        <n v="42065"/>
        <n v="38692"/>
        <n v="37781"/>
        <n v="39188"/>
        <n v="45128"/>
        <n v="90662"/>
        <n v="108815"/>
        <n v="104918"/>
        <n v="112650"/>
        <n v="95127"/>
        <n v="129979"/>
        <n v="258029"/>
        <n v="3086640"/>
        <n v="953408"/>
        <n v="263082"/>
        <n v="146051"/>
        <n v="111484"/>
        <n v="91964"/>
        <n v="76966"/>
        <n v="65164"/>
        <n v="54806"/>
        <n v="46525"/>
        <n v="42213"/>
        <n v="36634"/>
        <n v="33377"/>
        <n v="31175"/>
        <n v="30808"/>
        <n v="30204"/>
        <n v="28829"/>
        <n v="26353"/>
        <n v="30293"/>
        <n v="29268"/>
        <n v="25348"/>
        <n v="24810"/>
        <n v="24105"/>
        <n v="23947"/>
        <n v="23335"/>
        <n v="22049"/>
        <n v="20054"/>
        <n v="20415"/>
        <n v="21773"/>
        <n v="22209"/>
        <n v="22448"/>
        <n v="19565"/>
        <n v="19867"/>
        <n v="17731"/>
        <n v="19149"/>
        <n v="19931"/>
        <n v="18798"/>
        <n v="18727"/>
        <n v="20075"/>
        <n v="21086"/>
        <n v="19378"/>
        <n v="19962"/>
        <n v="20329"/>
        <n v="18778"/>
        <n v="18609"/>
        <n v="22813"/>
        <n v="20034"/>
        <n v="17393"/>
        <n v="18342"/>
        <n v="18850"/>
        <n v="18241"/>
        <n v="17908"/>
        <n v="18021"/>
        <n v="24195"/>
        <n v="15101"/>
        <n v="14712"/>
        <n v="16675"/>
        <n v="15518"/>
        <n v="16180"/>
        <n v="16129"/>
        <n v="14818"/>
        <n v="13160"/>
        <n v="13880"/>
        <n v="14340"/>
        <n v="14333"/>
        <n v="20685"/>
        <n v="30134"/>
        <n v="49172"/>
        <n v="39899"/>
        <n v="19679"/>
        <n v="19717"/>
        <n v="17297"/>
        <n v="18581"/>
        <n v="14523"/>
        <n v="15013"/>
        <n v="16194"/>
        <n v="15843"/>
        <n v="15169"/>
        <n v="14493"/>
        <n v="12962"/>
        <n v="11298"/>
        <n v="13568"/>
        <n v="13372"/>
        <n v="28865"/>
        <n v="18078"/>
        <n v="15104"/>
        <n v="16195"/>
        <n v="14895"/>
        <n v="13978"/>
        <n v="18443"/>
        <n v="16887"/>
        <n v="15902"/>
        <n v="11843"/>
        <n v="16525"/>
        <n v="17508"/>
        <n v="15766"/>
        <n v="16743"/>
        <n v="23258"/>
        <n v="21469"/>
        <n v="16805"/>
        <n v="13171"/>
        <n v="8438"/>
        <n v="8693"/>
        <n v="11718"/>
        <n v="15203"/>
        <n v="13258"/>
        <n v="13238"/>
        <n v="13900"/>
        <n v="23379"/>
        <n v="14370"/>
        <n v="12656"/>
        <n v="13154"/>
        <n v="13607"/>
        <n v="14369"/>
        <n v="14770"/>
        <n v="15061"/>
        <n v="14688"/>
        <n v="13819"/>
        <n v="15174"/>
        <n v="16847"/>
        <n v="17068"/>
        <n v="13765"/>
        <n v="14667"/>
        <n v="18306"/>
        <n v="16161"/>
        <n v="14329"/>
        <n v="20777"/>
        <n v="17394"/>
        <n v="16333"/>
        <n v="16484"/>
        <n v="14454"/>
        <n v="13832"/>
        <n v="15577"/>
        <n v="15732"/>
        <n v="25271"/>
        <n v="21482"/>
        <n v="20307"/>
        <n v="17866"/>
        <n v="19417"/>
        <n v="18511"/>
        <n v="17452"/>
        <n v="16162"/>
        <n v="14926"/>
        <n v="13564"/>
        <n v="15808"/>
        <n v="15649"/>
        <n v="13848"/>
        <n v="15120"/>
        <n v="13744"/>
        <n v="13473"/>
        <n v="17339"/>
        <n v="19440"/>
        <n v="16105"/>
        <n v="17144"/>
        <n v="15767"/>
        <n v="14330"/>
        <n v="13997"/>
        <n v="17245"/>
        <n v="31193"/>
        <n v="25163"/>
        <n v="19107"/>
        <n v="17088"/>
        <n v="21667"/>
        <n v="25057"/>
        <n v="25167"/>
        <n v="21410"/>
        <n v="19179"/>
        <n v="18873"/>
        <n v="17018"/>
        <n v="14808"/>
        <n v="17322"/>
        <n v="17163"/>
        <n v="18769"/>
        <n v="27301"/>
        <n v="22916"/>
        <n v="19528"/>
        <n v="20331"/>
        <n v="22109"/>
        <n v="39432"/>
        <n v="28137"/>
        <n v="57104"/>
        <n v="53532"/>
        <n v="25691"/>
        <n v="21007"/>
        <n v="23358"/>
        <n v="22518"/>
        <n v="21993"/>
        <n v="21035"/>
        <n v="20769"/>
        <n v="19635"/>
        <n v="21602"/>
        <n v="20753"/>
        <n v="22565"/>
        <n v="20934"/>
        <n v="21298"/>
        <n v="18189"/>
        <n v="14589"/>
        <n v="14191"/>
        <n v="14757"/>
        <n v="19512"/>
        <n v="21319"/>
        <n v="18677"/>
        <n v="23428"/>
        <n v="23072"/>
        <n v="17602"/>
        <n v="18389"/>
        <n v="19516"/>
        <n v="20916"/>
        <n v="23677"/>
        <n v="20603"/>
        <n v="18749"/>
        <n v="20029"/>
        <n v="35100"/>
        <n v="839192"/>
        <n v="358561"/>
        <n v="227982"/>
        <n v="194205"/>
        <n v="92482"/>
        <n v="76226"/>
        <n v="63466"/>
        <n v="45073"/>
        <n v="35263"/>
        <n v="30741"/>
        <n v="26478"/>
        <n v="25831"/>
        <n v="25493"/>
        <n v="25098"/>
        <n v="24012"/>
        <n v="26135"/>
        <n v="24790"/>
        <n v="25971"/>
        <n v="22859"/>
        <n v="24063"/>
        <n v="27268"/>
        <n v="25908"/>
        <n v="23852"/>
        <n v="23215"/>
        <n v="20968"/>
        <n v="19557"/>
        <n v="19239"/>
        <n v="21505"/>
        <n v="20622"/>
        <n v="23178"/>
        <n v="17768"/>
        <n v="18370"/>
        <n v="18633"/>
        <n v="19722"/>
        <n v="36868"/>
        <n v="28304"/>
        <n v="17829"/>
        <n v="16224"/>
        <n v="17884"/>
        <n v="18528"/>
        <n v="22893"/>
        <n v="21923"/>
        <n v="21632"/>
        <n v="29593"/>
        <n v="25532"/>
        <n v="23612"/>
        <n v="25660"/>
        <n v="29988"/>
        <n v="38021"/>
        <n v="28576"/>
        <n v="24459"/>
        <n v="27031"/>
        <n v="26744"/>
        <n v="32310"/>
        <n v="35562"/>
        <n v="31842"/>
        <n v="29965"/>
        <n v="26535"/>
        <n v="28347"/>
        <n v="25464"/>
        <n v="25791"/>
        <n v="28848"/>
        <n v="31964"/>
        <n v="29251"/>
        <n v="27040"/>
        <n v="43345"/>
        <n v="34421"/>
        <n v="47571"/>
        <n v="60202"/>
        <n v="53136"/>
        <n v="49837"/>
        <n v="45642"/>
        <n v="81523"/>
        <n v="72134"/>
        <n v="69878"/>
        <n v="84436"/>
        <n v="96686"/>
        <n v="135224"/>
        <n v="220567"/>
        <n v="3470476"/>
        <n v="1563450"/>
        <n v="404375"/>
        <n v="225201"/>
        <n v="162540"/>
        <n v="133148"/>
        <n v="130190"/>
        <n v="136061"/>
        <n v="86797"/>
        <n v="59977"/>
        <n v="52353"/>
        <n v="47169"/>
        <n v="45549"/>
        <n v="40138"/>
        <n v="37181"/>
        <n v="32092"/>
        <n v="29761"/>
        <n v="28476"/>
        <n v="28370"/>
        <n v="29299"/>
        <n v="26561"/>
        <n v="23439"/>
        <n v="22820"/>
        <n v="22000"/>
        <n v="21878"/>
        <n v="21899"/>
        <n v="20717"/>
        <n v="19545"/>
        <n v="20056"/>
        <n v="19985"/>
        <n v="20328"/>
        <n v="20085"/>
        <n v="18576"/>
        <n v="20546"/>
        <n v="19934"/>
        <n v="38967"/>
        <n v="38037"/>
        <n v="22488"/>
        <n v="19991"/>
        <n v="19227"/>
        <n v="29080"/>
        <n v="20154"/>
        <n v="18846"/>
        <n v="18191"/>
        <n v="17723"/>
        <n v="22200"/>
        <n v="18826"/>
        <n v="17461"/>
        <n v="17826"/>
        <n v="19730"/>
        <n v="17954"/>
        <n v="18300"/>
        <n v="15740"/>
        <n v="16427"/>
        <n v="19462"/>
        <n v="19559"/>
        <n v="18092"/>
        <n v="18896"/>
        <n v="17074"/>
        <n v="18081"/>
        <n v="38082"/>
        <n v="18227"/>
        <n v="17152"/>
        <n v="16539"/>
        <n v="16908"/>
        <n v="17788"/>
        <n v="16970"/>
        <n v="19534"/>
        <n v="19976"/>
        <n v="19436"/>
        <n v="17247"/>
        <n v="17153"/>
        <n v="18678"/>
        <n v="19327"/>
        <n v="16699"/>
        <n v="14769"/>
        <n v="13849"/>
        <n v="14623"/>
        <n v="17346"/>
        <n v="20000"/>
        <n v="19495"/>
        <n v="18074"/>
        <n v="14897"/>
        <n v="12928"/>
        <n v="13553"/>
        <n v="26725"/>
        <n v="23948"/>
        <n v="27459"/>
        <n v="22126"/>
        <n v="18165"/>
        <n v="15387"/>
        <n v="16850"/>
        <n v="14480"/>
        <n v="15375"/>
        <n v="14315"/>
        <n v="18615"/>
        <n v="18934"/>
        <n v="17846"/>
        <n v="17583"/>
        <n v="18982"/>
        <n v="20908"/>
        <n v="23319"/>
        <n v="18453"/>
        <n v="15430"/>
        <n v="14662"/>
        <n v="22244"/>
        <n v="17264"/>
        <n v="33237"/>
        <m/>
      </sharedItems>
    </cacheField>
    <cacheField name="bounced_sessions" numFmtId="0">
      <sharedItems containsString="0" containsBlank="1" containsNumber="1" containsInteger="1" minValue="2" maxValue="1300402"/>
    </cacheField>
    <cacheField name="avg_session_duration_secs" numFmtId="0">
      <sharedItems containsString="0" containsBlank="1" containsNumber="1" containsInteger="1" minValue="0" maxValue="411"/>
    </cacheField>
    <cacheField name="event_type" numFmtId="0">
      <sharedItems containsBlank="1"/>
    </cacheField>
    <cacheField name="website_content" numFmtId="0">
      <sharedItems containsBlank="1" count="3">
        <s v="Grammys TRA"/>
        <s v="Grammys"/>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82.649532175928" createdVersion="8" refreshedVersion="8" minRefreshableVersion="3" recordCount="7896" xr:uid="{75C31AA6-5265-44BF-BFE5-261AB3A7E7FE}">
  <cacheSource type="worksheet">
    <worksheetSource name="ABTest"/>
  </cacheSource>
  <cacheFields count="3">
    <cacheField name="website version" numFmtId="0">
      <sharedItems count="2">
        <s v="websites combined"/>
        <s v="websites split"/>
      </sharedItems>
    </cacheField>
    <cacheField name="group" numFmtId="0">
      <sharedItems count="2">
        <s v="control"/>
        <s v="test"/>
      </sharedItems>
    </cacheField>
    <cacheField name="CTA clicke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d v="2017-01-01T00:00:00"/>
    <n v="9611"/>
    <n v="21407"/>
    <n v="10196"/>
    <n v="6490"/>
    <n v="86"/>
    <x v="0"/>
  </r>
  <r>
    <d v="2017-01-02T00:00:00"/>
    <n v="10752"/>
    <n v="25658"/>
    <n v="11350"/>
    <n v="7055"/>
    <n v="100"/>
    <x v="0"/>
  </r>
  <r>
    <d v="2017-01-03T00:00:00"/>
    <n v="11425"/>
    <n v="27062"/>
    <n v="12215"/>
    <n v="7569"/>
    <n v="92"/>
    <x v="0"/>
  </r>
  <r>
    <d v="2017-01-04T00:00:00"/>
    <n v="13098"/>
    <n v="29189"/>
    <n v="13852"/>
    <n v="8929"/>
    <n v="90"/>
    <x v="0"/>
  </r>
  <r>
    <d v="2017-01-05T00:00:00"/>
    <n v="12234"/>
    <n v="28288"/>
    <n v="12990"/>
    <n v="8105"/>
    <n v="95"/>
    <x v="0"/>
  </r>
  <r>
    <d v="2017-01-06T00:00:00"/>
    <n v="11461"/>
    <n v="28022"/>
    <n v="12309"/>
    <n v="7500"/>
    <n v="95"/>
    <x v="0"/>
  </r>
  <r>
    <d v="2017-01-07T00:00:00"/>
    <n v="11183"/>
    <n v="27491"/>
    <n v="11993"/>
    <n v="7287"/>
    <n v="94"/>
    <x v="0"/>
  </r>
  <r>
    <d v="2017-01-08T00:00:00"/>
    <n v="16265"/>
    <n v="38529"/>
    <n v="17361"/>
    <n v="10587"/>
    <n v="84"/>
    <x v="0"/>
  </r>
  <r>
    <d v="2017-01-09T00:00:00"/>
    <n v="17852"/>
    <n v="40698"/>
    <n v="18914"/>
    <n v="11697"/>
    <n v="87"/>
    <x v="0"/>
  </r>
  <r>
    <d v="2017-01-10T00:00:00"/>
    <n v="14211"/>
    <n v="33218"/>
    <n v="15124"/>
    <n v="9270"/>
    <n v="96"/>
    <x v="0"/>
  </r>
  <r>
    <d v="2017-01-11T00:00:00"/>
    <n v="13456"/>
    <n v="30704"/>
    <n v="14397"/>
    <n v="8922"/>
    <n v="99"/>
    <x v="0"/>
  </r>
  <r>
    <d v="2017-01-12T00:00:00"/>
    <n v="13616"/>
    <n v="31559"/>
    <n v="14613"/>
    <n v="9227"/>
    <n v="98"/>
    <x v="0"/>
  </r>
  <r>
    <d v="2017-01-13T00:00:00"/>
    <n v="11880"/>
    <n v="27526"/>
    <n v="12805"/>
    <n v="8148"/>
    <n v="97"/>
    <x v="0"/>
  </r>
  <r>
    <d v="2017-01-14T00:00:00"/>
    <n v="11888"/>
    <n v="27940"/>
    <n v="12608"/>
    <n v="7804"/>
    <n v="93"/>
    <x v="0"/>
  </r>
  <r>
    <d v="2017-01-15T00:00:00"/>
    <n v="12706"/>
    <n v="29109"/>
    <n v="13416"/>
    <n v="8349"/>
    <n v="96"/>
    <x v="0"/>
  </r>
  <r>
    <d v="2017-01-16T00:00:00"/>
    <n v="12691"/>
    <n v="30284"/>
    <n v="13525"/>
    <n v="8282"/>
    <n v="100"/>
    <x v="0"/>
  </r>
  <r>
    <d v="2017-01-17T00:00:00"/>
    <n v="13260"/>
    <n v="33596"/>
    <n v="14260"/>
    <n v="8514"/>
    <n v="121"/>
    <x v="0"/>
  </r>
  <r>
    <d v="2017-01-18T00:00:00"/>
    <n v="14483"/>
    <n v="36586"/>
    <n v="15809"/>
    <n v="9494"/>
    <n v="117"/>
    <x v="0"/>
  </r>
  <r>
    <d v="2017-01-19T00:00:00"/>
    <n v="13551"/>
    <n v="31964"/>
    <n v="14694"/>
    <n v="9118"/>
    <n v="104"/>
    <x v="0"/>
  </r>
  <r>
    <d v="2017-01-20T00:00:00"/>
    <n v="13215"/>
    <n v="32339"/>
    <n v="14083"/>
    <n v="8609"/>
    <n v="99"/>
    <x v="0"/>
  </r>
  <r>
    <d v="2017-01-21T00:00:00"/>
    <n v="12578"/>
    <n v="32504"/>
    <n v="13725"/>
    <n v="8135"/>
    <n v="101"/>
    <x v="0"/>
  </r>
  <r>
    <d v="2017-01-22T00:00:00"/>
    <n v="16502"/>
    <n v="42656"/>
    <n v="17814"/>
    <n v="10570"/>
    <n v="93"/>
    <x v="0"/>
  </r>
  <r>
    <d v="2017-01-23T00:00:00"/>
    <n v="14620"/>
    <n v="35936"/>
    <n v="15755"/>
    <n v="9463"/>
    <n v="106"/>
    <x v="0"/>
  </r>
  <r>
    <d v="2017-01-24T00:00:00"/>
    <n v="17787"/>
    <n v="43392"/>
    <n v="19070"/>
    <n v="11845"/>
    <n v="106"/>
    <x v="0"/>
  </r>
  <r>
    <d v="2017-01-25T00:00:00"/>
    <n v="15447"/>
    <n v="38741"/>
    <n v="16650"/>
    <n v="10094"/>
    <n v="112"/>
    <x v="0"/>
  </r>
  <r>
    <d v="2017-01-26T00:00:00"/>
    <n v="15211"/>
    <n v="35885"/>
    <n v="16507"/>
    <n v="10184"/>
    <n v="111"/>
    <x v="0"/>
  </r>
  <r>
    <d v="2017-01-27T00:00:00"/>
    <n v="14007"/>
    <n v="32563"/>
    <n v="15147"/>
    <n v="9337"/>
    <n v="104"/>
    <x v="0"/>
  </r>
  <r>
    <d v="2017-01-28T00:00:00"/>
    <n v="12950"/>
    <n v="30170"/>
    <n v="13920"/>
    <n v="8861"/>
    <n v="101"/>
    <x v="0"/>
  </r>
  <r>
    <d v="2017-01-29T00:00:00"/>
    <n v="16137"/>
    <n v="35206"/>
    <n v="17316"/>
    <n v="11180"/>
    <n v="91"/>
    <x v="0"/>
  </r>
  <r>
    <d v="2017-01-30T00:00:00"/>
    <n v="18765"/>
    <n v="45298"/>
    <n v="20142"/>
    <n v="12442"/>
    <n v="105"/>
    <x v="0"/>
  </r>
  <r>
    <d v="2017-01-31T00:00:00"/>
    <n v="35148"/>
    <n v="89209"/>
    <n v="38493"/>
    <n v="24474"/>
    <n v="104"/>
    <x v="0"/>
  </r>
  <r>
    <d v="2017-02-01T00:00:00"/>
    <n v="28565"/>
    <n v="69292"/>
    <n v="31107"/>
    <n v="19408"/>
    <n v="98"/>
    <x v="0"/>
  </r>
  <r>
    <d v="2017-02-02T00:00:00"/>
    <n v="27502"/>
    <n v="63795"/>
    <n v="29756"/>
    <n v="18955"/>
    <n v="92"/>
    <x v="0"/>
  </r>
  <r>
    <d v="2017-02-03T00:00:00"/>
    <n v="22888"/>
    <n v="54418"/>
    <n v="24902"/>
    <n v="15676"/>
    <n v="102"/>
    <x v="0"/>
  </r>
  <r>
    <d v="2017-02-04T00:00:00"/>
    <n v="25069"/>
    <n v="69341"/>
    <n v="27585"/>
    <n v="16849"/>
    <n v="95"/>
    <x v="0"/>
  </r>
  <r>
    <d v="2017-02-05T00:00:00"/>
    <n v="30728"/>
    <n v="84077"/>
    <n v="33575"/>
    <n v="20307"/>
    <n v="100"/>
    <x v="0"/>
  </r>
  <r>
    <d v="2017-02-06T00:00:00"/>
    <n v="34723"/>
    <n v="88352"/>
    <n v="38058"/>
    <n v="22957"/>
    <n v="104"/>
    <x v="0"/>
  </r>
  <r>
    <d v="2017-02-07T00:00:00"/>
    <n v="47583"/>
    <n v="122424"/>
    <n v="52246"/>
    <n v="31531"/>
    <n v="108"/>
    <x v="0"/>
  </r>
  <r>
    <d v="2017-02-08T00:00:00"/>
    <n v="52279"/>
    <n v="133884"/>
    <n v="57599"/>
    <n v="34946"/>
    <n v="104"/>
    <x v="0"/>
  </r>
  <r>
    <d v="2017-02-09T00:00:00"/>
    <n v="73648"/>
    <n v="191472"/>
    <n v="81432"/>
    <n v="49926"/>
    <n v="108"/>
    <x v="0"/>
  </r>
  <r>
    <d v="2017-02-10T00:00:00"/>
    <n v="91058"/>
    <n v="230302"/>
    <n v="99229"/>
    <n v="59072"/>
    <n v="104"/>
    <x v="0"/>
  </r>
  <r>
    <d v="2017-02-11T00:00:00"/>
    <n v="133362"/>
    <n v="346375"/>
    <n v="145977"/>
    <n v="82930"/>
    <n v="105"/>
    <x v="0"/>
  </r>
  <r>
    <d v="2017-02-12T00:00:00"/>
    <n v="1930245"/>
    <n v="5406421"/>
    <n v="2254973"/>
    <n v="1190175"/>
    <n v="162"/>
    <x v="1"/>
  </r>
  <r>
    <d v="2017-02-13T00:00:00"/>
    <n v="1057729"/>
    <n v="2926094"/>
    <n v="1150572"/>
    <n v="694831"/>
    <n v="113"/>
    <x v="0"/>
  </r>
  <r>
    <d v="2017-02-14T00:00:00"/>
    <n v="213939"/>
    <n v="526079"/>
    <n v="229644"/>
    <n v="149522"/>
    <n v="102"/>
    <x v="0"/>
  </r>
  <r>
    <d v="2017-02-15T00:00:00"/>
    <n v="105345"/>
    <n v="257780"/>
    <n v="113153"/>
    <n v="73663"/>
    <n v="101"/>
    <x v="0"/>
  </r>
  <r>
    <d v="2017-02-16T00:00:00"/>
    <n v="72888"/>
    <n v="176323"/>
    <n v="78087"/>
    <n v="52100"/>
    <n v="102"/>
    <x v="0"/>
  </r>
  <r>
    <d v="2017-02-17T00:00:00"/>
    <n v="62042"/>
    <n v="137206"/>
    <n v="66572"/>
    <n v="46108"/>
    <n v="95"/>
    <x v="0"/>
  </r>
  <r>
    <d v="2017-02-18T00:00:00"/>
    <n v="56309"/>
    <n v="122892"/>
    <n v="60790"/>
    <n v="42517"/>
    <n v="93"/>
    <x v="0"/>
  </r>
  <r>
    <d v="2017-02-19T00:00:00"/>
    <n v="45545"/>
    <n v="94898"/>
    <n v="48812"/>
    <n v="34345"/>
    <n v="90"/>
    <x v="0"/>
  </r>
  <r>
    <d v="2017-02-20T00:00:00"/>
    <n v="36105"/>
    <n v="76531"/>
    <n v="38674"/>
    <n v="27324"/>
    <n v="92"/>
    <x v="0"/>
  </r>
  <r>
    <d v="2017-02-21T00:00:00"/>
    <n v="32413"/>
    <n v="67242"/>
    <n v="34335"/>
    <n v="23908"/>
    <n v="92"/>
    <x v="0"/>
  </r>
  <r>
    <d v="2017-02-22T00:00:00"/>
    <n v="29955"/>
    <n v="65302"/>
    <n v="31991"/>
    <n v="22189"/>
    <n v="93"/>
    <x v="0"/>
  </r>
  <r>
    <d v="2017-02-23T00:00:00"/>
    <n v="25603"/>
    <n v="55174"/>
    <n v="27515"/>
    <n v="19275"/>
    <n v="92"/>
    <x v="0"/>
  </r>
  <r>
    <d v="2017-02-24T00:00:00"/>
    <n v="23074"/>
    <n v="47921"/>
    <n v="24605"/>
    <n v="17384"/>
    <n v="84"/>
    <x v="0"/>
  </r>
  <r>
    <d v="2017-02-25T00:00:00"/>
    <n v="26718"/>
    <n v="49579"/>
    <n v="28030"/>
    <n v="20874"/>
    <n v="74"/>
    <x v="0"/>
  </r>
  <r>
    <d v="2017-02-26T00:00:00"/>
    <n v="33563"/>
    <n v="60222"/>
    <n v="35116"/>
    <n v="25790"/>
    <n v="69"/>
    <x v="0"/>
  </r>
  <r>
    <d v="2017-02-27T00:00:00"/>
    <n v="27790"/>
    <n v="53034"/>
    <n v="29224"/>
    <n v="21261"/>
    <n v="77"/>
    <x v="0"/>
  </r>
  <r>
    <d v="2017-02-28T00:00:00"/>
    <n v="19932"/>
    <n v="38080"/>
    <n v="21147"/>
    <n v="15222"/>
    <n v="80"/>
    <x v="0"/>
  </r>
  <r>
    <d v="2017-03-01T00:00:00"/>
    <n v="17077"/>
    <n v="33835"/>
    <n v="18085"/>
    <n v="12738"/>
    <n v="87"/>
    <x v="0"/>
  </r>
  <r>
    <d v="2017-03-02T00:00:00"/>
    <n v="21703"/>
    <n v="38318"/>
    <n v="22885"/>
    <n v="17530"/>
    <n v="68"/>
    <x v="0"/>
  </r>
  <r>
    <d v="2017-03-03T00:00:00"/>
    <n v="21421"/>
    <n v="39240"/>
    <n v="22932"/>
    <n v="17378"/>
    <n v="73"/>
    <x v="0"/>
  </r>
  <r>
    <d v="2017-03-04T00:00:00"/>
    <n v="16004"/>
    <n v="31000"/>
    <n v="17007"/>
    <n v="12417"/>
    <n v="79"/>
    <x v="0"/>
  </r>
  <r>
    <d v="2017-03-05T00:00:00"/>
    <n v="15142"/>
    <n v="29655"/>
    <n v="16135"/>
    <n v="11606"/>
    <n v="84"/>
    <x v="0"/>
  </r>
  <r>
    <d v="2017-03-06T00:00:00"/>
    <n v="14735"/>
    <n v="28074"/>
    <n v="15733"/>
    <n v="11346"/>
    <n v="81"/>
    <x v="0"/>
  </r>
  <r>
    <d v="2017-03-07T00:00:00"/>
    <n v="12773"/>
    <n v="24940"/>
    <n v="13571"/>
    <n v="9838"/>
    <n v="82"/>
    <x v="0"/>
  </r>
  <r>
    <d v="2017-03-08T00:00:00"/>
    <n v="11539"/>
    <n v="23070"/>
    <n v="12432"/>
    <n v="8892"/>
    <n v="87"/>
    <x v="0"/>
  </r>
  <r>
    <d v="2017-03-09T00:00:00"/>
    <n v="11395"/>
    <n v="23221"/>
    <n v="12217"/>
    <n v="8667"/>
    <n v="83"/>
    <x v="0"/>
  </r>
  <r>
    <d v="2017-03-10T00:00:00"/>
    <n v="10794"/>
    <n v="21259"/>
    <n v="11382"/>
    <n v="8175"/>
    <n v="86"/>
    <x v="0"/>
  </r>
  <r>
    <d v="2017-03-11T00:00:00"/>
    <n v="11855"/>
    <n v="25447"/>
    <n v="12524"/>
    <n v="8706"/>
    <n v="81"/>
    <x v="0"/>
  </r>
  <r>
    <d v="2017-03-12T00:00:00"/>
    <n v="9602"/>
    <n v="19257"/>
    <n v="10334"/>
    <n v="7414"/>
    <n v="83"/>
    <x v="0"/>
  </r>
  <r>
    <d v="2017-03-13T00:00:00"/>
    <n v="9797"/>
    <n v="19886"/>
    <n v="10432"/>
    <n v="7483"/>
    <n v="96"/>
    <x v="0"/>
  </r>
  <r>
    <d v="2017-03-14T00:00:00"/>
    <n v="10665"/>
    <n v="20742"/>
    <n v="11257"/>
    <n v="8190"/>
    <n v="86"/>
    <x v="0"/>
  </r>
  <r>
    <d v="2017-03-15T00:00:00"/>
    <n v="9546"/>
    <n v="19267"/>
    <n v="10205"/>
    <n v="7397"/>
    <n v="96"/>
    <x v="0"/>
  </r>
  <r>
    <d v="2017-03-16T00:00:00"/>
    <n v="8789"/>
    <n v="17184"/>
    <n v="9291"/>
    <n v="6718"/>
    <n v="83"/>
    <x v="0"/>
  </r>
  <r>
    <d v="2017-03-17T00:00:00"/>
    <n v="8242"/>
    <n v="15837"/>
    <n v="8790"/>
    <n v="6308"/>
    <n v="85"/>
    <x v="0"/>
  </r>
  <r>
    <d v="2017-03-18T00:00:00"/>
    <n v="8303"/>
    <n v="16195"/>
    <n v="8767"/>
    <n v="6314"/>
    <n v="89"/>
    <x v="0"/>
  </r>
  <r>
    <d v="2017-03-19T00:00:00"/>
    <n v="8990"/>
    <n v="17393"/>
    <n v="9573"/>
    <n v="6931"/>
    <n v="82"/>
    <x v="0"/>
  </r>
  <r>
    <d v="2017-03-20T00:00:00"/>
    <n v="8511"/>
    <n v="16708"/>
    <n v="9077"/>
    <n v="6560"/>
    <n v="87"/>
    <x v="0"/>
  </r>
  <r>
    <d v="2017-03-21T00:00:00"/>
    <n v="12251"/>
    <n v="21578"/>
    <n v="12929"/>
    <n v="9971"/>
    <n v="73"/>
    <x v="0"/>
  </r>
  <r>
    <d v="2017-03-22T00:00:00"/>
    <n v="9377"/>
    <n v="17646"/>
    <n v="9899"/>
    <n v="7190"/>
    <n v="86"/>
    <x v="0"/>
  </r>
  <r>
    <d v="2017-03-23T00:00:00"/>
    <n v="8615"/>
    <n v="16532"/>
    <n v="9261"/>
    <n v="6743"/>
    <n v="84"/>
    <x v="0"/>
  </r>
  <r>
    <d v="2017-03-24T00:00:00"/>
    <n v="7789"/>
    <n v="15290"/>
    <n v="8334"/>
    <n v="6033"/>
    <n v="90"/>
    <x v="0"/>
  </r>
  <r>
    <d v="2017-03-25T00:00:00"/>
    <n v="7602"/>
    <n v="14023"/>
    <n v="8081"/>
    <n v="6030"/>
    <n v="76"/>
    <x v="0"/>
  </r>
  <r>
    <d v="2017-03-26T00:00:00"/>
    <n v="7633"/>
    <n v="14420"/>
    <n v="8076"/>
    <n v="5961"/>
    <n v="82"/>
    <x v="0"/>
  </r>
  <r>
    <d v="2017-03-27T00:00:00"/>
    <n v="7947"/>
    <n v="14722"/>
    <n v="8454"/>
    <n v="6224"/>
    <n v="76"/>
    <x v="0"/>
  </r>
  <r>
    <d v="2017-03-28T00:00:00"/>
    <n v="8096"/>
    <n v="14785"/>
    <n v="8517"/>
    <n v="6388"/>
    <n v="81"/>
    <x v="0"/>
  </r>
  <r>
    <d v="2017-03-29T00:00:00"/>
    <n v="7968"/>
    <n v="15487"/>
    <n v="8531"/>
    <n v="6241"/>
    <n v="93"/>
    <x v="0"/>
  </r>
  <r>
    <d v="2017-03-30T00:00:00"/>
    <n v="7624"/>
    <n v="15014"/>
    <n v="8122"/>
    <n v="5836"/>
    <n v="87"/>
    <x v="0"/>
  </r>
  <r>
    <d v="2017-03-31T00:00:00"/>
    <n v="7373"/>
    <n v="14068"/>
    <n v="7817"/>
    <n v="5665"/>
    <n v="69"/>
    <x v="0"/>
  </r>
  <r>
    <d v="2017-04-01T00:00:00"/>
    <n v="7627"/>
    <n v="13840"/>
    <n v="7987"/>
    <n v="5976"/>
    <n v="78"/>
    <x v="0"/>
  </r>
  <r>
    <d v="2017-04-02T00:00:00"/>
    <n v="7970"/>
    <n v="15161"/>
    <n v="8488"/>
    <n v="6203"/>
    <n v="82"/>
    <x v="0"/>
  </r>
  <r>
    <d v="2017-04-03T00:00:00"/>
    <n v="7827"/>
    <n v="15386"/>
    <n v="8361"/>
    <n v="5994"/>
    <n v="80"/>
    <x v="0"/>
  </r>
  <r>
    <d v="2017-04-04T00:00:00"/>
    <n v="7359"/>
    <n v="15506"/>
    <n v="7811"/>
    <n v="5510"/>
    <n v="83"/>
    <x v="0"/>
  </r>
  <r>
    <d v="2017-04-05T00:00:00"/>
    <n v="7201"/>
    <n v="13538"/>
    <n v="7526"/>
    <n v="5521"/>
    <n v="80"/>
    <x v="0"/>
  </r>
  <r>
    <d v="2017-04-06T00:00:00"/>
    <n v="7249"/>
    <n v="13767"/>
    <n v="7605"/>
    <n v="5377"/>
    <n v="80"/>
    <x v="0"/>
  </r>
  <r>
    <d v="2017-04-07T00:00:00"/>
    <n v="6950"/>
    <n v="13052"/>
    <n v="7292"/>
    <n v="5254"/>
    <n v="71"/>
    <x v="0"/>
  </r>
  <r>
    <d v="2017-04-08T00:00:00"/>
    <n v="6262"/>
    <n v="11439"/>
    <n v="6648"/>
    <n v="4947"/>
    <n v="68"/>
    <x v="0"/>
  </r>
  <r>
    <d v="2017-04-09T00:00:00"/>
    <n v="6347"/>
    <n v="12067"/>
    <n v="6701"/>
    <n v="4855"/>
    <n v="78"/>
    <x v="0"/>
  </r>
  <r>
    <d v="2017-04-10T00:00:00"/>
    <n v="6337"/>
    <n v="12033"/>
    <n v="6719"/>
    <n v="4883"/>
    <n v="75"/>
    <x v="0"/>
  </r>
  <r>
    <d v="2017-04-11T00:00:00"/>
    <n v="7011"/>
    <n v="13225"/>
    <n v="7513"/>
    <n v="5456"/>
    <n v="74"/>
    <x v="0"/>
  </r>
  <r>
    <d v="2017-04-12T00:00:00"/>
    <n v="8038"/>
    <n v="13900"/>
    <n v="8415"/>
    <n v="6181"/>
    <n v="62"/>
    <x v="0"/>
  </r>
  <r>
    <d v="2017-04-13T00:00:00"/>
    <n v="10204"/>
    <n v="17707"/>
    <n v="10830"/>
    <n v="8061"/>
    <n v="62"/>
    <x v="0"/>
  </r>
  <r>
    <d v="2017-04-14T00:00:00"/>
    <n v="10322"/>
    <n v="17967"/>
    <n v="10990"/>
    <n v="8253"/>
    <n v="67"/>
    <x v="0"/>
  </r>
  <r>
    <d v="2017-04-15T00:00:00"/>
    <n v="8806"/>
    <n v="15271"/>
    <n v="9285"/>
    <n v="6988"/>
    <n v="62"/>
    <x v="0"/>
  </r>
  <r>
    <d v="2017-04-16T00:00:00"/>
    <n v="21469"/>
    <n v="37310"/>
    <n v="22710"/>
    <n v="16452"/>
    <n v="67"/>
    <x v="0"/>
  </r>
  <r>
    <d v="2017-04-17T00:00:00"/>
    <n v="14149"/>
    <n v="27777"/>
    <n v="14922"/>
    <n v="10188"/>
    <n v="73"/>
    <x v="0"/>
  </r>
  <r>
    <d v="2017-04-18T00:00:00"/>
    <n v="10477"/>
    <n v="20391"/>
    <n v="11127"/>
    <n v="7851"/>
    <n v="74"/>
    <x v="0"/>
  </r>
  <r>
    <d v="2017-04-19T00:00:00"/>
    <n v="35249"/>
    <n v="50045"/>
    <n v="36246"/>
    <n v="30063"/>
    <n v="35"/>
    <x v="0"/>
  </r>
  <r>
    <d v="2017-04-20T00:00:00"/>
    <n v="13080"/>
    <n v="23052"/>
    <n v="13730"/>
    <n v="10242"/>
    <n v="59"/>
    <x v="0"/>
  </r>
  <r>
    <d v="2017-04-21T00:00:00"/>
    <n v="11195"/>
    <n v="20578"/>
    <n v="11770"/>
    <n v="8228"/>
    <n v="68"/>
    <x v="0"/>
  </r>
  <r>
    <d v="2017-04-22T00:00:00"/>
    <n v="8363"/>
    <n v="14911"/>
    <n v="8892"/>
    <n v="6258"/>
    <n v="66"/>
    <x v="0"/>
  </r>
  <r>
    <d v="2017-04-23T00:00:00"/>
    <n v="8071"/>
    <n v="14772"/>
    <n v="8486"/>
    <n v="6231"/>
    <n v="69"/>
    <x v="0"/>
  </r>
  <r>
    <d v="2017-04-24T00:00:00"/>
    <n v="8548"/>
    <n v="15685"/>
    <n v="8981"/>
    <n v="6587"/>
    <n v="72"/>
    <x v="0"/>
  </r>
  <r>
    <d v="2017-04-25T00:00:00"/>
    <n v="8179"/>
    <n v="14435"/>
    <n v="8633"/>
    <n v="6410"/>
    <n v="60"/>
    <x v="0"/>
  </r>
  <r>
    <d v="2017-04-26T00:00:00"/>
    <n v="7717"/>
    <n v="14183"/>
    <n v="8186"/>
    <n v="5975"/>
    <n v="67"/>
    <x v="0"/>
  </r>
  <r>
    <d v="2017-04-27T00:00:00"/>
    <n v="7489"/>
    <n v="13680"/>
    <n v="7869"/>
    <n v="5706"/>
    <n v="67"/>
    <x v="0"/>
  </r>
  <r>
    <d v="2017-04-28T00:00:00"/>
    <n v="7011"/>
    <n v="13079"/>
    <n v="7342"/>
    <n v="5301"/>
    <n v="69"/>
    <x v="0"/>
  </r>
  <r>
    <d v="2017-04-29T00:00:00"/>
    <n v="10897"/>
    <n v="16223"/>
    <n v="11306"/>
    <n v="9440"/>
    <n v="36"/>
    <x v="0"/>
  </r>
  <r>
    <d v="2017-04-30T00:00:00"/>
    <n v="8115"/>
    <n v="14750"/>
    <n v="8418"/>
    <n v="6104"/>
    <n v="61"/>
    <x v="0"/>
  </r>
  <r>
    <d v="2017-05-01T00:00:00"/>
    <n v="7923"/>
    <n v="14731"/>
    <n v="8382"/>
    <n v="5982"/>
    <n v="70"/>
    <x v="0"/>
  </r>
  <r>
    <d v="2017-05-02T00:00:00"/>
    <n v="7653"/>
    <n v="13879"/>
    <n v="8156"/>
    <n v="5918"/>
    <n v="67"/>
    <x v="0"/>
  </r>
  <r>
    <d v="2017-05-03T00:00:00"/>
    <n v="12064"/>
    <n v="21432"/>
    <n v="12821"/>
    <n v="9369"/>
    <n v="69"/>
    <x v="0"/>
  </r>
  <r>
    <d v="2017-05-04T00:00:00"/>
    <n v="9065"/>
    <n v="17003"/>
    <n v="9524"/>
    <n v="6938"/>
    <n v="72"/>
    <x v="0"/>
  </r>
  <r>
    <d v="2017-05-05T00:00:00"/>
    <n v="8668"/>
    <n v="15453"/>
    <n v="9066"/>
    <n v="6757"/>
    <n v="66"/>
    <x v="0"/>
  </r>
  <r>
    <d v="2017-05-06T00:00:00"/>
    <n v="7559"/>
    <n v="12839"/>
    <n v="8032"/>
    <n v="6130"/>
    <n v="59"/>
    <x v="0"/>
  </r>
  <r>
    <d v="2017-05-07T00:00:00"/>
    <n v="7065"/>
    <n v="12279"/>
    <n v="7410"/>
    <n v="5465"/>
    <n v="63"/>
    <x v="0"/>
  </r>
  <r>
    <d v="2017-05-08T00:00:00"/>
    <n v="7589"/>
    <n v="13694"/>
    <n v="7946"/>
    <n v="5815"/>
    <n v="67"/>
    <x v="0"/>
  </r>
  <r>
    <d v="2017-05-09T00:00:00"/>
    <n v="7908"/>
    <n v="14439"/>
    <n v="8440"/>
    <n v="6023"/>
    <n v="69"/>
    <x v="0"/>
  </r>
  <r>
    <d v="2017-05-10T00:00:00"/>
    <n v="7363"/>
    <n v="13436"/>
    <n v="7787"/>
    <n v="5634"/>
    <n v="67"/>
    <x v="0"/>
  </r>
  <r>
    <d v="2017-05-11T00:00:00"/>
    <n v="7019"/>
    <n v="12511"/>
    <n v="7409"/>
    <n v="5431"/>
    <n v="64"/>
    <x v="0"/>
  </r>
  <r>
    <d v="2017-05-12T00:00:00"/>
    <n v="6703"/>
    <n v="12084"/>
    <n v="7098"/>
    <n v="5281"/>
    <n v="64"/>
    <x v="0"/>
  </r>
  <r>
    <d v="2017-05-13T00:00:00"/>
    <n v="6279"/>
    <n v="11498"/>
    <n v="6524"/>
    <n v="4736"/>
    <n v="69"/>
    <x v="0"/>
  </r>
  <r>
    <d v="2017-05-14T00:00:00"/>
    <n v="5789"/>
    <n v="11085"/>
    <n v="6111"/>
    <n v="4466"/>
    <n v="71"/>
    <x v="0"/>
  </r>
  <r>
    <d v="2017-05-15T00:00:00"/>
    <n v="6356"/>
    <n v="11424"/>
    <n v="6691"/>
    <n v="4928"/>
    <n v="68"/>
    <x v="0"/>
  </r>
  <r>
    <d v="2017-05-16T00:00:00"/>
    <n v="6376"/>
    <n v="11956"/>
    <n v="6735"/>
    <n v="4848"/>
    <n v="75"/>
    <x v="0"/>
  </r>
  <r>
    <d v="2017-05-17T00:00:00"/>
    <n v="1462"/>
    <n v="2493"/>
    <n v="1516"/>
    <n v="1002"/>
    <n v="94"/>
    <x v="0"/>
  </r>
  <r>
    <d v="2017-05-18T00:00:00"/>
    <n v="4263"/>
    <n v="6743"/>
    <n v="4490"/>
    <n v="3042"/>
    <n v="69"/>
    <x v="0"/>
  </r>
  <r>
    <d v="2017-05-19T00:00:00"/>
    <n v="4018"/>
    <n v="6443"/>
    <n v="4220"/>
    <n v="2364"/>
    <n v="78"/>
    <x v="0"/>
  </r>
  <r>
    <d v="2017-05-20T00:00:00"/>
    <n v="3444"/>
    <n v="5451"/>
    <n v="3610"/>
    <n v="1861"/>
    <n v="83"/>
    <x v="0"/>
  </r>
  <r>
    <d v="2017-05-21T00:00:00"/>
    <n v="4776"/>
    <n v="7596"/>
    <n v="5018"/>
    <n v="2711"/>
    <n v="83"/>
    <x v="0"/>
  </r>
  <r>
    <d v="2017-05-22T00:00:00"/>
    <n v="5434"/>
    <n v="8280"/>
    <n v="5687"/>
    <n v="3141"/>
    <n v="77"/>
    <x v="0"/>
  </r>
  <r>
    <d v="2017-05-23T00:00:00"/>
    <n v="4157"/>
    <n v="6434"/>
    <n v="4412"/>
    <n v="2466"/>
    <n v="80"/>
    <x v="0"/>
  </r>
  <r>
    <d v="2017-05-24T00:00:00"/>
    <n v="3766"/>
    <n v="6088"/>
    <n v="3986"/>
    <n v="2163"/>
    <n v="90"/>
    <x v="0"/>
  </r>
  <r>
    <d v="2017-05-25T00:00:00"/>
    <n v="4317"/>
    <n v="7003"/>
    <n v="4582"/>
    <n v="2529"/>
    <n v="84"/>
    <x v="0"/>
  </r>
  <r>
    <d v="2017-05-26T00:00:00"/>
    <n v="4406"/>
    <n v="7131"/>
    <n v="4729"/>
    <n v="2613"/>
    <n v="81"/>
    <x v="0"/>
  </r>
  <r>
    <d v="2017-05-27T00:00:00"/>
    <n v="4031"/>
    <n v="6774"/>
    <n v="4272"/>
    <n v="2474"/>
    <n v="76"/>
    <x v="0"/>
  </r>
  <r>
    <d v="2017-05-28T00:00:00"/>
    <n v="5186"/>
    <n v="12019"/>
    <n v="5566"/>
    <n v="2796"/>
    <n v="111"/>
    <x v="0"/>
  </r>
  <r>
    <d v="2017-05-29T00:00:00"/>
    <n v="3972"/>
    <n v="7122"/>
    <n v="4245"/>
    <n v="2365"/>
    <n v="87"/>
    <x v="0"/>
  </r>
  <r>
    <d v="2017-05-30T00:00:00"/>
    <n v="5343"/>
    <n v="8187"/>
    <n v="5624"/>
    <n v="2816"/>
    <n v="85"/>
    <x v="0"/>
  </r>
  <r>
    <d v="2017-05-31T00:00:00"/>
    <n v="5060"/>
    <n v="8021"/>
    <n v="5307"/>
    <n v="2805"/>
    <n v="81"/>
    <x v="0"/>
  </r>
  <r>
    <d v="2017-06-01T00:00:00"/>
    <n v="3998"/>
    <n v="6474"/>
    <n v="4233"/>
    <n v="2396"/>
    <n v="78"/>
    <x v="0"/>
  </r>
  <r>
    <d v="2017-06-02T00:00:00"/>
    <n v="3761"/>
    <n v="5890"/>
    <n v="3972"/>
    <n v="2307"/>
    <n v="73"/>
    <x v="0"/>
  </r>
  <r>
    <d v="2017-06-03T00:00:00"/>
    <n v="3794"/>
    <n v="6006"/>
    <n v="3967"/>
    <n v="2282"/>
    <n v="78"/>
    <x v="0"/>
  </r>
  <r>
    <d v="2017-06-04T00:00:00"/>
    <n v="3907"/>
    <n v="6189"/>
    <n v="4103"/>
    <n v="2351"/>
    <n v="70"/>
    <x v="0"/>
  </r>
  <r>
    <d v="2017-06-05T00:00:00"/>
    <n v="5109"/>
    <n v="8047"/>
    <n v="5355"/>
    <n v="2833"/>
    <n v="76"/>
    <x v="0"/>
  </r>
  <r>
    <d v="2017-06-06T00:00:00"/>
    <n v="4786"/>
    <n v="9770"/>
    <n v="5054"/>
    <n v="2091"/>
    <n v="84"/>
    <x v="0"/>
  </r>
  <r>
    <d v="2017-06-07T00:00:00"/>
    <n v="5010"/>
    <n v="11189"/>
    <n v="5290"/>
    <n v="1746"/>
    <n v="80"/>
    <x v="0"/>
  </r>
  <r>
    <d v="2017-06-08T00:00:00"/>
    <n v="5338"/>
    <n v="9638"/>
    <n v="5648"/>
    <n v="2436"/>
    <n v="77"/>
    <x v="0"/>
  </r>
  <r>
    <d v="2017-06-09T00:00:00"/>
    <n v="4948"/>
    <n v="8029"/>
    <n v="5214"/>
    <n v="2716"/>
    <n v="86"/>
    <x v="0"/>
  </r>
  <r>
    <d v="2017-06-10T00:00:00"/>
    <n v="4786"/>
    <n v="7389"/>
    <n v="5034"/>
    <n v="2599"/>
    <n v="75"/>
    <x v="0"/>
  </r>
  <r>
    <d v="2017-06-11T00:00:00"/>
    <n v="5219"/>
    <n v="8070"/>
    <n v="5513"/>
    <n v="2783"/>
    <n v="77"/>
    <x v="0"/>
  </r>
  <r>
    <d v="2017-06-12T00:00:00"/>
    <n v="5631"/>
    <n v="8580"/>
    <n v="5962"/>
    <n v="3023"/>
    <n v="84"/>
    <x v="0"/>
  </r>
  <r>
    <d v="2017-06-13T00:00:00"/>
    <n v="5178"/>
    <n v="8196"/>
    <n v="5504"/>
    <n v="2803"/>
    <n v="92"/>
    <x v="0"/>
  </r>
  <r>
    <d v="2017-06-14T00:00:00"/>
    <n v="5952"/>
    <n v="9445"/>
    <n v="6368"/>
    <n v="3146"/>
    <n v="85"/>
    <x v="0"/>
  </r>
  <r>
    <d v="2017-06-15T00:00:00"/>
    <n v="5287"/>
    <n v="8453"/>
    <n v="5597"/>
    <n v="2798"/>
    <n v="83"/>
    <x v="0"/>
  </r>
  <r>
    <d v="2017-06-16T00:00:00"/>
    <n v="4749"/>
    <n v="7681"/>
    <n v="5050"/>
    <n v="2582"/>
    <n v="78"/>
    <x v="0"/>
  </r>
  <r>
    <d v="2017-06-17T00:00:00"/>
    <n v="4515"/>
    <n v="6917"/>
    <n v="4743"/>
    <n v="2464"/>
    <n v="78"/>
    <x v="0"/>
  </r>
  <r>
    <d v="2017-06-18T00:00:00"/>
    <n v="4738"/>
    <n v="7482"/>
    <n v="4998"/>
    <n v="2497"/>
    <n v="84"/>
    <x v="0"/>
  </r>
  <r>
    <d v="2017-06-19T00:00:00"/>
    <n v="5153"/>
    <n v="8225"/>
    <n v="5481"/>
    <n v="2727"/>
    <n v="87"/>
    <x v="0"/>
  </r>
  <r>
    <d v="2017-06-20T00:00:00"/>
    <n v="5278"/>
    <n v="8230"/>
    <n v="5586"/>
    <n v="2828"/>
    <n v="83"/>
    <x v="0"/>
  </r>
  <r>
    <d v="2017-06-21T00:00:00"/>
    <n v="5224"/>
    <n v="8407"/>
    <n v="5518"/>
    <n v="2794"/>
    <n v="90"/>
    <x v="0"/>
  </r>
  <r>
    <d v="2017-06-22T00:00:00"/>
    <n v="5065"/>
    <n v="8053"/>
    <n v="5341"/>
    <n v="2691"/>
    <n v="82"/>
    <x v="0"/>
  </r>
  <r>
    <d v="2017-06-23T00:00:00"/>
    <n v="5043"/>
    <n v="7795"/>
    <n v="5313"/>
    <n v="2687"/>
    <n v="83"/>
    <x v="0"/>
  </r>
  <r>
    <d v="2017-06-24T00:00:00"/>
    <n v="5261"/>
    <n v="8453"/>
    <n v="5551"/>
    <n v="2743"/>
    <n v="98"/>
    <x v="0"/>
  </r>
  <r>
    <d v="2017-06-25T00:00:00"/>
    <n v="6300"/>
    <n v="9476"/>
    <n v="6584"/>
    <n v="3431"/>
    <n v="79"/>
    <x v="0"/>
  </r>
  <r>
    <d v="2017-06-26T00:00:00"/>
    <n v="6453"/>
    <n v="9981"/>
    <n v="6805"/>
    <n v="3477"/>
    <n v="82"/>
    <x v="0"/>
  </r>
  <r>
    <d v="2017-06-27T00:00:00"/>
    <n v="6162"/>
    <n v="9714"/>
    <n v="6531"/>
    <n v="3314"/>
    <n v="90"/>
    <x v="0"/>
  </r>
  <r>
    <d v="2017-06-28T00:00:00"/>
    <n v="5933"/>
    <n v="9964"/>
    <n v="6335"/>
    <n v="3176"/>
    <n v="95"/>
    <x v="0"/>
  </r>
  <r>
    <d v="2017-06-29T00:00:00"/>
    <n v="6410"/>
    <n v="9903"/>
    <n v="6725"/>
    <n v="3391"/>
    <n v="80"/>
    <x v="0"/>
  </r>
  <r>
    <d v="2017-06-30T00:00:00"/>
    <n v="5818"/>
    <n v="9003"/>
    <n v="6129"/>
    <n v="3224"/>
    <n v="75"/>
    <x v="0"/>
  </r>
  <r>
    <d v="2017-07-01T00:00:00"/>
    <n v="6168"/>
    <n v="9049"/>
    <n v="6472"/>
    <n v="3427"/>
    <n v="73"/>
    <x v="0"/>
  </r>
  <r>
    <d v="2017-07-02T00:00:00"/>
    <n v="7661"/>
    <n v="11298"/>
    <n v="7985"/>
    <n v="3519"/>
    <n v="89"/>
    <x v="0"/>
  </r>
  <r>
    <d v="2017-07-03T00:00:00"/>
    <n v="17656"/>
    <n v="32203"/>
    <n v="23606"/>
    <n v="8976"/>
    <n v="65"/>
    <x v="0"/>
  </r>
  <r>
    <d v="2017-07-04T00:00:00"/>
    <n v="15108"/>
    <n v="24464"/>
    <n v="18655"/>
    <n v="9020"/>
    <n v="56"/>
    <x v="0"/>
  </r>
  <r>
    <d v="2017-07-05T00:00:00"/>
    <n v="6976"/>
    <n v="11251"/>
    <n v="7676"/>
    <n v="3904"/>
    <n v="69"/>
    <x v="0"/>
  </r>
  <r>
    <d v="2017-07-06T00:00:00"/>
    <n v="6162"/>
    <n v="9883"/>
    <n v="6635"/>
    <n v="3524"/>
    <n v="77"/>
    <x v="0"/>
  </r>
  <r>
    <d v="2017-07-07T00:00:00"/>
    <n v="5866"/>
    <n v="9138"/>
    <n v="6285"/>
    <n v="3469"/>
    <n v="80"/>
    <x v="0"/>
  </r>
  <r>
    <d v="2017-07-08T00:00:00"/>
    <n v="5802"/>
    <n v="8911"/>
    <n v="6149"/>
    <n v="3355"/>
    <n v="69"/>
    <x v="0"/>
  </r>
  <r>
    <d v="2017-07-09T00:00:00"/>
    <n v="5786"/>
    <n v="9016"/>
    <n v="6131"/>
    <n v="3266"/>
    <n v="76"/>
    <x v="0"/>
  </r>
  <r>
    <d v="2017-07-10T00:00:00"/>
    <n v="5573"/>
    <n v="8960"/>
    <n v="5958"/>
    <n v="3136"/>
    <n v="81"/>
    <x v="0"/>
  </r>
  <r>
    <d v="2017-07-11T00:00:00"/>
    <n v="5949"/>
    <n v="9433"/>
    <n v="6286"/>
    <n v="3284"/>
    <n v="83"/>
    <x v="0"/>
  </r>
  <r>
    <d v="2017-07-12T00:00:00"/>
    <n v="6848"/>
    <n v="10583"/>
    <n v="7201"/>
    <n v="4246"/>
    <n v="72"/>
    <x v="0"/>
  </r>
  <r>
    <d v="2017-07-13T00:00:00"/>
    <n v="5618"/>
    <n v="9053"/>
    <n v="5967"/>
    <n v="3174"/>
    <n v="78"/>
    <x v="0"/>
  </r>
  <r>
    <d v="2017-07-14T00:00:00"/>
    <n v="6162"/>
    <n v="9682"/>
    <n v="6542"/>
    <n v="3200"/>
    <n v="82"/>
    <x v="0"/>
  </r>
  <r>
    <d v="2017-07-15T00:00:00"/>
    <n v="6425"/>
    <n v="9757"/>
    <n v="6726"/>
    <n v="3370"/>
    <n v="82"/>
    <x v="0"/>
  </r>
  <r>
    <d v="2017-07-16T00:00:00"/>
    <n v="5923"/>
    <n v="9198"/>
    <n v="6236"/>
    <n v="3281"/>
    <n v="76"/>
    <x v="0"/>
  </r>
  <r>
    <d v="2017-07-17T00:00:00"/>
    <n v="6098"/>
    <n v="9840"/>
    <n v="6509"/>
    <n v="3340"/>
    <n v="86"/>
    <x v="0"/>
  </r>
  <r>
    <d v="2017-07-18T00:00:00"/>
    <n v="5624"/>
    <n v="9063"/>
    <n v="5975"/>
    <n v="3211"/>
    <n v="81"/>
    <x v="0"/>
  </r>
  <r>
    <d v="2017-07-19T00:00:00"/>
    <n v="6170"/>
    <n v="8922"/>
    <n v="5872"/>
    <n v="2909"/>
    <n v="84"/>
    <x v="0"/>
  </r>
  <r>
    <d v="2017-07-20T00:00:00"/>
    <n v="6578"/>
    <n v="10065"/>
    <n v="6648"/>
    <n v="3390"/>
    <n v="79"/>
    <x v="0"/>
  </r>
  <r>
    <d v="2017-07-21T00:00:00"/>
    <n v="6650"/>
    <n v="10223"/>
    <n v="6981"/>
    <n v="3742"/>
    <n v="76"/>
    <x v="0"/>
  </r>
  <r>
    <d v="2017-07-22T00:00:00"/>
    <n v="5125"/>
    <n v="7853"/>
    <n v="5370"/>
    <n v="3080"/>
    <n v="71"/>
    <x v="0"/>
  </r>
  <r>
    <d v="2017-07-23T00:00:00"/>
    <n v="5381"/>
    <n v="8514"/>
    <n v="5647"/>
    <n v="3084"/>
    <n v="76"/>
    <x v="0"/>
  </r>
  <r>
    <d v="2017-07-24T00:00:00"/>
    <n v="5381"/>
    <n v="8742"/>
    <n v="5699"/>
    <n v="3200"/>
    <n v="87"/>
    <x v="0"/>
  </r>
  <r>
    <d v="2017-07-25T00:00:00"/>
    <n v="5481"/>
    <n v="8973"/>
    <n v="5845"/>
    <n v="3572"/>
    <n v="80"/>
    <x v="0"/>
  </r>
  <r>
    <d v="2017-07-26T00:00:00"/>
    <n v="5468"/>
    <n v="9092"/>
    <n v="5851"/>
    <n v="4079"/>
    <n v="78"/>
    <x v="0"/>
  </r>
  <r>
    <d v="2017-07-27T00:00:00"/>
    <n v="5519"/>
    <n v="9154"/>
    <n v="5810"/>
    <n v="4087"/>
    <n v="69"/>
    <x v="0"/>
  </r>
  <r>
    <d v="2017-07-28T00:00:00"/>
    <n v="5274"/>
    <n v="8907"/>
    <n v="5552"/>
    <n v="3806"/>
    <n v="77"/>
    <x v="0"/>
  </r>
  <r>
    <d v="2017-07-29T00:00:00"/>
    <n v="9232"/>
    <n v="15138"/>
    <n v="10018"/>
    <n v="7018"/>
    <n v="60"/>
    <x v="0"/>
  </r>
  <r>
    <d v="2017-07-30T00:00:00"/>
    <n v="7637"/>
    <n v="12684"/>
    <n v="8190"/>
    <n v="5829"/>
    <n v="60"/>
    <x v="0"/>
  </r>
  <r>
    <d v="2017-07-31T00:00:00"/>
    <n v="5929"/>
    <n v="10088"/>
    <n v="6300"/>
    <n v="4380"/>
    <n v="77"/>
    <x v="0"/>
  </r>
  <r>
    <d v="2017-08-01T00:00:00"/>
    <n v="5822"/>
    <n v="9805"/>
    <n v="6188"/>
    <n v="4351"/>
    <n v="80"/>
    <x v="0"/>
  </r>
  <r>
    <d v="2017-08-02T00:00:00"/>
    <n v="6357"/>
    <n v="11135"/>
    <n v="6832"/>
    <n v="3701"/>
    <n v="97"/>
    <x v="0"/>
  </r>
  <r>
    <d v="2017-08-03T00:00:00"/>
    <n v="5559"/>
    <n v="9464"/>
    <n v="5962"/>
    <n v="3287"/>
    <n v="98"/>
    <x v="0"/>
  </r>
  <r>
    <d v="2017-08-04T00:00:00"/>
    <n v="5429"/>
    <n v="9176"/>
    <n v="5776"/>
    <n v="3177"/>
    <n v="97"/>
    <x v="0"/>
  </r>
  <r>
    <d v="2017-08-05T00:00:00"/>
    <n v="5053"/>
    <n v="8344"/>
    <n v="5320"/>
    <n v="2849"/>
    <n v="87"/>
    <x v="0"/>
  </r>
  <r>
    <d v="2017-08-06T00:00:00"/>
    <n v="5281"/>
    <n v="8486"/>
    <n v="5611"/>
    <n v="2955"/>
    <n v="86"/>
    <x v="0"/>
  </r>
  <r>
    <d v="2017-08-07T00:00:00"/>
    <n v="5671"/>
    <n v="9509"/>
    <n v="6047"/>
    <n v="3366"/>
    <n v="86"/>
    <x v="0"/>
  </r>
  <r>
    <d v="2017-08-08T00:00:00"/>
    <n v="5832"/>
    <n v="9782"/>
    <n v="6230"/>
    <n v="3380"/>
    <n v="90"/>
    <x v="0"/>
  </r>
  <r>
    <d v="2017-08-09T00:00:00"/>
    <n v="5987"/>
    <n v="9949"/>
    <n v="6384"/>
    <n v="3464"/>
    <n v="95"/>
    <x v="0"/>
  </r>
  <r>
    <d v="2017-08-10T00:00:00"/>
    <n v="5720"/>
    <n v="9061"/>
    <n v="6109"/>
    <n v="3566"/>
    <n v="77"/>
    <x v="0"/>
  </r>
  <r>
    <d v="2017-08-11T00:00:00"/>
    <n v="5245"/>
    <n v="8404"/>
    <n v="5533"/>
    <n v="3107"/>
    <n v="81"/>
    <x v="0"/>
  </r>
  <r>
    <d v="2017-08-12T00:00:00"/>
    <n v="4619"/>
    <n v="7360"/>
    <n v="4860"/>
    <n v="2761"/>
    <n v="69"/>
    <x v="0"/>
  </r>
  <r>
    <d v="2017-08-13T00:00:00"/>
    <n v="4727"/>
    <n v="7524"/>
    <n v="4972"/>
    <n v="2825"/>
    <n v="74"/>
    <x v="0"/>
  </r>
  <r>
    <d v="2017-08-14T00:00:00"/>
    <n v="5412"/>
    <n v="8659"/>
    <n v="5704"/>
    <n v="3145"/>
    <n v="85"/>
    <x v="0"/>
  </r>
  <r>
    <d v="2017-08-15T00:00:00"/>
    <n v="6186"/>
    <n v="9708"/>
    <n v="6495"/>
    <n v="3927"/>
    <n v="75"/>
    <x v="0"/>
  </r>
  <r>
    <d v="2017-08-16T00:00:00"/>
    <n v="5455"/>
    <n v="8786"/>
    <n v="5764"/>
    <n v="3250"/>
    <n v="79"/>
    <x v="0"/>
  </r>
  <r>
    <d v="2017-08-17T00:00:00"/>
    <n v="5718"/>
    <n v="9480"/>
    <n v="6084"/>
    <n v="3487"/>
    <n v="82"/>
    <x v="0"/>
  </r>
  <r>
    <d v="2017-08-18T00:00:00"/>
    <n v="6087"/>
    <n v="9980"/>
    <n v="6405"/>
    <n v="3551"/>
    <n v="83"/>
    <x v="0"/>
  </r>
  <r>
    <d v="2017-08-19T00:00:00"/>
    <n v="5568"/>
    <n v="9131"/>
    <n v="5898"/>
    <n v="3159"/>
    <n v="87"/>
    <x v="0"/>
  </r>
  <r>
    <d v="2017-08-20T00:00:00"/>
    <n v="4899"/>
    <n v="8030"/>
    <n v="5152"/>
    <n v="2872"/>
    <n v="81"/>
    <x v="0"/>
  </r>
  <r>
    <d v="2017-08-21T00:00:00"/>
    <n v="4888"/>
    <n v="8049"/>
    <n v="5141"/>
    <n v="2874"/>
    <n v="91"/>
    <x v="0"/>
  </r>
  <r>
    <d v="2017-08-22T00:00:00"/>
    <n v="5395"/>
    <n v="8969"/>
    <n v="5719"/>
    <n v="3253"/>
    <n v="83"/>
    <x v="0"/>
  </r>
  <r>
    <d v="2017-08-23T00:00:00"/>
    <n v="5723"/>
    <n v="9378"/>
    <n v="6079"/>
    <n v="3397"/>
    <n v="76"/>
    <x v="0"/>
  </r>
  <r>
    <d v="2017-08-24T00:00:00"/>
    <n v="7602"/>
    <n v="11502"/>
    <n v="8051"/>
    <n v="4367"/>
    <n v="67"/>
    <x v="0"/>
  </r>
  <r>
    <d v="2017-08-25T00:00:00"/>
    <n v="5282"/>
    <n v="8318"/>
    <n v="5537"/>
    <n v="3250"/>
    <n v="83"/>
    <x v="0"/>
  </r>
  <r>
    <d v="2017-08-26T00:00:00"/>
    <n v="4382"/>
    <n v="7030"/>
    <n v="4586"/>
    <n v="2666"/>
    <n v="87"/>
    <x v="0"/>
  </r>
  <r>
    <d v="2017-08-27T00:00:00"/>
    <n v="5706"/>
    <n v="8975"/>
    <n v="6006"/>
    <n v="3355"/>
    <n v="81"/>
    <x v="0"/>
  </r>
  <r>
    <d v="2017-08-28T00:00:00"/>
    <n v="6778"/>
    <n v="11016"/>
    <n v="7183"/>
    <n v="4012"/>
    <n v="80"/>
    <x v="0"/>
  </r>
  <r>
    <d v="2017-08-29T00:00:00"/>
    <n v="6446"/>
    <n v="10640"/>
    <n v="6870"/>
    <n v="3787"/>
    <n v="84"/>
    <x v="0"/>
  </r>
  <r>
    <d v="2017-08-30T00:00:00"/>
    <n v="8170"/>
    <n v="12859"/>
    <n v="8490"/>
    <n v="4752"/>
    <n v="87"/>
    <x v="0"/>
  </r>
  <r>
    <d v="2017-08-31T00:00:00"/>
    <n v="14405"/>
    <n v="23969"/>
    <n v="16607"/>
    <n v="5056"/>
    <n v="81"/>
    <x v="0"/>
  </r>
  <r>
    <d v="2017-09-01T00:00:00"/>
    <n v="7778"/>
    <n v="12236"/>
    <n v="8290"/>
    <n v="3807"/>
    <n v="89"/>
    <x v="0"/>
  </r>
  <r>
    <d v="2017-09-02T00:00:00"/>
    <n v="9566"/>
    <n v="14989"/>
    <n v="10327"/>
    <n v="4489"/>
    <n v="101"/>
    <x v="0"/>
  </r>
  <r>
    <d v="2017-09-03T00:00:00"/>
    <n v="6866"/>
    <n v="10915"/>
    <n v="7273"/>
    <n v="3964"/>
    <n v="76"/>
    <x v="0"/>
  </r>
  <r>
    <d v="2017-09-04T00:00:00"/>
    <n v="6103"/>
    <n v="10127"/>
    <n v="6529"/>
    <n v="3482"/>
    <n v="83"/>
    <x v="0"/>
  </r>
  <r>
    <d v="2017-09-05T00:00:00"/>
    <n v="5872"/>
    <n v="9460"/>
    <n v="6193"/>
    <n v="3506"/>
    <n v="89"/>
    <x v="0"/>
  </r>
  <r>
    <d v="2017-09-06T00:00:00"/>
    <n v="6691"/>
    <n v="10706"/>
    <n v="7050"/>
    <n v="3772"/>
    <n v="90"/>
    <x v="0"/>
  </r>
  <r>
    <d v="2017-09-07T00:00:00"/>
    <n v="6152"/>
    <n v="10516"/>
    <n v="6529"/>
    <n v="3719"/>
    <n v="96"/>
    <x v="0"/>
  </r>
  <r>
    <d v="2017-09-08T00:00:00"/>
    <n v="5709"/>
    <n v="9391"/>
    <n v="5984"/>
    <n v="3453"/>
    <n v="88"/>
    <x v="0"/>
  </r>
  <r>
    <d v="2017-09-09T00:00:00"/>
    <n v="5336"/>
    <n v="8745"/>
    <n v="5682"/>
    <n v="3173"/>
    <n v="87"/>
    <x v="0"/>
  </r>
  <r>
    <d v="2017-09-10T00:00:00"/>
    <n v="5072"/>
    <n v="8731"/>
    <n v="5363"/>
    <n v="3004"/>
    <n v="94"/>
    <x v="0"/>
  </r>
  <r>
    <d v="2017-09-11T00:00:00"/>
    <n v="5659"/>
    <n v="9635"/>
    <n v="5974"/>
    <n v="3425"/>
    <n v="97"/>
    <x v="0"/>
  </r>
  <r>
    <d v="2017-09-12T00:00:00"/>
    <n v="8168"/>
    <n v="12415"/>
    <n v="8574"/>
    <n v="4649"/>
    <n v="76"/>
    <x v="0"/>
  </r>
  <r>
    <d v="2017-09-13T00:00:00"/>
    <n v="11927"/>
    <n v="17765"/>
    <n v="13596"/>
    <n v="5696"/>
    <n v="71"/>
    <x v="0"/>
  </r>
  <r>
    <d v="2017-09-14T00:00:00"/>
    <n v="9411"/>
    <n v="14138"/>
    <n v="10376"/>
    <n v="4925"/>
    <n v="72"/>
    <x v="0"/>
  </r>
  <r>
    <d v="2017-09-15T00:00:00"/>
    <n v="7285"/>
    <n v="11905"/>
    <n v="7861"/>
    <n v="4238"/>
    <n v="84"/>
    <x v="0"/>
  </r>
  <r>
    <d v="2017-09-16T00:00:00"/>
    <n v="6909"/>
    <n v="11067"/>
    <n v="7454"/>
    <n v="3800"/>
    <n v="77"/>
    <x v="0"/>
  </r>
  <r>
    <d v="2017-09-17T00:00:00"/>
    <n v="8802"/>
    <n v="14027"/>
    <n v="9378"/>
    <n v="4935"/>
    <n v="77"/>
    <x v="0"/>
  </r>
  <r>
    <d v="2017-09-18T00:00:00"/>
    <n v="9052"/>
    <n v="14818"/>
    <n v="9587"/>
    <n v="5133"/>
    <n v="82"/>
    <x v="0"/>
  </r>
  <r>
    <d v="2017-09-19T00:00:00"/>
    <n v="9180"/>
    <n v="16371"/>
    <n v="9803"/>
    <n v="5451"/>
    <n v="83"/>
    <x v="0"/>
  </r>
  <r>
    <d v="2017-09-20T00:00:00"/>
    <n v="7399"/>
    <n v="12125"/>
    <n v="7840"/>
    <n v="4342"/>
    <n v="84"/>
    <x v="0"/>
  </r>
  <r>
    <d v="2017-09-21T00:00:00"/>
    <n v="11407"/>
    <n v="18665"/>
    <n v="13165"/>
    <n v="6009"/>
    <n v="98"/>
    <x v="0"/>
  </r>
  <r>
    <d v="2017-09-22T00:00:00"/>
    <n v="6924"/>
    <n v="15042"/>
    <n v="7387"/>
    <n v="2739"/>
    <n v="79"/>
    <x v="0"/>
  </r>
  <r>
    <d v="2017-09-23T00:00:00"/>
    <n v="5928"/>
    <n v="12882"/>
    <n v="6266"/>
    <n v="2328"/>
    <n v="84"/>
    <x v="0"/>
  </r>
  <r>
    <d v="2017-09-24T00:00:00"/>
    <n v="6314"/>
    <n v="14187"/>
    <n v="6671"/>
    <n v="2139"/>
    <n v="82"/>
    <x v="0"/>
  </r>
  <r>
    <d v="2017-09-25T00:00:00"/>
    <n v="8801"/>
    <n v="19678"/>
    <n v="9717"/>
    <n v="2513"/>
    <n v="84"/>
    <x v="0"/>
  </r>
  <r>
    <d v="2017-09-26T00:00:00"/>
    <n v="10965"/>
    <n v="25433"/>
    <n v="11990"/>
    <n v="3303"/>
    <n v="91"/>
    <x v="0"/>
  </r>
  <r>
    <d v="2017-09-27T00:00:00"/>
    <n v="9788"/>
    <n v="22289"/>
    <n v="10700"/>
    <n v="2883"/>
    <n v="81"/>
    <x v="0"/>
  </r>
  <r>
    <d v="2017-09-28T00:00:00"/>
    <n v="9407"/>
    <n v="21335"/>
    <n v="10009"/>
    <n v="2708"/>
    <n v="82"/>
    <x v="0"/>
  </r>
  <r>
    <d v="2017-09-29T00:00:00"/>
    <n v="7889"/>
    <n v="17578"/>
    <n v="8401"/>
    <n v="2584"/>
    <n v="89"/>
    <x v="0"/>
  </r>
  <r>
    <d v="2017-09-30T00:00:00"/>
    <n v="8455"/>
    <n v="19058"/>
    <n v="8988"/>
    <n v="2439"/>
    <n v="86"/>
    <x v="0"/>
  </r>
  <r>
    <d v="2017-10-01T00:00:00"/>
    <n v="7768"/>
    <n v="16586"/>
    <n v="8196"/>
    <n v="3270"/>
    <n v="82"/>
    <x v="0"/>
  </r>
  <r>
    <d v="2017-10-02T00:00:00"/>
    <n v="8447"/>
    <n v="18685"/>
    <n v="8908"/>
    <n v="3067"/>
    <n v="81"/>
    <x v="0"/>
  </r>
  <r>
    <d v="2017-10-03T00:00:00"/>
    <n v="24449"/>
    <n v="60005"/>
    <n v="26587"/>
    <n v="3558"/>
    <n v="77"/>
    <x v="0"/>
  </r>
  <r>
    <d v="2017-10-04T00:00:00"/>
    <n v="66639"/>
    <n v="159403"/>
    <n v="71386"/>
    <n v="6175"/>
    <n v="70"/>
    <x v="0"/>
  </r>
  <r>
    <d v="2017-10-05T00:00:00"/>
    <n v="18708"/>
    <n v="28073"/>
    <n v="19550"/>
    <n v="9734"/>
    <n v="72"/>
    <x v="0"/>
  </r>
  <r>
    <d v="2017-10-06T00:00:00"/>
    <n v="11225"/>
    <n v="17398"/>
    <n v="11956"/>
    <n v="6328"/>
    <n v="75"/>
    <x v="0"/>
  </r>
  <r>
    <d v="2017-10-07T00:00:00"/>
    <n v="11678"/>
    <n v="19278"/>
    <n v="12488"/>
    <n v="6241"/>
    <n v="80"/>
    <x v="0"/>
  </r>
  <r>
    <d v="2017-10-08T00:00:00"/>
    <n v="11632"/>
    <n v="18643"/>
    <n v="12397"/>
    <n v="6411"/>
    <n v="79"/>
    <x v="0"/>
  </r>
  <r>
    <d v="2017-10-09T00:00:00"/>
    <n v="11285"/>
    <n v="17693"/>
    <n v="11810"/>
    <n v="6396"/>
    <n v="84"/>
    <x v="0"/>
  </r>
  <r>
    <d v="2017-10-10T00:00:00"/>
    <n v="18833"/>
    <n v="31075"/>
    <n v="21732"/>
    <n v="10210"/>
    <n v="93"/>
    <x v="0"/>
  </r>
  <r>
    <d v="2017-10-11T00:00:00"/>
    <n v="19938"/>
    <n v="28488"/>
    <n v="21118"/>
    <n v="10648"/>
    <n v="79"/>
    <x v="0"/>
  </r>
  <r>
    <d v="2017-10-12T00:00:00"/>
    <n v="13867"/>
    <n v="20706"/>
    <n v="14557"/>
    <n v="7889"/>
    <n v="84"/>
    <x v="0"/>
  </r>
  <r>
    <d v="2017-10-13T00:00:00"/>
    <n v="10560"/>
    <n v="17176"/>
    <n v="11429"/>
    <n v="6120"/>
    <n v="89"/>
    <x v="0"/>
  </r>
  <r>
    <d v="2017-10-14T00:00:00"/>
    <n v="7963"/>
    <n v="12832"/>
    <n v="8544"/>
    <n v="4772"/>
    <n v="81"/>
    <x v="0"/>
  </r>
  <r>
    <d v="2017-10-15T00:00:00"/>
    <n v="7745"/>
    <n v="12935"/>
    <n v="8294"/>
    <n v="4681"/>
    <n v="92"/>
    <x v="0"/>
  </r>
  <r>
    <d v="2017-10-16T00:00:00"/>
    <n v="9728"/>
    <n v="17110"/>
    <n v="10348"/>
    <n v="5606"/>
    <n v="94"/>
    <x v="0"/>
  </r>
  <r>
    <d v="2017-10-17T00:00:00"/>
    <n v="14227"/>
    <n v="23347"/>
    <n v="15085"/>
    <n v="7012"/>
    <n v="96"/>
    <x v="0"/>
  </r>
  <r>
    <d v="2017-10-18T00:00:00"/>
    <n v="11958"/>
    <n v="19512"/>
    <n v="12498"/>
    <n v="6267"/>
    <n v="89"/>
    <x v="0"/>
  </r>
  <r>
    <d v="2017-10-19T00:00:00"/>
    <n v="10365"/>
    <n v="17425"/>
    <n v="11061"/>
    <n v="6002"/>
    <n v="80"/>
    <x v="0"/>
  </r>
  <r>
    <d v="2017-10-20T00:00:00"/>
    <n v="21571"/>
    <n v="30482"/>
    <n v="22605"/>
    <n v="7494"/>
    <n v="70"/>
    <x v="0"/>
  </r>
  <r>
    <d v="2017-10-21T00:00:00"/>
    <n v="15468"/>
    <n v="25629"/>
    <n v="16531"/>
    <n v="3938"/>
    <n v="78"/>
    <x v="0"/>
  </r>
  <r>
    <d v="2017-10-22T00:00:00"/>
    <n v="12146"/>
    <n v="20556"/>
    <n v="12851"/>
    <n v="3808"/>
    <n v="81"/>
    <x v="0"/>
  </r>
  <r>
    <d v="2017-10-23T00:00:00"/>
    <n v="11156"/>
    <n v="19346"/>
    <n v="11927"/>
    <n v="3914"/>
    <n v="85"/>
    <x v="0"/>
  </r>
  <r>
    <d v="2017-10-24T00:00:00"/>
    <n v="10320"/>
    <n v="17702"/>
    <n v="10962"/>
    <n v="3838"/>
    <n v="87"/>
    <x v="0"/>
  </r>
  <r>
    <d v="2017-10-25T00:00:00"/>
    <n v="11122"/>
    <n v="19449"/>
    <n v="11764"/>
    <n v="3834"/>
    <n v="83"/>
    <x v="0"/>
  </r>
  <r>
    <d v="2017-10-26T00:00:00"/>
    <n v="10887"/>
    <n v="18188"/>
    <n v="11510"/>
    <n v="3494"/>
    <n v="85"/>
    <x v="0"/>
  </r>
  <r>
    <d v="2017-10-27T00:00:00"/>
    <n v="9273"/>
    <n v="15493"/>
    <n v="9850"/>
    <n v="3356"/>
    <n v="84"/>
    <x v="0"/>
  </r>
  <r>
    <d v="2017-10-28T00:00:00"/>
    <n v="7669"/>
    <n v="13627"/>
    <n v="8149"/>
    <n v="4522"/>
    <n v="87"/>
    <x v="0"/>
  </r>
  <r>
    <d v="2017-10-29T00:00:00"/>
    <n v="8507"/>
    <n v="15074"/>
    <n v="9065"/>
    <n v="5012"/>
    <n v="91"/>
    <x v="0"/>
  </r>
  <r>
    <d v="2017-10-30T00:00:00"/>
    <n v="9801"/>
    <n v="16841"/>
    <n v="10331"/>
    <n v="5687"/>
    <n v="83"/>
    <x v="0"/>
  </r>
  <r>
    <d v="2017-10-31T00:00:00"/>
    <n v="13702"/>
    <n v="20442"/>
    <n v="14434"/>
    <n v="8629"/>
    <n v="66"/>
    <x v="0"/>
  </r>
  <r>
    <d v="2017-11-01T00:00:00"/>
    <n v="9577"/>
    <n v="16012"/>
    <n v="10136"/>
    <n v="5959"/>
    <n v="81"/>
    <x v="0"/>
  </r>
  <r>
    <d v="2017-11-02T00:00:00"/>
    <n v="9264"/>
    <n v="15316"/>
    <n v="9775"/>
    <n v="5620"/>
    <n v="86"/>
    <x v="0"/>
  </r>
  <r>
    <d v="2017-11-03T00:00:00"/>
    <n v="14951"/>
    <n v="21692"/>
    <n v="15654"/>
    <n v="8720"/>
    <n v="76"/>
    <x v="0"/>
  </r>
  <r>
    <d v="2017-11-04T00:00:00"/>
    <n v="8603"/>
    <n v="13874"/>
    <n v="9067"/>
    <n v="5077"/>
    <n v="79"/>
    <x v="0"/>
  </r>
  <r>
    <d v="2017-11-05T00:00:00"/>
    <n v="10050"/>
    <n v="16605"/>
    <n v="10761"/>
    <n v="5763"/>
    <n v="89"/>
    <x v="0"/>
  </r>
  <r>
    <d v="2017-11-06T00:00:00"/>
    <n v="9826"/>
    <n v="16315"/>
    <n v="10258"/>
    <n v="5856"/>
    <n v="83"/>
    <x v="0"/>
  </r>
  <r>
    <d v="2017-11-07T00:00:00"/>
    <n v="9852"/>
    <n v="17199"/>
    <n v="10464"/>
    <n v="5877"/>
    <n v="99"/>
    <x v="0"/>
  </r>
  <r>
    <d v="2017-11-08T00:00:00"/>
    <n v="11223"/>
    <n v="18215"/>
    <n v="11982"/>
    <n v="6788"/>
    <n v="78"/>
    <x v="0"/>
  </r>
  <r>
    <d v="2017-11-09T00:00:00"/>
    <n v="10185"/>
    <n v="16576"/>
    <n v="10741"/>
    <n v="6183"/>
    <n v="81"/>
    <x v="0"/>
  </r>
  <r>
    <d v="2017-11-10T00:00:00"/>
    <n v="20194"/>
    <n v="53728"/>
    <n v="25540"/>
    <n v="13039"/>
    <n v="125"/>
    <x v="0"/>
  </r>
  <r>
    <d v="2017-11-11T00:00:00"/>
    <n v="15318"/>
    <n v="30605"/>
    <n v="17480"/>
    <n v="9772"/>
    <n v="86"/>
    <x v="0"/>
  </r>
  <r>
    <d v="2017-11-12T00:00:00"/>
    <n v="11899"/>
    <n v="21547"/>
    <n v="12730"/>
    <n v="6927"/>
    <n v="89"/>
    <x v="0"/>
  </r>
  <r>
    <d v="2017-11-13T00:00:00"/>
    <n v="12323"/>
    <n v="20598"/>
    <n v="12971"/>
    <n v="7145"/>
    <n v="86"/>
    <x v="0"/>
  </r>
  <r>
    <d v="2017-11-14T00:00:00"/>
    <n v="14072"/>
    <n v="22197"/>
    <n v="14916"/>
    <n v="8339"/>
    <n v="74"/>
    <x v="0"/>
  </r>
  <r>
    <d v="2017-11-15T00:00:00"/>
    <n v="23359"/>
    <n v="33055"/>
    <n v="24581"/>
    <n v="13237"/>
    <n v="64"/>
    <x v="0"/>
  </r>
  <r>
    <d v="2017-11-16T00:00:00"/>
    <n v="28059"/>
    <n v="41746"/>
    <n v="29447"/>
    <n v="15145"/>
    <n v="78"/>
    <x v="0"/>
  </r>
  <r>
    <d v="2017-11-17T00:00:00"/>
    <n v="19892"/>
    <n v="31248"/>
    <n v="21184"/>
    <n v="11190"/>
    <n v="80"/>
    <x v="0"/>
  </r>
  <r>
    <d v="2017-11-18T00:00:00"/>
    <n v="12230"/>
    <n v="19518"/>
    <n v="12918"/>
    <n v="7134"/>
    <n v="78"/>
    <x v="0"/>
  </r>
  <r>
    <d v="2017-11-19T00:00:00"/>
    <n v="14662"/>
    <n v="24267"/>
    <n v="15558"/>
    <n v="8783"/>
    <n v="80"/>
    <x v="0"/>
  </r>
  <r>
    <d v="2017-11-20T00:00:00"/>
    <n v="14931"/>
    <n v="25053"/>
    <n v="15967"/>
    <n v="9094"/>
    <n v="79"/>
    <x v="0"/>
  </r>
  <r>
    <d v="2017-11-21T00:00:00"/>
    <n v="12791"/>
    <n v="21783"/>
    <n v="13754"/>
    <n v="7734"/>
    <n v="82"/>
    <x v="0"/>
  </r>
  <r>
    <d v="2017-11-22T00:00:00"/>
    <n v="12236"/>
    <n v="20360"/>
    <n v="13002"/>
    <n v="7301"/>
    <n v="79"/>
    <x v="0"/>
  </r>
  <r>
    <d v="2017-11-23T00:00:00"/>
    <n v="10864"/>
    <n v="18114"/>
    <n v="11592"/>
    <n v="6672"/>
    <n v="77"/>
    <x v="0"/>
  </r>
  <r>
    <d v="2017-11-24T00:00:00"/>
    <n v="23292"/>
    <n v="40067"/>
    <n v="24849"/>
    <n v="13981"/>
    <n v="87"/>
    <x v="0"/>
  </r>
  <r>
    <d v="2017-11-25T00:00:00"/>
    <n v="18064"/>
    <n v="31300"/>
    <n v="19562"/>
    <n v="11352"/>
    <n v="81"/>
    <x v="0"/>
  </r>
  <r>
    <d v="2017-11-26T00:00:00"/>
    <n v="18299"/>
    <n v="31854"/>
    <n v="19972"/>
    <n v="11526"/>
    <n v="80"/>
    <x v="0"/>
  </r>
  <r>
    <d v="2017-11-27T00:00:00"/>
    <n v="33554"/>
    <n v="59979"/>
    <n v="37230"/>
    <n v="21251"/>
    <n v="82"/>
    <x v="0"/>
  </r>
  <r>
    <d v="2017-11-28T00:00:00"/>
    <n v="651685"/>
    <n v="1356165"/>
    <n v="736434"/>
    <n v="393993"/>
    <n v="103"/>
    <x v="1"/>
  </r>
  <r>
    <d v="2017-11-29T00:00:00"/>
    <n v="151892"/>
    <n v="291230"/>
    <n v="166307"/>
    <n v="77766"/>
    <n v="94"/>
    <x v="0"/>
  </r>
  <r>
    <d v="2017-11-30T00:00:00"/>
    <n v="69378"/>
    <n v="130091"/>
    <n v="75856"/>
    <n v="35152"/>
    <n v="95"/>
    <x v="0"/>
  </r>
  <r>
    <d v="2017-12-01T00:00:00"/>
    <n v="43886"/>
    <n v="81894"/>
    <n v="47014"/>
    <n v="23037"/>
    <n v="92"/>
    <x v="0"/>
  </r>
  <r>
    <d v="2017-12-02T00:00:00"/>
    <n v="33267"/>
    <n v="64605"/>
    <n v="36312"/>
    <n v="17419"/>
    <n v="94"/>
    <x v="0"/>
  </r>
  <r>
    <d v="2017-12-03T00:00:00"/>
    <n v="30193"/>
    <n v="57946"/>
    <n v="32674"/>
    <n v="15599"/>
    <n v="97"/>
    <x v="0"/>
  </r>
  <r>
    <d v="2017-12-04T00:00:00"/>
    <n v="32442"/>
    <n v="57595"/>
    <n v="34667"/>
    <n v="16284"/>
    <n v="95"/>
    <x v="0"/>
  </r>
  <r>
    <d v="2017-12-05T00:00:00"/>
    <n v="28658"/>
    <n v="54728"/>
    <n v="30829"/>
    <n v="14484"/>
    <n v="104"/>
    <x v="0"/>
  </r>
  <r>
    <d v="2017-12-06T00:00:00"/>
    <n v="23004"/>
    <n v="44176"/>
    <n v="24668"/>
    <n v="12312"/>
    <n v="99"/>
    <x v="0"/>
  </r>
  <r>
    <d v="2017-12-07T00:00:00"/>
    <n v="19854"/>
    <n v="38197"/>
    <n v="21405"/>
    <n v="10720"/>
    <n v="101"/>
    <x v="0"/>
  </r>
  <r>
    <d v="2017-12-08T00:00:00"/>
    <n v="18452"/>
    <n v="35631"/>
    <n v="19933"/>
    <n v="9977"/>
    <n v="94"/>
    <x v="0"/>
  </r>
  <r>
    <d v="2017-12-09T00:00:00"/>
    <n v="17505"/>
    <n v="32535"/>
    <n v="18859"/>
    <n v="9285"/>
    <n v="91"/>
    <x v="0"/>
  </r>
  <r>
    <d v="2017-12-10T00:00:00"/>
    <n v="17192"/>
    <n v="31925"/>
    <n v="18287"/>
    <n v="9170"/>
    <n v="95"/>
    <x v="0"/>
  </r>
  <r>
    <d v="2017-12-11T00:00:00"/>
    <n v="20143"/>
    <n v="38096"/>
    <n v="21751"/>
    <n v="10650"/>
    <n v="90"/>
    <x v="0"/>
  </r>
  <r>
    <d v="2017-12-12T00:00:00"/>
    <n v="19649"/>
    <n v="35942"/>
    <n v="21042"/>
    <n v="10166"/>
    <n v="94"/>
    <x v="0"/>
  </r>
  <r>
    <d v="2017-12-13T00:00:00"/>
    <n v="20747"/>
    <n v="38030"/>
    <n v="22322"/>
    <n v="10599"/>
    <n v="104"/>
    <x v="0"/>
  </r>
  <r>
    <d v="2017-12-14T00:00:00"/>
    <n v="17891"/>
    <n v="31010"/>
    <n v="19140"/>
    <n v="9475"/>
    <n v="90"/>
    <x v="0"/>
  </r>
  <r>
    <d v="2017-12-15T00:00:00"/>
    <n v="18934"/>
    <n v="31789"/>
    <n v="20364"/>
    <n v="9981"/>
    <n v="87"/>
    <x v="0"/>
  </r>
  <r>
    <d v="2017-12-16T00:00:00"/>
    <n v="17759"/>
    <n v="29059"/>
    <n v="19142"/>
    <n v="9675"/>
    <n v="86"/>
    <x v="0"/>
  </r>
  <r>
    <d v="2017-12-17T00:00:00"/>
    <n v="19076"/>
    <n v="31423"/>
    <n v="20321"/>
    <n v="11657"/>
    <n v="77"/>
    <x v="0"/>
  </r>
  <r>
    <d v="2017-12-18T00:00:00"/>
    <n v="15658"/>
    <n v="27831"/>
    <n v="16734"/>
    <n v="8719"/>
    <n v="91"/>
    <x v="0"/>
  </r>
  <r>
    <d v="2017-12-19T00:00:00"/>
    <n v="16432"/>
    <n v="40908"/>
    <n v="17607"/>
    <n v="7464"/>
    <n v="102"/>
    <x v="0"/>
  </r>
  <r>
    <d v="2017-12-20T00:00:00"/>
    <n v="14018"/>
    <n v="35375"/>
    <n v="15251"/>
    <n v="6441"/>
    <n v="109"/>
    <x v="0"/>
  </r>
  <r>
    <d v="2017-12-21T00:00:00"/>
    <n v="14476"/>
    <n v="37403"/>
    <n v="15696"/>
    <n v="6467"/>
    <n v="112"/>
    <x v="0"/>
  </r>
  <r>
    <d v="2017-12-22T00:00:00"/>
    <n v="12812"/>
    <n v="33500"/>
    <n v="13999"/>
    <n v="5897"/>
    <n v="101"/>
    <x v="0"/>
  </r>
  <r>
    <d v="2017-12-23T00:00:00"/>
    <n v="13783"/>
    <n v="34410"/>
    <n v="14517"/>
    <n v="5794"/>
    <n v="98"/>
    <x v="0"/>
  </r>
  <r>
    <d v="2017-12-24T00:00:00"/>
    <n v="13571"/>
    <n v="33229"/>
    <n v="14474"/>
    <n v="5964"/>
    <n v="92"/>
    <x v="0"/>
  </r>
  <r>
    <d v="2017-12-25T00:00:00"/>
    <n v="10744"/>
    <n v="27092"/>
    <n v="11641"/>
    <n v="5055"/>
    <n v="97"/>
    <x v="0"/>
  </r>
  <r>
    <d v="2017-12-26T00:00:00"/>
    <n v="13080"/>
    <n v="33811"/>
    <n v="14136"/>
    <n v="6014"/>
    <n v="106"/>
    <x v="0"/>
  </r>
  <r>
    <d v="2017-12-27T00:00:00"/>
    <n v="17118"/>
    <n v="42281"/>
    <n v="18299"/>
    <n v="6566"/>
    <n v="105"/>
    <x v="0"/>
  </r>
  <r>
    <d v="2017-12-28T00:00:00"/>
    <n v="19826"/>
    <n v="47039"/>
    <n v="21136"/>
    <n v="7609"/>
    <n v="110"/>
    <x v="0"/>
  </r>
  <r>
    <d v="2017-12-29T00:00:00"/>
    <n v="15955"/>
    <n v="41543"/>
    <n v="17258"/>
    <n v="6741"/>
    <n v="106"/>
    <x v="0"/>
  </r>
  <r>
    <d v="2017-12-30T00:00:00"/>
    <n v="18568"/>
    <n v="50253"/>
    <n v="20021"/>
    <n v="7026"/>
    <n v="102"/>
    <x v="0"/>
  </r>
  <r>
    <d v="2017-12-31T00:00:00"/>
    <n v="45897"/>
    <n v="121293"/>
    <n v="48383"/>
    <n v="14322"/>
    <n v="69"/>
    <x v="0"/>
  </r>
  <r>
    <d v="2018-01-01T00:00:00"/>
    <n v="17539"/>
    <n v="46598"/>
    <n v="19083"/>
    <n v="7430"/>
    <n v="100"/>
    <x v="0"/>
  </r>
  <r>
    <d v="2018-01-02T00:00:00"/>
    <n v="19345"/>
    <n v="50586"/>
    <n v="20690"/>
    <n v="8452"/>
    <n v="106"/>
    <x v="0"/>
  </r>
  <r>
    <d v="2018-01-03T00:00:00"/>
    <n v="17934"/>
    <n v="49068"/>
    <n v="19334"/>
    <n v="7278"/>
    <n v="117"/>
    <x v="0"/>
  </r>
  <r>
    <d v="2018-01-04T00:00:00"/>
    <n v="25557"/>
    <n v="66914"/>
    <n v="27702"/>
    <n v="10090"/>
    <n v="109"/>
    <x v="0"/>
  </r>
  <r>
    <d v="2018-01-05T00:00:00"/>
    <n v="22959"/>
    <n v="58317"/>
    <n v="24544"/>
    <n v="9548"/>
    <n v="112"/>
    <x v="0"/>
  </r>
  <r>
    <d v="2018-01-06T00:00:00"/>
    <n v="19641"/>
    <n v="49765"/>
    <n v="21145"/>
    <n v="8634"/>
    <n v="106"/>
    <x v="0"/>
  </r>
  <r>
    <d v="2018-01-07T00:00:00"/>
    <n v="30527"/>
    <n v="76914"/>
    <n v="32303"/>
    <n v="12127"/>
    <n v="106"/>
    <x v="0"/>
  </r>
  <r>
    <d v="2018-01-08T00:00:00"/>
    <n v="28132"/>
    <n v="75583"/>
    <n v="30176"/>
    <n v="11359"/>
    <n v="113"/>
    <x v="0"/>
  </r>
  <r>
    <d v="2018-01-09T00:00:00"/>
    <n v="24612"/>
    <n v="67847"/>
    <n v="26838"/>
    <n v="10204"/>
    <n v="115"/>
    <x v="0"/>
  </r>
  <r>
    <d v="2018-01-10T00:00:00"/>
    <n v="29739"/>
    <n v="74447"/>
    <n v="32079"/>
    <n v="12479"/>
    <n v="113"/>
    <x v="0"/>
  </r>
  <r>
    <d v="2018-01-11T00:00:00"/>
    <n v="30146"/>
    <n v="72655"/>
    <n v="32374"/>
    <n v="12681"/>
    <n v="108"/>
    <x v="0"/>
  </r>
  <r>
    <d v="2018-01-12T00:00:00"/>
    <n v="23929"/>
    <n v="59126"/>
    <n v="25910"/>
    <n v="10561"/>
    <n v="112"/>
    <x v="0"/>
  </r>
  <r>
    <d v="2018-01-13T00:00:00"/>
    <n v="22836"/>
    <n v="56649"/>
    <n v="24808"/>
    <n v="9559"/>
    <n v="107"/>
    <x v="0"/>
  </r>
  <r>
    <d v="2018-01-14T00:00:00"/>
    <n v="25011"/>
    <n v="60700"/>
    <n v="27087"/>
    <n v="10776"/>
    <n v="106"/>
    <x v="0"/>
  </r>
  <r>
    <d v="2018-01-15T00:00:00"/>
    <n v="23562"/>
    <n v="58594"/>
    <n v="25342"/>
    <n v="9924"/>
    <n v="114"/>
    <x v="0"/>
  </r>
  <r>
    <d v="2018-01-16T00:00:00"/>
    <n v="27240"/>
    <n v="68125"/>
    <n v="29215"/>
    <n v="11394"/>
    <n v="113"/>
    <x v="0"/>
  </r>
  <r>
    <d v="2018-01-17T00:00:00"/>
    <n v="34318"/>
    <n v="94367"/>
    <n v="38031"/>
    <n v="13783"/>
    <n v="118"/>
    <x v="0"/>
  </r>
  <r>
    <d v="2018-01-18T00:00:00"/>
    <n v="28746"/>
    <n v="71147"/>
    <n v="31083"/>
    <n v="12396"/>
    <n v="114"/>
    <x v="0"/>
  </r>
  <r>
    <d v="2018-01-19T00:00:00"/>
    <n v="27819"/>
    <n v="68975"/>
    <n v="29878"/>
    <n v="11790"/>
    <n v="112"/>
    <x v="0"/>
  </r>
  <r>
    <d v="2018-01-20T00:00:00"/>
    <n v="27820"/>
    <n v="68689"/>
    <n v="30472"/>
    <n v="12003"/>
    <n v="106"/>
    <x v="0"/>
  </r>
  <r>
    <d v="2018-01-21T00:00:00"/>
    <n v="43352"/>
    <n v="105697"/>
    <n v="46839"/>
    <n v="18464"/>
    <n v="108"/>
    <x v="0"/>
  </r>
  <r>
    <d v="2018-01-22T00:00:00"/>
    <n v="49380"/>
    <n v="120459"/>
    <n v="53238"/>
    <n v="22621"/>
    <n v="108"/>
    <x v="0"/>
  </r>
  <r>
    <d v="2018-01-23T00:00:00"/>
    <n v="68206"/>
    <n v="166205"/>
    <n v="74059"/>
    <n v="29906"/>
    <n v="108"/>
    <x v="0"/>
  </r>
  <r>
    <d v="2018-01-24T00:00:00"/>
    <n v="68203"/>
    <n v="125934"/>
    <n v="74786"/>
    <n v="36563"/>
    <n v="98"/>
    <x v="0"/>
  </r>
  <r>
    <d v="2018-01-25T00:00:00"/>
    <n v="108074"/>
    <n v="188772"/>
    <n v="113915"/>
    <n v="59589"/>
    <n v="91"/>
    <x v="0"/>
  </r>
  <r>
    <d v="2018-01-26T00:00:00"/>
    <n v="148597"/>
    <n v="263485"/>
    <n v="162553"/>
    <n v="83520"/>
    <n v="90"/>
    <x v="0"/>
  </r>
  <r>
    <d v="2018-01-27T00:00:00"/>
    <n v="218441"/>
    <n v="400447"/>
    <n v="239369"/>
    <n v="115879"/>
    <n v="93"/>
    <x v="1"/>
  </r>
  <r>
    <d v="2018-01-28T00:00:00"/>
    <n v="1609729"/>
    <n v="5446407"/>
    <n v="1934941"/>
    <n v="612022"/>
    <n v="221"/>
    <x v="0"/>
  </r>
  <r>
    <d v="2018-01-29T00:00:00"/>
    <n v="727530"/>
    <n v="1841975"/>
    <n v="810777"/>
    <n v="314663"/>
    <n v="152"/>
    <x v="0"/>
  </r>
  <r>
    <d v="2018-01-30T00:00:00"/>
    <n v="192235"/>
    <n v="454551"/>
    <n v="210881"/>
    <n v="88760"/>
    <n v="152"/>
    <x v="0"/>
  </r>
  <r>
    <d v="2018-01-31T00:00:00"/>
    <n v="97311"/>
    <n v="221899"/>
    <n v="105589"/>
    <n v="46090"/>
    <n v="150"/>
    <x v="0"/>
  </r>
  <r>
    <d v="2018-02-01T00:00:00"/>
    <n v="71273"/>
    <n v="154508"/>
    <n v="76868"/>
    <n v="35098"/>
    <n v="137"/>
    <x v="0"/>
  </r>
  <r>
    <d v="2018-02-02T00:00:00"/>
    <n v="57626"/>
    <n v="121012"/>
    <n v="62334"/>
    <n v="29541"/>
    <n v="129"/>
    <x v="0"/>
  </r>
  <r>
    <d v="2018-02-03T00:00:00"/>
    <n v="49644"/>
    <n v="102467"/>
    <n v="53676"/>
    <n v="25921"/>
    <n v="132"/>
    <x v="0"/>
  </r>
  <r>
    <d v="2018-02-04T00:00:00"/>
    <n v="42646"/>
    <n v="83790"/>
    <n v="46103"/>
    <n v="22683"/>
    <n v="123"/>
    <x v="0"/>
  </r>
  <r>
    <d v="2018-02-05T00:00:00"/>
    <n v="33561"/>
    <n v="65429"/>
    <n v="35648"/>
    <n v="18074"/>
    <n v="127"/>
    <x v="0"/>
  </r>
  <r>
    <d v="2018-02-06T00:00:00"/>
    <n v="29671"/>
    <n v="58188"/>
    <n v="31942"/>
    <n v="16112"/>
    <n v="128"/>
    <x v="0"/>
  </r>
  <r>
    <d v="2018-02-07T00:00:00"/>
    <n v="26192"/>
    <n v="51669"/>
    <n v="28333"/>
    <n v="14456"/>
    <n v="127"/>
    <x v="0"/>
  </r>
  <r>
    <d v="2018-02-08T00:00:00"/>
    <n v="24574"/>
    <n v="45856"/>
    <n v="26199"/>
    <n v="13446"/>
    <n v="120"/>
    <x v="0"/>
  </r>
  <r>
    <d v="2018-02-09T00:00:00"/>
    <n v="22637"/>
    <n v="41945"/>
    <n v="24302"/>
    <n v="12569"/>
    <n v="114"/>
    <x v="0"/>
  </r>
  <r>
    <d v="2018-02-10T00:00:00"/>
    <n v="20196"/>
    <n v="37309"/>
    <n v="21866"/>
    <n v="11554"/>
    <n v="113"/>
    <x v="0"/>
  </r>
  <r>
    <d v="2018-02-11T00:00:00"/>
    <n v="20338"/>
    <n v="37770"/>
    <n v="21661"/>
    <n v="11446"/>
    <n v="110"/>
    <x v="0"/>
  </r>
  <r>
    <d v="2018-02-12T00:00:00"/>
    <n v="18409"/>
    <n v="32714"/>
    <n v="19975"/>
    <n v="10999"/>
    <n v="103"/>
    <x v="0"/>
  </r>
  <r>
    <d v="2018-02-13T00:00:00"/>
    <n v="19598"/>
    <n v="31984"/>
    <n v="20994"/>
    <n v="11577"/>
    <n v="99"/>
    <x v="0"/>
  </r>
  <r>
    <d v="2018-02-14T00:00:00"/>
    <n v="18250"/>
    <n v="28243"/>
    <n v="19391"/>
    <n v="11104"/>
    <n v="87"/>
    <x v="0"/>
  </r>
  <r>
    <d v="2018-02-15T00:00:00"/>
    <n v="16454"/>
    <n v="26273"/>
    <n v="17483"/>
    <n v="10062"/>
    <n v="89"/>
    <x v="0"/>
  </r>
  <r>
    <d v="2018-02-16T00:00:00"/>
    <n v="15437"/>
    <n v="24523"/>
    <n v="16367"/>
    <n v="9639"/>
    <n v="85"/>
    <x v="0"/>
  </r>
  <r>
    <d v="2018-02-17T00:00:00"/>
    <n v="14342"/>
    <n v="22603"/>
    <n v="15224"/>
    <n v="8925"/>
    <n v="81"/>
    <x v="0"/>
  </r>
  <r>
    <d v="2018-02-18T00:00:00"/>
    <n v="13962"/>
    <n v="22198"/>
    <n v="14881"/>
    <n v="8923"/>
    <n v="81"/>
    <x v="0"/>
  </r>
  <r>
    <d v="2018-02-19T00:00:00"/>
    <n v="14807"/>
    <n v="23125"/>
    <n v="15714"/>
    <n v="9831"/>
    <n v="78"/>
    <x v="0"/>
  </r>
  <r>
    <d v="2018-02-20T00:00:00"/>
    <n v="14557"/>
    <n v="22345"/>
    <n v="15249"/>
    <n v="9098"/>
    <n v="81"/>
    <x v="0"/>
  </r>
  <r>
    <d v="2018-02-21T00:00:00"/>
    <n v="15137"/>
    <n v="24313"/>
    <n v="16096"/>
    <n v="9478"/>
    <n v="89"/>
    <x v="0"/>
  </r>
  <r>
    <d v="2018-02-22T00:00:00"/>
    <n v="18111"/>
    <n v="27823"/>
    <n v="19264"/>
    <n v="10700"/>
    <n v="86"/>
    <x v="0"/>
  </r>
  <r>
    <d v="2018-02-23T00:00:00"/>
    <n v="14628"/>
    <n v="23056"/>
    <n v="15644"/>
    <n v="9082"/>
    <n v="86"/>
    <x v="0"/>
  </r>
  <r>
    <d v="2018-02-24T00:00:00"/>
    <n v="14230"/>
    <n v="21663"/>
    <n v="15125"/>
    <n v="8576"/>
    <n v="80"/>
    <x v="0"/>
  </r>
  <r>
    <d v="2018-02-25T00:00:00"/>
    <n v="15115"/>
    <n v="23188"/>
    <n v="16015"/>
    <n v="9499"/>
    <n v="77"/>
    <x v="0"/>
  </r>
  <r>
    <d v="2018-02-26T00:00:00"/>
    <n v="15376"/>
    <n v="23608"/>
    <n v="16312"/>
    <n v="9722"/>
    <n v="82"/>
    <x v="0"/>
  </r>
  <r>
    <d v="2018-02-27T00:00:00"/>
    <n v="14965"/>
    <n v="23642"/>
    <n v="15825"/>
    <n v="9437"/>
    <n v="83"/>
    <x v="0"/>
  </r>
  <r>
    <d v="2018-02-28T00:00:00"/>
    <n v="14252"/>
    <n v="22652"/>
    <n v="15049"/>
    <n v="8885"/>
    <n v="86"/>
    <x v="0"/>
  </r>
  <r>
    <d v="2018-03-01T00:00:00"/>
    <n v="14424"/>
    <n v="22484"/>
    <n v="15255"/>
    <n v="9077"/>
    <n v="83"/>
    <x v="0"/>
  </r>
  <r>
    <d v="2018-03-02T00:00:00"/>
    <n v="14341"/>
    <n v="21964"/>
    <n v="15224"/>
    <n v="9062"/>
    <n v="77"/>
    <x v="0"/>
  </r>
  <r>
    <d v="2018-03-03T00:00:00"/>
    <n v="13462"/>
    <n v="20612"/>
    <n v="14217"/>
    <n v="8485"/>
    <n v="74"/>
    <x v="0"/>
  </r>
  <r>
    <d v="2018-03-04T00:00:00"/>
    <n v="20413"/>
    <n v="30671"/>
    <n v="21564"/>
    <n v="13342"/>
    <n v="70"/>
    <x v="0"/>
  </r>
  <r>
    <d v="2018-03-05T00:00:00"/>
    <n v="17573"/>
    <n v="27105"/>
    <n v="18688"/>
    <n v="11439"/>
    <n v="75"/>
    <x v="0"/>
  </r>
  <r>
    <d v="2018-03-06T00:00:00"/>
    <n v="15571"/>
    <n v="23846"/>
    <n v="16543"/>
    <n v="9701"/>
    <n v="78"/>
    <x v="0"/>
  </r>
  <r>
    <d v="2018-03-07T00:00:00"/>
    <n v="13895"/>
    <n v="21700"/>
    <n v="14866"/>
    <n v="8974"/>
    <n v="78"/>
    <x v="0"/>
  </r>
  <r>
    <d v="2018-03-08T00:00:00"/>
    <n v="18045"/>
    <n v="36689"/>
    <n v="19241"/>
    <n v="7047"/>
    <n v="83"/>
    <x v="0"/>
  </r>
  <r>
    <d v="2018-03-09T00:00:00"/>
    <n v="16433"/>
    <n v="32319"/>
    <n v="17298"/>
    <n v="7181"/>
    <n v="78"/>
    <x v="0"/>
  </r>
  <r>
    <d v="2018-03-10T00:00:00"/>
    <n v="13153"/>
    <n v="19936"/>
    <n v="13967"/>
    <n v="8523"/>
    <n v="76"/>
    <x v="0"/>
  </r>
  <r>
    <d v="2018-03-11T00:00:00"/>
    <n v="13166"/>
    <n v="20129"/>
    <n v="13972"/>
    <n v="8420"/>
    <n v="77"/>
    <x v="0"/>
  </r>
  <r>
    <d v="2018-03-12T00:00:00"/>
    <n v="14960"/>
    <n v="22542"/>
    <n v="15710"/>
    <n v="9629"/>
    <n v="76"/>
    <x v="0"/>
  </r>
  <r>
    <d v="2018-03-13T00:00:00"/>
    <n v="12650"/>
    <n v="18902"/>
    <n v="13167"/>
    <n v="7803"/>
    <n v="81"/>
    <x v="0"/>
  </r>
  <r>
    <d v="2018-03-14T00:00:00"/>
    <n v="12623"/>
    <n v="18381"/>
    <n v="13029"/>
    <n v="7617"/>
    <n v="80"/>
    <x v="0"/>
  </r>
  <r>
    <d v="2018-03-15T00:00:00"/>
    <n v="11401"/>
    <n v="16916"/>
    <n v="11832"/>
    <n v="6980"/>
    <n v="77"/>
    <x v="0"/>
  </r>
  <r>
    <d v="2018-03-16T00:00:00"/>
    <n v="11065"/>
    <n v="15929"/>
    <n v="11447"/>
    <n v="6749"/>
    <n v="72"/>
    <x v="0"/>
  </r>
  <r>
    <d v="2018-03-17T00:00:00"/>
    <n v="10333"/>
    <n v="14987"/>
    <n v="10714"/>
    <n v="6251"/>
    <n v="77"/>
    <x v="0"/>
  </r>
  <r>
    <d v="2018-03-18T00:00:00"/>
    <n v="12536"/>
    <n v="17448"/>
    <n v="12801"/>
    <n v="7997"/>
    <n v="70"/>
    <x v="0"/>
  </r>
  <r>
    <d v="2018-03-19T00:00:00"/>
    <n v="12171"/>
    <n v="17647"/>
    <n v="12598"/>
    <n v="7467"/>
    <n v="76"/>
    <x v="0"/>
  </r>
  <r>
    <d v="2018-03-20T00:00:00"/>
    <n v="11870"/>
    <n v="17751"/>
    <n v="12335"/>
    <n v="7267"/>
    <n v="86"/>
    <x v="0"/>
  </r>
  <r>
    <d v="2018-03-21T00:00:00"/>
    <n v="11377"/>
    <n v="16460"/>
    <n v="11654"/>
    <n v="6892"/>
    <n v="79"/>
    <x v="0"/>
  </r>
  <r>
    <d v="2018-03-22T00:00:00"/>
    <n v="11892"/>
    <n v="17304"/>
    <n v="12215"/>
    <n v="7116"/>
    <n v="84"/>
    <x v="0"/>
  </r>
  <r>
    <d v="2018-03-23T00:00:00"/>
    <n v="10390"/>
    <n v="15230"/>
    <n v="10893"/>
    <n v="6398"/>
    <n v="79"/>
    <x v="0"/>
  </r>
  <r>
    <d v="2018-03-24T00:00:00"/>
    <n v="13761"/>
    <n v="18858"/>
    <n v="14345"/>
    <n v="7061"/>
    <n v="67"/>
    <x v="0"/>
  </r>
  <r>
    <d v="2018-03-25T00:00:00"/>
    <n v="11217"/>
    <n v="16236"/>
    <n v="11672"/>
    <n v="6609"/>
    <n v="76"/>
    <x v="0"/>
  </r>
  <r>
    <d v="2018-03-26T00:00:00"/>
    <n v="11018"/>
    <n v="16205"/>
    <n v="11400"/>
    <n v="6655"/>
    <n v="84"/>
    <x v="0"/>
  </r>
  <r>
    <d v="2018-03-27T00:00:00"/>
    <n v="11937"/>
    <n v="17194"/>
    <n v="12467"/>
    <n v="7199"/>
    <n v="74"/>
    <x v="0"/>
  </r>
  <r>
    <d v="2018-03-28T00:00:00"/>
    <n v="11564"/>
    <n v="16114"/>
    <n v="11798"/>
    <n v="6787"/>
    <n v="72"/>
    <x v="0"/>
  </r>
  <r>
    <d v="2018-03-29T00:00:00"/>
    <n v="10577"/>
    <n v="15037"/>
    <n v="11006"/>
    <n v="6504"/>
    <n v="78"/>
    <x v="0"/>
  </r>
  <r>
    <d v="2018-03-30T00:00:00"/>
    <n v="14669"/>
    <n v="19334"/>
    <n v="15052"/>
    <n v="7558"/>
    <n v="74"/>
    <x v="0"/>
  </r>
  <r>
    <d v="2018-03-31T00:00:00"/>
    <n v="12940"/>
    <n v="17515"/>
    <n v="13226"/>
    <n v="7426"/>
    <n v="68"/>
    <x v="0"/>
  </r>
  <r>
    <d v="2018-04-01T00:00:00"/>
    <n v="10324"/>
    <n v="14529"/>
    <n v="10544"/>
    <n v="6237"/>
    <n v="75"/>
    <x v="0"/>
  </r>
  <r>
    <d v="2018-04-02T00:00:00"/>
    <n v="10708"/>
    <n v="15752"/>
    <n v="11194"/>
    <n v="6693"/>
    <n v="78"/>
    <x v="0"/>
  </r>
  <r>
    <d v="2018-04-03T00:00:00"/>
    <n v="11391"/>
    <n v="16220"/>
    <n v="11647"/>
    <n v="6826"/>
    <n v="71"/>
    <x v="0"/>
  </r>
  <r>
    <d v="2018-04-04T00:00:00"/>
    <n v="10868"/>
    <n v="15648"/>
    <n v="11330"/>
    <n v="6699"/>
    <n v="74"/>
    <x v="0"/>
  </r>
  <r>
    <d v="2018-04-05T00:00:00"/>
    <n v="12621"/>
    <n v="17980"/>
    <n v="13104"/>
    <n v="8113"/>
    <n v="69"/>
    <x v="0"/>
  </r>
  <r>
    <d v="2018-04-06T00:00:00"/>
    <n v="14754"/>
    <n v="19798"/>
    <n v="15095"/>
    <n v="7691"/>
    <n v="71"/>
    <x v="0"/>
  </r>
  <r>
    <d v="2018-04-07T00:00:00"/>
    <n v="13945"/>
    <n v="18796"/>
    <n v="14281"/>
    <n v="7569"/>
    <n v="70"/>
    <x v="0"/>
  </r>
  <r>
    <d v="2018-04-08T00:00:00"/>
    <n v="12451"/>
    <n v="17427"/>
    <n v="12844"/>
    <n v="7350"/>
    <n v="71"/>
    <x v="0"/>
  </r>
  <r>
    <d v="2018-04-09T00:00:00"/>
    <n v="13034"/>
    <n v="19018"/>
    <n v="13480"/>
    <n v="7722"/>
    <n v="74"/>
    <x v="0"/>
  </r>
  <r>
    <d v="2018-04-10T00:00:00"/>
    <n v="24432"/>
    <n v="35926"/>
    <n v="25403"/>
    <n v="13406"/>
    <n v="81"/>
    <x v="0"/>
  </r>
  <r>
    <d v="2018-04-11T00:00:00"/>
    <n v="22569"/>
    <n v="33376"/>
    <n v="23297"/>
    <n v="11262"/>
    <n v="80"/>
    <x v="0"/>
  </r>
  <r>
    <d v="2018-04-12T00:00:00"/>
    <n v="16688"/>
    <n v="24528"/>
    <n v="17327"/>
    <n v="9768"/>
    <n v="75"/>
    <x v="0"/>
  </r>
  <r>
    <d v="2018-04-13T00:00:00"/>
    <n v="13873"/>
    <n v="20125"/>
    <n v="14311"/>
    <n v="7986"/>
    <n v="75"/>
    <x v="0"/>
  </r>
  <r>
    <d v="2018-04-14T00:00:00"/>
    <n v="13482"/>
    <n v="18419"/>
    <n v="13835"/>
    <n v="7957"/>
    <n v="65"/>
    <x v="0"/>
  </r>
  <r>
    <d v="2018-04-15T00:00:00"/>
    <n v="16003"/>
    <n v="22607"/>
    <n v="16643"/>
    <n v="9557"/>
    <n v="67"/>
    <x v="0"/>
  </r>
  <r>
    <d v="2018-04-16T00:00:00"/>
    <n v="15870"/>
    <n v="22296"/>
    <n v="16319"/>
    <n v="9604"/>
    <n v="71"/>
    <x v="0"/>
  </r>
  <r>
    <d v="2018-04-17T00:00:00"/>
    <n v="15965"/>
    <n v="21951"/>
    <n v="16287"/>
    <n v="9116"/>
    <n v="72"/>
    <x v="0"/>
  </r>
  <r>
    <d v="2018-04-18T00:00:00"/>
    <n v="29388"/>
    <n v="42159"/>
    <n v="30690"/>
    <n v="14956"/>
    <n v="97"/>
    <x v="0"/>
  </r>
  <r>
    <d v="2018-04-19T00:00:00"/>
    <n v="19914"/>
    <n v="27166"/>
    <n v="20472"/>
    <n v="12028"/>
    <n v="69"/>
    <x v="0"/>
  </r>
  <r>
    <d v="2018-04-20T00:00:00"/>
    <n v="19957"/>
    <n v="26827"/>
    <n v="21019"/>
    <n v="11067"/>
    <n v="61"/>
    <x v="0"/>
  </r>
  <r>
    <d v="2018-04-21T00:00:00"/>
    <n v="20366"/>
    <n v="26620"/>
    <n v="21546"/>
    <n v="10739"/>
    <n v="55"/>
    <x v="0"/>
  </r>
  <r>
    <d v="2018-04-22T00:00:00"/>
    <n v="17963"/>
    <n v="23655"/>
    <n v="18978"/>
    <n v="9778"/>
    <n v="58"/>
    <x v="0"/>
  </r>
  <r>
    <d v="2018-04-23T00:00:00"/>
    <n v="17698"/>
    <n v="24007"/>
    <n v="18486"/>
    <n v="9678"/>
    <n v="62"/>
    <x v="0"/>
  </r>
  <r>
    <d v="2018-04-24T00:00:00"/>
    <n v="16290"/>
    <n v="22103"/>
    <n v="17129"/>
    <n v="9129"/>
    <n v="72"/>
    <x v="0"/>
  </r>
  <r>
    <d v="2018-04-25T00:00:00"/>
    <n v="15499"/>
    <n v="21472"/>
    <n v="16376"/>
    <n v="8673"/>
    <n v="70"/>
    <x v="0"/>
  </r>
  <r>
    <d v="2018-04-26T00:00:00"/>
    <n v="16901"/>
    <n v="22733"/>
    <n v="17603"/>
    <n v="9258"/>
    <n v="70"/>
    <x v="0"/>
  </r>
  <r>
    <d v="2018-04-27T00:00:00"/>
    <n v="15228"/>
    <n v="20153"/>
    <n v="15462"/>
    <n v="8497"/>
    <n v="66"/>
    <x v="0"/>
  </r>
  <r>
    <d v="2018-04-28T00:00:00"/>
    <n v="15602"/>
    <n v="20754"/>
    <n v="16418"/>
    <n v="8740"/>
    <n v="61"/>
    <x v="0"/>
  </r>
  <r>
    <d v="2018-04-29T00:00:00"/>
    <n v="15171"/>
    <n v="19795"/>
    <n v="15706"/>
    <n v="7607"/>
    <n v="61"/>
    <x v="0"/>
  </r>
  <r>
    <d v="2018-04-30T00:00:00"/>
    <n v="19538"/>
    <n v="25173"/>
    <n v="20200"/>
    <n v="9680"/>
    <n v="67"/>
    <x v="0"/>
  </r>
  <r>
    <d v="2018-05-01T00:00:00"/>
    <n v="14258"/>
    <n v="19391"/>
    <n v="14711"/>
    <n v="8015"/>
    <n v="71"/>
    <x v="0"/>
  </r>
  <r>
    <d v="2018-05-02T00:00:00"/>
    <n v="14338"/>
    <n v="19817"/>
    <n v="14832"/>
    <n v="7805"/>
    <n v="79"/>
    <x v="0"/>
  </r>
  <r>
    <d v="2018-05-03T00:00:00"/>
    <n v="14110"/>
    <n v="18984"/>
    <n v="14569"/>
    <n v="7537"/>
    <n v="71"/>
    <x v="0"/>
  </r>
  <r>
    <d v="2018-05-04T00:00:00"/>
    <n v="11855"/>
    <n v="15934"/>
    <n v="12086"/>
    <n v="6997"/>
    <n v="72"/>
    <x v="0"/>
  </r>
  <r>
    <d v="2018-05-05T00:00:00"/>
    <n v="9660"/>
    <n v="13375"/>
    <n v="9982"/>
    <n v="5731"/>
    <n v="69"/>
    <x v="0"/>
  </r>
  <r>
    <d v="2018-05-06T00:00:00"/>
    <n v="9865"/>
    <n v="13604"/>
    <n v="10192"/>
    <n v="5890"/>
    <n v="78"/>
    <x v="0"/>
  </r>
  <r>
    <d v="2018-05-07T00:00:00"/>
    <n v="15197"/>
    <n v="20591"/>
    <n v="15712"/>
    <n v="7878"/>
    <n v="79"/>
    <x v="0"/>
  </r>
  <r>
    <d v="2018-05-08T00:00:00"/>
    <n v="13533"/>
    <n v="18736"/>
    <n v="14147"/>
    <n v="7977"/>
    <n v="79"/>
    <x v="0"/>
  </r>
  <r>
    <d v="2018-05-09T00:00:00"/>
    <n v="15412"/>
    <n v="20933"/>
    <n v="15880"/>
    <n v="7661"/>
    <n v="74"/>
    <x v="0"/>
  </r>
  <r>
    <d v="2018-05-10T00:00:00"/>
    <n v="16306"/>
    <n v="21462"/>
    <n v="16752"/>
    <n v="9593"/>
    <n v="66"/>
    <x v="0"/>
  </r>
  <r>
    <d v="2018-05-11T00:00:00"/>
    <n v="38857"/>
    <n v="52629"/>
    <n v="42948"/>
    <n v="26001"/>
    <n v="54"/>
    <x v="0"/>
  </r>
  <r>
    <d v="2018-05-12T00:00:00"/>
    <n v="14032"/>
    <n v="18952"/>
    <n v="14775"/>
    <n v="8307"/>
    <n v="64"/>
    <x v="0"/>
  </r>
  <r>
    <d v="2018-05-13T00:00:00"/>
    <n v="11393"/>
    <n v="15906"/>
    <n v="11895"/>
    <n v="6706"/>
    <n v="75"/>
    <x v="0"/>
  </r>
  <r>
    <d v="2018-05-14T00:00:00"/>
    <n v="13385"/>
    <n v="18954"/>
    <n v="13901"/>
    <n v="7557"/>
    <n v="78"/>
    <x v="0"/>
  </r>
  <r>
    <d v="2018-05-15T00:00:00"/>
    <n v="19229"/>
    <n v="30010"/>
    <n v="19921"/>
    <n v="8200"/>
    <n v="411"/>
    <x v="0"/>
  </r>
  <r>
    <d v="2018-05-16T00:00:00"/>
    <n v="15021"/>
    <n v="21813"/>
    <n v="15343"/>
    <n v="7419"/>
    <n v="313"/>
    <x v="0"/>
  </r>
  <r>
    <d v="2018-05-17T00:00:00"/>
    <n v="14457"/>
    <n v="20592"/>
    <n v="14677"/>
    <n v="7537"/>
    <n v="291"/>
    <x v="0"/>
  </r>
  <r>
    <d v="2018-05-18T00:00:00"/>
    <n v="13300"/>
    <n v="18406"/>
    <n v="13422"/>
    <n v="7317"/>
    <n v="253"/>
    <x v="0"/>
  </r>
  <r>
    <d v="2018-05-19T00:00:00"/>
    <n v="13694"/>
    <n v="17815"/>
    <n v="13609"/>
    <n v="6956"/>
    <n v="223"/>
    <x v="0"/>
  </r>
  <r>
    <d v="2018-05-20T00:00:00"/>
    <n v="13506"/>
    <n v="18618"/>
    <n v="13528"/>
    <n v="7365"/>
    <n v="247"/>
    <x v="0"/>
  </r>
  <r>
    <d v="2018-05-21T00:00:00"/>
    <n v="13825"/>
    <n v="19891"/>
    <n v="13898"/>
    <n v="7881"/>
    <n v="268"/>
    <x v="0"/>
  </r>
  <r>
    <d v="2018-05-22T00:00:00"/>
    <n v="13659"/>
    <n v="19572"/>
    <n v="13888"/>
    <n v="7746"/>
    <n v="267"/>
    <x v="0"/>
  </r>
  <r>
    <d v="2018-05-23T00:00:00"/>
    <n v="12272"/>
    <n v="17003"/>
    <n v="12205"/>
    <n v="6756"/>
    <n v="259"/>
    <x v="0"/>
  </r>
  <r>
    <d v="2018-05-24T00:00:00"/>
    <n v="11203"/>
    <n v="15844"/>
    <n v="11312"/>
    <n v="6552"/>
    <n v="274"/>
    <x v="0"/>
  </r>
  <r>
    <d v="2018-05-25T00:00:00"/>
    <n v="10547"/>
    <n v="14690"/>
    <n v="10476"/>
    <n v="6155"/>
    <n v="278"/>
    <x v="0"/>
  </r>
  <r>
    <d v="2018-05-26T00:00:00"/>
    <n v="10256"/>
    <n v="13473"/>
    <n v="9966"/>
    <n v="5729"/>
    <n v="254"/>
    <x v="0"/>
  </r>
  <r>
    <d v="2018-05-27T00:00:00"/>
    <n v="11040"/>
    <n v="15344"/>
    <n v="10927"/>
    <n v="6230"/>
    <n v="256"/>
    <x v="0"/>
  </r>
  <r>
    <d v="2018-05-28T00:00:00"/>
    <n v="10719"/>
    <n v="15365"/>
    <n v="10822"/>
    <n v="6315"/>
    <n v="288"/>
    <x v="0"/>
  </r>
  <r>
    <d v="2018-05-29T00:00:00"/>
    <n v="11735"/>
    <n v="17419"/>
    <n v="11870"/>
    <n v="6783"/>
    <n v="297"/>
    <x v="0"/>
  </r>
  <r>
    <d v="2018-05-30T00:00:00"/>
    <n v="14774"/>
    <n v="20555"/>
    <n v="14911"/>
    <n v="7695"/>
    <n v="274"/>
    <x v="0"/>
  </r>
  <r>
    <d v="2018-05-31T00:00:00"/>
    <n v="13053"/>
    <n v="17758"/>
    <n v="13211"/>
    <n v="6417"/>
    <n v="242"/>
    <x v="0"/>
  </r>
  <r>
    <d v="2018-06-01T00:00:00"/>
    <n v="11825"/>
    <n v="16289"/>
    <n v="11767"/>
    <n v="6072"/>
    <n v="265"/>
    <x v="0"/>
  </r>
  <r>
    <d v="2018-06-02T00:00:00"/>
    <n v="9932"/>
    <n v="13248"/>
    <n v="9881"/>
    <n v="5747"/>
    <n v="213"/>
    <x v="0"/>
  </r>
  <r>
    <d v="2018-06-03T00:00:00"/>
    <n v="9586"/>
    <n v="13226"/>
    <n v="9530"/>
    <n v="5468"/>
    <n v="254"/>
    <x v="0"/>
  </r>
  <r>
    <d v="2018-06-04T00:00:00"/>
    <n v="10093"/>
    <n v="14899"/>
    <n v="10245"/>
    <n v="5846"/>
    <n v="324"/>
    <x v="0"/>
  </r>
  <r>
    <d v="2018-06-05T00:00:00"/>
    <n v="10463"/>
    <n v="14842"/>
    <n v="10405"/>
    <n v="5965"/>
    <n v="279"/>
    <x v="0"/>
  </r>
  <r>
    <d v="2018-06-06T00:00:00"/>
    <n v="11449"/>
    <n v="15810"/>
    <n v="11504"/>
    <n v="6819"/>
    <n v="237"/>
    <x v="0"/>
  </r>
  <r>
    <d v="2018-06-07T00:00:00"/>
    <n v="10669"/>
    <n v="15170"/>
    <n v="10796"/>
    <n v="6249"/>
    <n v="255"/>
    <x v="0"/>
  </r>
  <r>
    <d v="2018-06-08T00:00:00"/>
    <n v="10215"/>
    <n v="14300"/>
    <n v="10250"/>
    <n v="5891"/>
    <n v="267"/>
    <x v="0"/>
  </r>
  <r>
    <d v="2018-06-09T00:00:00"/>
    <n v="21010"/>
    <n v="27986"/>
    <n v="21659"/>
    <n v="8835"/>
    <n v="279"/>
    <x v="0"/>
  </r>
  <r>
    <d v="2018-06-10T00:00:00"/>
    <n v="14918"/>
    <n v="20506"/>
    <n v="15207"/>
    <n v="7698"/>
    <n v="306"/>
    <x v="0"/>
  </r>
  <r>
    <d v="2018-06-11T00:00:00"/>
    <n v="22842"/>
    <n v="30176"/>
    <n v="23244"/>
    <n v="9366"/>
    <n v="264"/>
    <x v="0"/>
  </r>
  <r>
    <d v="2018-06-12T00:00:00"/>
    <n v="21508"/>
    <n v="28428"/>
    <n v="21829"/>
    <n v="8972"/>
    <n v="303"/>
    <x v="0"/>
  </r>
  <r>
    <d v="2018-06-13T00:00:00"/>
    <n v="12669"/>
    <n v="17162"/>
    <n v="12829"/>
    <n v="6623"/>
    <n v="264"/>
    <x v="0"/>
  </r>
  <r>
    <d v="2018-06-14T00:00:00"/>
    <n v="11022"/>
    <n v="15290"/>
    <n v="11037"/>
    <n v="6168"/>
    <n v="274"/>
    <x v="0"/>
  </r>
  <r>
    <d v="2018-06-15T00:00:00"/>
    <n v="10217"/>
    <n v="14019"/>
    <n v="10243"/>
    <n v="5958"/>
    <n v="250"/>
    <x v="0"/>
  </r>
  <r>
    <d v="2018-06-16T00:00:00"/>
    <n v="12887"/>
    <n v="17017"/>
    <n v="12796"/>
    <n v="5879"/>
    <n v="235"/>
    <x v="0"/>
  </r>
  <r>
    <d v="2018-06-17T00:00:00"/>
    <n v="16016"/>
    <n v="22000"/>
    <n v="16169"/>
    <n v="6785"/>
    <n v="226"/>
    <x v="0"/>
  </r>
  <r>
    <d v="2018-06-18T00:00:00"/>
    <n v="11613"/>
    <n v="16463"/>
    <n v="11690"/>
    <n v="6368"/>
    <n v="283"/>
    <x v="0"/>
  </r>
  <r>
    <d v="2018-06-19T00:00:00"/>
    <n v="6673"/>
    <n v="9858"/>
    <n v="6680"/>
    <n v="3683"/>
    <n v="276"/>
    <x v="0"/>
  </r>
  <r>
    <d v="2018-06-20T00:00:00"/>
    <n v="8828"/>
    <n v="13029"/>
    <n v="8899"/>
    <n v="4739"/>
    <n v="265"/>
    <x v="0"/>
  </r>
  <r>
    <d v="2018-06-21T00:00:00"/>
    <n v="15204"/>
    <n v="20501"/>
    <n v="15259"/>
    <n v="6945"/>
    <n v="212"/>
    <x v="0"/>
  </r>
  <r>
    <d v="2018-06-22T00:00:00"/>
    <n v="10595"/>
    <n v="14895"/>
    <n v="10683"/>
    <n v="5893"/>
    <n v="255"/>
    <x v="0"/>
  </r>
  <r>
    <d v="2018-06-23T00:00:00"/>
    <n v="9752"/>
    <n v="13361"/>
    <n v="9719"/>
    <n v="5500"/>
    <n v="257"/>
    <x v="0"/>
  </r>
  <r>
    <d v="2018-06-24T00:00:00"/>
    <n v="9781"/>
    <n v="13669"/>
    <n v="9712"/>
    <n v="5614"/>
    <n v="272"/>
    <x v="0"/>
  </r>
  <r>
    <d v="2018-06-25T00:00:00"/>
    <n v="10033"/>
    <n v="14251"/>
    <n v="9973"/>
    <n v="5690"/>
    <n v="266"/>
    <x v="0"/>
  </r>
  <r>
    <d v="2018-06-26T00:00:00"/>
    <n v="10997"/>
    <n v="15810"/>
    <n v="11090"/>
    <n v="6151"/>
    <n v="275"/>
    <x v="0"/>
  </r>
  <r>
    <d v="2018-06-27T00:00:00"/>
    <n v="10292"/>
    <n v="14653"/>
    <n v="10391"/>
    <n v="5697"/>
    <n v="277"/>
    <x v="0"/>
  </r>
  <r>
    <d v="2018-06-28T00:00:00"/>
    <n v="10581"/>
    <n v="14784"/>
    <n v="10542"/>
    <n v="6003"/>
    <n v="287"/>
    <x v="0"/>
  </r>
  <r>
    <d v="2018-06-29T00:00:00"/>
    <n v="10195"/>
    <n v="14621"/>
    <n v="10260"/>
    <n v="5853"/>
    <n v="300"/>
    <x v="0"/>
  </r>
  <r>
    <d v="2018-06-30T00:00:00"/>
    <n v="11166"/>
    <n v="14892"/>
    <n v="11289"/>
    <n v="5640"/>
    <n v="226"/>
    <x v="0"/>
  </r>
  <r>
    <d v="2018-07-01T00:00:00"/>
    <n v="67364"/>
    <n v="91866"/>
    <n v="70234"/>
    <n v="10304"/>
    <n v="213"/>
    <x v="0"/>
  </r>
  <r>
    <d v="2018-07-02T00:00:00"/>
    <n v="49869"/>
    <n v="69493"/>
    <n v="51147"/>
    <n v="11064"/>
    <n v="246"/>
    <x v="0"/>
  </r>
  <r>
    <d v="2018-07-03T00:00:00"/>
    <n v="20157"/>
    <n v="28519"/>
    <n v="20511"/>
    <n v="7924"/>
    <n v="311"/>
    <x v="0"/>
  </r>
  <r>
    <d v="2018-07-04T00:00:00"/>
    <n v="16373"/>
    <n v="23245"/>
    <n v="16712"/>
    <n v="6682"/>
    <n v="278"/>
    <x v="0"/>
  </r>
  <r>
    <d v="2018-07-05T00:00:00"/>
    <n v="30550"/>
    <n v="46992"/>
    <n v="30868"/>
    <n v="10400"/>
    <n v="285"/>
    <x v="0"/>
  </r>
  <r>
    <d v="2018-07-06T00:00:00"/>
    <n v="30732"/>
    <n v="46183"/>
    <n v="32035"/>
    <n v="10271"/>
    <n v="280"/>
    <x v="0"/>
  </r>
  <r>
    <d v="2018-07-07T00:00:00"/>
    <n v="16025"/>
    <n v="22846"/>
    <n v="16185"/>
    <n v="6955"/>
    <n v="298"/>
    <x v="0"/>
  </r>
  <r>
    <d v="2018-07-08T00:00:00"/>
    <n v="25783"/>
    <n v="35809"/>
    <n v="26316"/>
    <n v="9211"/>
    <n v="265"/>
    <x v="0"/>
  </r>
  <r>
    <d v="2018-07-09T00:00:00"/>
    <n v="23247"/>
    <n v="34600"/>
    <n v="24161"/>
    <n v="9302"/>
    <n v="355"/>
    <x v="0"/>
  </r>
  <r>
    <d v="2018-07-10T00:00:00"/>
    <n v="16213"/>
    <n v="23675"/>
    <n v="16309"/>
    <n v="7424"/>
    <n v="320"/>
    <x v="0"/>
  </r>
  <r>
    <d v="2018-07-11T00:00:00"/>
    <n v="13469"/>
    <n v="19585"/>
    <n v="13614"/>
    <n v="6576"/>
    <n v="318"/>
    <x v="0"/>
  </r>
  <r>
    <d v="2018-07-12T00:00:00"/>
    <n v="13044"/>
    <n v="18823"/>
    <n v="13031"/>
    <n v="6628"/>
    <n v="319"/>
    <x v="0"/>
  </r>
  <r>
    <d v="2018-07-13T00:00:00"/>
    <n v="12756"/>
    <n v="18378"/>
    <n v="12875"/>
    <n v="6343"/>
    <n v="312"/>
    <x v="0"/>
  </r>
  <r>
    <d v="2018-07-14T00:00:00"/>
    <n v="12056"/>
    <n v="17576"/>
    <n v="12218"/>
    <n v="6013"/>
    <n v="296"/>
    <x v="0"/>
  </r>
  <r>
    <d v="2018-07-15T00:00:00"/>
    <n v="10760"/>
    <n v="15569"/>
    <n v="10970"/>
    <n v="5416"/>
    <n v="330"/>
    <x v="0"/>
  </r>
  <r>
    <d v="2018-07-16T00:00:00"/>
    <n v="15624"/>
    <n v="22251"/>
    <n v="16045"/>
    <n v="6871"/>
    <n v="330"/>
    <x v="0"/>
  </r>
  <r>
    <d v="2018-07-17T00:00:00"/>
    <n v="16345"/>
    <n v="23123"/>
    <n v="16655"/>
    <n v="7928"/>
    <n v="264"/>
    <x v="0"/>
  </r>
  <r>
    <d v="2018-07-18T00:00:00"/>
    <n v="15970"/>
    <n v="21344"/>
    <n v="16284"/>
    <n v="9911"/>
    <n v="231"/>
    <x v="0"/>
  </r>
  <r>
    <d v="2018-07-19T00:00:00"/>
    <n v="9734"/>
    <n v="14262"/>
    <n v="9946"/>
    <n v="5626"/>
    <n v="287"/>
    <x v="0"/>
  </r>
  <r>
    <d v="2018-07-20T00:00:00"/>
    <n v="9257"/>
    <n v="13378"/>
    <n v="9375"/>
    <n v="5270"/>
    <n v="258"/>
    <x v="0"/>
  </r>
  <r>
    <d v="2018-07-21T00:00:00"/>
    <n v="9987"/>
    <n v="14081"/>
    <n v="9965"/>
    <n v="5170"/>
    <n v="279"/>
    <x v="0"/>
  </r>
  <r>
    <d v="2018-07-22T00:00:00"/>
    <n v="14751"/>
    <n v="22115"/>
    <n v="15158"/>
    <n v="7232"/>
    <n v="266"/>
    <x v="0"/>
  </r>
  <r>
    <d v="2018-07-23T00:00:00"/>
    <n v="11891"/>
    <n v="18826"/>
    <n v="12264"/>
    <n v="6064"/>
    <n v="318"/>
    <x v="0"/>
  </r>
  <r>
    <d v="2018-07-24T00:00:00"/>
    <n v="9892"/>
    <n v="15171"/>
    <n v="9910"/>
    <n v="5237"/>
    <n v="320"/>
    <x v="0"/>
  </r>
  <r>
    <d v="2018-07-25T00:00:00"/>
    <n v="8862"/>
    <n v="13174"/>
    <n v="8920"/>
    <n v="4972"/>
    <n v="333"/>
    <x v="0"/>
  </r>
  <r>
    <d v="2018-07-26T00:00:00"/>
    <n v="10174"/>
    <n v="14910"/>
    <n v="10313"/>
    <n v="5358"/>
    <n v="265"/>
    <x v="0"/>
  </r>
  <r>
    <d v="2018-07-27T00:00:00"/>
    <n v="9225"/>
    <n v="13393"/>
    <n v="9374"/>
    <n v="5077"/>
    <n v="308"/>
    <x v="0"/>
  </r>
  <r>
    <d v="2018-07-28T00:00:00"/>
    <n v="9197"/>
    <n v="13075"/>
    <n v="9385"/>
    <n v="4804"/>
    <n v="281"/>
    <x v="0"/>
  </r>
  <r>
    <d v="2018-07-29T00:00:00"/>
    <n v="8828"/>
    <n v="12721"/>
    <n v="8845"/>
    <n v="4700"/>
    <n v="289"/>
    <x v="0"/>
  </r>
  <r>
    <d v="2018-07-30T00:00:00"/>
    <n v="9379"/>
    <n v="13757"/>
    <n v="9448"/>
    <n v="5095"/>
    <n v="320"/>
    <x v="0"/>
  </r>
  <r>
    <d v="2018-07-31T00:00:00"/>
    <n v="11026"/>
    <n v="15377"/>
    <n v="11083"/>
    <n v="5518"/>
    <n v="297"/>
    <x v="0"/>
  </r>
  <r>
    <d v="2018-08-01T00:00:00"/>
    <n v="10924"/>
    <n v="14813"/>
    <n v="11003"/>
    <n v="5258"/>
    <n v="295"/>
    <x v="0"/>
  </r>
  <r>
    <d v="2018-08-02T00:00:00"/>
    <n v="9393"/>
    <n v="13447"/>
    <n v="9506"/>
    <n v="4875"/>
    <n v="298"/>
    <x v="0"/>
  </r>
  <r>
    <d v="2018-08-03T00:00:00"/>
    <n v="8612"/>
    <n v="12808"/>
    <n v="8770"/>
    <n v="4811"/>
    <n v="301"/>
    <x v="0"/>
  </r>
  <r>
    <d v="2018-08-04T00:00:00"/>
    <n v="8130"/>
    <n v="11814"/>
    <n v="8172"/>
    <n v="4640"/>
    <n v="255"/>
    <x v="0"/>
  </r>
  <r>
    <d v="2018-08-05T00:00:00"/>
    <n v="9189"/>
    <n v="12984"/>
    <n v="9302"/>
    <n v="4905"/>
    <n v="271"/>
    <x v="0"/>
  </r>
  <r>
    <d v="2018-08-06T00:00:00"/>
    <n v="8193"/>
    <n v="11929"/>
    <n v="8238"/>
    <n v="4652"/>
    <n v="310"/>
    <x v="0"/>
  </r>
  <r>
    <d v="2018-08-07T00:00:00"/>
    <n v="8916"/>
    <n v="12945"/>
    <n v="9027"/>
    <n v="4849"/>
    <n v="293"/>
    <x v="0"/>
  </r>
  <r>
    <d v="2018-08-08T00:00:00"/>
    <n v="9225"/>
    <n v="13631"/>
    <n v="9342"/>
    <n v="5097"/>
    <n v="330"/>
    <x v="0"/>
  </r>
  <r>
    <d v="2018-08-09T00:00:00"/>
    <n v="24499"/>
    <n v="31433"/>
    <n v="25040"/>
    <n v="10572"/>
    <n v="225"/>
    <x v="0"/>
  </r>
  <r>
    <d v="2018-08-10T00:00:00"/>
    <n v="16517"/>
    <n v="22140"/>
    <n v="16832"/>
    <n v="7779"/>
    <n v="282"/>
    <x v="0"/>
  </r>
  <r>
    <d v="2018-08-11T00:00:00"/>
    <n v="11421"/>
    <n v="16046"/>
    <n v="11629"/>
    <n v="5781"/>
    <n v="286"/>
    <x v="0"/>
  </r>
  <r>
    <d v="2018-08-12T00:00:00"/>
    <n v="10167"/>
    <n v="14776"/>
    <n v="10476"/>
    <n v="5173"/>
    <n v="283"/>
    <x v="0"/>
  </r>
  <r>
    <d v="2018-08-13T00:00:00"/>
    <n v="10238"/>
    <n v="15782"/>
    <n v="10413"/>
    <n v="5747"/>
    <n v="348"/>
    <x v="0"/>
  </r>
  <r>
    <d v="2018-08-14T00:00:00"/>
    <n v="10163"/>
    <n v="15071"/>
    <n v="10301"/>
    <n v="5799"/>
    <n v="292"/>
    <x v="0"/>
  </r>
  <r>
    <d v="2018-08-15T00:00:00"/>
    <n v="9199"/>
    <n v="13865"/>
    <n v="9330"/>
    <n v="5199"/>
    <n v="291"/>
    <x v="0"/>
  </r>
  <r>
    <d v="2018-08-16T00:00:00"/>
    <n v="15712"/>
    <n v="23476"/>
    <n v="16046"/>
    <n v="9177"/>
    <n v="247"/>
    <x v="0"/>
  </r>
  <r>
    <d v="2018-08-17T00:00:00"/>
    <n v="11571"/>
    <n v="17293"/>
    <n v="11787"/>
    <n v="6877"/>
    <n v="256"/>
    <x v="0"/>
  </r>
  <r>
    <d v="2018-08-18T00:00:00"/>
    <n v="9539"/>
    <n v="14508"/>
    <n v="9642"/>
    <n v="5405"/>
    <n v="284"/>
    <x v="0"/>
  </r>
  <r>
    <d v="2018-08-19T00:00:00"/>
    <n v="8731"/>
    <n v="13394"/>
    <n v="8809"/>
    <n v="4890"/>
    <n v="288"/>
    <x v="0"/>
  </r>
  <r>
    <d v="2018-08-20T00:00:00"/>
    <n v="9854"/>
    <n v="15232"/>
    <n v="9871"/>
    <n v="5566"/>
    <n v="300"/>
    <x v="0"/>
  </r>
  <r>
    <d v="2018-08-21T00:00:00"/>
    <n v="11491"/>
    <n v="17676"/>
    <n v="11565"/>
    <n v="6263"/>
    <n v="299"/>
    <x v="0"/>
  </r>
  <r>
    <d v="2018-08-22T00:00:00"/>
    <n v="9866"/>
    <n v="14917"/>
    <n v="10002"/>
    <n v="5556"/>
    <n v="319"/>
    <x v="0"/>
  </r>
  <r>
    <d v="2018-08-23T00:00:00"/>
    <n v="9532"/>
    <n v="14272"/>
    <n v="9681"/>
    <n v="5356"/>
    <n v="269"/>
    <x v="0"/>
  </r>
  <r>
    <d v="2018-08-24T00:00:00"/>
    <n v="12500"/>
    <n v="18400"/>
    <n v="12641"/>
    <n v="6368"/>
    <n v="247"/>
    <x v="0"/>
  </r>
  <r>
    <d v="2018-08-25T00:00:00"/>
    <n v="10492"/>
    <n v="16080"/>
    <n v="10578"/>
    <n v="5364"/>
    <n v="281"/>
    <x v="0"/>
  </r>
  <r>
    <d v="2018-08-26T00:00:00"/>
    <n v="10211"/>
    <n v="15215"/>
    <n v="10368"/>
    <n v="5229"/>
    <n v="255"/>
    <x v="0"/>
  </r>
  <r>
    <d v="2018-08-27T00:00:00"/>
    <n v="9868"/>
    <n v="15578"/>
    <n v="10002"/>
    <n v="5456"/>
    <n v="296"/>
    <x v="0"/>
  </r>
  <r>
    <d v="2018-08-28T00:00:00"/>
    <n v="11417"/>
    <n v="17155"/>
    <n v="11434"/>
    <n v="6604"/>
    <n v="264"/>
    <x v="0"/>
  </r>
  <r>
    <d v="2018-08-29T00:00:00"/>
    <n v="9398"/>
    <n v="14372"/>
    <n v="9476"/>
    <n v="5474"/>
    <n v="275"/>
    <x v="0"/>
  </r>
  <r>
    <d v="2018-08-30T00:00:00"/>
    <n v="8888"/>
    <n v="13367"/>
    <n v="8876"/>
    <n v="5288"/>
    <n v="280"/>
    <x v="0"/>
  </r>
  <r>
    <d v="2018-08-31T00:00:00"/>
    <n v="10104"/>
    <n v="15053"/>
    <n v="10166"/>
    <n v="6113"/>
    <n v="233"/>
    <x v="0"/>
  </r>
  <r>
    <d v="2018-09-01T00:00:00"/>
    <n v="8068"/>
    <n v="12752"/>
    <n v="8130"/>
    <n v="4791"/>
    <n v="276"/>
    <x v="0"/>
  </r>
  <r>
    <d v="2018-09-02T00:00:00"/>
    <n v="8418"/>
    <n v="13215"/>
    <n v="8518"/>
    <n v="4924"/>
    <n v="267"/>
    <x v="0"/>
  </r>
  <r>
    <d v="2018-09-03T00:00:00"/>
    <n v="8811"/>
    <n v="13675"/>
    <n v="8878"/>
    <n v="5194"/>
    <n v="253"/>
    <x v="0"/>
  </r>
  <r>
    <d v="2018-09-04T00:00:00"/>
    <n v="9484"/>
    <n v="14242"/>
    <n v="9360"/>
    <n v="5578"/>
    <n v="278"/>
    <x v="0"/>
  </r>
  <r>
    <d v="2018-09-05T00:00:00"/>
    <n v="9866"/>
    <n v="14843"/>
    <n v="9928"/>
    <n v="6065"/>
    <n v="249"/>
    <x v="0"/>
  </r>
  <r>
    <d v="2018-09-06T00:00:00"/>
    <n v="9203"/>
    <n v="14189"/>
    <n v="9303"/>
    <n v="5654"/>
    <n v="255"/>
    <x v="0"/>
  </r>
  <r>
    <d v="2018-09-07T00:00:00"/>
    <n v="9303"/>
    <n v="14019"/>
    <n v="9401"/>
    <n v="5526"/>
    <n v="256"/>
    <x v="0"/>
  </r>
  <r>
    <d v="2018-09-08T00:00:00"/>
    <n v="8487"/>
    <n v="12870"/>
    <n v="8483"/>
    <n v="4999"/>
    <n v="243"/>
    <x v="0"/>
  </r>
  <r>
    <d v="2018-09-09T00:00:00"/>
    <n v="8107"/>
    <n v="12271"/>
    <n v="8111"/>
    <n v="4770"/>
    <n v="295"/>
    <x v="0"/>
  </r>
  <r>
    <d v="2018-09-10T00:00:00"/>
    <n v="9589"/>
    <n v="14836"/>
    <n v="9686"/>
    <n v="5561"/>
    <n v="256"/>
    <x v="0"/>
  </r>
  <r>
    <d v="2018-09-11T00:00:00"/>
    <n v="11365"/>
    <n v="18947"/>
    <n v="11575"/>
    <n v="6493"/>
    <n v="312"/>
    <x v="0"/>
  </r>
  <r>
    <d v="2018-09-12T00:00:00"/>
    <n v="34804"/>
    <n v="45342"/>
    <n v="35866"/>
    <n v="14067"/>
    <n v="234"/>
    <x v="0"/>
  </r>
  <r>
    <d v="2018-09-13T00:00:00"/>
    <n v="38017"/>
    <n v="51866"/>
    <n v="39928"/>
    <n v="17114"/>
    <n v="269"/>
    <x v="0"/>
  </r>
  <r>
    <d v="2018-09-14T00:00:00"/>
    <n v="22600"/>
    <n v="32157"/>
    <n v="23539"/>
    <n v="11979"/>
    <n v="300"/>
    <x v="0"/>
  </r>
  <r>
    <d v="2018-09-15T00:00:00"/>
    <n v="17046"/>
    <n v="24855"/>
    <n v="17446"/>
    <n v="9256"/>
    <n v="264"/>
    <x v="0"/>
  </r>
  <r>
    <d v="2018-09-16T00:00:00"/>
    <n v="10883"/>
    <n v="16956"/>
    <n v="11197"/>
    <n v="6234"/>
    <n v="335"/>
    <x v="0"/>
  </r>
  <r>
    <d v="2018-09-17T00:00:00"/>
    <n v="11636"/>
    <n v="18299"/>
    <n v="11737"/>
    <n v="6788"/>
    <n v="296"/>
    <x v="0"/>
  </r>
  <r>
    <d v="2018-09-18T00:00:00"/>
    <n v="12115"/>
    <n v="18369"/>
    <n v="12050"/>
    <n v="6988"/>
    <n v="288"/>
    <x v="0"/>
  </r>
  <r>
    <d v="2018-09-19T00:00:00"/>
    <n v="12838"/>
    <n v="19122"/>
    <n v="12950"/>
    <n v="6860"/>
    <n v="313"/>
    <x v="0"/>
  </r>
  <r>
    <d v="2018-09-20T00:00:00"/>
    <n v="13749"/>
    <n v="22108"/>
    <n v="14144"/>
    <n v="7628"/>
    <n v="268"/>
    <x v="0"/>
  </r>
  <r>
    <d v="2018-09-21T00:00:00"/>
    <n v="11174"/>
    <n v="17922"/>
    <n v="11356"/>
    <n v="6334"/>
    <n v="277"/>
    <x v="0"/>
  </r>
  <r>
    <d v="2018-09-22T00:00:00"/>
    <n v="9108"/>
    <n v="14240"/>
    <n v="9151"/>
    <n v="5232"/>
    <n v="290"/>
    <x v="0"/>
  </r>
  <r>
    <d v="2018-09-23T00:00:00"/>
    <n v="9115"/>
    <n v="13905"/>
    <n v="9162"/>
    <n v="5347"/>
    <n v="290"/>
    <x v="0"/>
  </r>
  <r>
    <d v="2018-09-24T00:00:00"/>
    <n v="10172"/>
    <n v="15820"/>
    <n v="10368"/>
    <n v="5860"/>
    <n v="275"/>
    <x v="0"/>
  </r>
  <r>
    <d v="2018-09-25T00:00:00"/>
    <n v="10572"/>
    <n v="16927"/>
    <n v="10863"/>
    <n v="6260"/>
    <n v="278"/>
    <x v="0"/>
  </r>
  <r>
    <d v="2018-09-26T00:00:00"/>
    <n v="11873"/>
    <n v="18343"/>
    <n v="11970"/>
    <n v="6993"/>
    <n v="290"/>
    <x v="0"/>
  </r>
  <r>
    <d v="2018-09-27T00:00:00"/>
    <n v="12056"/>
    <n v="18037"/>
    <n v="12121"/>
    <n v="7017"/>
    <n v="277"/>
    <x v="0"/>
  </r>
  <r>
    <d v="2018-09-28T00:00:00"/>
    <n v="10128"/>
    <n v="15767"/>
    <n v="10243"/>
    <n v="6049"/>
    <n v="303"/>
    <x v="0"/>
  </r>
  <r>
    <d v="2018-09-29T00:00:00"/>
    <n v="9150"/>
    <n v="14105"/>
    <n v="9216"/>
    <n v="5345"/>
    <n v="272"/>
    <x v="0"/>
  </r>
  <r>
    <d v="2018-09-30T00:00:00"/>
    <n v="9987"/>
    <n v="15655"/>
    <n v="10145"/>
    <n v="5931"/>
    <n v="282"/>
    <x v="0"/>
  </r>
  <r>
    <d v="2018-10-01T00:00:00"/>
    <n v="10623"/>
    <n v="16516"/>
    <n v="10725"/>
    <n v="6215"/>
    <n v="264"/>
    <x v="0"/>
  </r>
  <r>
    <d v="2018-10-02T00:00:00"/>
    <n v="11575"/>
    <n v="17267"/>
    <n v="11682"/>
    <n v="6622"/>
    <n v="286"/>
    <x v="0"/>
  </r>
  <r>
    <d v="2018-10-03T00:00:00"/>
    <n v="11211"/>
    <n v="16801"/>
    <n v="11193"/>
    <n v="6396"/>
    <n v="262"/>
    <x v="0"/>
  </r>
  <r>
    <d v="2018-10-04T00:00:00"/>
    <n v="11693"/>
    <n v="16939"/>
    <n v="11467"/>
    <n v="6594"/>
    <n v="259"/>
    <x v="0"/>
  </r>
  <r>
    <d v="2018-10-05T00:00:00"/>
    <n v="11749"/>
    <n v="18060"/>
    <n v="11737"/>
    <n v="6587"/>
    <n v="255"/>
    <x v="0"/>
  </r>
  <r>
    <d v="2018-10-06T00:00:00"/>
    <n v="9752"/>
    <n v="14806"/>
    <n v="9731"/>
    <n v="5717"/>
    <n v="284"/>
    <x v="0"/>
  </r>
  <r>
    <d v="2018-10-07T00:00:00"/>
    <n v="9552"/>
    <n v="14551"/>
    <n v="9646"/>
    <n v="5599"/>
    <n v="271"/>
    <x v="0"/>
  </r>
  <r>
    <d v="2018-10-08T00:00:00"/>
    <n v="12069"/>
    <n v="17962"/>
    <n v="12161"/>
    <n v="6497"/>
    <n v="253"/>
    <x v="0"/>
  </r>
  <r>
    <d v="2018-10-09T00:00:00"/>
    <n v="14755"/>
    <n v="22843"/>
    <n v="14954"/>
    <n v="7904"/>
    <n v="326"/>
    <x v="0"/>
  </r>
  <r>
    <d v="2018-10-10T00:00:00"/>
    <n v="14698"/>
    <n v="22695"/>
    <n v="14922"/>
    <n v="7885"/>
    <n v="292"/>
    <x v="0"/>
  </r>
  <r>
    <d v="2018-10-11T00:00:00"/>
    <n v="17087"/>
    <n v="24788"/>
    <n v="17238"/>
    <n v="9019"/>
    <n v="265"/>
    <x v="0"/>
  </r>
  <r>
    <d v="2018-10-12T00:00:00"/>
    <n v="13107"/>
    <n v="19372"/>
    <n v="13348"/>
    <n v="7685"/>
    <n v="282"/>
    <x v="0"/>
  </r>
  <r>
    <d v="2018-10-13T00:00:00"/>
    <n v="9656"/>
    <n v="15072"/>
    <n v="9868"/>
    <n v="5688"/>
    <n v="276"/>
    <x v="0"/>
  </r>
  <r>
    <d v="2018-10-14T00:00:00"/>
    <n v="9806"/>
    <n v="15620"/>
    <n v="11992"/>
    <n v="7424"/>
    <n v="18"/>
    <x v="0"/>
  </r>
  <r>
    <d v="2018-10-15T00:00:00"/>
    <n v="11399"/>
    <n v="18164"/>
    <n v="14149"/>
    <n v="8527"/>
    <n v="18"/>
    <x v="0"/>
  </r>
  <r>
    <d v="2018-10-16T00:00:00"/>
    <n v="11089"/>
    <n v="17435"/>
    <n v="13719"/>
    <n v="8188"/>
    <n v="18"/>
    <x v="0"/>
  </r>
  <r>
    <d v="2018-10-17T00:00:00"/>
    <n v="14046"/>
    <n v="24466"/>
    <n v="17660"/>
    <n v="9459"/>
    <n v="21"/>
    <x v="0"/>
  </r>
  <r>
    <d v="2018-10-18T00:00:00"/>
    <n v="15779"/>
    <n v="27970"/>
    <n v="19366"/>
    <n v="10867"/>
    <n v="20"/>
    <x v="0"/>
  </r>
  <r>
    <d v="2018-10-19T00:00:00"/>
    <n v="14546"/>
    <n v="25714"/>
    <n v="17821"/>
    <n v="9843"/>
    <n v="21"/>
    <x v="0"/>
  </r>
  <r>
    <d v="2018-10-20T00:00:00"/>
    <n v="12101"/>
    <n v="21293"/>
    <n v="14783"/>
    <n v="8193"/>
    <n v="21"/>
    <x v="0"/>
  </r>
  <r>
    <d v="2018-10-21T00:00:00"/>
    <n v="12445"/>
    <n v="20525"/>
    <n v="12774"/>
    <n v="6163"/>
    <n v="259"/>
    <x v="0"/>
  </r>
  <r>
    <d v="2018-10-22T00:00:00"/>
    <n v="15770"/>
    <n v="24647"/>
    <n v="18560"/>
    <n v="9841"/>
    <n v="20"/>
    <x v="0"/>
  </r>
  <r>
    <d v="2018-10-23T00:00:00"/>
    <n v="13986"/>
    <n v="23469"/>
    <n v="17127"/>
    <n v="9662"/>
    <n v="20"/>
    <x v="0"/>
  </r>
  <r>
    <d v="2018-10-24T00:00:00"/>
    <n v="13059"/>
    <n v="21149"/>
    <n v="15620"/>
    <n v="9221"/>
    <n v="19"/>
    <x v="0"/>
  </r>
  <r>
    <d v="2018-10-25T00:00:00"/>
    <n v="12552"/>
    <n v="20583"/>
    <n v="15317"/>
    <n v="9391"/>
    <n v="17"/>
    <x v="0"/>
  </r>
  <r>
    <d v="2018-10-26T00:00:00"/>
    <n v="12348"/>
    <n v="19645"/>
    <n v="14655"/>
    <n v="8971"/>
    <n v="17"/>
    <x v="0"/>
  </r>
  <r>
    <d v="2018-10-27T00:00:00"/>
    <n v="10442"/>
    <n v="16872"/>
    <n v="12581"/>
    <n v="7665"/>
    <n v="18"/>
    <x v="0"/>
  </r>
  <r>
    <d v="2018-10-28T00:00:00"/>
    <n v="9750"/>
    <n v="15950"/>
    <n v="12018"/>
    <n v="7557"/>
    <n v="17"/>
    <x v="0"/>
  </r>
  <r>
    <d v="2018-10-29T00:00:00"/>
    <n v="12609"/>
    <n v="20919"/>
    <n v="15208"/>
    <n v="8648"/>
    <n v="19"/>
    <x v="0"/>
  </r>
  <r>
    <d v="2018-10-30T00:00:00"/>
    <n v="12068"/>
    <n v="19818"/>
    <n v="14388"/>
    <n v="8394"/>
    <n v="19"/>
    <x v="0"/>
  </r>
  <r>
    <d v="2018-10-31T00:00:00"/>
    <n v="12904"/>
    <n v="20528"/>
    <n v="15621"/>
    <n v="8031"/>
    <n v="19"/>
    <x v="0"/>
  </r>
  <r>
    <d v="2018-11-01T00:00:00"/>
    <n v="11369"/>
    <n v="17448"/>
    <n v="13505"/>
    <n v="8324"/>
    <n v="16"/>
    <x v="0"/>
  </r>
  <r>
    <d v="2018-11-02T00:00:00"/>
    <n v="10765"/>
    <n v="16969"/>
    <n v="12763"/>
    <n v="8101"/>
    <n v="17"/>
    <x v="0"/>
  </r>
  <r>
    <d v="2018-11-03T00:00:00"/>
    <n v="9907"/>
    <n v="15391"/>
    <n v="11562"/>
    <n v="7394"/>
    <n v="18"/>
    <x v="0"/>
  </r>
  <r>
    <d v="2018-11-04T00:00:00"/>
    <n v="10296"/>
    <n v="16757"/>
    <n v="12356"/>
    <n v="7849"/>
    <n v="18"/>
    <x v="0"/>
  </r>
  <r>
    <d v="2018-11-05T00:00:00"/>
    <n v="10967"/>
    <n v="16957"/>
    <n v="11205"/>
    <n v="6741"/>
    <n v="73"/>
    <x v="0"/>
  </r>
  <r>
    <d v="2018-11-06T00:00:00"/>
    <n v="10920"/>
    <n v="17389"/>
    <n v="11398"/>
    <n v="6869"/>
    <n v="72"/>
    <x v="0"/>
  </r>
  <r>
    <d v="2018-11-07T00:00:00"/>
    <n v="10030"/>
    <n v="15838"/>
    <n v="10534"/>
    <n v="6468"/>
    <n v="72"/>
    <x v="0"/>
  </r>
  <r>
    <d v="2018-11-08T00:00:00"/>
    <n v="10093"/>
    <n v="15361"/>
    <n v="10469"/>
    <n v="6430"/>
    <n v="65"/>
    <x v="0"/>
  </r>
  <r>
    <d v="2018-11-09T00:00:00"/>
    <n v="10185"/>
    <n v="15312"/>
    <n v="10605"/>
    <n v="6600"/>
    <n v="68"/>
    <x v="0"/>
  </r>
  <r>
    <d v="2018-11-10T00:00:00"/>
    <n v="9468"/>
    <n v="14203"/>
    <n v="9841"/>
    <n v="5933"/>
    <n v="64"/>
    <x v="0"/>
  </r>
  <r>
    <d v="2018-11-11T00:00:00"/>
    <n v="9835"/>
    <n v="15279"/>
    <n v="10139"/>
    <n v="6147"/>
    <n v="72"/>
    <x v="0"/>
  </r>
  <r>
    <d v="2018-11-12T00:00:00"/>
    <n v="10946"/>
    <n v="16954"/>
    <n v="11292"/>
    <n v="6760"/>
    <n v="72"/>
    <x v="0"/>
  </r>
  <r>
    <d v="2018-11-13T00:00:00"/>
    <n v="11421"/>
    <n v="17693"/>
    <n v="11809"/>
    <n v="6993"/>
    <n v="73"/>
    <x v="0"/>
  </r>
  <r>
    <d v="2018-11-14T00:00:00"/>
    <n v="13338"/>
    <n v="20119"/>
    <n v="13845"/>
    <n v="8021"/>
    <n v="72"/>
    <x v="0"/>
  </r>
  <r>
    <d v="2018-11-15T00:00:00"/>
    <n v="23750"/>
    <n v="34995"/>
    <n v="24659"/>
    <n v="13094"/>
    <n v="70"/>
    <x v="0"/>
  </r>
  <r>
    <d v="2018-11-16T00:00:00"/>
    <n v="19538"/>
    <n v="29465"/>
    <n v="20116"/>
    <n v="10815"/>
    <n v="69"/>
    <x v="0"/>
  </r>
  <r>
    <d v="2018-11-17T00:00:00"/>
    <n v="12206"/>
    <n v="18615"/>
    <n v="12648"/>
    <n v="7416"/>
    <n v="68"/>
    <x v="0"/>
  </r>
  <r>
    <d v="2018-11-18T00:00:00"/>
    <n v="11053"/>
    <n v="16901"/>
    <n v="11547"/>
    <n v="6794"/>
    <n v="70"/>
    <x v="0"/>
  </r>
  <r>
    <d v="2018-11-19T00:00:00"/>
    <n v="10408"/>
    <n v="16562"/>
    <n v="10820"/>
    <n v="6560"/>
    <n v="75"/>
    <x v="0"/>
  </r>
  <r>
    <d v="2018-11-20T00:00:00"/>
    <n v="12144"/>
    <n v="18093"/>
    <n v="12486"/>
    <n v="7302"/>
    <n v="66"/>
    <x v="0"/>
  </r>
  <r>
    <d v="2018-11-21T00:00:00"/>
    <n v="9468"/>
    <n v="14668"/>
    <n v="9828"/>
    <n v="5818"/>
    <n v="73"/>
    <x v="0"/>
  </r>
  <r>
    <d v="2018-11-22T00:00:00"/>
    <n v="8124"/>
    <n v="12263"/>
    <n v="8309"/>
    <n v="5063"/>
    <n v="70"/>
    <x v="0"/>
  </r>
  <r>
    <d v="2018-11-23T00:00:00"/>
    <n v="7855"/>
    <n v="12233"/>
    <n v="8093"/>
    <n v="4772"/>
    <n v="74"/>
    <x v="0"/>
  </r>
  <r>
    <d v="2018-11-24T00:00:00"/>
    <n v="8017"/>
    <n v="12899"/>
    <n v="8262"/>
    <n v="4725"/>
    <n v="79"/>
    <x v="0"/>
  </r>
  <r>
    <d v="2018-11-25T00:00:00"/>
    <n v="9007"/>
    <n v="14057"/>
    <n v="9384"/>
    <n v="5397"/>
    <n v="79"/>
    <x v="0"/>
  </r>
  <r>
    <d v="2018-11-26T00:00:00"/>
    <n v="11403"/>
    <n v="17785"/>
    <n v="11801"/>
    <n v="6688"/>
    <n v="82"/>
    <x v="0"/>
  </r>
  <r>
    <d v="2018-11-27T00:00:00"/>
    <n v="10513"/>
    <n v="17045"/>
    <n v="11050"/>
    <n v="6312"/>
    <n v="84"/>
    <x v="0"/>
  </r>
  <r>
    <d v="2018-11-28T00:00:00"/>
    <n v="11261"/>
    <n v="18229"/>
    <n v="11658"/>
    <n v="6705"/>
    <n v="85"/>
    <x v="0"/>
  </r>
  <r>
    <d v="2018-11-29T00:00:00"/>
    <n v="14385"/>
    <n v="22312"/>
    <n v="15066"/>
    <n v="8439"/>
    <n v="72"/>
    <x v="0"/>
  </r>
  <r>
    <d v="2018-11-30T00:00:00"/>
    <n v="17001"/>
    <n v="24996"/>
    <n v="17661"/>
    <n v="9601"/>
    <n v="68"/>
    <x v="0"/>
  </r>
  <r>
    <d v="2018-12-01T00:00:00"/>
    <n v="12955"/>
    <n v="19490"/>
    <n v="13588"/>
    <n v="8368"/>
    <n v="65"/>
    <x v="0"/>
  </r>
  <r>
    <d v="2018-12-02T00:00:00"/>
    <n v="16595"/>
    <n v="24702"/>
    <n v="17368"/>
    <n v="10140"/>
    <n v="67"/>
    <x v="0"/>
  </r>
  <r>
    <d v="2018-12-03T00:00:00"/>
    <n v="16837"/>
    <n v="27294"/>
    <n v="17774"/>
    <n v="10473"/>
    <n v="80"/>
    <x v="0"/>
  </r>
  <r>
    <d v="2018-12-04T00:00:00"/>
    <n v="16334"/>
    <n v="27024"/>
    <n v="17194"/>
    <n v="10394"/>
    <n v="76"/>
    <x v="0"/>
  </r>
  <r>
    <d v="2018-12-05T00:00:00"/>
    <n v="19303"/>
    <n v="33537"/>
    <n v="20831"/>
    <n v="12474"/>
    <n v="76"/>
    <x v="0"/>
  </r>
  <r>
    <d v="2018-12-06T00:00:00"/>
    <n v="35466"/>
    <n v="62256"/>
    <n v="38093"/>
    <n v="20544"/>
    <n v="70"/>
    <x v="0"/>
  </r>
  <r>
    <d v="2018-12-07T00:00:00"/>
    <n v="818792"/>
    <n v="1572079"/>
    <n v="940177"/>
    <n v="363567"/>
    <n v="113"/>
    <x v="1"/>
  </r>
  <r>
    <d v="2018-12-08T00:00:00"/>
    <n v="236576"/>
    <n v="440312"/>
    <n v="262488"/>
    <n v="140825"/>
    <n v="87"/>
    <x v="0"/>
  </r>
  <r>
    <d v="2018-12-09T00:00:00"/>
    <n v="112219"/>
    <n v="214665"/>
    <n v="123438"/>
    <n v="65423"/>
    <n v="91"/>
    <x v="0"/>
  </r>
  <r>
    <d v="2018-12-10T00:00:00"/>
    <n v="91037"/>
    <n v="166528"/>
    <n v="99749"/>
    <n v="52887"/>
    <n v="96"/>
    <x v="0"/>
  </r>
  <r>
    <d v="2018-12-11T00:00:00"/>
    <n v="66312"/>
    <n v="117292"/>
    <n v="71977"/>
    <n v="38213"/>
    <n v="100"/>
    <x v="0"/>
  </r>
  <r>
    <d v="2018-12-12T00:00:00"/>
    <n v="53198"/>
    <n v="95091"/>
    <n v="58518"/>
    <n v="27399"/>
    <n v="109"/>
    <x v="0"/>
  </r>
  <r>
    <d v="2018-12-13T00:00:00"/>
    <n v="44162"/>
    <n v="80658"/>
    <n v="48118"/>
    <n v="19065"/>
    <n v="123"/>
    <x v="0"/>
  </r>
  <r>
    <d v="2018-12-14T00:00:00"/>
    <n v="34731"/>
    <n v="62964"/>
    <n v="37956"/>
    <n v="15718"/>
    <n v="116"/>
    <x v="0"/>
  </r>
  <r>
    <d v="2018-12-15T00:00:00"/>
    <n v="28664"/>
    <n v="50486"/>
    <n v="31083"/>
    <n v="12987"/>
    <n v="115"/>
    <x v="0"/>
  </r>
  <r>
    <d v="2018-12-16T00:00:00"/>
    <n v="28095"/>
    <n v="49743"/>
    <n v="30334"/>
    <n v="12695"/>
    <n v="114"/>
    <x v="0"/>
  </r>
  <r>
    <d v="2018-12-17T00:00:00"/>
    <n v="27811"/>
    <n v="49407"/>
    <n v="29959"/>
    <n v="12511"/>
    <n v="116"/>
    <x v="0"/>
  </r>
  <r>
    <d v="2018-12-18T00:00:00"/>
    <n v="29905"/>
    <n v="50588"/>
    <n v="31823"/>
    <n v="12494"/>
    <n v="123"/>
    <x v="0"/>
  </r>
  <r>
    <d v="2018-12-19T00:00:00"/>
    <n v="32623"/>
    <n v="55388"/>
    <n v="34998"/>
    <n v="12803"/>
    <n v="127"/>
    <x v="0"/>
  </r>
  <r>
    <d v="2018-12-20T00:00:00"/>
    <n v="25702"/>
    <n v="44186"/>
    <n v="27304"/>
    <n v="10827"/>
    <n v="107"/>
    <x v="0"/>
  </r>
  <r>
    <d v="2018-12-21T00:00:00"/>
    <n v="25186"/>
    <n v="44597"/>
    <n v="26204"/>
    <n v="10807"/>
    <n v="103"/>
    <x v="0"/>
  </r>
  <r>
    <d v="2018-12-22T00:00:00"/>
    <n v="21301"/>
    <n v="38493"/>
    <n v="22834"/>
    <n v="9751"/>
    <n v="105"/>
    <x v="0"/>
  </r>
  <r>
    <d v="2018-12-23T00:00:00"/>
    <n v="22409"/>
    <n v="39980"/>
    <n v="24140"/>
    <n v="10726"/>
    <n v="98"/>
    <x v="0"/>
  </r>
  <r>
    <d v="2018-12-24T00:00:00"/>
    <n v="18133"/>
    <n v="31711"/>
    <n v="19176"/>
    <n v="8492"/>
    <n v="99"/>
    <x v="0"/>
  </r>
  <r>
    <d v="2018-12-25T00:00:00"/>
    <n v="17230"/>
    <n v="30036"/>
    <n v="18289"/>
    <n v="7795"/>
    <n v="107"/>
    <x v="0"/>
  </r>
  <r>
    <d v="2018-12-26T00:00:00"/>
    <n v="24720"/>
    <n v="40634"/>
    <n v="26178"/>
    <n v="9652"/>
    <n v="109"/>
    <x v="0"/>
  </r>
  <r>
    <d v="2018-12-27T00:00:00"/>
    <n v="26447"/>
    <n v="44501"/>
    <n v="28228"/>
    <n v="10611"/>
    <n v="104"/>
    <x v="0"/>
  </r>
  <r>
    <d v="2018-12-28T00:00:00"/>
    <n v="21935"/>
    <n v="39348"/>
    <n v="23355"/>
    <n v="9410"/>
    <n v="111"/>
    <x v="0"/>
  </r>
  <r>
    <d v="2018-12-29T00:00:00"/>
    <n v="22570"/>
    <n v="40028"/>
    <n v="24247"/>
    <n v="9277"/>
    <n v="110"/>
    <x v="0"/>
  </r>
  <r>
    <d v="2018-12-30T00:00:00"/>
    <n v="22830"/>
    <n v="40143"/>
    <n v="24225"/>
    <n v="9741"/>
    <n v="107"/>
    <x v="0"/>
  </r>
  <r>
    <d v="2018-12-31T00:00:00"/>
    <n v="31358"/>
    <n v="49465"/>
    <n v="33002"/>
    <n v="11766"/>
    <n v="87"/>
    <x v="0"/>
  </r>
  <r>
    <d v="2019-01-01T00:00:00"/>
    <n v="21417"/>
    <n v="38124"/>
    <n v="22787"/>
    <n v="9724"/>
    <n v="108"/>
    <x v="0"/>
  </r>
  <r>
    <d v="2019-01-02T00:00:00"/>
    <n v="24533"/>
    <n v="44342"/>
    <n v="26414"/>
    <n v="10402"/>
    <n v="114"/>
    <x v="0"/>
  </r>
  <r>
    <d v="2019-01-03T00:00:00"/>
    <n v="24163"/>
    <n v="44051"/>
    <n v="26006"/>
    <n v="10426"/>
    <n v="111"/>
    <x v="0"/>
  </r>
  <r>
    <d v="2019-01-04T00:00:00"/>
    <n v="25232"/>
    <n v="46178"/>
    <n v="27086"/>
    <n v="11060"/>
    <n v="116"/>
    <x v="0"/>
  </r>
  <r>
    <d v="2019-01-05T00:00:00"/>
    <n v="20213"/>
    <n v="37101"/>
    <n v="21798"/>
    <n v="9472"/>
    <n v="110"/>
    <x v="0"/>
  </r>
  <r>
    <d v="2019-01-06T00:00:00"/>
    <n v="31493"/>
    <n v="63585"/>
    <n v="33980"/>
    <n v="13453"/>
    <n v="115"/>
    <x v="0"/>
  </r>
  <r>
    <d v="2019-01-07T00:00:00"/>
    <n v="29682"/>
    <n v="55397"/>
    <n v="31450"/>
    <n v="13857"/>
    <n v="105"/>
    <x v="0"/>
  </r>
  <r>
    <d v="2019-01-08T00:00:00"/>
    <n v="26337"/>
    <n v="46816"/>
    <n v="27975"/>
    <n v="11895"/>
    <n v="111"/>
    <x v="0"/>
  </r>
  <r>
    <d v="2019-01-09T00:00:00"/>
    <n v="31050"/>
    <n v="55619"/>
    <n v="33313"/>
    <n v="12763"/>
    <n v="111"/>
    <x v="0"/>
  </r>
  <r>
    <d v="2019-01-10T00:00:00"/>
    <n v="34999"/>
    <n v="56375"/>
    <n v="37426"/>
    <n v="13665"/>
    <n v="95"/>
    <x v="0"/>
  </r>
  <r>
    <d v="2019-01-11T00:00:00"/>
    <n v="31253"/>
    <n v="50135"/>
    <n v="33438"/>
    <n v="12814"/>
    <n v="96"/>
    <x v="0"/>
  </r>
  <r>
    <d v="2019-01-12T00:00:00"/>
    <n v="26998"/>
    <n v="43730"/>
    <n v="28595"/>
    <n v="11218"/>
    <n v="100"/>
    <x v="0"/>
  </r>
  <r>
    <d v="2019-01-13T00:00:00"/>
    <n v="34839"/>
    <n v="55601"/>
    <n v="37569"/>
    <n v="14006"/>
    <n v="111"/>
    <x v="0"/>
  </r>
  <r>
    <d v="2019-01-14T00:00:00"/>
    <n v="26990"/>
    <n v="44739"/>
    <n v="29045"/>
    <n v="11822"/>
    <n v="107"/>
    <x v="0"/>
  </r>
  <r>
    <d v="2019-01-15T00:00:00"/>
    <n v="29177"/>
    <n v="50994"/>
    <n v="31692"/>
    <n v="13010"/>
    <n v="121"/>
    <x v="0"/>
  </r>
  <r>
    <d v="2019-01-16T00:00:00"/>
    <n v="31616"/>
    <n v="53170"/>
    <n v="34107"/>
    <n v="13817"/>
    <n v="116"/>
    <x v="0"/>
  </r>
  <r>
    <d v="2019-01-17T00:00:00"/>
    <n v="58691"/>
    <n v="88536"/>
    <n v="62756"/>
    <n v="20785"/>
    <n v="83"/>
    <x v="0"/>
  </r>
  <r>
    <d v="2019-01-18T00:00:00"/>
    <n v="34227"/>
    <n v="54681"/>
    <n v="36723"/>
    <n v="14943"/>
    <n v="94"/>
    <x v="0"/>
  </r>
  <r>
    <d v="2019-01-19T00:00:00"/>
    <n v="26904"/>
    <n v="44504"/>
    <n v="28843"/>
    <n v="12299"/>
    <n v="102"/>
    <x v="0"/>
  </r>
  <r>
    <d v="2019-01-20T00:00:00"/>
    <n v="29118"/>
    <n v="48212"/>
    <n v="30951"/>
    <n v="13288"/>
    <n v="102"/>
    <x v="0"/>
  </r>
  <r>
    <d v="2019-01-21T00:00:00"/>
    <n v="29985"/>
    <n v="49574"/>
    <n v="32036"/>
    <n v="14055"/>
    <n v="106"/>
    <x v="0"/>
  </r>
  <r>
    <d v="2019-01-22T00:00:00"/>
    <n v="37440"/>
    <n v="63960"/>
    <n v="39698"/>
    <n v="16221"/>
    <n v="115"/>
    <x v="0"/>
  </r>
  <r>
    <d v="2019-01-23T00:00:00"/>
    <n v="31014"/>
    <n v="53285"/>
    <n v="32866"/>
    <n v="13962"/>
    <n v="113"/>
    <x v="0"/>
  </r>
  <r>
    <d v="2019-01-24T00:00:00"/>
    <n v="36353"/>
    <n v="59189"/>
    <n v="38524"/>
    <n v="15587"/>
    <n v="102"/>
    <x v="0"/>
  </r>
  <r>
    <d v="2019-01-25T00:00:00"/>
    <n v="31596"/>
    <n v="51309"/>
    <n v="33667"/>
    <n v="13727"/>
    <n v="96"/>
    <x v="0"/>
  </r>
  <r>
    <d v="2019-01-26T00:00:00"/>
    <n v="26408"/>
    <n v="44203"/>
    <n v="28040"/>
    <n v="12041"/>
    <n v="100"/>
    <x v="0"/>
  </r>
  <r>
    <d v="2019-01-27T00:00:00"/>
    <n v="28425"/>
    <n v="48697"/>
    <n v="30381"/>
    <n v="13547"/>
    <n v="105"/>
    <x v="0"/>
  </r>
  <r>
    <d v="2019-01-28T00:00:00"/>
    <n v="38114"/>
    <n v="75119"/>
    <n v="41251"/>
    <n v="17392"/>
    <n v="111"/>
    <x v="0"/>
  </r>
  <r>
    <d v="2019-01-29T00:00:00"/>
    <n v="36275"/>
    <n v="63300"/>
    <n v="38824"/>
    <n v="16815"/>
    <n v="108"/>
    <x v="0"/>
  </r>
  <r>
    <d v="2019-01-30T00:00:00"/>
    <n v="31155"/>
    <n v="54759"/>
    <n v="33422"/>
    <n v="14496"/>
    <n v="109"/>
    <x v="0"/>
  </r>
  <r>
    <d v="2019-01-31T00:00:00"/>
    <n v="34887"/>
    <n v="60166"/>
    <n v="37220"/>
    <n v="14862"/>
    <n v="114"/>
    <x v="0"/>
  </r>
  <r>
    <d v="2019-02-01T00:00:00"/>
    <n v="37613"/>
    <n v="63519"/>
    <n v="40210"/>
    <n v="16487"/>
    <n v="110"/>
    <x v="0"/>
  </r>
  <r>
    <d v="2019-02-02T00:00:00"/>
    <n v="34877"/>
    <n v="61390"/>
    <n v="37097"/>
    <n v="15325"/>
    <n v="112"/>
    <x v="0"/>
  </r>
  <r>
    <d v="2019-02-03T00:00:00"/>
    <n v="74796"/>
    <n v="126660"/>
    <n v="80575"/>
    <n v="32287"/>
    <n v="111"/>
    <x v="0"/>
  </r>
  <r>
    <d v="2019-02-04T00:00:00"/>
    <n v="80591"/>
    <n v="148003"/>
    <n v="86157"/>
    <n v="33800"/>
    <n v="115"/>
    <x v="0"/>
  </r>
  <r>
    <d v="2019-02-05T00:00:00"/>
    <n v="98345"/>
    <n v="186102"/>
    <n v="106565"/>
    <n v="39057"/>
    <n v="119"/>
    <x v="0"/>
  </r>
  <r>
    <d v="2019-02-06T00:00:00"/>
    <n v="101785"/>
    <n v="186301"/>
    <n v="109714"/>
    <n v="37676"/>
    <n v="115"/>
    <x v="0"/>
  </r>
  <r>
    <d v="2019-02-07T00:00:00"/>
    <n v="135879"/>
    <n v="240734"/>
    <n v="145643"/>
    <n v="52024"/>
    <n v="105"/>
    <x v="0"/>
  </r>
  <r>
    <d v="2019-02-08T00:00:00"/>
    <n v="168197"/>
    <n v="301769"/>
    <n v="180904"/>
    <n v="68979"/>
    <n v="109"/>
    <x v="0"/>
  </r>
  <r>
    <d v="2019-02-09T00:00:00"/>
    <n v="259145"/>
    <n v="500178"/>
    <n v="288669"/>
    <n v="118470"/>
    <n v="115"/>
    <x v="0"/>
  </r>
  <r>
    <d v="2019-02-10T00:00:00"/>
    <n v="2990487"/>
    <n v="13494574"/>
    <n v="3915507"/>
    <n v="1017249"/>
    <n v="283"/>
    <x v="1"/>
  </r>
  <r>
    <d v="2019-02-11T00:00:00"/>
    <n v="1539061"/>
    <n v="3515775"/>
    <n v="1690040"/>
    <n v="591345"/>
    <n v="133"/>
    <x v="0"/>
  </r>
  <r>
    <d v="2019-02-12T00:00:00"/>
    <n v="457474"/>
    <n v="1042436"/>
    <n v="492235"/>
    <n v="194187"/>
    <n v="132"/>
    <x v="0"/>
  </r>
  <r>
    <d v="2019-02-13T00:00:00"/>
    <n v="581827"/>
    <n v="1137085"/>
    <n v="606438"/>
    <n v="199640"/>
    <n v="105"/>
    <x v="0"/>
  </r>
  <r>
    <d v="2019-02-14T00:00:00"/>
    <n v="262693"/>
    <n v="509914"/>
    <n v="279235"/>
    <n v="110270"/>
    <n v="99"/>
    <x v="0"/>
  </r>
  <r>
    <d v="2019-02-15T00:00:00"/>
    <n v="160188"/>
    <n v="319546"/>
    <n v="172766"/>
    <n v="76035"/>
    <n v="104"/>
    <x v="0"/>
  </r>
  <r>
    <d v="2019-02-16T00:00:00"/>
    <n v="127694"/>
    <n v="256767"/>
    <n v="138135"/>
    <n v="62810"/>
    <n v="103"/>
    <x v="0"/>
  </r>
  <r>
    <d v="2019-02-17T00:00:00"/>
    <n v="108026"/>
    <n v="212415"/>
    <n v="114833"/>
    <n v="50791"/>
    <n v="102"/>
    <x v="0"/>
  </r>
  <r>
    <d v="2019-02-18T00:00:00"/>
    <n v="77774"/>
    <n v="151607"/>
    <n v="83121"/>
    <n v="36931"/>
    <n v="105"/>
    <x v="0"/>
  </r>
  <r>
    <d v="2019-02-19T00:00:00"/>
    <n v="65533"/>
    <n v="124452"/>
    <n v="69865"/>
    <n v="31971"/>
    <n v="108"/>
    <x v="0"/>
  </r>
  <r>
    <d v="2019-02-20T00:00:00"/>
    <n v="86186"/>
    <n v="153757"/>
    <n v="89759"/>
    <n v="39171"/>
    <n v="103"/>
    <x v="0"/>
  </r>
  <r>
    <d v="2019-02-21T00:00:00"/>
    <n v="69340"/>
    <n v="121003"/>
    <n v="70986"/>
    <n v="31802"/>
    <n v="101"/>
    <x v="0"/>
  </r>
  <r>
    <d v="2019-02-22T00:00:00"/>
    <n v="59623"/>
    <n v="102010"/>
    <n v="61742"/>
    <n v="27754"/>
    <n v="102"/>
    <x v="0"/>
  </r>
  <r>
    <d v="2019-02-23T00:00:00"/>
    <n v="84807"/>
    <n v="136496"/>
    <n v="91101"/>
    <n v="35767"/>
    <n v="117"/>
    <x v="0"/>
  </r>
  <r>
    <d v="2019-02-24T00:00:00"/>
    <n v="113431"/>
    <n v="185158"/>
    <n v="118584"/>
    <n v="48063"/>
    <n v="88"/>
    <x v="0"/>
  </r>
  <r>
    <d v="2019-02-25T00:00:00"/>
    <n v="102842"/>
    <n v="159223"/>
    <n v="109512"/>
    <n v="47912"/>
    <n v="86"/>
    <x v="0"/>
  </r>
  <r>
    <d v="2019-02-26T00:00:00"/>
    <n v="57188"/>
    <n v="88008"/>
    <n v="59718"/>
    <n v="28044"/>
    <n v="91"/>
    <x v="0"/>
  </r>
  <r>
    <d v="2019-02-27T00:00:00"/>
    <n v="202980"/>
    <n v="352906"/>
    <n v="215909"/>
    <n v="81722"/>
    <n v="106"/>
    <x v="0"/>
  </r>
  <r>
    <d v="2019-02-28T00:00:00"/>
    <n v="63723"/>
    <n v="96865"/>
    <n v="67385"/>
    <n v="32709"/>
    <n v="83"/>
    <x v="0"/>
  </r>
  <r>
    <d v="2019-03-01T00:00:00"/>
    <n v="50175"/>
    <n v="74412"/>
    <n v="52749"/>
    <n v="26544"/>
    <n v="80"/>
    <x v="0"/>
  </r>
  <r>
    <d v="2019-03-02T00:00:00"/>
    <n v="39966"/>
    <n v="59770"/>
    <n v="42359"/>
    <n v="20951"/>
    <n v="80"/>
    <x v="0"/>
  </r>
  <r>
    <d v="2019-03-03T00:00:00"/>
    <n v="33334"/>
    <n v="49948"/>
    <n v="34898"/>
    <n v="17289"/>
    <n v="84"/>
    <x v="0"/>
  </r>
  <r>
    <d v="2019-03-04T00:00:00"/>
    <n v="27474"/>
    <n v="41430"/>
    <n v="28873"/>
    <n v="15020"/>
    <n v="85"/>
    <x v="0"/>
  </r>
  <r>
    <d v="2019-03-05T00:00:00"/>
    <n v="23031"/>
    <n v="35805"/>
    <n v="24472"/>
    <n v="12856"/>
    <n v="82"/>
    <x v="0"/>
  </r>
  <r>
    <d v="2019-03-06T00:00:00"/>
    <n v="23428"/>
    <n v="34070"/>
    <n v="23988"/>
    <n v="12642"/>
    <n v="76"/>
    <x v="0"/>
  </r>
  <r>
    <d v="2019-03-07T00:00:00"/>
    <n v="28237"/>
    <n v="40576"/>
    <n v="29692"/>
    <n v="13923"/>
    <n v="103"/>
    <x v="0"/>
  </r>
  <r>
    <d v="2019-03-08T00:00:00"/>
    <n v="26165"/>
    <n v="36537"/>
    <n v="27326"/>
    <n v="13459"/>
    <n v="86"/>
    <x v="0"/>
  </r>
  <r>
    <d v="2019-03-09T00:00:00"/>
    <n v="24003"/>
    <n v="34300"/>
    <n v="25061"/>
    <n v="12135"/>
    <n v="77"/>
    <x v="0"/>
  </r>
  <r>
    <d v="2019-03-10T00:00:00"/>
    <n v="38020"/>
    <n v="54122"/>
    <n v="39990"/>
    <n v="18804"/>
    <n v="73"/>
    <x v="0"/>
  </r>
  <r>
    <d v="2019-03-11T00:00:00"/>
    <n v="26326"/>
    <n v="39271"/>
    <n v="27647"/>
    <n v="13478"/>
    <n v="82"/>
    <x v="0"/>
  </r>
  <r>
    <d v="2019-03-12T00:00:00"/>
    <n v="21661"/>
    <n v="32256"/>
    <n v="22777"/>
    <n v="11605"/>
    <n v="79"/>
    <x v="0"/>
  </r>
  <r>
    <d v="2019-03-13T00:00:00"/>
    <n v="23679"/>
    <n v="33671"/>
    <n v="25071"/>
    <n v="11821"/>
    <n v="77"/>
    <x v="0"/>
  </r>
  <r>
    <d v="2019-03-14T00:00:00"/>
    <n v="28496"/>
    <n v="38551"/>
    <n v="29317"/>
    <n v="14914"/>
    <n v="70"/>
    <x v="0"/>
  </r>
  <r>
    <d v="2019-03-15T00:00:00"/>
    <n v="21397"/>
    <n v="30525"/>
    <n v="22659"/>
    <n v="11964"/>
    <n v="72"/>
    <x v="0"/>
  </r>
  <r>
    <d v="2019-03-16T00:00:00"/>
    <n v="20086"/>
    <n v="28442"/>
    <n v="21193"/>
    <n v="11165"/>
    <n v="64"/>
    <x v="0"/>
  </r>
  <r>
    <d v="2019-03-17T00:00:00"/>
    <n v="17242"/>
    <n v="25169"/>
    <n v="18164"/>
    <n v="9491"/>
    <n v="74"/>
    <x v="0"/>
  </r>
  <r>
    <d v="2019-03-18T00:00:00"/>
    <n v="19456"/>
    <n v="28043"/>
    <n v="20388"/>
    <n v="10841"/>
    <n v="76"/>
    <x v="0"/>
  </r>
  <r>
    <d v="2019-03-19T00:00:00"/>
    <n v="20798"/>
    <n v="29004"/>
    <n v="21840"/>
    <n v="11204"/>
    <n v="71"/>
    <x v="0"/>
  </r>
  <r>
    <d v="2019-03-20T00:00:00"/>
    <n v="20993"/>
    <n v="29559"/>
    <n v="21934"/>
    <n v="11303"/>
    <n v="72"/>
    <x v="0"/>
  </r>
  <r>
    <d v="2019-03-21T00:00:00"/>
    <n v="17566"/>
    <n v="24935"/>
    <n v="18394"/>
    <n v="9597"/>
    <n v="75"/>
    <x v="0"/>
  </r>
  <r>
    <d v="2019-03-22T00:00:00"/>
    <n v="16062"/>
    <n v="22612"/>
    <n v="16925"/>
    <n v="9000"/>
    <n v="69"/>
    <x v="0"/>
  </r>
  <r>
    <d v="2019-03-23T00:00:00"/>
    <n v="15258"/>
    <n v="21927"/>
    <n v="16143"/>
    <n v="8319"/>
    <n v="69"/>
    <x v="0"/>
  </r>
  <r>
    <d v="2019-03-24T00:00:00"/>
    <n v="15189"/>
    <n v="21879"/>
    <n v="16044"/>
    <n v="8377"/>
    <n v="74"/>
    <x v="0"/>
  </r>
  <r>
    <d v="2019-03-25T00:00:00"/>
    <n v="16231"/>
    <n v="23485"/>
    <n v="17043"/>
    <n v="9059"/>
    <n v="76"/>
    <x v="0"/>
  </r>
  <r>
    <d v="2019-03-26T00:00:00"/>
    <n v="19386"/>
    <n v="26646"/>
    <n v="20230"/>
    <n v="9802"/>
    <n v="92"/>
    <x v="0"/>
  </r>
  <r>
    <d v="2019-03-27T00:00:00"/>
    <n v="17243"/>
    <n v="24409"/>
    <n v="18032"/>
    <n v="9381"/>
    <n v="76"/>
    <x v="0"/>
  </r>
  <r>
    <d v="2019-03-28T00:00:00"/>
    <n v="18838"/>
    <n v="26341"/>
    <n v="19868"/>
    <n v="9575"/>
    <n v="68"/>
    <x v="0"/>
  </r>
  <r>
    <d v="2019-03-29T00:00:00"/>
    <n v="16320"/>
    <n v="23334"/>
    <n v="17171"/>
    <n v="9154"/>
    <n v="68"/>
    <x v="0"/>
  </r>
  <r>
    <d v="2019-03-30T00:00:00"/>
    <n v="14453"/>
    <n v="20525"/>
    <n v="15117"/>
    <n v="7896"/>
    <n v="70"/>
    <x v="0"/>
  </r>
  <r>
    <d v="2019-03-31T00:00:00"/>
    <n v="16833"/>
    <n v="23637"/>
    <n v="17673"/>
    <n v="9569"/>
    <n v="66"/>
    <x v="0"/>
  </r>
  <r>
    <d v="2019-04-01T00:00:00"/>
    <n v="21656"/>
    <n v="30396"/>
    <n v="22570"/>
    <n v="13310"/>
    <n v="64"/>
    <x v="0"/>
  </r>
  <r>
    <d v="2019-04-02T00:00:00"/>
    <n v="17788"/>
    <n v="25540"/>
    <n v="18376"/>
    <n v="10001"/>
    <n v="74"/>
    <x v="0"/>
  </r>
  <r>
    <d v="2019-04-03T00:00:00"/>
    <n v="16558"/>
    <n v="23438"/>
    <n v="17386"/>
    <n v="9474"/>
    <n v="69"/>
    <x v="0"/>
  </r>
  <r>
    <d v="2019-04-04T00:00:00"/>
    <n v="18398"/>
    <n v="25352"/>
    <n v="19152"/>
    <n v="10264"/>
    <n v="64"/>
    <x v="0"/>
  </r>
  <r>
    <d v="2019-04-05T00:00:00"/>
    <n v="16889"/>
    <n v="24098"/>
    <n v="17691"/>
    <n v="9366"/>
    <n v="70"/>
    <x v="0"/>
  </r>
  <r>
    <d v="2019-04-06T00:00:00"/>
    <n v="13128"/>
    <n v="19143"/>
    <n v="13924"/>
    <n v="7132"/>
    <n v="73"/>
    <x v="0"/>
  </r>
  <r>
    <d v="2019-04-07T00:00:00"/>
    <n v="15262"/>
    <n v="21817"/>
    <n v="16033"/>
    <n v="8269"/>
    <n v="75"/>
    <x v="0"/>
  </r>
  <r>
    <d v="2019-04-08T00:00:00"/>
    <n v="16089"/>
    <n v="23262"/>
    <n v="16909"/>
    <n v="9267"/>
    <n v="80"/>
    <x v="0"/>
  </r>
  <r>
    <d v="2019-04-09T00:00:00"/>
    <n v="15928"/>
    <n v="23381"/>
    <n v="16717"/>
    <n v="8824"/>
    <n v="77"/>
    <x v="0"/>
  </r>
  <r>
    <d v="2019-04-10T00:00:00"/>
    <n v="14650"/>
    <n v="21123"/>
    <n v="15293"/>
    <n v="8228"/>
    <n v="82"/>
    <x v="0"/>
  </r>
  <r>
    <d v="2019-04-11T00:00:00"/>
    <n v="15700"/>
    <n v="23201"/>
    <n v="16598"/>
    <n v="8993"/>
    <n v="77"/>
    <x v="0"/>
  </r>
  <r>
    <d v="2019-04-12T00:00:00"/>
    <n v="24210"/>
    <n v="31699"/>
    <n v="25367"/>
    <n v="11286"/>
    <n v="72"/>
    <x v="0"/>
  </r>
  <r>
    <d v="2019-04-13T00:00:00"/>
    <n v="24621"/>
    <n v="31514"/>
    <n v="25851"/>
    <n v="11517"/>
    <n v="59"/>
    <x v="0"/>
  </r>
  <r>
    <d v="2019-04-14T00:00:00"/>
    <n v="18479"/>
    <n v="25283"/>
    <n v="19590"/>
    <n v="9684"/>
    <n v="70"/>
    <x v="0"/>
  </r>
  <r>
    <d v="2019-04-15T00:00:00"/>
    <n v="14331"/>
    <n v="20204"/>
    <n v="15097"/>
    <n v="8106"/>
    <n v="74"/>
    <x v="0"/>
  </r>
  <r>
    <d v="2019-04-16T00:00:00"/>
    <n v="15013"/>
    <n v="21654"/>
    <n v="15921"/>
    <n v="8217"/>
    <n v="75"/>
    <x v="0"/>
  </r>
  <r>
    <d v="2019-04-17T00:00:00"/>
    <n v="15252"/>
    <n v="21371"/>
    <n v="16222"/>
    <n v="8360"/>
    <n v="72"/>
    <x v="0"/>
  </r>
  <r>
    <d v="2019-04-18T00:00:00"/>
    <n v="15096"/>
    <n v="20669"/>
    <n v="15756"/>
    <n v="8175"/>
    <n v="72"/>
    <x v="0"/>
  </r>
  <r>
    <d v="2019-04-19T00:00:00"/>
    <n v="13852"/>
    <n v="18967"/>
    <n v="14408"/>
    <n v="7380"/>
    <n v="73"/>
    <x v="0"/>
  </r>
  <r>
    <d v="2019-04-20T00:00:00"/>
    <n v="13312"/>
    <n v="18226"/>
    <n v="13862"/>
    <n v="6961"/>
    <n v="70"/>
    <x v="0"/>
  </r>
  <r>
    <d v="2019-04-21T00:00:00"/>
    <n v="28803"/>
    <n v="40847"/>
    <n v="30229"/>
    <n v="11451"/>
    <n v="74"/>
    <x v="0"/>
  </r>
  <r>
    <d v="2019-04-22T00:00:00"/>
    <n v="20577"/>
    <n v="28934"/>
    <n v="21593"/>
    <n v="10084"/>
    <n v="85"/>
    <x v="0"/>
  </r>
  <r>
    <d v="2019-04-23T00:00:00"/>
    <n v="17208"/>
    <n v="24969"/>
    <n v="18235"/>
    <n v="8961"/>
    <n v="100"/>
    <x v="0"/>
  </r>
  <r>
    <d v="2019-04-24T00:00:00"/>
    <n v="13534"/>
    <n v="19797"/>
    <n v="14350"/>
    <n v="7540"/>
    <n v="90"/>
    <x v="0"/>
  </r>
  <r>
    <d v="2019-04-25T00:00:00"/>
    <n v="12814"/>
    <n v="18761"/>
    <n v="13471"/>
    <n v="7453"/>
    <n v="83"/>
    <x v="0"/>
  </r>
  <r>
    <d v="2019-04-26T00:00:00"/>
    <n v="12365"/>
    <n v="17882"/>
    <n v="12967"/>
    <n v="7167"/>
    <n v="83"/>
    <x v="0"/>
  </r>
  <r>
    <d v="2019-04-27T00:00:00"/>
    <n v="10679"/>
    <n v="15677"/>
    <n v="11335"/>
    <n v="6221"/>
    <n v="80"/>
    <x v="0"/>
  </r>
  <r>
    <d v="2019-04-28T00:00:00"/>
    <n v="10767"/>
    <n v="15946"/>
    <n v="11292"/>
    <n v="6060"/>
    <n v="84"/>
    <x v="0"/>
  </r>
  <r>
    <d v="2019-04-29T00:00:00"/>
    <n v="12443"/>
    <n v="18374"/>
    <n v="13305"/>
    <n v="7111"/>
    <n v="79"/>
    <x v="0"/>
  </r>
  <r>
    <d v="2019-04-30T00:00:00"/>
    <n v="12067"/>
    <n v="17350"/>
    <n v="12641"/>
    <n v="6988"/>
    <n v="77"/>
    <x v="0"/>
  </r>
  <r>
    <d v="2019-05-01T00:00:00"/>
    <n v="14844"/>
    <n v="21638"/>
    <n v="15593"/>
    <n v="8499"/>
    <n v="75"/>
    <x v="0"/>
  </r>
  <r>
    <d v="2019-05-02T00:00:00"/>
    <n v="15210"/>
    <n v="22163"/>
    <n v="16028"/>
    <n v="8672"/>
    <n v="73"/>
    <x v="0"/>
  </r>
  <r>
    <d v="2019-05-03T00:00:00"/>
    <n v="14414"/>
    <n v="20158"/>
    <n v="15074"/>
    <n v="8418"/>
    <n v="64"/>
    <x v="0"/>
  </r>
  <r>
    <d v="2019-05-04T00:00:00"/>
    <n v="20138"/>
    <n v="28287"/>
    <n v="21140"/>
    <n v="13744"/>
    <n v="54"/>
    <x v="0"/>
  </r>
  <r>
    <d v="2019-05-05T00:00:00"/>
    <n v="14305"/>
    <n v="20290"/>
    <n v="15040"/>
    <n v="7537"/>
    <n v="67"/>
    <x v="0"/>
  </r>
  <r>
    <d v="2019-05-06T00:00:00"/>
    <n v="14208"/>
    <n v="20349"/>
    <n v="14838"/>
    <n v="7882"/>
    <n v="75"/>
    <x v="0"/>
  </r>
  <r>
    <d v="2019-05-07T00:00:00"/>
    <n v="12787"/>
    <n v="18378"/>
    <n v="13436"/>
    <n v="7307"/>
    <n v="75"/>
    <x v="0"/>
  </r>
  <r>
    <d v="2019-05-08T00:00:00"/>
    <n v="11946"/>
    <n v="17483"/>
    <n v="12736"/>
    <n v="6925"/>
    <n v="77"/>
    <x v="0"/>
  </r>
  <r>
    <d v="2019-05-09T00:00:00"/>
    <n v="12415"/>
    <n v="18017"/>
    <n v="12926"/>
    <n v="6622"/>
    <n v="79"/>
    <x v="0"/>
  </r>
  <r>
    <d v="2019-05-10T00:00:00"/>
    <n v="11853"/>
    <n v="16821"/>
    <n v="12402"/>
    <n v="6412"/>
    <n v="79"/>
    <x v="0"/>
  </r>
  <r>
    <d v="2019-05-11T00:00:00"/>
    <n v="10256"/>
    <n v="14932"/>
    <n v="10865"/>
    <n v="5946"/>
    <n v="73"/>
    <x v="0"/>
  </r>
  <r>
    <d v="2019-05-12T00:00:00"/>
    <n v="9656"/>
    <n v="14281"/>
    <n v="10297"/>
    <n v="5692"/>
    <n v="77"/>
    <x v="0"/>
  </r>
  <r>
    <d v="2019-05-13T00:00:00"/>
    <n v="10554"/>
    <n v="15211"/>
    <n v="10980"/>
    <n v="6056"/>
    <n v="80"/>
    <x v="0"/>
  </r>
  <r>
    <d v="2019-05-14T00:00:00"/>
    <n v="11229"/>
    <n v="16285"/>
    <n v="11863"/>
    <n v="6574"/>
    <n v="80"/>
    <x v="0"/>
  </r>
  <r>
    <d v="2019-05-15T00:00:00"/>
    <n v="12654"/>
    <n v="17915"/>
    <n v="13232"/>
    <n v="7503"/>
    <n v="72"/>
    <x v="0"/>
  </r>
  <r>
    <d v="2019-05-16T00:00:00"/>
    <n v="11777"/>
    <n v="16651"/>
    <n v="12321"/>
    <n v="6830"/>
    <n v="73"/>
    <x v="0"/>
  </r>
  <r>
    <d v="2019-05-17T00:00:00"/>
    <n v="14610"/>
    <n v="19451"/>
    <n v="15306"/>
    <n v="7650"/>
    <n v="74"/>
    <x v="0"/>
  </r>
  <r>
    <d v="2019-05-18T00:00:00"/>
    <n v="12154"/>
    <n v="16288"/>
    <n v="12765"/>
    <n v="6306"/>
    <n v="75"/>
    <x v="0"/>
  </r>
  <r>
    <d v="2019-05-19T00:00:00"/>
    <n v="10019"/>
    <n v="14221"/>
    <n v="10436"/>
    <n v="5498"/>
    <n v="76"/>
    <x v="0"/>
  </r>
  <r>
    <d v="2019-05-20T00:00:00"/>
    <n v="11498"/>
    <n v="15855"/>
    <n v="11640"/>
    <n v="6271"/>
    <n v="76"/>
    <x v="0"/>
  </r>
  <r>
    <d v="2019-05-21T00:00:00"/>
    <n v="14228"/>
    <n v="15865"/>
    <n v="11914"/>
    <n v="6305"/>
    <n v="78"/>
    <x v="0"/>
  </r>
  <r>
    <d v="2019-05-22T00:00:00"/>
    <n v="12342"/>
    <n v="15532"/>
    <n v="11637"/>
    <n v="6589"/>
    <n v="76"/>
    <x v="0"/>
  </r>
  <r>
    <d v="2019-05-23T00:00:00"/>
    <n v="11233"/>
    <n v="15575"/>
    <n v="11582"/>
    <n v="6587"/>
    <n v="68"/>
    <x v="0"/>
  </r>
  <r>
    <d v="2019-05-24T00:00:00"/>
    <n v="10679"/>
    <n v="14604"/>
    <n v="11051"/>
    <n v="6255"/>
    <n v="70"/>
    <x v="0"/>
  </r>
  <r>
    <d v="2019-05-25T00:00:00"/>
    <n v="9352"/>
    <n v="12768"/>
    <n v="9638"/>
    <n v="5343"/>
    <n v="66"/>
    <x v="0"/>
  </r>
  <r>
    <d v="2019-05-26T00:00:00"/>
    <n v="9113"/>
    <n v="12922"/>
    <n v="9487"/>
    <n v="5126"/>
    <n v="78"/>
    <x v="0"/>
  </r>
  <r>
    <d v="2019-05-27T00:00:00"/>
    <n v="10675"/>
    <n v="16479"/>
    <n v="11319"/>
    <n v="5892"/>
    <n v="79"/>
    <x v="0"/>
  </r>
  <r>
    <d v="2019-05-28T00:00:00"/>
    <n v="11156"/>
    <n v="16027"/>
    <n v="11631"/>
    <n v="6412"/>
    <n v="85"/>
    <x v="0"/>
  </r>
  <r>
    <d v="2019-05-29T00:00:00"/>
    <n v="11724"/>
    <n v="16378"/>
    <n v="12371"/>
    <n v="6250"/>
    <n v="77"/>
    <x v="0"/>
  </r>
  <r>
    <d v="2019-05-30T00:00:00"/>
    <n v="10534"/>
    <n v="15021"/>
    <n v="10974"/>
    <n v="6215"/>
    <n v="76"/>
    <x v="0"/>
  </r>
  <r>
    <d v="2019-05-31T00:00:00"/>
    <n v="11459"/>
    <n v="15778"/>
    <n v="11969"/>
    <n v="7073"/>
    <n v="65"/>
    <x v="0"/>
  </r>
  <r>
    <d v="2019-06-01T00:00:00"/>
    <n v="10969"/>
    <n v="15236"/>
    <n v="11465"/>
    <n v="6242"/>
    <n v="69"/>
    <x v="0"/>
  </r>
  <r>
    <d v="2019-06-02T00:00:00"/>
    <n v="10684"/>
    <n v="14872"/>
    <n v="11120"/>
    <n v="5924"/>
    <n v="76"/>
    <x v="0"/>
  </r>
  <r>
    <d v="2019-06-03T00:00:00"/>
    <n v="11660"/>
    <n v="16527"/>
    <n v="12255"/>
    <n v="6807"/>
    <n v="77"/>
    <x v="0"/>
  </r>
  <r>
    <d v="2019-06-04T00:00:00"/>
    <n v="11449"/>
    <n v="16748"/>
    <n v="12103"/>
    <n v="6819"/>
    <n v="78"/>
    <x v="0"/>
  </r>
  <r>
    <d v="2019-06-05T00:00:00"/>
    <n v="11164"/>
    <n v="16837"/>
    <n v="12042"/>
    <n v="6803"/>
    <n v="78"/>
    <x v="0"/>
  </r>
  <r>
    <d v="2019-06-06T00:00:00"/>
    <n v="40281"/>
    <n v="56659"/>
    <n v="46050"/>
    <n v="13940"/>
    <n v="73"/>
    <x v="0"/>
  </r>
  <r>
    <d v="2019-06-07T00:00:00"/>
    <n v="18913"/>
    <n v="26064"/>
    <n v="20341"/>
    <n v="8981"/>
    <n v="67"/>
    <x v="0"/>
  </r>
  <r>
    <d v="2019-06-08T00:00:00"/>
    <n v="12351"/>
    <n v="17243"/>
    <n v="13046"/>
    <n v="6745"/>
    <n v="68"/>
    <x v="0"/>
  </r>
  <r>
    <d v="2019-06-09T00:00:00"/>
    <n v="13720"/>
    <n v="19221"/>
    <n v="14506"/>
    <n v="7307"/>
    <n v="75"/>
    <x v="0"/>
  </r>
  <r>
    <d v="2019-06-10T00:00:00"/>
    <n v="14512"/>
    <n v="21045"/>
    <n v="15303"/>
    <n v="7813"/>
    <n v="75"/>
    <x v="0"/>
  </r>
  <r>
    <d v="2019-06-11T00:00:00"/>
    <n v="14209"/>
    <n v="20085"/>
    <n v="14991"/>
    <n v="7159"/>
    <n v="83"/>
    <x v="0"/>
  </r>
  <r>
    <d v="2019-06-12T00:00:00"/>
    <n v="21372"/>
    <n v="28002"/>
    <n v="22469"/>
    <n v="8975"/>
    <n v="92"/>
    <x v="0"/>
  </r>
  <r>
    <d v="2019-06-13T00:00:00"/>
    <n v="19877"/>
    <n v="27064"/>
    <n v="21102"/>
    <n v="12664"/>
    <n v="66"/>
    <x v="0"/>
  </r>
  <r>
    <d v="2019-06-14T00:00:00"/>
    <n v="14693"/>
    <n v="20061"/>
    <n v="15590"/>
    <n v="9417"/>
    <n v="60"/>
    <x v="0"/>
  </r>
  <r>
    <d v="2019-06-15T00:00:00"/>
    <n v="11110"/>
    <n v="15609"/>
    <n v="11895"/>
    <n v="6897"/>
    <n v="60"/>
    <x v="0"/>
  </r>
  <r>
    <d v="2019-06-16T00:00:00"/>
    <n v="10239"/>
    <n v="14384"/>
    <n v="10646"/>
    <n v="5951"/>
    <n v="77"/>
    <x v="0"/>
  </r>
  <r>
    <d v="2019-06-17T00:00:00"/>
    <n v="11403"/>
    <n v="16328"/>
    <n v="11956"/>
    <n v="6839"/>
    <n v="71"/>
    <x v="0"/>
  </r>
  <r>
    <d v="2019-06-18T00:00:00"/>
    <n v="11317"/>
    <n v="16183"/>
    <n v="11856"/>
    <n v="6490"/>
    <n v="73"/>
    <x v="0"/>
  </r>
  <r>
    <d v="2019-06-19T00:00:00"/>
    <n v="11584"/>
    <n v="16593"/>
    <n v="12058"/>
    <n v="6772"/>
    <n v="75"/>
    <x v="0"/>
  </r>
  <r>
    <d v="2019-06-20T00:00:00"/>
    <n v="15610"/>
    <n v="21956"/>
    <n v="16638"/>
    <n v="9278"/>
    <n v="68"/>
    <x v="0"/>
  </r>
  <r>
    <d v="2019-06-21T00:00:00"/>
    <n v="14676"/>
    <n v="20373"/>
    <n v="15467"/>
    <n v="7635"/>
    <n v="72"/>
    <x v="0"/>
  </r>
  <r>
    <d v="2019-06-22T00:00:00"/>
    <n v="14357"/>
    <n v="19722"/>
    <n v="14972"/>
    <n v="7527"/>
    <n v="67"/>
    <x v="0"/>
  </r>
  <r>
    <d v="2019-06-23T00:00:00"/>
    <n v="12298"/>
    <n v="17456"/>
    <n v="13042"/>
    <n v="6842"/>
    <n v="73"/>
    <x v="0"/>
  </r>
  <r>
    <d v="2019-06-24T00:00:00"/>
    <n v="12318"/>
    <n v="18682"/>
    <n v="13097"/>
    <n v="6786"/>
    <n v="84"/>
    <x v="0"/>
  </r>
  <r>
    <d v="2019-06-25T00:00:00"/>
    <n v="18073"/>
    <n v="25187"/>
    <n v="19304"/>
    <n v="9631"/>
    <n v="69"/>
    <x v="0"/>
  </r>
  <r>
    <d v="2019-06-26T00:00:00"/>
    <n v="14551"/>
    <n v="20882"/>
    <n v="15452"/>
    <n v="7535"/>
    <n v="75"/>
    <x v="0"/>
  </r>
  <r>
    <d v="2019-06-27T00:00:00"/>
    <n v="16932"/>
    <n v="22637"/>
    <n v="17748"/>
    <n v="6871"/>
    <n v="82"/>
    <x v="0"/>
  </r>
  <r>
    <d v="2019-06-28T00:00:00"/>
    <n v="13384"/>
    <n v="18785"/>
    <n v="14264"/>
    <n v="6244"/>
    <n v="91"/>
    <x v="0"/>
  </r>
  <r>
    <d v="2019-06-29T00:00:00"/>
    <n v="11742"/>
    <n v="16665"/>
    <n v="12474"/>
    <n v="7238"/>
    <n v="73"/>
    <x v="0"/>
  </r>
  <r>
    <d v="2019-06-30T00:00:00"/>
    <n v="10061"/>
    <n v="14381"/>
    <n v="10608"/>
    <n v="5778"/>
    <n v="77"/>
    <x v="0"/>
  </r>
  <r>
    <d v="2019-07-01T00:00:00"/>
    <n v="10324"/>
    <n v="15336"/>
    <n v="11026"/>
    <n v="5762"/>
    <n v="86"/>
    <x v="0"/>
  </r>
  <r>
    <d v="2019-07-02T00:00:00"/>
    <n v="10654"/>
    <n v="15798"/>
    <n v="11292"/>
    <n v="5942"/>
    <n v="86"/>
    <x v="0"/>
  </r>
  <r>
    <d v="2019-07-03T00:00:00"/>
    <n v="10118"/>
    <n v="14952"/>
    <n v="10768"/>
    <n v="5596"/>
    <n v="87"/>
    <x v="0"/>
  </r>
  <r>
    <d v="2019-07-04T00:00:00"/>
    <n v="9032"/>
    <n v="12833"/>
    <n v="9506"/>
    <n v="5037"/>
    <n v="76"/>
    <x v="0"/>
  </r>
  <r>
    <d v="2019-07-05T00:00:00"/>
    <n v="8669"/>
    <n v="12947"/>
    <n v="9276"/>
    <n v="5110"/>
    <n v="79"/>
    <x v="0"/>
  </r>
  <r>
    <d v="2019-07-06T00:00:00"/>
    <n v="9850"/>
    <n v="14240"/>
    <n v="10415"/>
    <n v="5994"/>
    <n v="71"/>
    <x v="0"/>
  </r>
  <r>
    <d v="2019-07-07T00:00:00"/>
    <n v="13922"/>
    <n v="20236"/>
    <n v="14559"/>
    <n v="7414"/>
    <n v="69"/>
    <x v="0"/>
  </r>
  <r>
    <d v="2019-07-08T00:00:00"/>
    <n v="10866"/>
    <n v="17110"/>
    <n v="11768"/>
    <n v="6182"/>
    <n v="82"/>
    <x v="0"/>
  </r>
  <r>
    <d v="2019-07-09T00:00:00"/>
    <n v="9491"/>
    <n v="14362"/>
    <n v="10054"/>
    <n v="5350"/>
    <n v="86"/>
    <x v="0"/>
  </r>
  <r>
    <d v="2019-07-10T00:00:00"/>
    <n v="11413"/>
    <n v="16263"/>
    <n v="11934"/>
    <n v="6645"/>
    <n v="81"/>
    <x v="0"/>
  </r>
  <r>
    <d v="2019-07-11T00:00:00"/>
    <n v="11903"/>
    <n v="16926"/>
    <n v="12695"/>
    <n v="6428"/>
    <n v="98"/>
    <x v="0"/>
  </r>
  <r>
    <d v="2019-07-12T00:00:00"/>
    <n v="10895"/>
    <n v="15753"/>
    <n v="11616"/>
    <n v="5898"/>
    <n v="80"/>
    <x v="0"/>
  </r>
  <r>
    <d v="2019-07-13T00:00:00"/>
    <n v="10120"/>
    <n v="14423"/>
    <n v="10666"/>
    <n v="5644"/>
    <n v="73"/>
    <x v="0"/>
  </r>
  <r>
    <d v="2019-07-14T00:00:00"/>
    <n v="9949"/>
    <n v="14394"/>
    <n v="10442"/>
    <n v="5364"/>
    <n v="75"/>
    <x v="0"/>
  </r>
  <r>
    <d v="2019-07-15T00:00:00"/>
    <n v="9841"/>
    <n v="14865"/>
    <n v="10474"/>
    <n v="5722"/>
    <n v="80"/>
    <x v="0"/>
  </r>
  <r>
    <d v="2019-07-16T00:00:00"/>
    <n v="4176"/>
    <n v="3958"/>
    <n v="4346"/>
    <n v="1376"/>
    <n v="76"/>
    <x v="0"/>
  </r>
  <r>
    <d v="2019-07-17T00:00:00"/>
    <n v="12091"/>
    <n v="17422"/>
    <n v="12775"/>
    <n v="6599"/>
    <n v="78"/>
    <x v="0"/>
  </r>
  <r>
    <d v="2019-07-18T00:00:00"/>
    <n v="11985"/>
    <n v="17731"/>
    <n v="12763"/>
    <n v="6887"/>
    <n v="73"/>
    <x v="0"/>
  </r>
  <r>
    <d v="2019-07-19T00:00:00"/>
    <n v="13587"/>
    <n v="19481"/>
    <n v="14181"/>
    <n v="6992"/>
    <n v="68"/>
    <x v="0"/>
  </r>
  <r>
    <d v="2019-07-20T00:00:00"/>
    <n v="20035"/>
    <n v="26922"/>
    <n v="20867"/>
    <n v="8817"/>
    <n v="62"/>
    <x v="0"/>
  </r>
  <r>
    <d v="2019-07-21T00:00:00"/>
    <n v="14439"/>
    <n v="20217"/>
    <n v="15214"/>
    <n v="7372"/>
    <n v="63"/>
    <x v="0"/>
  </r>
  <r>
    <d v="2019-07-22T00:00:00"/>
    <n v="12337"/>
    <n v="17790"/>
    <n v="13115"/>
    <n v="6840"/>
    <n v="77"/>
    <x v="0"/>
  </r>
  <r>
    <d v="2019-07-23T00:00:00"/>
    <n v="15058"/>
    <n v="20678"/>
    <n v="15940"/>
    <n v="8629"/>
    <n v="84"/>
    <x v="0"/>
  </r>
  <r>
    <d v="2019-07-24T00:00:00"/>
    <n v="12571"/>
    <n v="18420"/>
    <n v="13397"/>
    <n v="6632"/>
    <n v="94"/>
    <x v="0"/>
  </r>
  <r>
    <d v="2019-07-25T00:00:00"/>
    <n v="10667"/>
    <n v="15746"/>
    <n v="11308"/>
    <n v="6345"/>
    <n v="78"/>
    <x v="0"/>
  </r>
  <r>
    <d v="2019-07-26T00:00:00"/>
    <n v="10266"/>
    <n v="15396"/>
    <n v="10966"/>
    <n v="6336"/>
    <n v="73"/>
    <x v="0"/>
  </r>
  <r>
    <d v="2019-07-27T00:00:00"/>
    <n v="10433"/>
    <n v="15119"/>
    <n v="11132"/>
    <n v="6044"/>
    <n v="70"/>
    <x v="0"/>
  </r>
  <r>
    <d v="2019-07-28T00:00:00"/>
    <n v="10215"/>
    <n v="14895"/>
    <n v="10903"/>
    <n v="5948"/>
    <n v="72"/>
    <x v="0"/>
  </r>
  <r>
    <d v="2019-07-29T00:00:00"/>
    <n v="13938"/>
    <n v="19368"/>
    <n v="14627"/>
    <n v="7304"/>
    <n v="93"/>
    <x v="0"/>
  </r>
  <r>
    <d v="2019-07-30T00:00:00"/>
    <n v="5964"/>
    <n v="7773"/>
    <n v="6325"/>
    <n v="2467"/>
    <n v="86"/>
    <x v="0"/>
  </r>
  <r>
    <d v="2019-07-31T00:00:00"/>
    <n v="11359"/>
    <n v="16330"/>
    <n v="11997"/>
    <n v="6786"/>
    <n v="76"/>
    <x v="0"/>
  </r>
  <r>
    <d v="2019-08-01T00:00:00"/>
    <n v="12507"/>
    <n v="17639"/>
    <n v="13281"/>
    <n v="7699"/>
    <n v="83"/>
    <x v="0"/>
  </r>
  <r>
    <d v="2019-08-02T00:00:00"/>
    <n v="10905"/>
    <n v="15866"/>
    <n v="11561"/>
    <n v="6287"/>
    <n v="84"/>
    <x v="0"/>
  </r>
  <r>
    <d v="2019-08-03T00:00:00"/>
    <n v="9087"/>
    <n v="13134"/>
    <n v="9665"/>
    <n v="5531"/>
    <n v="76"/>
    <x v="0"/>
  </r>
  <r>
    <d v="2019-08-04T00:00:00"/>
    <n v="9963"/>
    <n v="14563"/>
    <n v="10632"/>
    <n v="5656"/>
    <n v="79"/>
    <x v="0"/>
  </r>
  <r>
    <d v="2019-08-05T00:00:00"/>
    <n v="12422"/>
    <n v="17279"/>
    <n v="13065"/>
    <n v="6728"/>
    <n v="70"/>
    <x v="0"/>
  </r>
  <r>
    <d v="2019-08-06T00:00:00"/>
    <n v="11118"/>
    <n v="16524"/>
    <n v="11877"/>
    <n v="6032"/>
    <n v="76"/>
    <x v="0"/>
  </r>
  <r>
    <d v="2019-08-07T00:00:00"/>
    <n v="10262"/>
    <n v="15004"/>
    <n v="10932"/>
    <n v="5969"/>
    <n v="75"/>
    <x v="0"/>
  </r>
  <r>
    <d v="2019-08-08T00:00:00"/>
    <n v="14950"/>
    <n v="20165"/>
    <n v="15679"/>
    <n v="7302"/>
    <n v="81"/>
    <x v="0"/>
  </r>
  <r>
    <d v="2019-08-09T00:00:00"/>
    <n v="15261"/>
    <n v="20305"/>
    <n v="16127"/>
    <n v="7469"/>
    <n v="97"/>
    <x v="0"/>
  </r>
  <r>
    <d v="2019-08-10T00:00:00"/>
    <n v="12390"/>
    <n v="17348"/>
    <n v="13249"/>
    <n v="6527"/>
    <n v="93"/>
    <x v="0"/>
  </r>
  <r>
    <d v="2019-08-11T00:00:00"/>
    <n v="10405"/>
    <n v="14656"/>
    <n v="10996"/>
    <n v="5914"/>
    <n v="79"/>
    <x v="0"/>
  </r>
  <r>
    <d v="2019-08-12T00:00:00"/>
    <n v="18366"/>
    <n v="24391"/>
    <n v="19344"/>
    <n v="7647"/>
    <n v="76"/>
    <x v="0"/>
  </r>
  <r>
    <d v="2019-08-13T00:00:00"/>
    <n v="22868"/>
    <n v="29473"/>
    <n v="23849"/>
    <n v="10105"/>
    <n v="65"/>
    <x v="0"/>
  </r>
  <r>
    <d v="2019-08-14T00:00:00"/>
    <n v="12030"/>
    <n v="16952"/>
    <n v="12746"/>
    <n v="6909"/>
    <n v="69"/>
    <x v="0"/>
  </r>
  <r>
    <d v="2019-08-15T00:00:00"/>
    <n v="12000"/>
    <n v="15960"/>
    <n v="12515"/>
    <n v="6537"/>
    <n v="91"/>
    <x v="0"/>
  </r>
  <r>
    <d v="2019-08-16T00:00:00"/>
    <n v="11373"/>
    <n v="15525"/>
    <n v="11922"/>
    <n v="6860"/>
    <n v="74"/>
    <x v="0"/>
  </r>
  <r>
    <d v="2019-08-17T00:00:00"/>
    <n v="9070"/>
    <n v="13362"/>
    <n v="9651"/>
    <n v="5355"/>
    <n v="79"/>
    <x v="0"/>
  </r>
  <r>
    <d v="2019-08-18T00:00:00"/>
    <n v="8840"/>
    <n v="13295"/>
    <n v="9445"/>
    <n v="5178"/>
    <n v="80"/>
    <x v="0"/>
  </r>
  <r>
    <d v="2019-08-19T00:00:00"/>
    <n v="9310"/>
    <n v="13995"/>
    <n v="9814"/>
    <n v="5643"/>
    <n v="76"/>
    <x v="0"/>
  </r>
  <r>
    <d v="2019-08-20T00:00:00"/>
    <n v="10197"/>
    <n v="14888"/>
    <n v="10819"/>
    <n v="5819"/>
    <n v="71"/>
    <x v="0"/>
  </r>
  <r>
    <d v="2019-08-21T00:00:00"/>
    <n v="11365"/>
    <n v="15865"/>
    <n v="11996"/>
    <n v="6092"/>
    <n v="68"/>
    <x v="0"/>
  </r>
  <r>
    <d v="2019-08-22T00:00:00"/>
    <n v="9347"/>
    <n v="12687"/>
    <n v="9742"/>
    <n v="4378"/>
    <n v="76"/>
    <x v="0"/>
  </r>
  <r>
    <d v="2019-08-23T00:00:00"/>
    <n v="8160"/>
    <n v="11245"/>
    <n v="8523"/>
    <n v="4174"/>
    <n v="73"/>
    <x v="0"/>
  </r>
  <r>
    <d v="2019-08-24T00:00:00"/>
    <n v="7001"/>
    <n v="9968"/>
    <n v="7310"/>
    <n v="3539"/>
    <n v="79"/>
    <x v="0"/>
  </r>
  <r>
    <d v="2019-08-25T00:00:00"/>
    <n v="6959"/>
    <n v="9739"/>
    <n v="7241"/>
    <n v="3515"/>
    <n v="76"/>
    <x v="0"/>
  </r>
  <r>
    <d v="2019-08-26T00:00:00"/>
    <n v="8033"/>
    <n v="12085"/>
    <n v="8496"/>
    <n v="4072"/>
    <n v="83"/>
    <x v="0"/>
  </r>
  <r>
    <d v="2019-08-27T00:00:00"/>
    <n v="8315"/>
    <n v="12225"/>
    <n v="8797"/>
    <n v="4307"/>
    <n v="81"/>
    <x v="0"/>
  </r>
  <r>
    <d v="2019-08-28T00:00:00"/>
    <n v="16128"/>
    <n v="23256"/>
    <n v="17176"/>
    <n v="8092"/>
    <n v="65"/>
    <x v="0"/>
  </r>
  <r>
    <d v="2019-08-29T00:00:00"/>
    <n v="12813"/>
    <n v="18124"/>
    <n v="13458"/>
    <n v="6553"/>
    <n v="75"/>
    <x v="0"/>
  </r>
  <r>
    <d v="2019-08-30T00:00:00"/>
    <n v="10930"/>
    <n v="15938"/>
    <n v="11504"/>
    <n v="5591"/>
    <n v="75"/>
    <x v="0"/>
  </r>
  <r>
    <d v="2019-08-31T00:00:00"/>
    <n v="14794"/>
    <n v="18583"/>
    <n v="15549"/>
    <n v="4947"/>
    <n v="50"/>
    <x v="0"/>
  </r>
  <r>
    <d v="2019-09-01T00:00:00"/>
    <n v="14627"/>
    <n v="17877"/>
    <n v="15121"/>
    <n v="4827"/>
    <n v="49"/>
    <x v="0"/>
  </r>
  <r>
    <d v="2019-09-02T00:00:00"/>
    <n v="8695"/>
    <n v="12655"/>
    <n v="9176"/>
    <n v="4346"/>
    <n v="79"/>
    <x v="0"/>
  </r>
  <r>
    <d v="2019-09-03T00:00:00"/>
    <n v="8340"/>
    <n v="12519"/>
    <n v="8781"/>
    <n v="4285"/>
    <n v="80"/>
    <x v="0"/>
  </r>
  <r>
    <d v="2019-09-04T00:00:00"/>
    <n v="10296"/>
    <n v="13732"/>
    <n v="10767"/>
    <n v="4909"/>
    <n v="73"/>
    <x v="0"/>
  </r>
  <r>
    <d v="2019-09-05T00:00:00"/>
    <n v="25821"/>
    <n v="30424"/>
    <n v="26382"/>
    <n v="8042"/>
    <n v="86"/>
    <x v="0"/>
  </r>
  <r>
    <d v="2019-09-06T00:00:00"/>
    <n v="11170"/>
    <n v="14380"/>
    <n v="11742"/>
    <n v="5360"/>
    <n v="79"/>
    <x v="0"/>
  </r>
  <r>
    <d v="2019-09-07T00:00:00"/>
    <n v="10037"/>
    <n v="13005"/>
    <n v="10528"/>
    <n v="4615"/>
    <n v="80"/>
    <x v="0"/>
  </r>
  <r>
    <d v="2019-09-08T00:00:00"/>
    <n v="9921"/>
    <n v="13048"/>
    <n v="10285"/>
    <n v="4307"/>
    <n v="79"/>
    <x v="0"/>
  </r>
  <r>
    <d v="2019-09-09T00:00:00"/>
    <n v="7993"/>
    <n v="11929"/>
    <n v="8515"/>
    <n v="4135"/>
    <n v="83"/>
    <x v="0"/>
  </r>
  <r>
    <d v="2019-09-10T00:00:00"/>
    <n v="7871"/>
    <n v="11633"/>
    <n v="8298"/>
    <n v="3829"/>
    <n v="91"/>
    <x v="0"/>
  </r>
  <r>
    <d v="2019-09-11T00:00:00"/>
    <n v="15129"/>
    <n v="17449"/>
    <n v="15883"/>
    <n v="7896"/>
    <n v="91"/>
    <x v="0"/>
  </r>
  <r>
    <d v="2019-09-12T00:00:00"/>
    <n v="11051"/>
    <n v="13777"/>
    <n v="11461"/>
    <n v="5312"/>
    <n v="91"/>
    <x v="0"/>
  </r>
  <r>
    <d v="2019-09-13T00:00:00"/>
    <n v="18065"/>
    <n v="21594"/>
    <n v="18658"/>
    <n v="12083"/>
    <n v="54"/>
    <x v="0"/>
  </r>
  <r>
    <d v="2019-09-14T00:00:00"/>
    <n v="23228"/>
    <n v="27025"/>
    <n v="23578"/>
    <n v="17495"/>
    <n v="37"/>
    <x v="0"/>
  </r>
  <r>
    <d v="2019-09-15T00:00:00"/>
    <n v="18797"/>
    <n v="22900"/>
    <n v="19270"/>
    <n v="13640"/>
    <n v="44"/>
    <x v="0"/>
  </r>
  <r>
    <d v="2019-09-16T00:00:00"/>
    <n v="14136"/>
    <n v="17913"/>
    <n v="14702"/>
    <n v="9333"/>
    <n v="57"/>
    <x v="0"/>
  </r>
  <r>
    <d v="2019-09-17T00:00:00"/>
    <n v="9528"/>
    <n v="13382"/>
    <n v="10084"/>
    <n v="5203"/>
    <n v="76"/>
    <x v="0"/>
  </r>
  <r>
    <d v="2019-09-18T00:00:00"/>
    <n v="9187"/>
    <n v="13050"/>
    <n v="9661"/>
    <n v="4671"/>
    <n v="77"/>
    <x v="0"/>
  </r>
  <r>
    <d v="2019-09-19T00:00:00"/>
    <n v="9078"/>
    <n v="12770"/>
    <n v="9630"/>
    <n v="4570"/>
    <n v="83"/>
    <x v="0"/>
  </r>
  <r>
    <d v="2019-09-20T00:00:00"/>
    <n v="10102"/>
    <n v="13531"/>
    <n v="10645"/>
    <n v="5333"/>
    <n v="74"/>
    <x v="0"/>
  </r>
  <r>
    <d v="2019-09-21T00:00:00"/>
    <n v="10161"/>
    <n v="13843"/>
    <n v="10710"/>
    <n v="5251"/>
    <n v="73"/>
    <x v="0"/>
  </r>
  <r>
    <d v="2019-09-22T00:00:00"/>
    <n v="13074"/>
    <n v="18192"/>
    <n v="13544"/>
    <n v="6246"/>
    <n v="68"/>
    <x v="0"/>
  </r>
  <r>
    <d v="2019-09-23T00:00:00"/>
    <n v="11947"/>
    <n v="17078"/>
    <n v="12455"/>
    <n v="6304"/>
    <n v="75"/>
    <x v="0"/>
  </r>
  <r>
    <d v="2019-09-24T00:00:00"/>
    <n v="27064"/>
    <n v="34492"/>
    <n v="28229"/>
    <n v="8150"/>
    <n v="63"/>
    <x v="0"/>
  </r>
  <r>
    <d v="2019-09-25T00:00:00"/>
    <n v="20065"/>
    <n v="28921"/>
    <n v="21178"/>
    <n v="8656"/>
    <n v="81"/>
    <x v="0"/>
  </r>
  <r>
    <d v="2019-09-26T00:00:00"/>
    <n v="16694"/>
    <n v="25131"/>
    <n v="17588"/>
    <n v="8117"/>
    <n v="72"/>
    <x v="0"/>
  </r>
  <r>
    <d v="2019-09-27T00:00:00"/>
    <n v="13417"/>
    <n v="20939"/>
    <n v="14267"/>
    <n v="6703"/>
    <n v="73"/>
    <x v="0"/>
  </r>
  <r>
    <d v="2019-09-28T00:00:00"/>
    <n v="11283"/>
    <n v="17859"/>
    <n v="12065"/>
    <n v="5695"/>
    <n v="78"/>
    <x v="0"/>
  </r>
  <r>
    <d v="2019-09-29T00:00:00"/>
    <n v="10719"/>
    <n v="16852"/>
    <n v="11446"/>
    <n v="5537"/>
    <n v="77"/>
    <x v="0"/>
  </r>
  <r>
    <d v="2019-09-30T00:00:00"/>
    <n v="11582"/>
    <n v="17360"/>
    <n v="12392"/>
    <n v="5776"/>
    <n v="81"/>
    <x v="0"/>
  </r>
  <r>
    <d v="2019-10-01T00:00:00"/>
    <n v="12212"/>
    <n v="17328"/>
    <n v="12816"/>
    <n v="5960"/>
    <n v="76"/>
    <x v="0"/>
  </r>
  <r>
    <d v="2019-10-02T00:00:00"/>
    <n v="11405"/>
    <n v="16876"/>
    <n v="12034"/>
    <n v="5600"/>
    <n v="75"/>
    <x v="0"/>
  </r>
  <r>
    <d v="2019-10-03T00:00:00"/>
    <n v="11627"/>
    <n v="17068"/>
    <n v="12341"/>
    <n v="5862"/>
    <n v="81"/>
    <x v="0"/>
  </r>
  <r>
    <d v="2019-10-04T00:00:00"/>
    <n v="11427"/>
    <n v="16908"/>
    <n v="12244"/>
    <n v="5625"/>
    <n v="79"/>
    <x v="0"/>
  </r>
  <r>
    <d v="2019-10-05T00:00:00"/>
    <n v="12796"/>
    <n v="20098"/>
    <n v="13735"/>
    <n v="6813"/>
    <n v="66"/>
    <x v="0"/>
  </r>
  <r>
    <d v="2019-10-06T00:00:00"/>
    <n v="14441"/>
    <n v="23729"/>
    <n v="15540"/>
    <n v="7614"/>
    <n v="72"/>
    <x v="0"/>
  </r>
  <r>
    <d v="2019-10-07T00:00:00"/>
    <n v="17752"/>
    <n v="27229"/>
    <n v="18772"/>
    <n v="10274"/>
    <n v="64"/>
    <x v="0"/>
  </r>
  <r>
    <d v="2019-10-08T00:00:00"/>
    <n v="16721"/>
    <n v="25420"/>
    <n v="17664"/>
    <n v="8771"/>
    <n v="70"/>
    <x v="0"/>
  </r>
  <r>
    <d v="2019-10-09T00:00:00"/>
    <n v="13744"/>
    <n v="21194"/>
    <n v="14515"/>
    <n v="6879"/>
    <n v="75"/>
    <x v="0"/>
  </r>
  <r>
    <d v="2019-10-10T00:00:00"/>
    <n v="12265"/>
    <n v="19320"/>
    <n v="13126"/>
    <n v="5995"/>
    <n v="77"/>
    <x v="0"/>
  </r>
  <r>
    <d v="2019-10-11T00:00:00"/>
    <n v="10819"/>
    <n v="15829"/>
    <n v="11510"/>
    <n v="5576"/>
    <n v="71"/>
    <x v="0"/>
  </r>
  <r>
    <d v="2019-10-12T00:00:00"/>
    <n v="10731"/>
    <n v="15343"/>
    <n v="11457"/>
    <n v="5304"/>
    <n v="73"/>
    <x v="0"/>
  </r>
  <r>
    <d v="2019-10-13T00:00:00"/>
    <n v="11359"/>
    <n v="16675"/>
    <n v="12208"/>
    <n v="5235"/>
    <n v="76"/>
    <x v="0"/>
  </r>
  <r>
    <d v="2019-10-14T00:00:00"/>
    <n v="11114"/>
    <n v="15872"/>
    <n v="11783"/>
    <n v="5421"/>
    <n v="72"/>
    <x v="0"/>
  </r>
  <r>
    <d v="2019-10-15T00:00:00"/>
    <n v="10913"/>
    <n v="15477"/>
    <n v="11404"/>
    <n v="5661"/>
    <n v="72"/>
    <x v="0"/>
  </r>
  <r>
    <d v="2019-10-16T00:00:00"/>
    <n v="9965"/>
    <n v="14896"/>
    <n v="10591"/>
    <n v="5298"/>
    <n v="76"/>
    <x v="0"/>
  </r>
  <r>
    <d v="2019-10-17T00:00:00"/>
    <n v="10564"/>
    <n v="15268"/>
    <n v="11211"/>
    <n v="5667"/>
    <n v="72"/>
    <x v="0"/>
  </r>
  <r>
    <d v="2019-10-18T00:00:00"/>
    <n v="10955"/>
    <n v="15391"/>
    <n v="11645"/>
    <n v="5984"/>
    <n v="68"/>
    <x v="0"/>
  </r>
  <r>
    <d v="2019-10-19T00:00:00"/>
    <n v="9374"/>
    <n v="14128"/>
    <n v="9831"/>
    <n v="4996"/>
    <n v="73"/>
    <x v="0"/>
  </r>
  <r>
    <d v="2019-10-20T00:00:00"/>
    <n v="9363"/>
    <n v="14163"/>
    <n v="9980"/>
    <n v="5030"/>
    <n v="70"/>
    <x v="0"/>
  </r>
  <r>
    <d v="2019-10-21T00:00:00"/>
    <n v="10841"/>
    <n v="15819"/>
    <n v="11470"/>
    <n v="4981"/>
    <n v="72"/>
    <x v="0"/>
  </r>
  <r>
    <d v="2019-10-22T00:00:00"/>
    <n v="12348"/>
    <n v="17285"/>
    <n v="13163"/>
    <n v="5929"/>
    <n v="69"/>
    <x v="0"/>
  </r>
  <r>
    <d v="2019-10-23T00:00:00"/>
    <n v="9297"/>
    <n v="13491"/>
    <n v="9827"/>
    <n v="4796"/>
    <n v="80"/>
    <x v="0"/>
  </r>
  <r>
    <d v="2019-10-24T00:00:00"/>
    <n v="10441"/>
    <n v="15149"/>
    <n v="11055"/>
    <n v="5138"/>
    <n v="91"/>
    <x v="0"/>
  </r>
  <r>
    <d v="2019-10-25T00:00:00"/>
    <n v="11573"/>
    <n v="16098"/>
    <n v="12315"/>
    <n v="6094"/>
    <n v="69"/>
    <x v="0"/>
  </r>
  <r>
    <d v="2019-10-26T00:00:00"/>
    <n v="9629"/>
    <n v="13729"/>
    <n v="10105"/>
    <n v="5140"/>
    <n v="72"/>
    <x v="0"/>
  </r>
  <r>
    <d v="2019-10-27T00:00:00"/>
    <n v="8494"/>
    <n v="12702"/>
    <n v="9068"/>
    <n v="4662"/>
    <n v="69"/>
    <x v="0"/>
  </r>
  <r>
    <d v="2019-10-28T00:00:00"/>
    <n v="9180"/>
    <n v="13755"/>
    <n v="9759"/>
    <n v="4941"/>
    <n v="75"/>
    <x v="0"/>
  </r>
  <r>
    <d v="2019-10-29T00:00:00"/>
    <n v="10130"/>
    <n v="14605"/>
    <n v="10694"/>
    <n v="5328"/>
    <n v="80"/>
    <x v="0"/>
  </r>
  <r>
    <d v="2019-10-30T00:00:00"/>
    <n v="9234"/>
    <n v="13093"/>
    <n v="9767"/>
    <n v="4787"/>
    <n v="78"/>
    <x v="0"/>
  </r>
  <r>
    <d v="2019-10-31T00:00:00"/>
    <n v="7856"/>
    <n v="11073"/>
    <n v="8183"/>
    <n v="4109"/>
    <n v="78"/>
    <x v="0"/>
  </r>
  <r>
    <d v="2019-11-01T00:00:00"/>
    <n v="9494"/>
    <n v="13369"/>
    <n v="10037"/>
    <n v="5038"/>
    <n v="79"/>
    <x v="0"/>
  </r>
  <r>
    <d v="2019-11-02T00:00:00"/>
    <n v="8702"/>
    <n v="12735"/>
    <n v="9118"/>
    <n v="4311"/>
    <n v="75"/>
    <x v="0"/>
  </r>
  <r>
    <d v="2019-11-03T00:00:00"/>
    <n v="10333"/>
    <n v="14736"/>
    <n v="10771"/>
    <n v="4895"/>
    <n v="74"/>
    <x v="0"/>
  </r>
  <r>
    <d v="2019-11-04T00:00:00"/>
    <n v="9978"/>
    <n v="14584"/>
    <n v="10543"/>
    <n v="5140"/>
    <n v="75"/>
    <x v="0"/>
  </r>
  <r>
    <d v="2019-11-05T00:00:00"/>
    <n v="10297"/>
    <n v="14928"/>
    <n v="10967"/>
    <n v="5165"/>
    <n v="72"/>
    <x v="0"/>
  </r>
  <r>
    <d v="2019-11-06T00:00:00"/>
    <n v="10591"/>
    <n v="14923"/>
    <n v="11110"/>
    <n v="5531"/>
    <n v="74"/>
    <x v="0"/>
  </r>
  <r>
    <d v="2019-11-07T00:00:00"/>
    <n v="9534"/>
    <n v="14168"/>
    <n v="10082"/>
    <n v="4993"/>
    <n v="78"/>
    <x v="0"/>
  </r>
  <r>
    <d v="2019-11-08T00:00:00"/>
    <n v="8732"/>
    <n v="12936"/>
    <n v="9184"/>
    <n v="4477"/>
    <n v="79"/>
    <x v="0"/>
  </r>
  <r>
    <d v="2019-11-09T00:00:00"/>
    <n v="8736"/>
    <n v="12271"/>
    <n v="9174"/>
    <n v="4465"/>
    <n v="76"/>
    <x v="0"/>
  </r>
  <r>
    <d v="2019-11-10T00:00:00"/>
    <n v="9430"/>
    <n v="14059"/>
    <n v="10023"/>
    <n v="4782"/>
    <n v="74"/>
    <x v="0"/>
  </r>
  <r>
    <d v="2019-11-11T00:00:00"/>
    <n v="10541"/>
    <n v="15736"/>
    <n v="11207"/>
    <n v="5397"/>
    <n v="79"/>
    <x v="0"/>
  </r>
  <r>
    <d v="2019-11-12T00:00:00"/>
    <n v="11674"/>
    <n v="17844"/>
    <n v="12547"/>
    <n v="5524"/>
    <n v="85"/>
    <x v="0"/>
  </r>
  <r>
    <d v="2019-11-13T00:00:00"/>
    <n v="16101"/>
    <n v="22758"/>
    <n v="16984"/>
    <n v="6879"/>
    <n v="79"/>
    <x v="0"/>
  </r>
  <r>
    <d v="2019-11-14T00:00:00"/>
    <n v="35920"/>
    <n v="47951"/>
    <n v="38470"/>
    <n v="12996"/>
    <n v="72"/>
    <x v="0"/>
  </r>
  <r>
    <d v="2019-11-15T00:00:00"/>
    <n v="31921"/>
    <n v="40709"/>
    <n v="33095"/>
    <n v="11905"/>
    <n v="66"/>
    <x v="0"/>
  </r>
  <r>
    <d v="2019-11-16T00:00:00"/>
    <n v="20894"/>
    <n v="30222"/>
    <n v="21928"/>
    <n v="9041"/>
    <n v="67"/>
    <x v="0"/>
  </r>
  <r>
    <d v="2019-11-17T00:00:00"/>
    <n v="15511"/>
    <n v="23757"/>
    <n v="16273"/>
    <n v="7167"/>
    <n v="76"/>
    <x v="0"/>
  </r>
  <r>
    <d v="2019-11-18T00:00:00"/>
    <n v="22021"/>
    <n v="32224"/>
    <n v="23391"/>
    <n v="8583"/>
    <n v="74"/>
    <x v="0"/>
  </r>
  <r>
    <d v="2019-11-19T00:00:00"/>
    <n v="82270"/>
    <n v="167996"/>
    <n v="93174"/>
    <n v="26490"/>
    <n v="101"/>
    <x v="1"/>
  </r>
  <r>
    <d v="2019-11-20T00:00:00"/>
    <n v="1130463"/>
    <n v="1648239"/>
    <n v="1266668"/>
    <n v="334908"/>
    <n v="151"/>
    <x v="0"/>
  </r>
  <r>
    <d v="2019-11-21T00:00:00"/>
    <n v="299375"/>
    <n v="391840"/>
    <n v="327475"/>
    <n v="122804"/>
    <n v="122"/>
    <x v="0"/>
  </r>
  <r>
    <d v="2019-11-22T00:00:00"/>
    <n v="117189"/>
    <n v="159397"/>
    <n v="130105"/>
    <n v="50234"/>
    <n v="120"/>
    <x v="0"/>
  </r>
  <r>
    <d v="2019-11-23T00:00:00"/>
    <n v="80045"/>
    <n v="112196"/>
    <n v="88071"/>
    <n v="34198"/>
    <n v="118"/>
    <x v="0"/>
  </r>
  <r>
    <d v="2019-11-24T00:00:00"/>
    <n v="82649"/>
    <n v="121816"/>
    <n v="90178"/>
    <n v="34349"/>
    <n v="115"/>
    <x v="0"/>
  </r>
  <r>
    <d v="2019-11-25T00:00:00"/>
    <n v="77906"/>
    <n v="122232"/>
    <n v="85790"/>
    <n v="32086"/>
    <n v="107"/>
    <x v="0"/>
  </r>
  <r>
    <d v="2019-11-26T00:00:00"/>
    <n v="61179"/>
    <n v="104900"/>
    <n v="68266"/>
    <n v="22569"/>
    <n v="105"/>
    <x v="0"/>
  </r>
  <r>
    <d v="2019-11-27T00:00:00"/>
    <n v="62492"/>
    <n v="114200"/>
    <n v="71187"/>
    <n v="20132"/>
    <n v="94"/>
    <x v="0"/>
  </r>
  <r>
    <d v="2019-11-28T00:00:00"/>
    <n v="38787"/>
    <n v="66015"/>
    <n v="42528"/>
    <n v="14239"/>
    <n v="91"/>
    <x v="0"/>
  </r>
  <r>
    <d v="2019-11-29T00:00:00"/>
    <n v="30157"/>
    <n v="50691"/>
    <n v="32560"/>
    <n v="10628"/>
    <n v="96"/>
    <x v="0"/>
  </r>
  <r>
    <d v="2019-11-30T00:00:00"/>
    <n v="27939"/>
    <n v="45503"/>
    <n v="30239"/>
    <n v="10255"/>
    <n v="90"/>
    <x v="0"/>
  </r>
  <r>
    <d v="2019-12-01T00:00:00"/>
    <n v="24553"/>
    <n v="37584"/>
    <n v="26007"/>
    <n v="9342"/>
    <n v="97"/>
    <x v="0"/>
  </r>
  <r>
    <d v="2019-12-02T00:00:00"/>
    <n v="22364"/>
    <n v="34416"/>
    <n v="23810"/>
    <n v="8991"/>
    <n v="102"/>
    <x v="0"/>
  </r>
  <r>
    <d v="2019-12-03T00:00:00"/>
    <n v="22129"/>
    <n v="34005"/>
    <n v="23924"/>
    <n v="9154"/>
    <n v="102"/>
    <x v="0"/>
  </r>
  <r>
    <d v="2019-12-04T00:00:00"/>
    <n v="24693"/>
    <n v="36077"/>
    <n v="26619"/>
    <n v="10606"/>
    <n v="96"/>
    <x v="0"/>
  </r>
  <r>
    <d v="2019-12-05T00:00:00"/>
    <n v="25202"/>
    <n v="36047"/>
    <n v="26643"/>
    <n v="10751"/>
    <n v="95"/>
    <x v="0"/>
  </r>
  <r>
    <d v="2019-12-06T00:00:00"/>
    <n v="21967"/>
    <n v="32791"/>
    <n v="23657"/>
    <n v="9747"/>
    <n v="98"/>
    <x v="0"/>
  </r>
  <r>
    <d v="2019-12-07T00:00:00"/>
    <n v="18397"/>
    <n v="27406"/>
    <n v="19723"/>
    <n v="8663"/>
    <n v="98"/>
    <x v="0"/>
  </r>
  <r>
    <d v="2019-12-08T00:00:00"/>
    <n v="20762"/>
    <n v="30991"/>
    <n v="22423"/>
    <n v="9932"/>
    <n v="96"/>
    <x v="0"/>
  </r>
  <r>
    <d v="2019-12-09T00:00:00"/>
    <n v="25476"/>
    <n v="38792"/>
    <n v="27703"/>
    <n v="11420"/>
    <n v="98"/>
    <x v="0"/>
  </r>
  <r>
    <d v="2019-12-10T00:00:00"/>
    <n v="25792"/>
    <n v="38603"/>
    <n v="27751"/>
    <n v="11451"/>
    <n v="100"/>
    <x v="0"/>
  </r>
  <r>
    <d v="2019-12-11T00:00:00"/>
    <n v="23778"/>
    <n v="33978"/>
    <n v="25450"/>
    <n v="11160"/>
    <n v="99"/>
    <x v="0"/>
  </r>
  <r>
    <d v="2019-12-12T00:00:00"/>
    <n v="20997"/>
    <n v="30602"/>
    <n v="22870"/>
    <n v="9645"/>
    <n v="97"/>
    <x v="0"/>
  </r>
  <r>
    <d v="2019-12-13T00:00:00"/>
    <n v="20475"/>
    <n v="29799"/>
    <n v="22249"/>
    <n v="9677"/>
    <n v="96"/>
    <x v="0"/>
  </r>
  <r>
    <d v="2019-12-14T00:00:00"/>
    <n v="18742"/>
    <n v="27880"/>
    <n v="20367"/>
    <n v="9217"/>
    <n v="98"/>
    <x v="0"/>
  </r>
  <r>
    <d v="2019-12-15T00:00:00"/>
    <n v="19131"/>
    <n v="27595"/>
    <n v="20439"/>
    <n v="9016"/>
    <n v="99"/>
    <x v="0"/>
  </r>
  <r>
    <d v="2019-12-16T00:00:00"/>
    <n v="18022"/>
    <n v="26803"/>
    <n v="19511"/>
    <n v="8583"/>
    <n v="102"/>
    <x v="0"/>
  </r>
  <r>
    <d v="2019-12-17T00:00:00"/>
    <n v="19550"/>
    <n v="28747"/>
    <n v="20888"/>
    <n v="8966"/>
    <n v="106"/>
    <x v="0"/>
  </r>
  <r>
    <d v="2019-12-18T00:00:00"/>
    <n v="18721"/>
    <n v="26936"/>
    <n v="19973"/>
    <n v="8627"/>
    <n v="100"/>
    <x v="0"/>
  </r>
  <r>
    <d v="2019-12-19T00:00:00"/>
    <n v="18308"/>
    <n v="26561"/>
    <n v="19588"/>
    <n v="9033"/>
    <n v="96"/>
    <x v="0"/>
  </r>
  <r>
    <d v="2019-12-20T00:00:00"/>
    <n v="17747"/>
    <n v="25199"/>
    <n v="19122"/>
    <n v="8663"/>
    <n v="87"/>
    <x v="0"/>
  </r>
  <r>
    <d v="2019-12-21T00:00:00"/>
    <n v="15927"/>
    <n v="23174"/>
    <n v="17305"/>
    <n v="8113"/>
    <n v="89"/>
    <x v="0"/>
  </r>
  <r>
    <d v="2019-12-22T00:00:00"/>
    <n v="15731"/>
    <n v="23614"/>
    <n v="17337"/>
    <n v="8033"/>
    <n v="95"/>
    <x v="0"/>
  </r>
  <r>
    <d v="2019-12-23T00:00:00"/>
    <n v="16400"/>
    <n v="23477"/>
    <n v="17524"/>
    <n v="7637"/>
    <n v="94"/>
    <x v="0"/>
  </r>
  <r>
    <d v="2019-12-24T00:00:00"/>
    <n v="15063"/>
    <n v="21327"/>
    <n v="16201"/>
    <n v="6988"/>
    <n v="91"/>
    <x v="0"/>
  </r>
  <r>
    <d v="2019-12-25T00:00:00"/>
    <n v="14357"/>
    <n v="20952"/>
    <n v="15384"/>
    <n v="6885"/>
    <n v="91"/>
    <x v="0"/>
  </r>
  <r>
    <d v="2019-12-26T00:00:00"/>
    <n v="15433"/>
    <n v="23630"/>
    <n v="16581"/>
    <n v="7379"/>
    <n v="102"/>
    <x v="0"/>
  </r>
  <r>
    <d v="2019-12-27T00:00:00"/>
    <n v="16127"/>
    <n v="23795"/>
    <n v="17490"/>
    <n v="7969"/>
    <n v="97"/>
    <x v="0"/>
  </r>
  <r>
    <d v="2019-12-28T00:00:00"/>
    <n v="16420"/>
    <n v="24097"/>
    <n v="17577"/>
    <n v="7877"/>
    <n v="99"/>
    <x v="0"/>
  </r>
  <r>
    <d v="2019-12-29T00:00:00"/>
    <n v="18250"/>
    <n v="26428"/>
    <n v="19465"/>
    <n v="8699"/>
    <n v="100"/>
    <x v="0"/>
  </r>
  <r>
    <d v="2019-12-30T00:00:00"/>
    <n v="18083"/>
    <n v="27361"/>
    <n v="19740"/>
    <n v="8439"/>
    <n v="104"/>
    <x v="0"/>
  </r>
  <r>
    <d v="2019-12-31T00:00:00"/>
    <n v="29389"/>
    <n v="37027"/>
    <n v="31068"/>
    <n v="13385"/>
    <n v="69"/>
    <x v="0"/>
  </r>
  <r>
    <d v="2020-01-01T00:00:00"/>
    <n v="18485"/>
    <n v="26293"/>
    <n v="19936"/>
    <n v="8896"/>
    <n v="98"/>
    <x v="0"/>
  </r>
  <r>
    <d v="2020-01-02T00:00:00"/>
    <n v="20550"/>
    <n v="30007"/>
    <n v="22236"/>
    <n v="9024"/>
    <n v="107"/>
    <x v="0"/>
  </r>
  <r>
    <d v="2020-01-03T00:00:00"/>
    <n v="20712"/>
    <n v="29158"/>
    <n v="22353"/>
    <n v="9076"/>
    <n v="99"/>
    <x v="0"/>
  </r>
  <r>
    <d v="2020-01-04T00:00:00"/>
    <n v="20738"/>
    <n v="29467"/>
    <n v="22157"/>
    <n v="9657"/>
    <n v="99"/>
    <x v="0"/>
  </r>
  <r>
    <d v="2020-01-05T00:00:00"/>
    <n v="30413"/>
    <n v="42773"/>
    <n v="31971"/>
    <n v="14995"/>
    <n v="95"/>
    <x v="0"/>
  </r>
  <r>
    <d v="2020-01-06T00:00:00"/>
    <n v="34103"/>
    <n v="46393"/>
    <n v="36787"/>
    <n v="18640"/>
    <n v="85"/>
    <x v="0"/>
  </r>
  <r>
    <d v="2020-01-07T00:00:00"/>
    <n v="27628"/>
    <n v="41006"/>
    <n v="29776"/>
    <n v="12977"/>
    <n v="107"/>
    <x v="0"/>
  </r>
  <r>
    <d v="2020-01-08T00:00:00"/>
    <n v="44062"/>
    <n v="60557"/>
    <n v="47554"/>
    <n v="16973"/>
    <n v="93"/>
    <x v="0"/>
  </r>
  <r>
    <d v="2020-01-09T00:00:00"/>
    <n v="33177"/>
    <n v="46770"/>
    <n v="35669"/>
    <n v="14232"/>
    <n v="98"/>
    <x v="0"/>
  </r>
  <r>
    <d v="2020-01-10T00:00:00"/>
    <n v="27813"/>
    <n v="39093"/>
    <n v="29454"/>
    <n v="12121"/>
    <n v="100"/>
    <x v="0"/>
  </r>
  <r>
    <d v="2020-01-11T00:00:00"/>
    <n v="35869"/>
    <n v="51048"/>
    <n v="38471"/>
    <n v="15381"/>
    <n v="97"/>
    <x v="0"/>
  </r>
  <r>
    <d v="2020-01-12T00:00:00"/>
    <n v="33297"/>
    <n v="48803"/>
    <n v="36243"/>
    <n v="15027"/>
    <n v="103"/>
    <x v="0"/>
  </r>
  <r>
    <d v="2020-01-13T00:00:00"/>
    <n v="33987"/>
    <n v="49624"/>
    <n v="36675"/>
    <n v="14498"/>
    <n v="114"/>
    <x v="0"/>
  </r>
  <r>
    <d v="2020-01-14T00:00:00"/>
    <n v="52583"/>
    <n v="75105"/>
    <n v="56261"/>
    <n v="23422"/>
    <n v="95"/>
    <x v="0"/>
  </r>
  <r>
    <d v="2020-01-15T00:00:00"/>
    <n v="58571"/>
    <n v="86819"/>
    <n v="63958"/>
    <n v="25878"/>
    <n v="101"/>
    <x v="0"/>
  </r>
  <r>
    <d v="2020-01-16T00:00:00"/>
    <n v="40561"/>
    <n v="60485"/>
    <n v="43829"/>
    <n v="17747"/>
    <n v="110"/>
    <x v="0"/>
  </r>
  <r>
    <d v="2020-01-17T00:00:00"/>
    <n v="37597"/>
    <n v="55752"/>
    <n v="40722"/>
    <n v="16314"/>
    <n v="108"/>
    <x v="0"/>
  </r>
  <r>
    <d v="2020-01-18T00:00:00"/>
    <n v="34892"/>
    <n v="50430"/>
    <n v="37524"/>
    <n v="15847"/>
    <n v="100"/>
    <x v="0"/>
  </r>
  <r>
    <d v="2020-01-19T00:00:00"/>
    <n v="55119"/>
    <n v="79862"/>
    <n v="59662"/>
    <n v="24384"/>
    <n v="108"/>
    <x v="0"/>
  </r>
  <r>
    <d v="2020-01-20T00:00:00"/>
    <n v="46281"/>
    <n v="71863"/>
    <n v="51351"/>
    <n v="21311"/>
    <n v="118"/>
    <x v="0"/>
  </r>
  <r>
    <d v="2020-01-21T00:00:00"/>
    <n v="60163"/>
    <n v="91734"/>
    <n v="65946"/>
    <n v="25805"/>
    <n v="119"/>
    <x v="0"/>
  </r>
  <r>
    <d v="2020-01-22T00:00:00"/>
    <n v="86179"/>
    <n v="130932"/>
    <n v="95372"/>
    <n v="39408"/>
    <n v="113"/>
    <x v="0"/>
  </r>
  <r>
    <d v="2020-01-23T00:00:00"/>
    <n v="166060"/>
    <n v="245647"/>
    <n v="186227"/>
    <n v="79482"/>
    <n v="91"/>
    <x v="0"/>
  </r>
  <r>
    <d v="2020-01-24T00:00:00"/>
    <n v="145152"/>
    <n v="209696"/>
    <n v="156763"/>
    <n v="67173"/>
    <n v="109"/>
    <x v="0"/>
  </r>
  <r>
    <d v="2020-01-25T00:00:00"/>
    <n v="208046"/>
    <n v="304052"/>
    <n v="225912"/>
    <n v="101458"/>
    <n v="111"/>
    <x v="0"/>
  </r>
  <r>
    <d v="2020-01-26T00:00:00"/>
    <n v="2261512"/>
    <n v="6688450"/>
    <n v="2634408"/>
    <n v="796382"/>
    <n v="230"/>
    <x v="1"/>
  </r>
  <r>
    <d v="2020-01-27T00:00:00"/>
    <n v="1473248"/>
    <n v="2837611"/>
    <n v="1563182"/>
    <n v="480366"/>
    <n v="142"/>
    <x v="0"/>
  </r>
  <r>
    <d v="2020-01-28T00:00:00"/>
    <n v="402339"/>
    <n v="741599"/>
    <n v="412677"/>
    <n v="150009"/>
    <n v="145"/>
    <x v="0"/>
  </r>
  <r>
    <d v="2020-01-29T00:00:00"/>
    <n v="185134"/>
    <n v="352986"/>
    <n v="191260"/>
    <n v="73119"/>
    <n v="140"/>
    <x v="0"/>
  </r>
  <r>
    <d v="2020-01-30T00:00:00"/>
    <n v="109443"/>
    <n v="217120"/>
    <n v="115193"/>
    <n v="47690"/>
    <n v="123"/>
    <x v="0"/>
  </r>
  <r>
    <d v="2020-01-31T00:00:00"/>
    <n v="106853"/>
    <n v="190538"/>
    <n v="110860"/>
    <n v="46916"/>
    <n v="113"/>
    <x v="0"/>
  </r>
  <r>
    <d v="2020-02-01T00:00:00"/>
    <n v="98319"/>
    <n v="160279"/>
    <n v="101703"/>
    <n v="44597"/>
    <n v="101"/>
    <x v="0"/>
  </r>
  <r>
    <d v="2020-02-02T00:00:00"/>
    <n v="94254"/>
    <n v="145051"/>
    <n v="98917"/>
    <n v="44790"/>
    <n v="90"/>
    <x v="0"/>
  </r>
  <r>
    <d v="2020-02-03T00:00:00"/>
    <n v="80043"/>
    <n v="117792"/>
    <n v="84444"/>
    <n v="34884"/>
    <n v="101"/>
    <x v="0"/>
  </r>
  <r>
    <d v="2020-02-04T00:00:00"/>
    <n v="54334"/>
    <n v="76752"/>
    <n v="57429"/>
    <n v="24907"/>
    <n v="88"/>
    <x v="0"/>
  </r>
  <r>
    <d v="2020-02-05T00:00:00"/>
    <n v="41409"/>
    <n v="59957"/>
    <n v="44059"/>
    <n v="20298"/>
    <n v="95"/>
    <x v="0"/>
  </r>
  <r>
    <d v="2020-02-06T00:00:00"/>
    <n v="38833"/>
    <n v="55270"/>
    <n v="40895"/>
    <n v="18882"/>
    <n v="93"/>
    <x v="0"/>
  </r>
  <r>
    <d v="2020-02-07T00:00:00"/>
    <n v="35022"/>
    <n v="50920"/>
    <n v="37638"/>
    <n v="17732"/>
    <n v="91"/>
    <x v="0"/>
  </r>
  <r>
    <d v="2020-02-08T00:00:00"/>
    <n v="35951"/>
    <n v="49920"/>
    <n v="38169"/>
    <n v="18593"/>
    <n v="87"/>
    <x v="0"/>
  </r>
  <r>
    <d v="2020-02-09T00:00:00"/>
    <n v="74640"/>
    <n v="94059"/>
    <n v="76864"/>
    <n v="40008"/>
    <n v="67"/>
    <x v="0"/>
  </r>
  <r>
    <d v="2020-02-10T00:00:00"/>
    <n v="86393"/>
    <n v="105695"/>
    <n v="90116"/>
    <n v="37795"/>
    <n v="69"/>
    <x v="0"/>
  </r>
  <r>
    <d v="2020-02-11T00:00:00"/>
    <n v="40484"/>
    <n v="53623"/>
    <n v="42351"/>
    <n v="18410"/>
    <n v="88"/>
    <x v="0"/>
  </r>
  <r>
    <d v="2020-02-12T00:00:00"/>
    <n v="32930"/>
    <n v="44242"/>
    <n v="34861"/>
    <n v="16103"/>
    <n v="88"/>
    <x v="0"/>
  </r>
  <r>
    <d v="2020-02-13T00:00:00"/>
    <n v="30210"/>
    <n v="37863"/>
    <n v="31760"/>
    <n v="13892"/>
    <n v="81"/>
    <x v="0"/>
  </r>
  <r>
    <d v="2020-02-14T00:00:00"/>
    <n v="29348"/>
    <n v="37498"/>
    <n v="30809"/>
    <n v="13812"/>
    <n v="76"/>
    <x v="0"/>
  </r>
  <r>
    <d v="2020-02-15T00:00:00"/>
    <n v="28108"/>
    <n v="38672"/>
    <n v="29910"/>
    <n v="14372"/>
    <n v="82"/>
    <x v="0"/>
  </r>
  <r>
    <d v="2020-02-16T00:00:00"/>
    <n v="32926"/>
    <n v="43729"/>
    <n v="34668"/>
    <n v="16870"/>
    <n v="81"/>
    <x v="0"/>
  </r>
  <r>
    <d v="2020-02-17T00:00:00"/>
    <n v="38721"/>
    <n v="50771"/>
    <n v="41253"/>
    <n v="15829"/>
    <n v="90"/>
    <x v="0"/>
  </r>
  <r>
    <d v="2020-02-18T00:00:00"/>
    <n v="24945"/>
    <n v="34840"/>
    <n v="26615"/>
    <n v="11969"/>
    <n v="86"/>
    <x v="0"/>
  </r>
  <r>
    <d v="2020-02-19T00:00:00"/>
    <n v="24581"/>
    <n v="33734"/>
    <n v="25646"/>
    <n v="11834"/>
    <n v="82"/>
    <x v="0"/>
  </r>
  <r>
    <d v="2020-02-20T00:00:00"/>
    <n v="20553"/>
    <n v="28565"/>
    <n v="21641"/>
    <n v="10460"/>
    <n v="77"/>
    <x v="0"/>
  </r>
  <r>
    <d v="2020-02-21T00:00:00"/>
    <n v="20345"/>
    <n v="28083"/>
    <n v="21325"/>
    <n v="10089"/>
    <n v="78"/>
    <x v="0"/>
  </r>
  <r>
    <d v="2020-02-22T00:00:00"/>
    <n v="58424"/>
    <n v="67710"/>
    <n v="62112"/>
    <n v="18261"/>
    <n v="135"/>
    <x v="0"/>
  </r>
  <r>
    <d v="2020-02-23T00:00:00"/>
    <n v="33560"/>
    <n v="41266"/>
    <n v="35563"/>
    <n v="14777"/>
    <n v="101"/>
    <x v="0"/>
  </r>
  <r>
    <d v="2020-02-24T00:00:00"/>
    <n v="30211"/>
    <n v="37848"/>
    <n v="31455"/>
    <n v="17427"/>
    <n v="67"/>
    <x v="0"/>
  </r>
  <r>
    <d v="2020-02-25T00:00:00"/>
    <n v="20889"/>
    <n v="27990"/>
    <n v="22033"/>
    <n v="10783"/>
    <n v="76"/>
    <x v="0"/>
  </r>
  <r>
    <d v="2020-02-26T00:00:00"/>
    <n v="18030"/>
    <n v="25466"/>
    <n v="18918"/>
    <n v="9448"/>
    <n v="80"/>
    <x v="0"/>
  </r>
  <r>
    <d v="2020-02-27T00:00:00"/>
    <n v="24088"/>
    <n v="30779"/>
    <n v="25444"/>
    <n v="10158"/>
    <n v="82"/>
    <x v="0"/>
  </r>
  <r>
    <d v="2020-02-28T00:00:00"/>
    <n v="23395"/>
    <n v="28951"/>
    <n v="25249"/>
    <n v="10009"/>
    <n v="81"/>
    <x v="0"/>
  </r>
  <r>
    <d v="2020-02-29T00:00:00"/>
    <n v="26798"/>
    <n v="31915"/>
    <n v="28524"/>
    <n v="9867"/>
    <n v="64"/>
    <x v="0"/>
  </r>
  <r>
    <d v="2020-03-01T00:00:00"/>
    <n v="22925"/>
    <n v="28553"/>
    <n v="23772"/>
    <n v="10522"/>
    <n v="67"/>
    <x v="0"/>
  </r>
  <r>
    <d v="2020-03-02T00:00:00"/>
    <n v="19381"/>
    <n v="25174"/>
    <n v="20194"/>
    <n v="10316"/>
    <n v="71"/>
    <x v="0"/>
  </r>
  <r>
    <d v="2020-03-03T00:00:00"/>
    <n v="15908"/>
    <n v="21840"/>
    <n v="16960"/>
    <n v="8569"/>
    <n v="79"/>
    <x v="0"/>
  </r>
  <r>
    <d v="2020-03-04T00:00:00"/>
    <n v="19766"/>
    <n v="25415"/>
    <n v="21044"/>
    <n v="8578"/>
    <n v="79"/>
    <x v="0"/>
  </r>
  <r>
    <d v="2020-03-05T00:00:00"/>
    <n v="19719"/>
    <n v="25816"/>
    <n v="20616"/>
    <n v="10162"/>
    <n v="74"/>
    <x v="0"/>
  </r>
  <r>
    <d v="2020-03-06T00:00:00"/>
    <n v="17548"/>
    <n v="22707"/>
    <n v="18565"/>
    <n v="9385"/>
    <n v="73"/>
    <x v="0"/>
  </r>
  <r>
    <d v="2020-03-07T00:00:00"/>
    <n v="16518"/>
    <n v="21999"/>
    <n v="17327"/>
    <n v="8775"/>
    <n v="73"/>
    <x v="0"/>
  </r>
  <r>
    <d v="2020-03-08T00:00:00"/>
    <n v="16027"/>
    <n v="20817"/>
    <n v="16535"/>
    <n v="8662"/>
    <n v="67"/>
    <x v="0"/>
  </r>
  <r>
    <d v="2020-03-09T00:00:00"/>
    <n v="15133"/>
    <n v="19590"/>
    <n v="15822"/>
    <n v="7646"/>
    <n v="77"/>
    <x v="0"/>
  </r>
  <r>
    <d v="2020-03-10T00:00:00"/>
    <n v="16815"/>
    <n v="21118"/>
    <n v="17430"/>
    <n v="7905"/>
    <n v="75"/>
    <x v="0"/>
  </r>
  <r>
    <d v="2020-03-11T00:00:00"/>
    <n v="15536"/>
    <n v="19998"/>
    <n v="16293"/>
    <n v="8383"/>
    <n v="70"/>
    <x v="0"/>
  </r>
  <r>
    <d v="2020-03-12T00:00:00"/>
    <n v="13219"/>
    <n v="17624"/>
    <n v="13890"/>
    <n v="7125"/>
    <n v="74"/>
    <x v="0"/>
  </r>
  <r>
    <d v="2020-03-13T00:00:00"/>
    <n v="12177"/>
    <n v="16851"/>
    <n v="12866"/>
    <n v="6059"/>
    <n v="77"/>
    <x v="0"/>
  </r>
  <r>
    <d v="2020-03-14T00:00:00"/>
    <n v="12401"/>
    <n v="16713"/>
    <n v="13104"/>
    <n v="6195"/>
    <n v="72"/>
    <x v="0"/>
  </r>
  <r>
    <d v="2020-03-15T00:00:00"/>
    <n v="11101"/>
    <n v="15447"/>
    <n v="11715"/>
    <n v="5660"/>
    <n v="78"/>
    <x v="0"/>
  </r>
  <r>
    <d v="2020-03-16T00:00:00"/>
    <n v="10969"/>
    <n v="15387"/>
    <n v="11642"/>
    <n v="5463"/>
    <n v="93"/>
    <x v="0"/>
  </r>
  <r>
    <d v="2020-03-17T00:00:00"/>
    <n v="12614"/>
    <n v="16372"/>
    <n v="13445"/>
    <n v="6340"/>
    <n v="88"/>
    <x v="0"/>
  </r>
  <r>
    <d v="2020-03-18T00:00:00"/>
    <n v="13580"/>
    <n v="17298"/>
    <n v="14544"/>
    <n v="6531"/>
    <n v="89"/>
    <x v="0"/>
  </r>
  <r>
    <d v="2020-03-19T00:00:00"/>
    <n v="13637"/>
    <n v="17323"/>
    <n v="14645"/>
    <n v="6661"/>
    <n v="81"/>
    <x v="0"/>
  </r>
  <r>
    <d v="2020-03-20T00:00:00"/>
    <n v="12790"/>
    <n v="16987"/>
    <n v="13633"/>
    <n v="6191"/>
    <n v="89"/>
    <x v="0"/>
  </r>
  <r>
    <d v="2020-03-21T00:00:00"/>
    <n v="13464"/>
    <n v="18264"/>
    <n v="14459"/>
    <n v="6831"/>
    <n v="84"/>
    <x v="0"/>
  </r>
  <r>
    <d v="2020-03-22T00:00:00"/>
    <n v="12115"/>
    <n v="16473"/>
    <n v="12827"/>
    <n v="6018"/>
    <n v="88"/>
    <x v="0"/>
  </r>
  <r>
    <d v="2020-03-23T00:00:00"/>
    <n v="12679"/>
    <n v="17714"/>
    <n v="13692"/>
    <n v="6140"/>
    <n v="105"/>
    <x v="0"/>
  </r>
  <r>
    <d v="2020-03-24T00:00:00"/>
    <n v="13124"/>
    <n v="18239"/>
    <n v="14214"/>
    <n v="6353"/>
    <n v="96"/>
    <x v="0"/>
  </r>
  <r>
    <d v="2020-03-25T00:00:00"/>
    <n v="15150"/>
    <n v="19976"/>
    <n v="16146"/>
    <n v="6585"/>
    <n v="87"/>
    <x v="0"/>
  </r>
  <r>
    <d v="2020-03-26T00:00:00"/>
    <n v="13628"/>
    <n v="18809"/>
    <n v="14732"/>
    <n v="6403"/>
    <n v="101"/>
    <x v="0"/>
  </r>
  <r>
    <d v="2020-03-27T00:00:00"/>
    <n v="14196"/>
    <n v="19066"/>
    <n v="15159"/>
    <n v="6534"/>
    <n v="96"/>
    <x v="0"/>
  </r>
  <r>
    <d v="2020-03-28T00:00:00"/>
    <n v="14730"/>
    <n v="19145"/>
    <n v="15784"/>
    <n v="6305"/>
    <n v="93"/>
    <x v="0"/>
  </r>
  <r>
    <d v="2020-03-29T00:00:00"/>
    <n v="15682"/>
    <n v="21407"/>
    <n v="16645"/>
    <n v="7208"/>
    <n v="97"/>
    <x v="0"/>
  </r>
  <r>
    <d v="2020-03-30T00:00:00"/>
    <n v="16101"/>
    <n v="21582"/>
    <n v="17169"/>
    <n v="7534"/>
    <n v="97"/>
    <x v="0"/>
  </r>
  <r>
    <d v="2020-03-31T00:00:00"/>
    <n v="20813"/>
    <n v="26030"/>
    <n v="22255"/>
    <n v="9314"/>
    <n v="107"/>
    <x v="0"/>
  </r>
  <r>
    <d v="2020-04-01T00:00:00"/>
    <n v="18988"/>
    <n v="24232"/>
    <n v="20242"/>
    <n v="9103"/>
    <n v="100"/>
    <x v="0"/>
  </r>
  <r>
    <d v="2020-04-02T00:00:00"/>
    <n v="16097"/>
    <n v="21916"/>
    <n v="17381"/>
    <n v="8095"/>
    <n v="89"/>
    <x v="0"/>
  </r>
  <r>
    <d v="2020-04-03T00:00:00"/>
    <n v="17584"/>
    <n v="22465"/>
    <n v="18822"/>
    <n v="8158"/>
    <n v="92"/>
    <x v="0"/>
  </r>
  <r>
    <d v="2020-04-04T00:00:00"/>
    <n v="15075"/>
    <n v="20446"/>
    <n v="16082"/>
    <n v="6945"/>
    <n v="91"/>
    <x v="0"/>
  </r>
  <r>
    <d v="2020-04-05T00:00:00"/>
    <n v="14318"/>
    <n v="20032"/>
    <n v="15247"/>
    <n v="6881"/>
    <n v="95"/>
    <x v="0"/>
  </r>
  <r>
    <d v="2020-04-06T00:00:00"/>
    <n v="16350"/>
    <n v="22036"/>
    <n v="17404"/>
    <n v="8274"/>
    <n v="92"/>
    <x v="0"/>
  </r>
  <r>
    <d v="2020-04-07T00:00:00"/>
    <n v="30882"/>
    <n v="32583"/>
    <n v="32742"/>
    <n v="13225"/>
    <n v="83"/>
    <x v="0"/>
  </r>
  <r>
    <d v="2020-04-08T00:00:00"/>
    <n v="23459"/>
    <n v="24826"/>
    <n v="24662"/>
    <n v="8982"/>
    <n v="96"/>
    <x v="0"/>
  </r>
  <r>
    <d v="2020-04-09T00:00:00"/>
    <n v="37775"/>
    <n v="41731"/>
    <n v="39371"/>
    <n v="14891"/>
    <n v="60"/>
    <x v="0"/>
  </r>
  <r>
    <d v="2020-04-10T00:00:00"/>
    <n v="59911"/>
    <n v="66116"/>
    <n v="62197"/>
    <n v="22995"/>
    <n v="54"/>
    <x v="0"/>
  </r>
  <r>
    <d v="2020-04-11T00:00:00"/>
    <n v="34484"/>
    <n v="41875"/>
    <n v="36325"/>
    <n v="14338"/>
    <n v="66"/>
    <x v="0"/>
  </r>
  <r>
    <d v="2020-04-12T00:00:00"/>
    <n v="29392"/>
    <n v="37028"/>
    <n v="31142"/>
    <n v="12003"/>
    <n v="79"/>
    <x v="0"/>
  </r>
  <r>
    <d v="2020-04-13T00:00:00"/>
    <n v="24009"/>
    <n v="30853"/>
    <n v="25702"/>
    <n v="10222"/>
    <n v="91"/>
    <x v="0"/>
  </r>
  <r>
    <d v="2020-04-14T00:00:00"/>
    <n v="21789"/>
    <n v="27991"/>
    <n v="23546"/>
    <n v="9360"/>
    <n v="87"/>
    <x v="0"/>
  </r>
  <r>
    <d v="2020-04-15T00:00:00"/>
    <n v="25039"/>
    <n v="31789"/>
    <n v="27023"/>
    <n v="9661"/>
    <n v="80"/>
    <x v="0"/>
  </r>
  <r>
    <d v="2020-04-16T00:00:00"/>
    <n v="24642"/>
    <n v="31949"/>
    <n v="26363"/>
    <n v="10575"/>
    <n v="82"/>
    <x v="0"/>
  </r>
  <r>
    <d v="2020-04-17T00:00:00"/>
    <n v="26872"/>
    <n v="33662"/>
    <n v="28514"/>
    <n v="11272"/>
    <n v="75"/>
    <x v="0"/>
  </r>
  <r>
    <d v="2020-04-18T00:00:00"/>
    <n v="28685"/>
    <n v="35680"/>
    <n v="30333"/>
    <n v="12798"/>
    <n v="70"/>
    <x v="0"/>
  </r>
  <r>
    <d v="2020-04-19T00:00:00"/>
    <n v="22772"/>
    <n v="29453"/>
    <n v="24265"/>
    <n v="10022"/>
    <n v="81"/>
    <x v="0"/>
  </r>
  <r>
    <d v="2020-04-20T00:00:00"/>
    <n v="23122"/>
    <n v="31876"/>
    <n v="24920"/>
    <n v="10778"/>
    <n v="90"/>
    <x v="0"/>
  </r>
  <r>
    <d v="2020-04-21T00:00:00"/>
    <n v="64079"/>
    <n v="84543"/>
    <n v="69876"/>
    <n v="23591"/>
    <n v="95"/>
    <x v="0"/>
  </r>
  <r>
    <d v="2020-04-22T00:00:00"/>
    <n v="46135"/>
    <n v="67713"/>
    <n v="49576"/>
    <n v="15805"/>
    <n v="116"/>
    <x v="0"/>
  </r>
  <r>
    <d v="2020-04-23T00:00:00"/>
    <n v="45185"/>
    <n v="68731"/>
    <n v="49096"/>
    <n v="15083"/>
    <n v="125"/>
    <x v="0"/>
  </r>
  <r>
    <d v="2020-04-24T00:00:00"/>
    <n v="35853"/>
    <n v="48940"/>
    <n v="39106"/>
    <n v="12988"/>
    <n v="103"/>
    <x v="0"/>
  </r>
  <r>
    <d v="2020-04-25T00:00:00"/>
    <n v="38782"/>
    <n v="54324"/>
    <n v="42047"/>
    <n v="12350"/>
    <n v="121"/>
    <x v="0"/>
  </r>
  <r>
    <d v="2020-04-26T00:00:00"/>
    <n v="31371"/>
    <n v="42570"/>
    <n v="33966"/>
    <n v="11559"/>
    <n v="112"/>
    <x v="0"/>
  </r>
  <r>
    <d v="2020-04-27T00:00:00"/>
    <n v="21492"/>
    <n v="30360"/>
    <n v="23091"/>
    <n v="8964"/>
    <n v="119"/>
    <x v="0"/>
  </r>
  <r>
    <d v="2020-04-28T00:00:00"/>
    <n v="20397"/>
    <n v="27741"/>
    <n v="22061"/>
    <n v="9769"/>
    <n v="103"/>
    <x v="0"/>
  </r>
  <r>
    <d v="2020-04-29T00:00:00"/>
    <n v="20771"/>
    <n v="28566"/>
    <n v="22195"/>
    <n v="9911"/>
    <n v="99"/>
    <x v="0"/>
  </r>
  <r>
    <d v="2020-04-30T00:00:00"/>
    <n v="19230"/>
    <n v="26856"/>
    <n v="20799"/>
    <n v="9038"/>
    <n v="97"/>
    <x v="0"/>
  </r>
  <r>
    <d v="2020-05-01T00:00:00"/>
    <n v="18276"/>
    <n v="25436"/>
    <n v="19412"/>
    <n v="8505"/>
    <n v="99"/>
    <x v="0"/>
  </r>
  <r>
    <d v="2020-05-02T00:00:00"/>
    <n v="17143"/>
    <n v="23845"/>
    <n v="18166"/>
    <n v="7561"/>
    <n v="99"/>
    <x v="0"/>
  </r>
  <r>
    <d v="2020-05-03T00:00:00"/>
    <n v="18068"/>
    <n v="24951"/>
    <n v="19365"/>
    <n v="7925"/>
    <n v="95"/>
    <x v="0"/>
  </r>
  <r>
    <d v="2020-05-04T00:00:00"/>
    <n v="18477"/>
    <n v="23477"/>
    <n v="19831"/>
    <n v="7814"/>
    <n v="100"/>
    <x v="0"/>
  </r>
  <r>
    <d v="2020-05-05T00:00:00"/>
    <n v="20217"/>
    <n v="35919"/>
    <n v="21935"/>
    <n v="9533"/>
    <n v="101"/>
    <x v="0"/>
  </r>
  <r>
    <d v="2020-05-06T00:00:00"/>
    <n v="25702"/>
    <n v="44704"/>
    <n v="27667"/>
    <n v="14833"/>
    <n v="84"/>
    <x v="0"/>
  </r>
  <r>
    <d v="2020-05-07T00:00:00"/>
    <n v="22901"/>
    <n v="41383"/>
    <n v="24346"/>
    <n v="11964"/>
    <n v="94"/>
    <x v="0"/>
  </r>
  <r>
    <d v="2020-05-08T00:00:00"/>
    <n v="20690"/>
    <n v="37348"/>
    <n v="22338"/>
    <n v="10535"/>
    <n v="103"/>
    <x v="0"/>
  </r>
  <r>
    <d v="2020-05-09T00:00:00"/>
    <n v="20417"/>
    <n v="36676"/>
    <n v="21986"/>
    <n v="9980"/>
    <n v="106"/>
    <x v="0"/>
  </r>
  <r>
    <d v="2020-05-10T00:00:00"/>
    <n v="18201"/>
    <n v="33186"/>
    <n v="19446"/>
    <n v="9360"/>
    <n v="94"/>
    <x v="0"/>
  </r>
  <r>
    <d v="2020-05-11T00:00:00"/>
    <n v="18382"/>
    <n v="33614"/>
    <n v="19754"/>
    <n v="9546"/>
    <n v="98"/>
    <x v="0"/>
  </r>
  <r>
    <d v="2020-05-12T00:00:00"/>
    <n v="17456"/>
    <n v="32518"/>
    <n v="18748"/>
    <n v="8827"/>
    <n v="95"/>
    <x v="0"/>
  </r>
  <r>
    <d v="2020-05-13T00:00:00"/>
    <n v="18307"/>
    <n v="34197"/>
    <n v="19862"/>
    <n v="8891"/>
    <n v="99"/>
    <x v="0"/>
  </r>
  <r>
    <d v="2020-05-14T00:00:00"/>
    <n v="23339"/>
    <n v="39684"/>
    <n v="24683"/>
    <n v="10886"/>
    <n v="85"/>
    <x v="0"/>
  </r>
  <r>
    <d v="2020-05-15T00:00:00"/>
    <n v="24307"/>
    <n v="40751"/>
    <n v="25877"/>
    <n v="10988"/>
    <n v="78"/>
    <x v="0"/>
  </r>
  <r>
    <d v="2020-05-16T00:00:00"/>
    <n v="22974"/>
    <n v="37936"/>
    <n v="24286"/>
    <n v="10477"/>
    <n v="77"/>
    <x v="0"/>
  </r>
  <r>
    <d v="2020-05-17T00:00:00"/>
    <n v="19652"/>
    <n v="33729"/>
    <n v="20745"/>
    <n v="8906"/>
    <n v="86"/>
    <x v="0"/>
  </r>
  <r>
    <d v="2020-05-18T00:00:00"/>
    <n v="17842"/>
    <n v="32873"/>
    <n v="19081"/>
    <n v="8961"/>
    <n v="93"/>
    <x v="0"/>
  </r>
  <r>
    <d v="2020-05-19T00:00:00"/>
    <n v="17582"/>
    <n v="32037"/>
    <n v="18723"/>
    <n v="8855"/>
    <n v="88"/>
    <x v="0"/>
  </r>
  <r>
    <d v="2020-05-20T00:00:00"/>
    <n v="18808"/>
    <n v="34488"/>
    <n v="20236"/>
    <n v="9522"/>
    <n v="93"/>
    <x v="0"/>
  </r>
  <r>
    <d v="2020-05-21T00:00:00"/>
    <n v="19197"/>
    <n v="34716"/>
    <n v="20620"/>
    <n v="9877"/>
    <n v="86"/>
    <x v="0"/>
  </r>
  <r>
    <d v="2020-05-22T00:00:00"/>
    <n v="18912"/>
    <n v="33561"/>
    <n v="20010"/>
    <n v="9487"/>
    <n v="84"/>
    <x v="0"/>
  </r>
  <r>
    <d v="2020-05-23T00:00:00"/>
    <n v="16808"/>
    <n v="30077"/>
    <n v="17918"/>
    <n v="8340"/>
    <n v="84"/>
    <x v="0"/>
  </r>
  <r>
    <d v="2020-05-24T00:00:00"/>
    <n v="16070"/>
    <n v="28483"/>
    <n v="16947"/>
    <n v="7859"/>
    <n v="85"/>
    <x v="0"/>
  </r>
  <r>
    <d v="2020-05-25T00:00:00"/>
    <n v="16047"/>
    <n v="29415"/>
    <n v="17177"/>
    <n v="7792"/>
    <n v="92"/>
    <x v="0"/>
  </r>
  <r>
    <d v="2020-05-26T00:00:00"/>
    <n v="26587"/>
    <n v="48552"/>
    <n v="28423"/>
    <n v="12160"/>
    <n v="106"/>
    <x v="0"/>
  </r>
  <r>
    <d v="2020-05-27T00:00:00"/>
    <n v="27123"/>
    <n v="44770"/>
    <n v="29156"/>
    <n v="14054"/>
    <n v="102"/>
    <x v="0"/>
  </r>
  <r>
    <d v="2020-05-28T00:00:00"/>
    <n v="20603"/>
    <n v="35983"/>
    <n v="22404"/>
    <n v="10795"/>
    <n v="90"/>
    <x v="0"/>
  </r>
  <r>
    <d v="2020-05-29T00:00:00"/>
    <n v="21668"/>
    <n v="37088"/>
    <n v="23274"/>
    <n v="9464"/>
    <n v="117"/>
    <x v="0"/>
  </r>
  <r>
    <d v="2020-05-30T00:00:00"/>
    <n v="21981"/>
    <n v="35284"/>
    <n v="23259"/>
    <n v="9860"/>
    <n v="102"/>
    <x v="0"/>
  </r>
  <r>
    <d v="2020-05-31T00:00:00"/>
    <n v="17602"/>
    <n v="29880"/>
    <n v="18760"/>
    <n v="7996"/>
    <n v="93"/>
    <x v="0"/>
  </r>
  <r>
    <d v="2020-06-01T00:00:00"/>
    <n v="15862"/>
    <n v="28598"/>
    <n v="17168"/>
    <n v="8114"/>
    <n v="91"/>
    <x v="0"/>
  </r>
  <r>
    <d v="2020-06-02T00:00:00"/>
    <n v="13375"/>
    <n v="23992"/>
    <n v="14175"/>
    <n v="6579"/>
    <n v="91"/>
    <x v="0"/>
  </r>
  <r>
    <d v="2020-06-03T00:00:00"/>
    <n v="13735"/>
    <n v="26006"/>
    <n v="14885"/>
    <n v="6606"/>
    <n v="95"/>
    <x v="0"/>
  </r>
  <r>
    <d v="2020-06-04T00:00:00"/>
    <n v="27496"/>
    <n v="45073"/>
    <n v="29073"/>
    <n v="11653"/>
    <n v="85"/>
    <x v="0"/>
  </r>
  <r>
    <d v="2020-06-05T00:00:00"/>
    <n v="48315"/>
    <n v="84975"/>
    <n v="61681"/>
    <n v="32944"/>
    <n v="119"/>
    <x v="0"/>
  </r>
  <r>
    <d v="2020-06-06T00:00:00"/>
    <n v="21293"/>
    <n v="34355"/>
    <n v="22312"/>
    <n v="8035"/>
    <n v="76"/>
    <x v="0"/>
  </r>
  <r>
    <d v="2020-06-07T00:00:00"/>
    <n v="16361"/>
    <n v="28845"/>
    <n v="17410"/>
    <n v="7710"/>
    <n v="85"/>
    <x v="0"/>
  </r>
  <r>
    <d v="2020-06-08T00:00:00"/>
    <n v="19655"/>
    <n v="34801"/>
    <n v="20928"/>
    <n v="8930"/>
    <n v="88"/>
    <x v="0"/>
  </r>
  <r>
    <d v="2020-06-09T00:00:00"/>
    <n v="23422"/>
    <n v="41381"/>
    <n v="25258"/>
    <n v="11857"/>
    <n v="88"/>
    <x v="0"/>
  </r>
  <r>
    <d v="2020-06-10T00:00:00"/>
    <n v="29706"/>
    <n v="53417"/>
    <n v="32190"/>
    <n v="13485"/>
    <n v="91"/>
    <x v="0"/>
  </r>
  <r>
    <d v="2020-06-11T00:00:00"/>
    <n v="24169"/>
    <n v="43314"/>
    <n v="25810"/>
    <n v="10792"/>
    <n v="88"/>
    <x v="0"/>
  </r>
  <r>
    <d v="2020-06-12T00:00:00"/>
    <n v="21841"/>
    <n v="37740"/>
    <n v="23290"/>
    <n v="10306"/>
    <n v="79"/>
    <x v="0"/>
  </r>
  <r>
    <d v="2020-06-13T00:00:00"/>
    <n v="18297"/>
    <n v="31078"/>
    <n v="19471"/>
    <n v="8648"/>
    <n v="76"/>
    <x v="0"/>
  </r>
  <r>
    <d v="2020-06-14T00:00:00"/>
    <n v="16177"/>
    <n v="28864"/>
    <n v="17332"/>
    <n v="7386"/>
    <n v="81"/>
    <x v="0"/>
  </r>
  <r>
    <d v="2020-06-15T00:00:00"/>
    <n v="20985"/>
    <n v="38959"/>
    <n v="22628"/>
    <n v="9764"/>
    <n v="88"/>
    <x v="0"/>
  </r>
  <r>
    <d v="2020-06-16T00:00:00"/>
    <n v="21380"/>
    <n v="39155"/>
    <n v="22994"/>
    <n v="10490"/>
    <n v="85"/>
    <x v="0"/>
  </r>
  <r>
    <d v="2020-06-17T00:00:00"/>
    <n v="22351"/>
    <n v="38691"/>
    <n v="24136"/>
    <n v="13242"/>
    <n v="79"/>
    <x v="0"/>
  </r>
  <r>
    <d v="2020-06-18T00:00:00"/>
    <n v="23241"/>
    <n v="40393"/>
    <n v="24778"/>
    <n v="13113"/>
    <n v="77"/>
    <x v="0"/>
  </r>
  <r>
    <d v="2020-06-19T00:00:00"/>
    <n v="23572"/>
    <n v="42255"/>
    <n v="25011"/>
    <n v="12206"/>
    <n v="72"/>
    <x v="0"/>
  </r>
  <r>
    <d v="2020-06-20T00:00:00"/>
    <n v="29808"/>
    <n v="52223"/>
    <n v="31650"/>
    <n v="15838"/>
    <n v="64"/>
    <x v="0"/>
  </r>
  <r>
    <d v="2020-06-21T00:00:00"/>
    <n v="27455"/>
    <n v="47797"/>
    <n v="28851"/>
    <n v="14363"/>
    <n v="65"/>
    <x v="0"/>
  </r>
  <r>
    <d v="2020-06-22T00:00:00"/>
    <n v="28339"/>
    <n v="52348"/>
    <n v="30352"/>
    <n v="14788"/>
    <n v="74"/>
    <x v="0"/>
  </r>
  <r>
    <d v="2020-06-23T00:00:00"/>
    <n v="24640"/>
    <n v="43860"/>
    <n v="26255"/>
    <n v="12763"/>
    <n v="74"/>
    <x v="0"/>
  </r>
  <r>
    <d v="2020-06-24T00:00:00"/>
    <n v="23164"/>
    <n v="40684"/>
    <n v="24684"/>
    <n v="11656"/>
    <n v="84"/>
    <x v="0"/>
  </r>
  <r>
    <d v="2020-06-25T00:00:00"/>
    <n v="20832"/>
    <n v="37499"/>
    <n v="22355"/>
    <n v="10823"/>
    <n v="81"/>
    <x v="0"/>
  </r>
  <r>
    <d v="2020-06-26T00:00:00"/>
    <n v="19324"/>
    <n v="34472"/>
    <n v="20770"/>
    <n v="9850"/>
    <n v="75"/>
    <x v="0"/>
  </r>
  <r>
    <d v="2020-06-27T00:00:00"/>
    <n v="18136"/>
    <n v="32023"/>
    <n v="19323"/>
    <n v="9264"/>
    <n v="75"/>
    <x v="0"/>
  </r>
  <r>
    <d v="2020-06-28T00:00:00"/>
    <n v="20536"/>
    <n v="36420"/>
    <n v="21772"/>
    <n v="10175"/>
    <n v="76"/>
    <x v="0"/>
  </r>
  <r>
    <d v="2020-06-29T00:00:00"/>
    <n v="26433"/>
    <n v="45409"/>
    <n v="27907"/>
    <n v="11459"/>
    <n v="87"/>
    <x v="0"/>
  </r>
  <r>
    <d v="2020-06-30T00:00:00"/>
    <n v="35064"/>
    <n v="56582"/>
    <n v="38086"/>
    <n v="14062"/>
    <n v="139"/>
    <x v="0"/>
  </r>
  <r>
    <d v="2020-07-01T00:00:00"/>
    <n v="24986"/>
    <n v="42994"/>
    <n v="26822"/>
    <n v="10981"/>
    <n v="107"/>
    <x v="0"/>
  </r>
  <r>
    <d v="2020-07-02T00:00:00"/>
    <n v="18807"/>
    <n v="33232"/>
    <n v="20055"/>
    <n v="8686"/>
    <n v="92"/>
    <x v="0"/>
  </r>
  <r>
    <d v="2020-07-03T00:00:00"/>
    <n v="17396"/>
    <n v="30603"/>
    <n v="18432"/>
    <n v="7959"/>
    <n v="84"/>
    <x v="0"/>
  </r>
  <r>
    <d v="2020-07-04T00:00:00"/>
    <n v="16752"/>
    <n v="28733"/>
    <n v="17608"/>
    <n v="8137"/>
    <n v="77"/>
    <x v="0"/>
  </r>
  <r>
    <d v="2020-07-05T00:00:00"/>
    <n v="16869"/>
    <n v="29572"/>
    <n v="18098"/>
    <n v="8552"/>
    <n v="78"/>
    <x v="0"/>
  </r>
  <r>
    <d v="2020-07-06T00:00:00"/>
    <n v="19477"/>
    <n v="35569"/>
    <n v="20966"/>
    <n v="9574"/>
    <n v="91"/>
    <x v="0"/>
  </r>
  <r>
    <d v="2020-07-07T00:00:00"/>
    <n v="17648"/>
    <n v="31629"/>
    <n v="18972"/>
    <n v="8722"/>
    <n v="90"/>
    <x v="0"/>
  </r>
  <r>
    <d v="2020-07-08T00:00:00"/>
    <n v="29782"/>
    <n v="60872"/>
    <n v="32323"/>
    <n v="12739"/>
    <n v="86"/>
    <x v="0"/>
  </r>
  <r>
    <d v="2020-07-09T00:00:00"/>
    <n v="21380"/>
    <n v="38811"/>
    <n v="22975"/>
    <n v="10551"/>
    <n v="89"/>
    <x v="0"/>
  </r>
  <r>
    <d v="2020-07-10T00:00:00"/>
    <n v="16371"/>
    <n v="28987"/>
    <n v="17417"/>
    <n v="8484"/>
    <n v="80"/>
    <x v="0"/>
  </r>
  <r>
    <d v="2020-07-11T00:00:00"/>
    <n v="14982"/>
    <n v="26435"/>
    <n v="16021"/>
    <n v="7747"/>
    <n v="82"/>
    <x v="0"/>
  </r>
  <r>
    <d v="2020-07-12T00:00:00"/>
    <n v="14076"/>
    <n v="25318"/>
    <n v="15095"/>
    <n v="7216"/>
    <n v="86"/>
    <x v="0"/>
  </r>
  <r>
    <d v="2020-07-13T00:00:00"/>
    <n v="14342"/>
    <n v="26365"/>
    <n v="15397"/>
    <n v="7242"/>
    <n v="90"/>
    <x v="0"/>
  </r>
  <r>
    <d v="2020-07-14T00:00:00"/>
    <n v="14802"/>
    <n v="27524"/>
    <n v="16145"/>
    <n v="7623"/>
    <n v="93"/>
    <x v="0"/>
  </r>
  <r>
    <d v="2020-07-15T00:00:00"/>
    <n v="15204"/>
    <n v="28213"/>
    <n v="16537"/>
    <n v="7856"/>
    <n v="93"/>
    <x v="0"/>
  </r>
  <r>
    <d v="2020-07-16T00:00:00"/>
    <n v="15185"/>
    <n v="27360"/>
    <n v="16590"/>
    <n v="8156"/>
    <n v="90"/>
    <x v="0"/>
  </r>
  <r>
    <d v="2020-07-17T00:00:00"/>
    <n v="18814"/>
    <n v="32114"/>
    <n v="20145"/>
    <n v="9745"/>
    <n v="103"/>
    <x v="0"/>
  </r>
  <r>
    <d v="2020-07-18T00:00:00"/>
    <n v="16224"/>
    <n v="27987"/>
    <n v="17553"/>
    <n v="8319"/>
    <n v="97"/>
    <x v="0"/>
  </r>
  <r>
    <d v="2020-07-19T00:00:00"/>
    <n v="17271"/>
    <n v="29618"/>
    <n v="18326"/>
    <n v="8267"/>
    <n v="88"/>
    <x v="0"/>
  </r>
  <r>
    <d v="2020-07-20T00:00:00"/>
    <n v="15790"/>
    <n v="29030"/>
    <n v="16990"/>
    <n v="7729"/>
    <n v="96"/>
    <x v="0"/>
  </r>
  <r>
    <d v="2020-07-21T00:00:00"/>
    <n v="17879"/>
    <n v="31519"/>
    <n v="18997"/>
    <n v="8143"/>
    <n v="104"/>
    <x v="0"/>
  </r>
  <r>
    <d v="2020-07-22T00:00:00"/>
    <n v="17955"/>
    <n v="31411"/>
    <n v="19111"/>
    <n v="8243"/>
    <n v="97"/>
    <x v="0"/>
  </r>
  <r>
    <d v="2020-07-23T00:00:00"/>
    <n v="22184"/>
    <n v="35867"/>
    <n v="23298"/>
    <n v="9166"/>
    <n v="81"/>
    <x v="0"/>
  </r>
  <r>
    <d v="2020-07-24T00:00:00"/>
    <n v="18907"/>
    <n v="32744"/>
    <n v="20051"/>
    <n v="9224"/>
    <n v="83"/>
    <x v="0"/>
  </r>
  <r>
    <d v="2020-07-25T00:00:00"/>
    <n v="17242"/>
    <n v="30466"/>
    <n v="18316"/>
    <n v="8327"/>
    <n v="88"/>
    <x v="0"/>
  </r>
  <r>
    <d v="2020-07-26T00:00:00"/>
    <n v="16431"/>
    <n v="28503"/>
    <n v="17479"/>
    <n v="8071"/>
    <n v="79"/>
    <x v="0"/>
  </r>
  <r>
    <d v="2020-07-27T00:00:00"/>
    <n v="15994"/>
    <n v="29142"/>
    <n v="17086"/>
    <n v="7747"/>
    <n v="90"/>
    <x v="0"/>
  </r>
  <r>
    <d v="2020-07-28T00:00:00"/>
    <n v="16399"/>
    <n v="30388"/>
    <n v="17477"/>
    <n v="7855"/>
    <n v="85"/>
    <x v="0"/>
  </r>
  <r>
    <d v="2020-07-29T00:00:00"/>
    <n v="18741"/>
    <n v="33459"/>
    <n v="19872"/>
    <n v="8796"/>
    <n v="84"/>
    <x v="0"/>
  </r>
  <r>
    <d v="2020-07-30T00:00:00"/>
    <n v="23396"/>
    <n v="39715"/>
    <n v="24676"/>
    <n v="9432"/>
    <n v="71"/>
    <x v="0"/>
  </r>
  <r>
    <d v="2020-07-31T00:00:00"/>
    <n v="18489"/>
    <n v="32087"/>
    <n v="19543"/>
    <n v="8148"/>
    <n v="74"/>
    <x v="0"/>
  </r>
  <r>
    <d v="2020-08-01T00:00:00"/>
    <n v="16783"/>
    <n v="28577"/>
    <n v="17593"/>
    <n v="7423"/>
    <n v="73"/>
    <x v="0"/>
  </r>
  <r>
    <d v="2020-08-02T00:00:00"/>
    <n v="15668"/>
    <n v="27637"/>
    <n v="16573"/>
    <n v="7352"/>
    <n v="76"/>
    <x v="0"/>
  </r>
  <r>
    <d v="2020-08-03T00:00:00"/>
    <n v="15107"/>
    <n v="28168"/>
    <n v="16213"/>
    <n v="7682"/>
    <n v="81"/>
    <x v="0"/>
  </r>
  <r>
    <d v="2020-08-04T00:00:00"/>
    <n v="15052"/>
    <n v="27217"/>
    <n v="16151"/>
    <n v="7666"/>
    <n v="89"/>
    <x v="0"/>
  </r>
  <r>
    <d v="2020-08-05T00:00:00"/>
    <n v="14392"/>
    <n v="26982"/>
    <n v="15454"/>
    <n v="7414"/>
    <n v="95"/>
    <x v="0"/>
  </r>
  <r>
    <d v="2020-08-06T00:00:00"/>
    <n v="15105"/>
    <n v="28705"/>
    <n v="16552"/>
    <n v="7696"/>
    <n v="94"/>
    <x v="0"/>
  </r>
  <r>
    <d v="2020-08-07T00:00:00"/>
    <n v="15608"/>
    <n v="28365"/>
    <n v="16562"/>
    <n v="7460"/>
    <n v="85"/>
    <x v="0"/>
  </r>
  <r>
    <d v="2020-08-08T00:00:00"/>
    <n v="18067"/>
    <n v="31331"/>
    <n v="19119"/>
    <n v="8656"/>
    <n v="76"/>
    <x v="0"/>
  </r>
  <r>
    <d v="2020-08-09T00:00:00"/>
    <n v="15609"/>
    <n v="27194"/>
    <n v="16507"/>
    <n v="7610"/>
    <n v="77"/>
    <x v="0"/>
  </r>
  <r>
    <d v="2020-08-10T00:00:00"/>
    <n v="15440"/>
    <n v="27626"/>
    <n v="16267"/>
    <n v="7480"/>
    <n v="83"/>
    <x v="0"/>
  </r>
  <r>
    <d v="2020-08-11T00:00:00"/>
    <n v="15179"/>
    <n v="28015"/>
    <n v="16243"/>
    <n v="7591"/>
    <n v="91"/>
    <x v="0"/>
  </r>
  <r>
    <d v="2020-08-12T00:00:00"/>
    <n v="15505"/>
    <n v="28978"/>
    <n v="16659"/>
    <n v="8012"/>
    <n v="89"/>
    <x v="0"/>
  </r>
  <r>
    <d v="2020-08-13T00:00:00"/>
    <n v="18518"/>
    <n v="34109"/>
    <n v="19966"/>
    <n v="8991"/>
    <n v="91"/>
    <x v="0"/>
  </r>
  <r>
    <d v="2020-08-14T00:00:00"/>
    <n v="17607"/>
    <n v="31522"/>
    <n v="18648"/>
    <n v="8549"/>
    <n v="84"/>
    <x v="0"/>
  </r>
  <r>
    <d v="2020-08-15T00:00:00"/>
    <n v="15198"/>
    <n v="26650"/>
    <n v="16221"/>
    <n v="7566"/>
    <n v="87"/>
    <x v="0"/>
  </r>
  <r>
    <d v="2020-08-16T00:00:00"/>
    <n v="18845"/>
    <n v="32584"/>
    <n v="19945"/>
    <n v="8830"/>
    <n v="82"/>
    <x v="0"/>
  </r>
  <r>
    <d v="2020-08-17T00:00:00"/>
    <n v="20149"/>
    <n v="34144"/>
    <n v="21464"/>
    <n v="10091"/>
    <n v="108"/>
    <x v="0"/>
  </r>
  <r>
    <d v="2020-08-18T00:00:00"/>
    <n v="16633"/>
    <n v="29941"/>
    <n v="17981"/>
    <n v="8407"/>
    <n v="100"/>
    <x v="0"/>
  </r>
  <r>
    <d v="2020-08-19T00:00:00"/>
    <n v="17390"/>
    <n v="30874"/>
    <n v="18507"/>
    <n v="8416"/>
    <n v="96"/>
    <x v="0"/>
  </r>
  <r>
    <d v="2020-08-20T00:00:00"/>
    <n v="23890"/>
    <n v="40386"/>
    <n v="25341"/>
    <n v="11052"/>
    <n v="106"/>
    <x v="0"/>
  </r>
  <r>
    <d v="2020-08-21T00:00:00"/>
    <n v="63836"/>
    <n v="99296"/>
    <n v="68023"/>
    <n v="22537"/>
    <n v="118"/>
    <x v="0"/>
  </r>
  <r>
    <d v="2020-08-22T00:00:00"/>
    <n v="31064"/>
    <n v="54059"/>
    <n v="32496"/>
    <n v="13005"/>
    <n v="99"/>
    <x v="0"/>
  </r>
  <r>
    <d v="2020-08-23T00:00:00"/>
    <n v="24374"/>
    <n v="47142"/>
    <n v="25923"/>
    <n v="10720"/>
    <n v="85"/>
    <x v="0"/>
  </r>
  <r>
    <d v="2020-08-24T00:00:00"/>
    <n v="19051"/>
    <n v="36209"/>
    <n v="20382"/>
    <n v="8789"/>
    <n v="82"/>
    <x v="0"/>
  </r>
  <r>
    <d v="2020-08-25T00:00:00"/>
    <n v="17617"/>
    <n v="32245"/>
    <n v="18817"/>
    <n v="8303"/>
    <n v="90"/>
    <x v="0"/>
  </r>
  <r>
    <d v="2020-08-26T00:00:00"/>
    <n v="16292"/>
    <n v="29901"/>
    <n v="17442"/>
    <n v="8001"/>
    <n v="82"/>
    <x v="0"/>
  </r>
  <r>
    <d v="2020-08-27T00:00:00"/>
    <n v="15185"/>
    <n v="28378"/>
    <n v="16268"/>
    <n v="7609"/>
    <n v="80"/>
    <x v="0"/>
  </r>
  <r>
    <d v="2020-08-28T00:00:00"/>
    <n v="15579"/>
    <n v="28805"/>
    <n v="16751"/>
    <n v="7599"/>
    <n v="84"/>
    <x v="0"/>
  </r>
  <r>
    <d v="2020-08-29T00:00:00"/>
    <n v="17340"/>
    <n v="29594"/>
    <n v="18249"/>
    <n v="8570"/>
    <n v="78"/>
    <x v="0"/>
  </r>
  <r>
    <d v="2020-08-30T00:00:00"/>
    <n v="26580"/>
    <n v="43533"/>
    <n v="27777"/>
    <n v="13342"/>
    <n v="77"/>
    <x v="0"/>
  </r>
  <r>
    <d v="2020-08-31T00:00:00"/>
    <n v="28489"/>
    <n v="49997"/>
    <n v="29939"/>
    <n v="12940"/>
    <n v="79"/>
    <x v="0"/>
  </r>
  <r>
    <d v="2020-09-01T00:00:00"/>
    <n v="24444"/>
    <n v="44794"/>
    <n v="26226"/>
    <n v="12022"/>
    <n v="86"/>
    <x v="0"/>
  </r>
  <r>
    <d v="2020-09-02T00:00:00"/>
    <n v="25389"/>
    <n v="47134"/>
    <n v="27168"/>
    <n v="12101"/>
    <n v="83"/>
    <x v="0"/>
  </r>
  <r>
    <d v="2020-09-03T00:00:00"/>
    <n v="25754"/>
    <n v="48723"/>
    <n v="27196"/>
    <n v="11619"/>
    <n v="85"/>
    <x v="0"/>
  </r>
  <r>
    <d v="2020-09-04T00:00:00"/>
    <n v="24490"/>
    <n v="44844"/>
    <n v="25848"/>
    <n v="11156"/>
    <n v="80"/>
    <x v="0"/>
  </r>
  <r>
    <d v="2020-09-05T00:00:00"/>
    <n v="20222"/>
    <n v="35989"/>
    <n v="21380"/>
    <n v="9530"/>
    <n v="81"/>
    <x v="0"/>
  </r>
  <r>
    <d v="2020-09-06T00:00:00"/>
    <n v="20543"/>
    <n v="34324"/>
    <n v="21443"/>
    <n v="9755"/>
    <n v="90"/>
    <x v="0"/>
  </r>
  <r>
    <d v="2020-09-07T00:00:00"/>
    <n v="18803"/>
    <n v="32470"/>
    <n v="19678"/>
    <n v="8551"/>
    <n v="95"/>
    <x v="0"/>
  </r>
  <r>
    <d v="2020-09-08T00:00:00"/>
    <n v="16430"/>
    <n v="30171"/>
    <n v="17492"/>
    <n v="8148"/>
    <n v="85"/>
    <x v="0"/>
  </r>
  <r>
    <d v="2020-09-09T00:00:00"/>
    <n v="24942"/>
    <n v="41787"/>
    <n v="25973"/>
    <n v="10268"/>
    <n v="88"/>
    <x v="0"/>
  </r>
  <r>
    <d v="2020-09-10T00:00:00"/>
    <n v="24601"/>
    <n v="42931"/>
    <n v="26156"/>
    <n v="11462"/>
    <n v="88"/>
    <x v="0"/>
  </r>
  <r>
    <d v="2020-09-11T00:00:00"/>
    <n v="19487"/>
    <n v="35094"/>
    <n v="20521"/>
    <n v="8385"/>
    <n v="83"/>
    <x v="0"/>
  </r>
  <r>
    <d v="2020-09-12T00:00:00"/>
    <n v="17581"/>
    <n v="30172"/>
    <n v="18700"/>
    <n v="7927"/>
    <n v="72"/>
    <x v="0"/>
  </r>
  <r>
    <d v="2020-09-13T00:00:00"/>
    <n v="16829"/>
    <n v="30457"/>
    <n v="17905"/>
    <n v="7891"/>
    <n v="79"/>
    <x v="0"/>
  </r>
  <r>
    <d v="2020-09-14T00:00:00"/>
    <n v="17142"/>
    <n v="32163"/>
    <n v="18301"/>
    <n v="8172"/>
    <n v="93"/>
    <x v="0"/>
  </r>
  <r>
    <d v="2020-09-15T00:00:00"/>
    <n v="16621"/>
    <n v="31054"/>
    <n v="17803"/>
    <n v="7855"/>
    <n v="94"/>
    <x v="0"/>
  </r>
  <r>
    <d v="2020-09-16T00:00:00"/>
    <n v="20877"/>
    <n v="38227"/>
    <n v="22222"/>
    <n v="10425"/>
    <n v="82"/>
    <x v="0"/>
  </r>
  <r>
    <d v="2020-09-17T00:00:00"/>
    <n v="20512"/>
    <n v="37859"/>
    <n v="21946"/>
    <n v="9766"/>
    <n v="81"/>
    <x v="0"/>
  </r>
  <r>
    <d v="2020-09-18T00:00:00"/>
    <n v="203599"/>
    <n v="382632"/>
    <n v="242593"/>
    <n v="29985"/>
    <n v="69"/>
    <x v="0"/>
  </r>
  <r>
    <d v="2020-09-19T00:00:00"/>
    <n v="98663"/>
    <n v="166622"/>
    <n v="108305"/>
    <n v="19506"/>
    <n v="59"/>
    <x v="0"/>
  </r>
  <r>
    <d v="2020-09-20T00:00:00"/>
    <n v="54400"/>
    <n v="93627"/>
    <n v="59552"/>
    <n v="15282"/>
    <n v="62"/>
    <x v="0"/>
  </r>
  <r>
    <d v="2020-09-21T00:00:00"/>
    <n v="38523"/>
    <n v="70581"/>
    <n v="42353"/>
    <n v="13990"/>
    <n v="76"/>
    <x v="0"/>
  </r>
  <r>
    <d v="2020-09-22T00:00:00"/>
    <n v="37235"/>
    <n v="63629"/>
    <n v="40488"/>
    <n v="13309"/>
    <n v="75"/>
    <x v="0"/>
  </r>
  <r>
    <d v="2020-09-23T00:00:00"/>
    <n v="26278"/>
    <n v="46667"/>
    <n v="28131"/>
    <n v="11410"/>
    <n v="87"/>
    <x v="0"/>
  </r>
  <r>
    <d v="2020-09-24T00:00:00"/>
    <n v="30034"/>
    <n v="52409"/>
    <n v="32376"/>
    <n v="12216"/>
    <n v="101"/>
    <x v="0"/>
  </r>
  <r>
    <d v="2020-09-25T00:00:00"/>
    <n v="37147"/>
    <n v="66274"/>
    <n v="42189"/>
    <n v="15956"/>
    <n v="142"/>
    <x v="0"/>
  </r>
  <r>
    <d v="2020-09-26T00:00:00"/>
    <n v="36219"/>
    <n v="58412"/>
    <n v="39910"/>
    <n v="16100"/>
    <n v="109"/>
    <x v="0"/>
  </r>
  <r>
    <d v="2020-09-27T00:00:00"/>
    <n v="24538"/>
    <n v="42013"/>
    <n v="26612"/>
    <n v="11412"/>
    <n v="101"/>
    <x v="0"/>
  </r>
  <r>
    <d v="2020-09-28T00:00:00"/>
    <n v="24366"/>
    <n v="44509"/>
    <n v="25932"/>
    <n v="10002"/>
    <n v="90"/>
    <x v="0"/>
  </r>
  <r>
    <d v="2020-09-29T00:00:00"/>
    <n v="75836"/>
    <n v="146462"/>
    <n v="81578"/>
    <n v="19204"/>
    <n v="171"/>
    <x v="0"/>
  </r>
  <r>
    <d v="2020-09-30T00:00:00"/>
    <n v="43438"/>
    <n v="91877"/>
    <n v="48359"/>
    <n v="17158"/>
    <n v="110"/>
    <x v="0"/>
  </r>
  <r>
    <d v="2020-10-01T00:00:00"/>
    <n v="41020"/>
    <n v="76997"/>
    <n v="43465"/>
    <n v="17799"/>
    <n v="85"/>
    <x v="0"/>
  </r>
  <r>
    <d v="2020-10-02T00:00:00"/>
    <n v="34921"/>
    <n v="67067"/>
    <n v="37492"/>
    <n v="16280"/>
    <n v="84"/>
    <x v="0"/>
  </r>
  <r>
    <d v="2020-10-03T00:00:00"/>
    <n v="28152"/>
    <n v="51979"/>
    <n v="29803"/>
    <n v="12449"/>
    <n v="79"/>
    <x v="0"/>
  </r>
  <r>
    <d v="2020-10-04T00:00:00"/>
    <n v="24607"/>
    <n v="45997"/>
    <n v="26375"/>
    <n v="10951"/>
    <n v="81"/>
    <x v="0"/>
  </r>
  <r>
    <d v="2020-10-05T00:00:00"/>
    <n v="22575"/>
    <n v="44417"/>
    <n v="24434"/>
    <n v="10485"/>
    <n v="90"/>
    <x v="0"/>
  </r>
  <r>
    <d v="2020-10-06T00:00:00"/>
    <n v="28241"/>
    <n v="52151"/>
    <n v="30107"/>
    <n v="12615"/>
    <n v="104"/>
    <x v="0"/>
  </r>
  <r>
    <d v="2020-10-07T00:00:00"/>
    <n v="37612"/>
    <n v="71687"/>
    <n v="40733"/>
    <n v="15389"/>
    <n v="144"/>
    <x v="0"/>
  </r>
  <r>
    <d v="2020-10-08T00:00:00"/>
    <n v="31984"/>
    <n v="58043"/>
    <n v="33973"/>
    <n v="14388"/>
    <n v="113"/>
    <x v="0"/>
  </r>
  <r>
    <d v="2020-10-09T00:00:00"/>
    <n v="25040"/>
    <n v="46936"/>
    <n v="27021"/>
    <n v="11422"/>
    <n v="97"/>
    <x v="0"/>
  </r>
  <r>
    <d v="2020-10-10T00:00:00"/>
    <n v="22129"/>
    <n v="39559"/>
    <n v="23781"/>
    <n v="9560"/>
    <n v="92"/>
    <x v="0"/>
  </r>
  <r>
    <d v="2020-10-11T00:00:00"/>
    <n v="21476"/>
    <n v="40992"/>
    <n v="23184"/>
    <n v="9302"/>
    <n v="93"/>
    <x v="0"/>
  </r>
  <r>
    <d v="2020-10-12T00:00:00"/>
    <n v="27364"/>
    <n v="53377"/>
    <n v="29733"/>
    <n v="12931"/>
    <n v="92"/>
    <x v="0"/>
  </r>
  <r>
    <d v="2020-10-13T00:00:00"/>
    <n v="23155"/>
    <n v="43879"/>
    <n v="24752"/>
    <n v="10711"/>
    <n v="82"/>
    <x v="0"/>
  </r>
  <r>
    <d v="2020-10-14T00:00:00"/>
    <n v="22916"/>
    <n v="43410"/>
    <n v="24444"/>
    <n v="10333"/>
    <n v="80"/>
    <x v="0"/>
  </r>
  <r>
    <d v="2020-10-15T00:00:00"/>
    <n v="21944"/>
    <n v="41694"/>
    <n v="23463"/>
    <n v="9970"/>
    <n v="86"/>
    <x v="0"/>
  </r>
  <r>
    <d v="2020-10-16T00:00:00"/>
    <n v="24022"/>
    <n v="44842"/>
    <n v="25633"/>
    <n v="11023"/>
    <n v="83"/>
    <x v="0"/>
  </r>
  <r>
    <d v="2020-10-17T00:00:00"/>
    <n v="20469"/>
    <n v="37718"/>
    <n v="21780"/>
    <n v="9216"/>
    <n v="80"/>
    <x v="0"/>
  </r>
  <r>
    <d v="2020-10-18T00:00:00"/>
    <n v="18254"/>
    <n v="34564"/>
    <n v="19425"/>
    <n v="8190"/>
    <n v="83"/>
    <x v="0"/>
  </r>
  <r>
    <d v="2020-10-19T00:00:00"/>
    <n v="17963"/>
    <n v="34833"/>
    <n v="19150"/>
    <n v="8151"/>
    <n v="87"/>
    <x v="0"/>
  </r>
  <r>
    <d v="2020-10-20T00:00:00"/>
    <n v="17177"/>
    <n v="33673"/>
    <n v="18261"/>
    <n v="8004"/>
    <n v="91"/>
    <x v="0"/>
  </r>
  <r>
    <d v="2020-10-21T00:00:00"/>
    <n v="34674"/>
    <n v="66396"/>
    <n v="37000"/>
    <n v="15189"/>
    <n v="77"/>
    <x v="0"/>
  </r>
  <r>
    <d v="2020-10-22T00:00:00"/>
    <n v="25334"/>
    <n v="48598"/>
    <n v="27390"/>
    <n v="11948"/>
    <n v="84"/>
    <x v="0"/>
  </r>
  <r>
    <d v="2020-10-23T00:00:00"/>
    <n v="20083"/>
    <n v="38755"/>
    <n v="21310"/>
    <n v="9068"/>
    <n v="83"/>
    <x v="0"/>
  </r>
  <r>
    <d v="2020-10-24T00:00:00"/>
    <n v="19208"/>
    <n v="37695"/>
    <n v="20524"/>
    <n v="8407"/>
    <n v="82"/>
    <x v="0"/>
  </r>
  <r>
    <d v="2020-10-25T00:00:00"/>
    <n v="17880"/>
    <n v="34580"/>
    <n v="19086"/>
    <n v="8108"/>
    <n v="79"/>
    <x v="0"/>
  </r>
  <r>
    <d v="2020-10-26T00:00:00"/>
    <n v="29907"/>
    <n v="53516"/>
    <n v="32148"/>
    <n v="13541"/>
    <n v="119"/>
    <x v="0"/>
  </r>
  <r>
    <d v="2020-10-27T00:00:00"/>
    <n v="20512"/>
    <n v="39791"/>
    <n v="22144"/>
    <n v="9857"/>
    <n v="90"/>
    <x v="0"/>
  </r>
  <r>
    <d v="2020-10-28T00:00:00"/>
    <n v="21173"/>
    <n v="43393"/>
    <n v="22735"/>
    <n v="9838"/>
    <n v="82"/>
    <x v="0"/>
  </r>
  <r>
    <d v="2020-10-29T00:00:00"/>
    <n v="19574"/>
    <n v="38305"/>
    <n v="20930"/>
    <n v="9339"/>
    <n v="86"/>
    <x v="0"/>
  </r>
  <r>
    <d v="2020-10-30T00:00:00"/>
    <n v="17623"/>
    <n v="32898"/>
    <n v="18684"/>
    <n v="8567"/>
    <n v="79"/>
    <x v="0"/>
  </r>
  <r>
    <d v="2020-10-31T00:00:00"/>
    <n v="13141"/>
    <n v="24495"/>
    <n v="14002"/>
    <n v="6157"/>
    <n v="76"/>
    <x v="0"/>
  </r>
  <r>
    <d v="2020-11-01T00:00:00"/>
    <n v="14584"/>
    <n v="27731"/>
    <n v="15478"/>
    <n v="6752"/>
    <n v="86"/>
    <x v="0"/>
  </r>
  <r>
    <d v="2020-11-02T00:00:00"/>
    <n v="15014"/>
    <n v="29404"/>
    <n v="16137"/>
    <n v="7112"/>
    <n v="85"/>
    <x v="0"/>
  </r>
  <r>
    <d v="2020-11-03T00:00:00"/>
    <n v="13986"/>
    <n v="26426"/>
    <n v="14984"/>
    <n v="6295"/>
    <n v="85"/>
    <x v="0"/>
  </r>
  <r>
    <d v="2020-11-04T00:00:00"/>
    <n v="13576"/>
    <n v="26365"/>
    <n v="14579"/>
    <n v="6487"/>
    <n v="83"/>
    <x v="0"/>
  </r>
  <r>
    <d v="2020-11-05T00:00:00"/>
    <n v="13514"/>
    <n v="27232"/>
    <n v="14694"/>
    <n v="6520"/>
    <n v="88"/>
    <x v="0"/>
  </r>
  <r>
    <d v="2020-11-06T00:00:00"/>
    <n v="14861"/>
    <n v="28090"/>
    <n v="15797"/>
    <n v="6872"/>
    <n v="81"/>
    <x v="0"/>
  </r>
  <r>
    <d v="2020-11-07T00:00:00"/>
    <n v="13135"/>
    <n v="25767"/>
    <n v="13984"/>
    <n v="5706"/>
    <n v="74"/>
    <x v="0"/>
  </r>
  <r>
    <d v="2020-11-08T00:00:00"/>
    <n v="13600"/>
    <n v="26410"/>
    <n v="14409"/>
    <n v="5996"/>
    <n v="85"/>
    <x v="0"/>
  </r>
  <r>
    <d v="2020-11-09T00:00:00"/>
    <n v="18814"/>
    <n v="34866"/>
    <n v="19966"/>
    <n v="8013"/>
    <n v="80"/>
    <x v="0"/>
  </r>
  <r>
    <d v="2020-11-10T00:00:00"/>
    <n v="16962"/>
    <n v="33261"/>
    <n v="18232"/>
    <n v="7649"/>
    <n v="83"/>
    <x v="0"/>
  </r>
  <r>
    <d v="2020-11-11T00:00:00"/>
    <n v="17079"/>
    <n v="33553"/>
    <n v="18490"/>
    <n v="7996"/>
    <n v="83"/>
    <x v="0"/>
  </r>
  <r>
    <d v="2020-11-12T00:00:00"/>
    <n v="18830"/>
    <n v="35501"/>
    <n v="20505"/>
    <n v="8873"/>
    <n v="89"/>
    <x v="0"/>
  </r>
  <r>
    <d v="2020-11-13T00:00:00"/>
    <n v="16319"/>
    <n v="30687"/>
    <n v="17412"/>
    <n v="7704"/>
    <n v="84"/>
    <x v="0"/>
  </r>
  <r>
    <d v="2020-11-14T00:00:00"/>
    <n v="15983"/>
    <n v="30682"/>
    <n v="17289"/>
    <n v="7405"/>
    <n v="78"/>
    <x v="0"/>
  </r>
  <r>
    <d v="2020-11-15T00:00:00"/>
    <n v="17175"/>
    <n v="32326"/>
    <n v="18273"/>
    <n v="7651"/>
    <n v="80"/>
    <x v="0"/>
  </r>
  <r>
    <d v="2020-11-16T00:00:00"/>
    <n v="20858"/>
    <n v="41662"/>
    <n v="22350"/>
    <n v="8925"/>
    <n v="88"/>
    <x v="0"/>
  </r>
  <r>
    <d v="2020-11-17T00:00:00"/>
    <n v="25041"/>
    <n v="51792"/>
    <n v="27188"/>
    <n v="10846"/>
    <n v="91"/>
    <x v="0"/>
  </r>
  <r>
    <d v="2020-11-18T00:00:00"/>
    <n v="25803"/>
    <n v="50872"/>
    <n v="27947"/>
    <n v="11378"/>
    <n v="80"/>
    <x v="0"/>
  </r>
  <r>
    <d v="2020-11-19T00:00:00"/>
    <n v="61532"/>
    <n v="106845"/>
    <n v="67141"/>
    <n v="25044"/>
    <n v="73"/>
    <x v="0"/>
  </r>
  <r>
    <d v="2020-11-20T00:00:00"/>
    <n v="42261"/>
    <n v="75620"/>
    <n v="44995"/>
    <n v="17967"/>
    <n v="65"/>
    <x v="0"/>
  </r>
  <r>
    <d v="2020-11-21T00:00:00"/>
    <n v="24891"/>
    <n v="48028"/>
    <n v="26896"/>
    <n v="11230"/>
    <n v="77"/>
    <x v="0"/>
  </r>
  <r>
    <d v="2020-11-22T00:00:00"/>
    <n v="32299"/>
    <n v="60680"/>
    <n v="34794"/>
    <n v="13323"/>
    <n v="69"/>
    <x v="0"/>
  </r>
  <r>
    <d v="2020-11-23T00:00:00"/>
    <n v="63653"/>
    <n v="140266"/>
    <n v="70828"/>
    <n v="26688"/>
    <n v="88"/>
    <x v="1"/>
  </r>
  <r>
    <d v="2020-11-24T00:00:00"/>
    <n v="1958933"/>
    <n v="4148435"/>
    <n v="2261918"/>
    <n v="630849"/>
    <n v="198"/>
    <x v="0"/>
  </r>
  <r>
    <d v="2020-11-25T00:00:00"/>
    <n v="762775"/>
    <n v="1441502"/>
    <n v="856904"/>
    <n v="330937"/>
    <n v="116"/>
    <x v="0"/>
  </r>
  <r>
    <d v="2020-11-26T00:00:00"/>
    <n v="260940"/>
    <n v="505559"/>
    <n v="290319"/>
    <n v="118915"/>
    <n v="109"/>
    <x v="0"/>
  </r>
  <r>
    <d v="2020-11-27T00:00:00"/>
    <n v="141310"/>
    <n v="283121"/>
    <n v="156211"/>
    <n v="62891"/>
    <n v="112"/>
    <x v="0"/>
  </r>
  <r>
    <d v="2020-11-28T00:00:00"/>
    <n v="113877"/>
    <n v="227719"/>
    <n v="125883"/>
    <n v="51071"/>
    <n v="112"/>
    <x v="0"/>
  </r>
  <r>
    <d v="2020-11-29T00:00:00"/>
    <n v="94497"/>
    <n v="189935"/>
    <n v="104784"/>
    <n v="41694"/>
    <n v="111"/>
    <x v="0"/>
  </r>
  <r>
    <d v="2020-11-30T00:00:00"/>
    <n v="92980"/>
    <n v="194194"/>
    <n v="100948"/>
    <n v="37331"/>
    <n v="105"/>
    <x v="0"/>
  </r>
  <r>
    <d v="2020-12-01T00:00:00"/>
    <n v="76758"/>
    <n v="163418"/>
    <n v="83983"/>
    <n v="32544"/>
    <n v="104"/>
    <x v="0"/>
  </r>
  <r>
    <d v="2020-12-02T00:00:00"/>
    <n v="63844"/>
    <n v="137753"/>
    <n v="71479"/>
    <n v="29650"/>
    <n v="103"/>
    <x v="0"/>
  </r>
  <r>
    <d v="2020-12-03T00:00:00"/>
    <n v="51087"/>
    <n v="107078"/>
    <n v="55955"/>
    <n v="23770"/>
    <n v="101"/>
    <x v="0"/>
  </r>
  <r>
    <d v="2020-12-04T00:00:00"/>
    <n v="48800"/>
    <n v="99890"/>
    <n v="52657"/>
    <n v="22701"/>
    <n v="100"/>
    <x v="0"/>
  </r>
  <r>
    <d v="2020-12-05T00:00:00"/>
    <n v="43764"/>
    <n v="87082"/>
    <n v="47498"/>
    <n v="20800"/>
    <n v="97"/>
    <x v="0"/>
  </r>
  <r>
    <d v="2020-12-06T00:00:00"/>
    <n v="42409"/>
    <n v="87619"/>
    <n v="46342"/>
    <n v="19515"/>
    <n v="96"/>
    <x v="0"/>
  </r>
  <r>
    <d v="2020-12-07T00:00:00"/>
    <n v="43390"/>
    <n v="96172"/>
    <n v="47278"/>
    <n v="19030"/>
    <n v="101"/>
    <x v="0"/>
  </r>
  <r>
    <d v="2020-12-08T00:00:00"/>
    <n v="43146"/>
    <n v="90214"/>
    <n v="46608"/>
    <n v="18737"/>
    <n v="98"/>
    <x v="0"/>
  </r>
  <r>
    <d v="2020-12-09T00:00:00"/>
    <n v="38797"/>
    <n v="83490"/>
    <n v="42421"/>
    <n v="17546"/>
    <n v="99"/>
    <x v="0"/>
  </r>
  <r>
    <d v="2020-12-10T00:00:00"/>
    <n v="44347"/>
    <n v="92506"/>
    <n v="47998"/>
    <n v="20500"/>
    <n v="96"/>
    <x v="0"/>
  </r>
  <r>
    <d v="2020-12-11T00:00:00"/>
    <n v="43634"/>
    <n v="97289"/>
    <n v="48654"/>
    <n v="19146"/>
    <n v="115"/>
    <x v="0"/>
  </r>
  <r>
    <d v="2020-12-12T00:00:00"/>
    <n v="37815"/>
    <n v="77135"/>
    <n v="41338"/>
    <n v="16978"/>
    <n v="99"/>
    <x v="0"/>
  </r>
  <r>
    <d v="2020-12-13T00:00:00"/>
    <n v="34527"/>
    <n v="68666"/>
    <n v="37085"/>
    <n v="15439"/>
    <n v="96"/>
    <x v="0"/>
  </r>
  <r>
    <d v="2020-12-14T00:00:00"/>
    <n v="32447"/>
    <n v="68981"/>
    <n v="35488"/>
    <n v="14451"/>
    <n v="102"/>
    <x v="0"/>
  </r>
  <r>
    <d v="2020-12-15T00:00:00"/>
    <n v="47318"/>
    <n v="103196"/>
    <n v="51756"/>
    <n v="20646"/>
    <n v="100"/>
    <x v="0"/>
  </r>
  <r>
    <d v="2020-12-16T00:00:00"/>
    <n v="39080"/>
    <n v="79662"/>
    <n v="43112"/>
    <n v="19629"/>
    <n v="96"/>
    <x v="0"/>
  </r>
  <r>
    <d v="2020-12-17T00:00:00"/>
    <n v="36052"/>
    <n v="72926"/>
    <n v="38693"/>
    <n v="17304"/>
    <n v="92"/>
    <x v="0"/>
  </r>
  <r>
    <d v="2020-12-18T00:00:00"/>
    <n v="34217"/>
    <n v="68546"/>
    <n v="36939"/>
    <n v="16220"/>
    <n v="91"/>
    <x v="0"/>
  </r>
  <r>
    <d v="2020-12-19T00:00:00"/>
    <n v="30628"/>
    <n v="60462"/>
    <n v="33394"/>
    <n v="14978"/>
    <n v="93"/>
    <x v="0"/>
  </r>
  <r>
    <d v="2020-12-20T00:00:00"/>
    <n v="32345"/>
    <n v="64112"/>
    <n v="35669"/>
    <n v="15991"/>
    <n v="97"/>
    <x v="0"/>
  </r>
  <r>
    <d v="2020-12-21T00:00:00"/>
    <n v="30430"/>
    <n v="60128"/>
    <n v="32715"/>
    <n v="14706"/>
    <n v="95"/>
    <x v="0"/>
  </r>
  <r>
    <d v="2020-12-22T00:00:00"/>
    <n v="30528"/>
    <n v="59146"/>
    <n v="33100"/>
    <n v="14919"/>
    <n v="92"/>
    <x v="0"/>
  </r>
  <r>
    <d v="2020-12-23T00:00:00"/>
    <n v="27639"/>
    <n v="52727"/>
    <n v="29873"/>
    <n v="13850"/>
    <n v="93"/>
    <x v="0"/>
  </r>
  <r>
    <d v="2020-12-24T00:00:00"/>
    <n v="24138"/>
    <n v="44714"/>
    <n v="25710"/>
    <n v="12130"/>
    <n v="87"/>
    <x v="0"/>
  </r>
  <r>
    <d v="2020-12-25T00:00:00"/>
    <n v="23066"/>
    <n v="42606"/>
    <n v="24926"/>
    <n v="12025"/>
    <n v="83"/>
    <x v="0"/>
  </r>
  <r>
    <d v="2020-12-26T00:00:00"/>
    <n v="27622"/>
    <n v="53539"/>
    <n v="30223"/>
    <n v="14003"/>
    <n v="90"/>
    <x v="0"/>
  </r>
  <r>
    <d v="2020-12-27T00:00:00"/>
    <n v="31899"/>
    <n v="59573"/>
    <n v="33770"/>
    <n v="15484"/>
    <n v="96"/>
    <x v="0"/>
  </r>
  <r>
    <d v="2020-12-28T00:00:00"/>
    <n v="34809"/>
    <n v="67685"/>
    <n v="37855"/>
    <n v="17296"/>
    <n v="89"/>
    <x v="0"/>
  </r>
  <r>
    <d v="2020-12-29T00:00:00"/>
    <n v="37251"/>
    <n v="70736"/>
    <n v="39980"/>
    <n v="16888"/>
    <n v="99"/>
    <x v="0"/>
  </r>
  <r>
    <d v="2020-12-30T00:00:00"/>
    <n v="47761"/>
    <n v="84979"/>
    <n v="50686"/>
    <n v="22769"/>
    <n v="97"/>
    <x v="0"/>
  </r>
  <r>
    <d v="2020-12-31T00:00:00"/>
    <n v="60092"/>
    <n v="104198"/>
    <n v="64141"/>
    <n v="26542"/>
    <n v="97"/>
    <x v="0"/>
  </r>
  <r>
    <d v="2021-01-01T00:00:00"/>
    <n v="40258"/>
    <n v="73036"/>
    <n v="42932"/>
    <n v="18659"/>
    <n v="105"/>
    <x v="0"/>
  </r>
  <r>
    <d v="2021-01-02T00:00:00"/>
    <n v="37616"/>
    <n v="72572"/>
    <n v="41253"/>
    <n v="19229"/>
    <n v="91"/>
    <x v="0"/>
  </r>
  <r>
    <d v="2021-01-03T00:00:00"/>
    <n v="52820"/>
    <n v="97686"/>
    <n v="57161"/>
    <n v="27524"/>
    <n v="89"/>
    <x v="0"/>
  </r>
  <r>
    <d v="2021-01-04T00:00:00"/>
    <n v="51998"/>
    <n v="111180"/>
    <n v="56799"/>
    <n v="23163"/>
    <n v="99"/>
    <x v="0"/>
  </r>
  <r>
    <d v="2021-01-05T00:00:00"/>
    <n v="68607"/>
    <n v="134845"/>
    <n v="73893"/>
    <n v="28169"/>
    <n v="113"/>
    <x v="0"/>
  </r>
  <r>
    <d v="2021-01-06T00:00:00"/>
    <n v="42536"/>
    <n v="89142"/>
    <n v="46318"/>
    <n v="18472"/>
    <n v="99"/>
    <x v="0"/>
  </r>
  <r>
    <d v="2021-01-07T00:00:00"/>
    <n v="53905"/>
    <n v="101276"/>
    <n v="58359"/>
    <n v="21045"/>
    <n v="121"/>
    <x v="0"/>
  </r>
  <r>
    <d v="2021-01-08T00:00:00"/>
    <n v="46932"/>
    <n v="84378"/>
    <n v="50215"/>
    <n v="20086"/>
    <n v="101"/>
    <x v="0"/>
  </r>
  <r>
    <d v="2021-01-09T00:00:00"/>
    <n v="33569"/>
    <n v="61814"/>
    <n v="35796"/>
    <n v="15661"/>
    <n v="95"/>
    <x v="0"/>
  </r>
  <r>
    <d v="2021-01-10T00:00:00"/>
    <n v="29415"/>
    <n v="58413"/>
    <n v="31787"/>
    <n v="14232"/>
    <n v="94"/>
    <x v="0"/>
  </r>
  <r>
    <d v="2021-01-11T00:00:00"/>
    <n v="28714"/>
    <n v="58685"/>
    <n v="30709"/>
    <n v="14130"/>
    <n v="92"/>
    <x v="0"/>
  </r>
  <r>
    <d v="2021-01-12T00:00:00"/>
    <n v="64897"/>
    <n v="110033"/>
    <n v="69036"/>
    <n v="28961"/>
    <n v="129"/>
    <x v="0"/>
  </r>
  <r>
    <d v="2021-01-13T00:00:00"/>
    <n v="39162"/>
    <n v="73050"/>
    <n v="42086"/>
    <n v="18603"/>
    <n v="98"/>
    <x v="0"/>
  </r>
  <r>
    <d v="2021-01-14T00:00:00"/>
    <n v="29025"/>
    <n v="56357"/>
    <n v="31616"/>
    <n v="14215"/>
    <n v="96"/>
    <x v="0"/>
  </r>
  <r>
    <d v="2021-01-15T00:00:00"/>
    <n v="27081"/>
    <n v="52345"/>
    <n v="28903"/>
    <n v="13042"/>
    <n v="94"/>
    <x v="0"/>
  </r>
  <r>
    <d v="2021-01-16T00:00:00"/>
    <n v="35318"/>
    <n v="68794"/>
    <n v="37345"/>
    <n v="14479"/>
    <n v="91"/>
    <x v="0"/>
  </r>
  <r>
    <d v="2021-01-17T00:00:00"/>
    <n v="30540"/>
    <n v="59273"/>
    <n v="33259"/>
    <n v="14774"/>
    <n v="88"/>
    <x v="0"/>
  </r>
  <r>
    <d v="2021-01-18T00:00:00"/>
    <n v="27897"/>
    <n v="56048"/>
    <n v="30360"/>
    <n v="13708"/>
    <n v="90"/>
    <x v="0"/>
  </r>
  <r>
    <d v="2021-01-19T00:00:00"/>
    <n v="30789"/>
    <n v="62492"/>
    <n v="33507"/>
    <n v="15243"/>
    <n v="94"/>
    <x v="0"/>
  </r>
  <r>
    <d v="2021-01-20T00:00:00"/>
    <n v="34055"/>
    <n v="73428"/>
    <n v="36975"/>
    <n v="14949"/>
    <n v="89"/>
    <x v="0"/>
  </r>
  <r>
    <d v="2021-01-21T00:00:00"/>
    <n v="28723"/>
    <n v="66901"/>
    <n v="31016"/>
    <n v="12205"/>
    <n v="91"/>
    <x v="0"/>
  </r>
  <r>
    <d v="2021-01-22T00:00:00"/>
    <n v="26986"/>
    <n v="55672"/>
    <n v="29219"/>
    <n v="12915"/>
    <n v="91"/>
    <x v="0"/>
  </r>
  <r>
    <d v="2021-01-23T00:00:00"/>
    <n v="26181"/>
    <n v="50255"/>
    <n v="28164"/>
    <n v="12559"/>
    <n v="85"/>
    <x v="0"/>
  </r>
  <r>
    <d v="2021-01-24T00:00:00"/>
    <n v="27607"/>
    <n v="54100"/>
    <n v="30227"/>
    <n v="13606"/>
    <n v="94"/>
    <x v="0"/>
  </r>
  <r>
    <d v="2021-01-25T00:00:00"/>
    <n v="28697"/>
    <n v="61356"/>
    <n v="31127"/>
    <n v="13236"/>
    <n v="96"/>
    <x v="0"/>
  </r>
  <r>
    <d v="2021-01-26T00:00:00"/>
    <n v="30624"/>
    <n v="64845"/>
    <n v="33059"/>
    <n v="14735"/>
    <n v="95"/>
    <x v="0"/>
  </r>
  <r>
    <d v="2021-01-27T00:00:00"/>
    <n v="28918"/>
    <n v="61156"/>
    <n v="31438"/>
    <n v="14387"/>
    <n v="93"/>
    <x v="0"/>
  </r>
  <r>
    <d v="2021-01-28T00:00:00"/>
    <n v="29339"/>
    <n v="62821"/>
    <n v="32152"/>
    <n v="14411"/>
    <n v="97"/>
    <x v="0"/>
  </r>
  <r>
    <d v="2021-01-29T00:00:00"/>
    <n v="32113"/>
    <n v="66109"/>
    <n v="34666"/>
    <n v="15562"/>
    <n v="93"/>
    <x v="0"/>
  </r>
  <r>
    <d v="2021-01-30T00:00:00"/>
    <n v="39955"/>
    <n v="75401"/>
    <n v="42248"/>
    <n v="20516"/>
    <n v="83"/>
    <x v="0"/>
  </r>
  <r>
    <d v="2021-01-31T00:00:00"/>
    <n v="45327"/>
    <n v="88713"/>
    <n v="49140"/>
    <n v="23632"/>
    <n v="83"/>
    <x v="0"/>
  </r>
  <r>
    <d v="2021-02-01T00:00:00"/>
    <n v="36153"/>
    <n v="74128"/>
    <n v="38762"/>
    <n v="17273"/>
    <n v="89"/>
    <x v="0"/>
  </r>
  <r>
    <d v="2021-02-02T00:00:00"/>
    <n v="32165"/>
    <n v="65706"/>
    <n v="34989"/>
    <n v="15735"/>
    <n v="90"/>
    <x v="0"/>
  </r>
  <r>
    <d v="2021-02-03T00:00:00"/>
    <n v="37163"/>
    <n v="73039"/>
    <n v="39661"/>
    <n v="18114"/>
    <n v="88"/>
    <x v="0"/>
  </r>
  <r>
    <d v="2021-02-04T00:00:00"/>
    <n v="32797"/>
    <n v="65509"/>
    <n v="35561"/>
    <n v="16202"/>
    <n v="95"/>
    <x v="0"/>
  </r>
  <r>
    <d v="2021-02-05T00:00:00"/>
    <n v="33624"/>
    <n v="66410"/>
    <n v="36262"/>
    <n v="16532"/>
    <n v="92"/>
    <x v="0"/>
  </r>
  <r>
    <d v="2021-02-06T00:00:00"/>
    <n v="33292"/>
    <n v="63643"/>
    <n v="35552"/>
    <n v="16248"/>
    <n v="88"/>
    <x v="0"/>
  </r>
  <r>
    <d v="2021-02-07T00:00:00"/>
    <n v="46467"/>
    <n v="86636"/>
    <n v="49416"/>
    <n v="23241"/>
    <n v="91"/>
    <x v="0"/>
  </r>
  <r>
    <d v="2021-02-08T00:00:00"/>
    <n v="36737"/>
    <n v="78679"/>
    <n v="40407"/>
    <n v="18075"/>
    <n v="92"/>
    <x v="0"/>
  </r>
  <r>
    <d v="2021-02-09T00:00:00"/>
    <n v="33478"/>
    <n v="69823"/>
    <n v="36131"/>
    <n v="16476"/>
    <n v="91"/>
    <x v="0"/>
  </r>
  <r>
    <d v="2021-02-10T00:00:00"/>
    <n v="36115"/>
    <n v="74597"/>
    <n v="39444"/>
    <n v="18086"/>
    <n v="80"/>
    <x v="0"/>
  </r>
  <r>
    <d v="2021-02-11T00:00:00"/>
    <n v="35117"/>
    <n v="73269"/>
    <n v="38237"/>
    <n v="17345"/>
    <n v="88"/>
    <x v="0"/>
  </r>
  <r>
    <d v="2021-02-12T00:00:00"/>
    <n v="31024"/>
    <n v="62657"/>
    <n v="33771"/>
    <n v="15457"/>
    <n v="94"/>
    <x v="0"/>
  </r>
  <r>
    <d v="2021-02-13T00:00:00"/>
    <n v="43253"/>
    <n v="78489"/>
    <n v="47351"/>
    <n v="24850"/>
    <n v="66"/>
    <x v="0"/>
  </r>
  <r>
    <d v="2021-02-14T00:00:00"/>
    <n v="27848"/>
    <n v="54855"/>
    <n v="30274"/>
    <n v="14029"/>
    <n v="88"/>
    <x v="0"/>
  </r>
  <r>
    <d v="2021-02-15T00:00:00"/>
    <n v="30025"/>
    <n v="61121"/>
    <n v="32589"/>
    <n v="14734"/>
    <n v="89"/>
    <x v="0"/>
  </r>
  <r>
    <d v="2021-02-16T00:00:00"/>
    <n v="40727"/>
    <n v="82037"/>
    <n v="44217"/>
    <n v="21180"/>
    <n v="87"/>
    <x v="0"/>
  </r>
  <r>
    <d v="2021-02-17T00:00:00"/>
    <n v="36765"/>
    <n v="74326"/>
    <n v="39900"/>
    <n v="19579"/>
    <n v="88"/>
    <x v="0"/>
  </r>
  <r>
    <d v="2021-02-18T00:00:00"/>
    <n v="41094"/>
    <n v="79060"/>
    <n v="44632"/>
    <n v="22062"/>
    <n v="90"/>
    <x v="0"/>
  </r>
  <r>
    <d v="2021-02-19T00:00:00"/>
    <n v="40017"/>
    <n v="77273"/>
    <n v="43171"/>
    <n v="21409"/>
    <n v="81"/>
    <x v="0"/>
  </r>
  <r>
    <d v="2021-02-20T00:00:00"/>
    <n v="39861"/>
    <n v="73759"/>
    <n v="43075"/>
    <n v="19173"/>
    <n v="86"/>
    <x v="0"/>
  </r>
  <r>
    <d v="2021-02-21T00:00:00"/>
    <n v="39107"/>
    <n v="77081"/>
    <n v="42827"/>
    <n v="19662"/>
    <n v="86"/>
    <x v="0"/>
  </r>
  <r>
    <d v="2021-02-22T00:00:00"/>
    <n v="44411"/>
    <n v="91137"/>
    <n v="48047"/>
    <n v="21708"/>
    <n v="90"/>
    <x v="0"/>
  </r>
  <r>
    <d v="2021-02-23T00:00:00"/>
    <n v="40381"/>
    <n v="82465"/>
    <n v="43739"/>
    <n v="20584"/>
    <n v="89"/>
    <x v="0"/>
  </r>
  <r>
    <d v="2021-02-24T00:00:00"/>
    <n v="41689"/>
    <n v="84093"/>
    <n v="45637"/>
    <n v="21929"/>
    <n v="89"/>
    <x v="0"/>
  </r>
  <r>
    <d v="2021-02-25T00:00:00"/>
    <n v="44507"/>
    <n v="92221"/>
    <n v="49002"/>
    <n v="23815"/>
    <n v="89"/>
    <x v="0"/>
  </r>
  <r>
    <d v="2021-02-26T00:00:00"/>
    <n v="50087"/>
    <n v="97920"/>
    <n v="53820"/>
    <n v="26082"/>
    <n v="82"/>
    <x v="0"/>
  </r>
  <r>
    <d v="2021-02-27T00:00:00"/>
    <n v="41470"/>
    <n v="76732"/>
    <n v="44062"/>
    <n v="21463"/>
    <n v="87"/>
    <x v="0"/>
  </r>
  <r>
    <d v="2021-02-28T00:00:00"/>
    <n v="57598"/>
    <n v="109205"/>
    <n v="62383"/>
    <n v="30549"/>
    <n v="87"/>
    <x v="0"/>
  </r>
  <r>
    <d v="2021-03-01T00:00:00"/>
    <n v="60583"/>
    <n v="128453"/>
    <n v="66476"/>
    <n v="31145"/>
    <n v="92"/>
    <x v="0"/>
  </r>
  <r>
    <d v="2021-03-02T00:00:00"/>
    <n v="72866"/>
    <n v="145950"/>
    <n v="79774"/>
    <n v="36090"/>
    <n v="91"/>
    <x v="0"/>
  </r>
  <r>
    <d v="2021-03-03T00:00:00"/>
    <n v="81467"/>
    <n v="162861"/>
    <n v="87919"/>
    <n v="38650"/>
    <n v="88"/>
    <x v="0"/>
  </r>
  <r>
    <d v="2021-03-04T00:00:00"/>
    <n v="94367"/>
    <n v="189496"/>
    <n v="103438"/>
    <n v="44106"/>
    <n v="88"/>
    <x v="0"/>
  </r>
  <r>
    <d v="2021-03-05T00:00:00"/>
    <n v="92324"/>
    <n v="183052"/>
    <n v="102226"/>
    <n v="47996"/>
    <n v="88"/>
    <x v="0"/>
  </r>
  <r>
    <d v="2021-03-06T00:00:00"/>
    <n v="97176"/>
    <n v="187155"/>
    <n v="109275"/>
    <n v="54179"/>
    <n v="85"/>
    <x v="0"/>
  </r>
  <r>
    <d v="2021-03-07T00:00:00"/>
    <n v="582099"/>
    <n v="1115885"/>
    <n v="665492"/>
    <n v="285563"/>
    <n v="79"/>
    <x v="0"/>
  </r>
  <r>
    <d v="2021-03-08T00:00:00"/>
    <n v="324136"/>
    <n v="652820"/>
    <n v="363088"/>
    <n v="147087"/>
    <n v="79"/>
    <x v="0"/>
  </r>
  <r>
    <d v="2021-03-09T00:00:00"/>
    <n v="251019"/>
    <n v="524922"/>
    <n v="279366"/>
    <n v="116692"/>
    <n v="88"/>
    <x v="0"/>
  </r>
  <r>
    <d v="2021-03-10T00:00:00"/>
    <n v="246802"/>
    <n v="507277"/>
    <n v="273740"/>
    <n v="109934"/>
    <n v="108"/>
    <x v="0"/>
  </r>
  <r>
    <d v="2021-03-11T00:00:00"/>
    <n v="278768"/>
    <n v="607396"/>
    <n v="314160"/>
    <n v="129654"/>
    <n v="100"/>
    <x v="0"/>
  </r>
  <r>
    <d v="2021-03-12T00:00:00"/>
    <n v="450745"/>
    <n v="958929"/>
    <n v="503666"/>
    <n v="187868"/>
    <n v="91"/>
    <x v="0"/>
  </r>
  <r>
    <d v="2021-03-13T00:00:00"/>
    <n v="615568"/>
    <n v="1393434"/>
    <n v="713174"/>
    <n v="256173"/>
    <n v="98"/>
    <x v="0"/>
  </r>
  <r>
    <d v="2021-03-14T00:00:00"/>
    <n v="3241751"/>
    <n v="8182910"/>
    <n v="4255163"/>
    <n v="1276549"/>
    <n v="246"/>
    <x v="1"/>
  </r>
  <r>
    <d v="2021-03-15T00:00:00"/>
    <n v="642500"/>
    <n v="812061"/>
    <n v="693603"/>
    <n v="238392"/>
    <n v="112"/>
    <x v="0"/>
  </r>
  <r>
    <d v="2021-03-16T00:00:00"/>
    <n v="613586"/>
    <n v="1077837"/>
    <n v="674664"/>
    <n v="208404"/>
    <n v="197"/>
    <x v="0"/>
  </r>
  <r>
    <d v="2021-03-17T00:00:00"/>
    <n v="441504"/>
    <n v="767342"/>
    <n v="480114"/>
    <n v="159302"/>
    <n v="177"/>
    <x v="0"/>
  </r>
  <r>
    <d v="2021-03-18T00:00:00"/>
    <n v="272107"/>
    <n v="497278"/>
    <n v="296177"/>
    <n v="113703"/>
    <n v="148"/>
    <x v="0"/>
  </r>
  <r>
    <d v="2021-03-19T00:00:00"/>
    <n v="226618"/>
    <n v="394333"/>
    <n v="240710"/>
    <n v="109933"/>
    <n v="125"/>
    <x v="0"/>
  </r>
  <r>
    <d v="2021-03-20T00:00:00"/>
    <n v="152729"/>
    <n v="273866"/>
    <n v="166331"/>
    <n v="73070"/>
    <n v="128"/>
    <x v="0"/>
  </r>
  <r>
    <d v="2021-03-21T00:00:00"/>
    <n v="104240"/>
    <n v="195150"/>
    <n v="113248"/>
    <n v="48788"/>
    <n v="128"/>
    <x v="0"/>
  </r>
  <r>
    <d v="2021-03-22T00:00:00"/>
    <n v="80498"/>
    <n v="155519"/>
    <n v="86778"/>
    <n v="37445"/>
    <n v="121"/>
    <x v="0"/>
  </r>
  <r>
    <d v="2021-03-23T00:00:00"/>
    <n v="64607"/>
    <n v="126309"/>
    <n v="70251"/>
    <n v="32211"/>
    <n v="113"/>
    <x v="0"/>
  </r>
  <r>
    <d v="2021-03-24T00:00:00"/>
    <n v="58285"/>
    <n v="112012"/>
    <n v="62957"/>
    <n v="29131"/>
    <n v="103"/>
    <x v="0"/>
  </r>
  <r>
    <d v="2021-03-25T00:00:00"/>
    <n v="62862"/>
    <n v="110626"/>
    <n v="67395"/>
    <n v="29951"/>
    <n v="111"/>
    <x v="0"/>
  </r>
  <r>
    <d v="2021-03-26T00:00:00"/>
    <n v="64985"/>
    <n v="103938"/>
    <n v="69565"/>
    <n v="30922"/>
    <n v="105"/>
    <x v="0"/>
  </r>
  <r>
    <d v="2021-03-27T00:00:00"/>
    <n v="47201"/>
    <n v="79078"/>
    <n v="50797"/>
    <n v="24429"/>
    <n v="101"/>
    <x v="0"/>
  </r>
  <r>
    <d v="2021-03-28T00:00:00"/>
    <n v="42852"/>
    <n v="76808"/>
    <n v="46500"/>
    <n v="22093"/>
    <n v="101"/>
    <x v="0"/>
  </r>
  <r>
    <d v="2021-03-29T00:00:00"/>
    <n v="40352"/>
    <n v="73935"/>
    <n v="43221"/>
    <n v="20193"/>
    <n v="106"/>
    <x v="0"/>
  </r>
  <r>
    <d v="2021-03-30T00:00:00"/>
    <n v="40188"/>
    <n v="72635"/>
    <n v="43001"/>
    <n v="19630"/>
    <n v="107"/>
    <x v="0"/>
  </r>
  <r>
    <d v="2021-03-31T00:00:00"/>
    <n v="45491"/>
    <n v="77430"/>
    <n v="48744"/>
    <n v="23383"/>
    <n v="96"/>
    <x v="0"/>
  </r>
  <r>
    <d v="2021-04-01T00:00:00"/>
    <n v="45032"/>
    <n v="75574"/>
    <n v="48641"/>
    <n v="23475"/>
    <n v="103"/>
    <x v="0"/>
  </r>
  <r>
    <d v="2021-04-02T00:00:00"/>
    <n v="39160"/>
    <n v="65835"/>
    <n v="42204"/>
    <n v="20377"/>
    <n v="96"/>
    <x v="0"/>
  </r>
  <r>
    <d v="2021-04-03T00:00:00"/>
    <n v="36510"/>
    <n v="60600"/>
    <n v="38740"/>
    <n v="18487"/>
    <n v="94"/>
    <x v="0"/>
  </r>
  <r>
    <d v="2021-04-04T00:00:00"/>
    <n v="32923"/>
    <n v="55530"/>
    <n v="35243"/>
    <n v="17270"/>
    <n v="91"/>
    <x v="0"/>
  </r>
  <r>
    <d v="2021-04-05T00:00:00"/>
    <n v="29312"/>
    <n v="53494"/>
    <n v="31728"/>
    <n v="15411"/>
    <n v="97"/>
    <x v="0"/>
  </r>
  <r>
    <d v="2021-04-06T00:00:00"/>
    <n v="29227"/>
    <n v="53140"/>
    <n v="31497"/>
    <n v="14949"/>
    <n v="104"/>
    <x v="0"/>
  </r>
  <r>
    <d v="2021-04-07T00:00:00"/>
    <n v="27971"/>
    <n v="50761"/>
    <n v="30287"/>
    <n v="14771"/>
    <n v="95"/>
    <x v="0"/>
  </r>
  <r>
    <d v="2021-04-08T00:00:00"/>
    <n v="29506"/>
    <n v="52622"/>
    <n v="31627"/>
    <n v="14941"/>
    <n v="88"/>
    <x v="0"/>
  </r>
  <r>
    <d v="2021-04-09T00:00:00"/>
    <n v="29088"/>
    <n v="50349"/>
    <n v="30865"/>
    <n v="14822"/>
    <n v="83"/>
    <x v="0"/>
  </r>
  <r>
    <d v="2021-04-10T00:00:00"/>
    <n v="23738"/>
    <n v="41628"/>
    <n v="25574"/>
    <n v="12629"/>
    <n v="85"/>
    <x v="0"/>
  </r>
  <r>
    <d v="2021-04-11T00:00:00"/>
    <n v="22651"/>
    <n v="40486"/>
    <n v="24187"/>
    <n v="12092"/>
    <n v="89"/>
    <x v="0"/>
  </r>
  <r>
    <d v="2021-04-12T00:00:00"/>
    <n v="25217"/>
    <n v="45187"/>
    <n v="26958"/>
    <n v="13684"/>
    <n v="86"/>
    <x v="0"/>
  </r>
  <r>
    <d v="2021-04-13T00:00:00"/>
    <n v="24729"/>
    <n v="44086"/>
    <n v="26468"/>
    <n v="13849"/>
    <n v="87"/>
    <x v="0"/>
  </r>
  <r>
    <d v="2021-04-14T00:00:00"/>
    <n v="22644"/>
    <n v="41598"/>
    <n v="24550"/>
    <n v="12671"/>
    <n v="95"/>
    <x v="0"/>
  </r>
  <r>
    <d v="2021-04-15T00:00:00"/>
    <n v="24493"/>
    <n v="43446"/>
    <n v="26273"/>
    <n v="13313"/>
    <n v="94"/>
    <x v="0"/>
  </r>
  <r>
    <d v="2021-04-16T00:00:00"/>
    <n v="23283"/>
    <n v="41595"/>
    <n v="24807"/>
    <n v="12379"/>
    <n v="92"/>
    <x v="0"/>
  </r>
  <r>
    <d v="2021-04-17T00:00:00"/>
    <n v="22982"/>
    <n v="38317"/>
    <n v="24274"/>
    <n v="11198"/>
    <n v="78"/>
    <x v="0"/>
  </r>
  <r>
    <d v="2021-04-18T00:00:00"/>
    <n v="20971"/>
    <n v="36750"/>
    <n v="22295"/>
    <n v="11181"/>
    <n v="85"/>
    <x v="0"/>
  </r>
  <r>
    <d v="2021-04-19T00:00:00"/>
    <n v="25846"/>
    <n v="44808"/>
    <n v="27556"/>
    <n v="15699"/>
    <n v="77"/>
    <x v="0"/>
  </r>
  <r>
    <d v="2021-04-20T00:00:00"/>
    <n v="26076"/>
    <n v="44591"/>
    <n v="27668"/>
    <n v="15802"/>
    <n v="77"/>
    <x v="0"/>
  </r>
  <r>
    <d v="2021-04-21T00:00:00"/>
    <n v="22104"/>
    <n v="40237"/>
    <n v="23719"/>
    <n v="11661"/>
    <n v="88"/>
    <x v="0"/>
  </r>
  <r>
    <d v="2021-04-22T00:00:00"/>
    <n v="21250"/>
    <n v="39483"/>
    <n v="23004"/>
    <n v="11169"/>
    <n v="96"/>
    <x v="0"/>
  </r>
  <r>
    <d v="2021-04-23T00:00:00"/>
    <n v="27086"/>
    <n v="48969"/>
    <n v="29119"/>
    <n v="15579"/>
    <n v="85"/>
    <x v="0"/>
  </r>
  <r>
    <d v="2021-04-24T00:00:00"/>
    <n v="29414"/>
    <n v="50866"/>
    <n v="31838"/>
    <n v="16333"/>
    <n v="91"/>
    <x v="0"/>
  </r>
  <r>
    <d v="2021-04-25T00:00:00"/>
    <n v="33957"/>
    <n v="59096"/>
    <n v="36257"/>
    <n v="18745"/>
    <n v="80"/>
    <x v="0"/>
  </r>
  <r>
    <d v="2021-04-26T00:00:00"/>
    <n v="36892"/>
    <n v="66310"/>
    <n v="38977"/>
    <n v="18807"/>
    <n v="83"/>
    <x v="0"/>
  </r>
  <r>
    <d v="2021-04-27T00:00:00"/>
    <n v="25989"/>
    <n v="47810"/>
    <n v="27922"/>
    <n v="13869"/>
    <n v="90"/>
    <x v="0"/>
  </r>
  <r>
    <d v="2021-04-28T00:00:00"/>
    <n v="25358"/>
    <n v="46269"/>
    <n v="27380"/>
    <n v="13474"/>
    <n v="95"/>
    <x v="0"/>
  </r>
  <r>
    <d v="2021-04-29T00:00:00"/>
    <n v="21759"/>
    <n v="40180"/>
    <n v="23695"/>
    <n v="11639"/>
    <n v="93"/>
    <x v="0"/>
  </r>
  <r>
    <d v="2021-04-30T00:00:00"/>
    <n v="25030"/>
    <n v="44062"/>
    <n v="26698"/>
    <n v="13010"/>
    <n v="93"/>
    <x v="0"/>
  </r>
  <r>
    <d v="2021-05-01T00:00:00"/>
    <n v="22972"/>
    <n v="39628"/>
    <n v="24539"/>
    <n v="11519"/>
    <n v="87"/>
    <x v="0"/>
  </r>
  <r>
    <d v="2021-05-02T00:00:00"/>
    <n v="21619"/>
    <n v="37451"/>
    <n v="22833"/>
    <n v="10801"/>
    <n v="89"/>
    <x v="0"/>
  </r>
  <r>
    <d v="2021-05-03T00:00:00"/>
    <n v="22124"/>
    <n v="40817"/>
    <n v="23727"/>
    <n v="11537"/>
    <n v="92"/>
    <x v="0"/>
  </r>
  <r>
    <d v="2021-05-04T00:00:00"/>
    <n v="21448"/>
    <n v="39030"/>
    <n v="23172"/>
    <n v="11452"/>
    <n v="86"/>
    <x v="0"/>
  </r>
  <r>
    <d v="2021-05-05T00:00:00"/>
    <n v="20466"/>
    <n v="36675"/>
    <n v="22102"/>
    <n v="10556"/>
    <n v="85"/>
    <x v="0"/>
  </r>
  <r>
    <d v="2021-05-06T00:00:00"/>
    <n v="20035"/>
    <n v="35707"/>
    <n v="21535"/>
    <n v="10066"/>
    <n v="89"/>
    <x v="0"/>
  </r>
  <r>
    <d v="2021-05-07T00:00:00"/>
    <n v="19315"/>
    <n v="34128"/>
    <n v="20661"/>
    <n v="9790"/>
    <n v="85"/>
    <x v="0"/>
  </r>
  <r>
    <d v="2021-05-08T00:00:00"/>
    <n v="18516"/>
    <n v="31694"/>
    <n v="19520"/>
    <n v="9138"/>
    <n v="84"/>
    <x v="0"/>
  </r>
  <r>
    <d v="2021-05-09T00:00:00"/>
    <n v="20668"/>
    <n v="35942"/>
    <n v="22195"/>
    <n v="10308"/>
    <n v="86"/>
    <x v="0"/>
  </r>
  <r>
    <d v="2021-05-10T00:00:00"/>
    <n v="22768"/>
    <n v="40232"/>
    <n v="24365"/>
    <n v="10909"/>
    <n v="91"/>
    <x v="0"/>
  </r>
  <r>
    <d v="2021-05-11T00:00:00"/>
    <n v="23819"/>
    <n v="41665"/>
    <n v="25206"/>
    <n v="11631"/>
    <n v="87"/>
    <x v="0"/>
  </r>
  <r>
    <d v="2021-05-12T00:00:00"/>
    <n v="20173"/>
    <n v="36872"/>
    <n v="21761"/>
    <n v="10524"/>
    <n v="87"/>
    <x v="0"/>
  </r>
  <r>
    <d v="2021-05-13T00:00:00"/>
    <n v="18788"/>
    <n v="33973"/>
    <n v="20233"/>
    <n v="9872"/>
    <n v="93"/>
    <x v="0"/>
  </r>
  <r>
    <d v="2021-05-14T00:00:00"/>
    <n v="18778"/>
    <n v="33005"/>
    <n v="20082"/>
    <n v="9849"/>
    <n v="87"/>
    <x v="0"/>
  </r>
  <r>
    <d v="2021-05-15T00:00:00"/>
    <n v="16338"/>
    <n v="27774"/>
    <n v="17358"/>
    <n v="8320"/>
    <n v="80"/>
    <x v="0"/>
  </r>
  <r>
    <d v="2021-05-16T00:00:00"/>
    <n v="16910"/>
    <n v="29617"/>
    <n v="17988"/>
    <n v="8699"/>
    <n v="85"/>
    <x v="0"/>
  </r>
  <r>
    <d v="2021-05-17T00:00:00"/>
    <n v="16762"/>
    <n v="31251"/>
    <n v="18179"/>
    <n v="9048"/>
    <n v="91"/>
    <x v="0"/>
  </r>
  <r>
    <d v="2021-05-18T00:00:00"/>
    <n v="18661"/>
    <n v="33123"/>
    <n v="19866"/>
    <n v="9508"/>
    <n v="95"/>
    <x v="0"/>
  </r>
  <r>
    <d v="2021-05-19T00:00:00"/>
    <n v="17979"/>
    <n v="31983"/>
    <n v="19099"/>
    <n v="9573"/>
    <n v="90"/>
    <x v="0"/>
  </r>
  <r>
    <d v="2021-05-20T00:00:00"/>
    <n v="18174"/>
    <n v="32219"/>
    <n v="19518"/>
    <n v="9902"/>
    <n v="84"/>
    <x v="0"/>
  </r>
  <r>
    <d v="2021-05-21T00:00:00"/>
    <n v="18530"/>
    <n v="32337"/>
    <n v="19690"/>
    <n v="9676"/>
    <n v="82"/>
    <x v="0"/>
  </r>
  <r>
    <d v="2021-05-22T00:00:00"/>
    <n v="16691"/>
    <n v="28378"/>
    <n v="17546"/>
    <n v="8573"/>
    <n v="82"/>
    <x v="0"/>
  </r>
  <r>
    <d v="2021-05-23T00:00:00"/>
    <n v="19341"/>
    <n v="33611"/>
    <n v="20525"/>
    <n v="10146"/>
    <n v="82"/>
    <x v="0"/>
  </r>
  <r>
    <d v="2021-05-24T00:00:00"/>
    <n v="19598"/>
    <n v="34816"/>
    <n v="20857"/>
    <n v="10702"/>
    <n v="79"/>
    <x v="0"/>
  </r>
  <r>
    <d v="2021-05-25T00:00:00"/>
    <n v="16854"/>
    <n v="30591"/>
    <n v="18145"/>
    <n v="9173"/>
    <n v="87"/>
    <x v="0"/>
  </r>
  <r>
    <d v="2021-05-26T00:00:00"/>
    <n v="38717"/>
    <n v="65080"/>
    <n v="41699"/>
    <n v="19178"/>
    <n v="72"/>
    <x v="0"/>
  </r>
  <r>
    <d v="2021-05-27T00:00:00"/>
    <n v="24019"/>
    <n v="42916"/>
    <n v="25833"/>
    <n v="12845"/>
    <n v="80"/>
    <x v="0"/>
  </r>
  <r>
    <d v="2021-05-28T00:00:00"/>
    <n v="20149"/>
    <n v="35235"/>
    <n v="21362"/>
    <n v="10718"/>
    <n v="84"/>
    <x v="0"/>
  </r>
  <r>
    <d v="2021-05-29T00:00:00"/>
    <n v="16924"/>
    <n v="29265"/>
    <n v="17905"/>
    <n v="9288"/>
    <n v="83"/>
    <x v="0"/>
  </r>
  <r>
    <d v="2021-05-30T00:00:00"/>
    <n v="34487"/>
    <n v="58234"/>
    <n v="36626"/>
    <n v="13849"/>
    <n v="90"/>
    <x v="0"/>
  </r>
  <r>
    <d v="2021-05-31T00:00:00"/>
    <n v="24687"/>
    <n v="42693"/>
    <n v="25674"/>
    <n v="10771"/>
    <n v="89"/>
    <x v="0"/>
  </r>
  <r>
    <d v="2021-06-01T00:00:00"/>
    <n v="25628"/>
    <n v="46403"/>
    <n v="27420"/>
    <n v="11160"/>
    <n v="84"/>
    <x v="0"/>
  </r>
  <r>
    <d v="2021-06-02T00:00:00"/>
    <n v="25640"/>
    <n v="49256"/>
    <n v="28061"/>
    <n v="11144"/>
    <n v="76"/>
    <x v="0"/>
  </r>
  <r>
    <d v="2021-06-03T00:00:00"/>
    <n v="20496"/>
    <n v="38476"/>
    <n v="21876"/>
    <n v="9326"/>
    <n v="79"/>
    <x v="0"/>
  </r>
  <r>
    <d v="2021-06-04T00:00:00"/>
    <n v="19591"/>
    <n v="35236"/>
    <n v="20845"/>
    <n v="9447"/>
    <n v="82"/>
    <x v="0"/>
  </r>
  <r>
    <d v="2021-06-05T00:00:00"/>
    <n v="19252"/>
    <n v="32828"/>
    <n v="20618"/>
    <n v="10489"/>
    <n v="77"/>
    <x v="0"/>
  </r>
  <r>
    <d v="2021-06-06T00:00:00"/>
    <n v="17668"/>
    <n v="30073"/>
    <n v="19000"/>
    <n v="9265"/>
    <n v="91"/>
    <x v="0"/>
  </r>
  <r>
    <d v="2021-06-07T00:00:00"/>
    <n v="18146"/>
    <n v="32246"/>
    <n v="19561"/>
    <n v="9785"/>
    <n v="89"/>
    <x v="0"/>
  </r>
  <r>
    <d v="2021-06-08T00:00:00"/>
    <n v="23362"/>
    <n v="41135"/>
    <n v="25255"/>
    <n v="10956"/>
    <n v="129"/>
    <x v="0"/>
  </r>
  <r>
    <d v="2021-06-09T00:00:00"/>
    <n v="19686"/>
    <n v="34375"/>
    <n v="21182"/>
    <n v="10045"/>
    <n v="102"/>
    <x v="0"/>
  </r>
  <r>
    <d v="2021-06-10T00:00:00"/>
    <n v="19228"/>
    <n v="33348"/>
    <n v="20648"/>
    <n v="10097"/>
    <n v="95"/>
    <x v="0"/>
  </r>
  <r>
    <d v="2021-06-11T00:00:00"/>
    <n v="16768"/>
    <n v="29449"/>
    <n v="17886"/>
    <n v="8815"/>
    <n v="89"/>
    <x v="0"/>
  </r>
  <r>
    <d v="2021-06-12T00:00:00"/>
    <n v="14471"/>
    <n v="25328"/>
    <n v="15560"/>
    <n v="7675"/>
    <n v="86"/>
    <x v="0"/>
  </r>
  <r>
    <d v="2021-06-13T00:00:00"/>
    <n v="14403"/>
    <n v="25142"/>
    <n v="15408"/>
    <n v="7732"/>
    <n v="83"/>
    <x v="0"/>
  </r>
  <r>
    <d v="2021-06-14T00:00:00"/>
    <n v="14362"/>
    <n v="26251"/>
    <n v="15566"/>
    <n v="7967"/>
    <n v="90"/>
    <x v="0"/>
  </r>
  <r>
    <d v="2021-06-15T00:00:00"/>
    <n v="14553"/>
    <n v="26364"/>
    <n v="15693"/>
    <n v="8084"/>
    <n v="89"/>
    <x v="0"/>
  </r>
  <r>
    <d v="2021-06-16T00:00:00"/>
    <n v="14255"/>
    <n v="25801"/>
    <n v="15423"/>
    <n v="7928"/>
    <n v="86"/>
    <x v="0"/>
  </r>
  <r>
    <d v="2021-06-17T00:00:00"/>
    <n v="14559"/>
    <n v="26380"/>
    <n v="15696"/>
    <n v="8178"/>
    <n v="88"/>
    <x v="0"/>
  </r>
  <r>
    <d v="2021-06-18T00:00:00"/>
    <n v="14286"/>
    <n v="25481"/>
    <n v="15272"/>
    <n v="7858"/>
    <n v="82"/>
    <x v="0"/>
  </r>
  <r>
    <d v="2021-06-19T00:00:00"/>
    <n v="14125"/>
    <n v="23833"/>
    <n v="14860"/>
    <n v="7344"/>
    <n v="85"/>
    <x v="0"/>
  </r>
  <r>
    <d v="2021-06-20T00:00:00"/>
    <n v="13136"/>
    <n v="23148"/>
    <n v="14049"/>
    <n v="7105"/>
    <n v="81"/>
    <x v="0"/>
  </r>
  <r>
    <d v="2021-06-21T00:00:00"/>
    <n v="14472"/>
    <n v="26057"/>
    <n v="15594"/>
    <n v="8109"/>
    <n v="82"/>
    <x v="0"/>
  </r>
  <r>
    <d v="2021-06-22T00:00:00"/>
    <n v="15193"/>
    <n v="26440"/>
    <n v="16282"/>
    <n v="8311"/>
    <n v="90"/>
    <x v="0"/>
  </r>
  <r>
    <d v="2021-06-23T00:00:00"/>
    <n v="18428"/>
    <n v="31614"/>
    <n v="19705"/>
    <n v="8988"/>
    <n v="94"/>
    <x v="0"/>
  </r>
  <r>
    <d v="2021-06-24T00:00:00"/>
    <n v="16562"/>
    <n v="28605"/>
    <n v="17871"/>
    <n v="8877"/>
    <n v="83"/>
    <x v="0"/>
  </r>
  <r>
    <d v="2021-06-25T00:00:00"/>
    <n v="14926"/>
    <n v="25275"/>
    <n v="15801"/>
    <n v="8184"/>
    <n v="84"/>
    <x v="0"/>
  </r>
  <r>
    <d v="2021-06-26T00:00:00"/>
    <n v="13754"/>
    <n v="23432"/>
    <n v="14689"/>
    <n v="7530"/>
    <n v="80"/>
    <x v="0"/>
  </r>
  <r>
    <d v="2021-06-27T00:00:00"/>
    <n v="15375"/>
    <n v="25513"/>
    <n v="16274"/>
    <n v="8396"/>
    <n v="83"/>
    <x v="0"/>
  </r>
  <r>
    <d v="2021-06-28T00:00:00"/>
    <n v="16073"/>
    <n v="27499"/>
    <n v="17202"/>
    <n v="8837"/>
    <n v="91"/>
    <x v="0"/>
  </r>
  <r>
    <d v="2021-06-29T00:00:00"/>
    <n v="14471"/>
    <n v="25271"/>
    <n v="15498"/>
    <n v="7949"/>
    <n v="85"/>
    <x v="0"/>
  </r>
  <r>
    <d v="2021-06-30T00:00:00"/>
    <n v="13610"/>
    <n v="24530"/>
    <n v="14674"/>
    <n v="7597"/>
    <n v="93"/>
    <x v="0"/>
  </r>
  <r>
    <d v="2021-07-01T00:00:00"/>
    <n v="17393"/>
    <n v="30956"/>
    <n v="18503"/>
    <n v="7920"/>
    <n v="99"/>
    <x v="0"/>
  </r>
  <r>
    <d v="2021-07-02T00:00:00"/>
    <n v="20503"/>
    <n v="36769"/>
    <n v="21642"/>
    <n v="8028"/>
    <n v="107"/>
    <x v="0"/>
  </r>
  <r>
    <d v="2021-07-03T00:00:00"/>
    <n v="15617"/>
    <n v="26980"/>
    <n v="16544"/>
    <n v="7359"/>
    <n v="88"/>
    <x v="0"/>
  </r>
  <r>
    <d v="2021-07-04T00:00:00"/>
    <n v="18600"/>
    <n v="31629"/>
    <n v="19481"/>
    <n v="9090"/>
    <n v="76"/>
    <x v="0"/>
  </r>
  <r>
    <d v="2021-07-05T00:00:00"/>
    <n v="14498"/>
    <n v="25966"/>
    <n v="15267"/>
    <n v="7506"/>
    <n v="79"/>
    <x v="0"/>
  </r>
  <r>
    <d v="2021-07-06T00:00:00"/>
    <n v="15966"/>
    <n v="28142"/>
    <n v="17313"/>
    <n v="7823"/>
    <n v="97"/>
    <x v="0"/>
  </r>
  <r>
    <d v="2021-07-07T00:00:00"/>
    <n v="14022"/>
    <n v="25828"/>
    <n v="15194"/>
    <n v="7291"/>
    <n v="97"/>
    <x v="0"/>
  </r>
  <r>
    <d v="2021-07-08T00:00:00"/>
    <n v="13689"/>
    <n v="24186"/>
    <n v="14554"/>
    <n v="7378"/>
    <n v="88"/>
    <x v="0"/>
  </r>
  <r>
    <d v="2021-07-09T00:00:00"/>
    <n v="13497"/>
    <n v="25739"/>
    <n v="14450"/>
    <n v="7353"/>
    <n v="90"/>
    <x v="0"/>
  </r>
  <r>
    <d v="2021-07-10T00:00:00"/>
    <n v="12577"/>
    <n v="22005"/>
    <n v="13577"/>
    <n v="6824"/>
    <n v="81"/>
    <x v="0"/>
  </r>
  <r>
    <d v="2021-07-11T00:00:00"/>
    <n v="12435"/>
    <n v="21877"/>
    <n v="13279"/>
    <n v="6709"/>
    <n v="92"/>
    <x v="0"/>
  </r>
  <r>
    <d v="2021-07-12T00:00:00"/>
    <n v="14487"/>
    <n v="25176"/>
    <n v="15416"/>
    <n v="7775"/>
    <n v="84"/>
    <x v="0"/>
  </r>
  <r>
    <d v="2021-07-13T00:00:00"/>
    <n v="18377"/>
    <n v="33679"/>
    <n v="19801"/>
    <n v="9281"/>
    <n v="87"/>
    <x v="0"/>
  </r>
  <r>
    <d v="2021-07-14T00:00:00"/>
    <n v="18062"/>
    <n v="32961"/>
    <n v="19721"/>
    <n v="9672"/>
    <n v="88"/>
    <x v="0"/>
  </r>
  <r>
    <d v="2021-07-15T00:00:00"/>
    <n v="17168"/>
    <n v="30250"/>
    <n v="18431"/>
    <n v="9146"/>
    <n v="84"/>
    <x v="0"/>
  </r>
  <r>
    <d v="2021-07-16T00:00:00"/>
    <n v="18518"/>
    <n v="32725"/>
    <n v="19691"/>
    <n v="10069"/>
    <n v="89"/>
    <x v="0"/>
  </r>
  <r>
    <d v="2021-07-17T00:00:00"/>
    <n v="17243"/>
    <n v="30213"/>
    <n v="18260"/>
    <n v="9244"/>
    <n v="85"/>
    <x v="0"/>
  </r>
  <r>
    <d v="2021-07-18T00:00:00"/>
    <n v="15484"/>
    <n v="27277"/>
    <n v="16367"/>
    <n v="8385"/>
    <n v="84"/>
    <x v="0"/>
  </r>
  <r>
    <d v="2021-07-19T00:00:00"/>
    <n v="19044"/>
    <n v="35532"/>
    <n v="20570"/>
    <n v="9582"/>
    <n v="107"/>
    <x v="0"/>
  </r>
  <r>
    <d v="2021-07-20T00:00:00"/>
    <n v="18707"/>
    <n v="33719"/>
    <n v="20190"/>
    <n v="9318"/>
    <n v="105"/>
    <x v="0"/>
  </r>
  <r>
    <d v="2021-07-21T00:00:00"/>
    <n v="10969"/>
    <n v="18603"/>
    <n v="11851"/>
    <n v="5906"/>
    <n v="90"/>
    <x v="0"/>
  </r>
  <r>
    <d v="2021-07-22T00:00:00"/>
    <n v="16948"/>
    <n v="30600"/>
    <n v="18244"/>
    <n v="9340"/>
    <n v="97"/>
    <x v="0"/>
  </r>
  <r>
    <d v="2021-07-23T00:00:00"/>
    <n v="16681"/>
    <n v="28253"/>
    <n v="17745"/>
    <n v="9013"/>
    <n v="93"/>
    <x v="0"/>
  </r>
  <r>
    <d v="2021-07-24T00:00:00"/>
    <n v="14609"/>
    <n v="24739"/>
    <n v="15704"/>
    <n v="8016"/>
    <n v="87"/>
    <x v="0"/>
  </r>
  <r>
    <d v="2021-07-25T00:00:00"/>
    <n v="14828"/>
    <n v="25969"/>
    <n v="15880"/>
    <n v="7615"/>
    <n v="88"/>
    <x v="0"/>
  </r>
  <r>
    <d v="2021-07-26T00:00:00"/>
    <n v="16757"/>
    <n v="31585"/>
    <n v="19604"/>
    <n v="9430"/>
    <n v="91"/>
    <x v="0"/>
  </r>
  <r>
    <d v="2021-07-27T00:00:00"/>
    <n v="19312"/>
    <n v="36888"/>
    <n v="23161"/>
    <n v="10882"/>
    <n v="88"/>
    <x v="0"/>
  </r>
  <r>
    <d v="2021-07-28T00:00:00"/>
    <n v="23775"/>
    <n v="42911"/>
    <n v="27884"/>
    <n v="12955"/>
    <n v="91"/>
    <x v="0"/>
  </r>
  <r>
    <d v="2021-07-29T00:00:00"/>
    <n v="21540"/>
    <n v="39597"/>
    <n v="25496"/>
    <n v="12007"/>
    <n v="89"/>
    <x v="0"/>
  </r>
  <r>
    <d v="2021-07-30T00:00:00"/>
    <n v="18069"/>
    <n v="34359"/>
    <n v="21997"/>
    <n v="10627"/>
    <n v="79"/>
    <x v="0"/>
  </r>
  <r>
    <d v="2021-07-31T00:00:00"/>
    <n v="16834"/>
    <n v="31618"/>
    <n v="20501"/>
    <n v="9925"/>
    <n v="73"/>
    <x v="0"/>
  </r>
  <r>
    <d v="2021-08-01T00:00:00"/>
    <n v="16418"/>
    <n v="30929"/>
    <n v="19925"/>
    <n v="9465"/>
    <n v="73"/>
    <x v="0"/>
  </r>
  <r>
    <d v="2021-08-02T00:00:00"/>
    <n v="16442"/>
    <n v="31250"/>
    <n v="20004"/>
    <n v="9826"/>
    <n v="72"/>
    <x v="0"/>
  </r>
  <r>
    <d v="2021-08-03T00:00:00"/>
    <n v="20982"/>
    <n v="39430"/>
    <n v="25036"/>
    <n v="12311"/>
    <n v="87"/>
    <x v="0"/>
  </r>
  <r>
    <d v="2021-08-04T00:00:00"/>
    <n v="19295"/>
    <n v="34044"/>
    <n v="21045"/>
    <n v="11220"/>
    <n v="83"/>
    <x v="0"/>
  </r>
  <r>
    <d v="2021-08-05T00:00:00"/>
    <n v="15833"/>
    <n v="27054"/>
    <n v="16913"/>
    <n v="8892"/>
    <n v="91"/>
    <x v="0"/>
  </r>
  <r>
    <d v="2021-08-06T00:00:00"/>
    <n v="14298"/>
    <n v="24571"/>
    <n v="15201"/>
    <n v="8238"/>
    <n v="88"/>
    <x v="0"/>
  </r>
  <r>
    <d v="2021-08-07T00:00:00"/>
    <n v="13068"/>
    <n v="22430"/>
    <n v="13944"/>
    <n v="7474"/>
    <n v="80"/>
    <x v="0"/>
  </r>
  <r>
    <d v="2021-08-08T00:00:00"/>
    <n v="12973"/>
    <n v="22720"/>
    <n v="13846"/>
    <n v="7241"/>
    <n v="84"/>
    <x v="0"/>
  </r>
  <r>
    <d v="2021-08-09T00:00:00"/>
    <n v="14215"/>
    <n v="24965"/>
    <n v="15281"/>
    <n v="7840"/>
    <n v="85"/>
    <x v="0"/>
  </r>
  <r>
    <d v="2021-08-10T00:00:00"/>
    <n v="13726"/>
    <n v="24367"/>
    <n v="14781"/>
    <n v="7929"/>
    <n v="87"/>
    <x v="0"/>
  </r>
  <r>
    <d v="2021-08-11T00:00:00"/>
    <n v="14738"/>
    <n v="26681"/>
    <n v="15873"/>
    <n v="8254"/>
    <n v="81"/>
    <x v="0"/>
  </r>
  <r>
    <d v="2021-08-12T00:00:00"/>
    <n v="15813"/>
    <n v="28001"/>
    <n v="17140"/>
    <n v="8795"/>
    <n v="85"/>
    <x v="0"/>
  </r>
  <r>
    <d v="2021-08-13T00:00:00"/>
    <n v="14781"/>
    <n v="25148"/>
    <n v="15699"/>
    <n v="8020"/>
    <n v="86"/>
    <x v="0"/>
  </r>
  <r>
    <d v="2021-08-14T00:00:00"/>
    <n v="14380"/>
    <n v="24175"/>
    <n v="15274"/>
    <n v="8198"/>
    <n v="74"/>
    <x v="0"/>
  </r>
  <r>
    <d v="2021-08-15T00:00:00"/>
    <n v="12557"/>
    <n v="21825"/>
    <n v="13352"/>
    <n v="6948"/>
    <n v="83"/>
    <x v="0"/>
  </r>
  <r>
    <d v="2021-08-16T00:00:00"/>
    <n v="12654"/>
    <n v="23446"/>
    <n v="13831"/>
    <n v="7255"/>
    <n v="88"/>
    <x v="0"/>
  </r>
  <r>
    <d v="2021-08-17T00:00:00"/>
    <n v="12971"/>
    <n v="23157"/>
    <n v="13831"/>
    <n v="7150"/>
    <n v="86"/>
    <x v="0"/>
  </r>
  <r>
    <d v="2021-08-18T00:00:00"/>
    <n v="14774"/>
    <n v="25920"/>
    <n v="15799"/>
    <n v="7720"/>
    <n v="94"/>
    <x v="0"/>
  </r>
  <r>
    <d v="2021-08-19T00:00:00"/>
    <n v="14641"/>
    <n v="25385"/>
    <n v="15603"/>
    <n v="7991"/>
    <n v="87"/>
    <x v="0"/>
  </r>
  <r>
    <d v="2021-08-20T00:00:00"/>
    <n v="13906"/>
    <n v="24409"/>
    <n v="14913"/>
    <n v="7854"/>
    <n v="82"/>
    <x v="0"/>
  </r>
  <r>
    <d v="2021-08-21T00:00:00"/>
    <n v="13653"/>
    <n v="23262"/>
    <n v="14648"/>
    <n v="7748"/>
    <n v="79"/>
    <x v="0"/>
  </r>
  <r>
    <d v="2021-08-22T00:00:00"/>
    <n v="16712"/>
    <n v="30807"/>
    <n v="19583"/>
    <n v="10137"/>
    <n v="76"/>
    <x v="0"/>
  </r>
  <r>
    <d v="2021-08-23T00:00:00"/>
    <n v="16409"/>
    <n v="31126"/>
    <n v="19217"/>
    <n v="9649"/>
    <n v="77"/>
    <x v="0"/>
  </r>
  <r>
    <d v="2021-08-24T00:00:00"/>
    <n v="16858"/>
    <n v="31394"/>
    <n v="19705"/>
    <n v="9969"/>
    <n v="78"/>
    <x v="0"/>
  </r>
  <r>
    <d v="2021-08-25T00:00:00"/>
    <n v="17136"/>
    <n v="32042"/>
    <n v="19821"/>
    <n v="9697"/>
    <n v="83"/>
    <x v="0"/>
  </r>
  <r>
    <d v="2021-08-26T00:00:00"/>
    <n v="16069"/>
    <n v="30681"/>
    <n v="19094"/>
    <n v="9582"/>
    <n v="77"/>
    <x v="0"/>
  </r>
  <r>
    <d v="2021-08-27T00:00:00"/>
    <n v="17614"/>
    <n v="35499"/>
    <n v="22900"/>
    <n v="11189"/>
    <n v="73"/>
    <x v="0"/>
  </r>
  <r>
    <d v="2021-08-28T00:00:00"/>
    <n v="17483"/>
    <n v="35329"/>
    <n v="22569"/>
    <n v="10700"/>
    <n v="73"/>
    <x v="0"/>
  </r>
  <r>
    <d v="2021-08-29T00:00:00"/>
    <n v="18613"/>
    <n v="36847"/>
    <n v="23791"/>
    <n v="11660"/>
    <n v="70"/>
    <x v="0"/>
  </r>
  <r>
    <d v="2021-08-30T00:00:00"/>
    <n v="18752"/>
    <n v="38287"/>
    <n v="23932"/>
    <n v="11196"/>
    <n v="75"/>
    <x v="0"/>
  </r>
  <r>
    <d v="2021-08-31T00:00:00"/>
    <n v="18262"/>
    <n v="37492"/>
    <n v="23600"/>
    <n v="11338"/>
    <n v="74"/>
    <x v="0"/>
  </r>
  <r>
    <d v="2021-09-01T00:00:00"/>
    <n v="17929"/>
    <n v="35892"/>
    <n v="22688"/>
    <n v="11009"/>
    <n v="71"/>
    <x v="0"/>
  </r>
  <r>
    <d v="2021-09-02T00:00:00"/>
    <n v="18081"/>
    <n v="35607"/>
    <n v="22773"/>
    <n v="11105"/>
    <n v="70"/>
    <x v="0"/>
  </r>
  <r>
    <d v="2021-09-03T00:00:00"/>
    <n v="18879"/>
    <n v="36624"/>
    <n v="23725"/>
    <n v="11649"/>
    <n v="68"/>
    <x v="0"/>
  </r>
  <r>
    <d v="2021-09-04T00:00:00"/>
    <n v="16036"/>
    <n v="27666"/>
    <n v="17742"/>
    <n v="9022"/>
    <n v="72"/>
    <x v="0"/>
  </r>
  <r>
    <d v="2021-09-05T00:00:00"/>
    <n v="16062"/>
    <n v="28619"/>
    <n v="17913"/>
    <n v="9090"/>
    <n v="75"/>
    <x v="0"/>
  </r>
  <r>
    <d v="2021-09-06T00:00:00"/>
    <n v="15145"/>
    <n v="27159"/>
    <n v="16909"/>
    <n v="8482"/>
    <n v="74"/>
    <x v="0"/>
  </r>
  <r>
    <d v="2021-09-07T00:00:00"/>
    <n v="15037"/>
    <n v="27603"/>
    <n v="16876"/>
    <n v="8609"/>
    <n v="77"/>
    <x v="0"/>
  </r>
  <r>
    <d v="2021-09-08T00:00:00"/>
    <n v="15166"/>
    <n v="28142"/>
    <n v="17117"/>
    <n v="8638"/>
    <n v="81"/>
    <x v="0"/>
  </r>
  <r>
    <d v="2021-09-09T00:00:00"/>
    <n v="18827"/>
    <n v="32688"/>
    <n v="20870"/>
    <n v="9826"/>
    <n v="103"/>
    <x v="0"/>
  </r>
  <r>
    <d v="2021-09-10T00:00:00"/>
    <n v="19193"/>
    <n v="32630"/>
    <n v="21030"/>
    <n v="10217"/>
    <n v="86"/>
    <x v="0"/>
  </r>
  <r>
    <d v="2021-09-11T00:00:00"/>
    <n v="22657"/>
    <n v="36628"/>
    <n v="24550"/>
    <n v="9931"/>
    <n v="79"/>
    <x v="0"/>
  </r>
  <r>
    <d v="2021-09-12T00:00:00"/>
    <n v="20248"/>
    <n v="33080"/>
    <n v="21195"/>
    <n v="9835"/>
    <n v="83"/>
    <x v="0"/>
  </r>
  <r>
    <d v="2021-09-13T00:00:00"/>
    <n v="19666"/>
    <n v="34798"/>
    <n v="21017"/>
    <n v="11030"/>
    <n v="80"/>
    <x v="0"/>
  </r>
  <r>
    <d v="2021-09-14T00:00:00"/>
    <n v="16815"/>
    <n v="29580"/>
    <n v="17797"/>
    <n v="9264"/>
    <n v="84"/>
    <x v="0"/>
  </r>
  <r>
    <d v="2021-09-15T00:00:00"/>
    <n v="16867"/>
    <n v="29587"/>
    <n v="17999"/>
    <n v="8923"/>
    <n v="93"/>
    <x v="0"/>
  </r>
  <r>
    <d v="2021-09-16T00:00:00"/>
    <n v="19693"/>
    <n v="33949"/>
    <n v="20832"/>
    <n v="9596"/>
    <n v="98"/>
    <x v="0"/>
  </r>
  <r>
    <d v="2021-09-17T00:00:00"/>
    <n v="16678"/>
    <n v="28797"/>
    <n v="17755"/>
    <n v="8672"/>
    <n v="95"/>
    <x v="0"/>
  </r>
  <r>
    <d v="2021-09-18T00:00:00"/>
    <n v="14161"/>
    <n v="24550"/>
    <n v="15187"/>
    <n v="7702"/>
    <n v="90"/>
    <x v="0"/>
  </r>
  <r>
    <d v="2021-09-19T00:00:00"/>
    <n v="17310"/>
    <n v="29350"/>
    <n v="18447"/>
    <n v="9766"/>
    <n v="76"/>
    <x v="0"/>
  </r>
  <r>
    <d v="2021-09-20T00:00:00"/>
    <n v="18045"/>
    <n v="32283"/>
    <n v="19162"/>
    <n v="10087"/>
    <n v="77"/>
    <x v="0"/>
  </r>
  <r>
    <d v="2021-09-21T00:00:00"/>
    <n v="21301"/>
    <n v="38478"/>
    <n v="22986"/>
    <n v="10287"/>
    <n v="103"/>
    <x v="0"/>
  </r>
  <r>
    <d v="2021-09-22T00:00:00"/>
    <n v="19614"/>
    <n v="33573"/>
    <n v="20770"/>
    <n v="9119"/>
    <n v="90"/>
    <x v="0"/>
  </r>
  <r>
    <d v="2021-09-23T00:00:00"/>
    <n v="19326"/>
    <n v="33634"/>
    <n v="20648"/>
    <n v="9670"/>
    <n v="82"/>
    <x v="0"/>
  </r>
  <r>
    <d v="2021-09-24T00:00:00"/>
    <n v="15827"/>
    <n v="28007"/>
    <n v="16827"/>
    <n v="8611"/>
    <n v="84"/>
    <x v="0"/>
  </r>
  <r>
    <d v="2021-09-25T00:00:00"/>
    <n v="13583"/>
    <n v="23427"/>
    <n v="14559"/>
    <n v="7718"/>
    <n v="78"/>
    <x v="0"/>
  </r>
  <r>
    <d v="2021-09-26T00:00:00"/>
    <n v="13471"/>
    <n v="22886"/>
    <n v="14372"/>
    <n v="7836"/>
    <n v="79"/>
    <x v="0"/>
  </r>
  <r>
    <d v="2021-09-27T00:00:00"/>
    <n v="14412"/>
    <n v="26086"/>
    <n v="15421"/>
    <n v="8046"/>
    <n v="87"/>
    <x v="0"/>
  </r>
  <r>
    <d v="2021-09-28T00:00:00"/>
    <n v="22086"/>
    <n v="38685"/>
    <n v="23551"/>
    <n v="11025"/>
    <n v="79"/>
    <x v="0"/>
  </r>
  <r>
    <d v="2021-09-29T00:00:00"/>
    <n v="26596"/>
    <n v="49236"/>
    <n v="28143"/>
    <n v="13914"/>
    <n v="80"/>
    <x v="0"/>
  </r>
  <r>
    <d v="2021-09-30T00:00:00"/>
    <n v="23019"/>
    <n v="40690"/>
    <n v="24589"/>
    <n v="13210"/>
    <n v="82"/>
    <x v="0"/>
  </r>
  <r>
    <d v="2021-10-01T00:00:00"/>
    <n v="16866"/>
    <n v="29437"/>
    <n v="18062"/>
    <n v="9660"/>
    <n v="81"/>
    <x v="0"/>
  </r>
  <r>
    <d v="2021-10-02T00:00:00"/>
    <n v="14354"/>
    <n v="25539"/>
    <n v="15426"/>
    <n v="8298"/>
    <n v="86"/>
    <x v="0"/>
  </r>
  <r>
    <d v="2021-10-03T00:00:00"/>
    <n v="13973"/>
    <n v="25036"/>
    <n v="14979"/>
    <n v="8213"/>
    <n v="90"/>
    <x v="0"/>
  </r>
  <r>
    <d v="2021-10-04T00:00:00"/>
    <n v="14434"/>
    <n v="26259"/>
    <n v="15405"/>
    <n v="8273"/>
    <n v="86"/>
    <x v="0"/>
  </r>
  <r>
    <d v="2021-10-05T00:00:00"/>
    <n v="17627"/>
    <n v="33093"/>
    <n v="18963"/>
    <n v="10155"/>
    <n v="86"/>
    <x v="0"/>
  </r>
  <r>
    <d v="2021-10-06T00:00:00"/>
    <n v="16252"/>
    <n v="30017"/>
    <n v="17451"/>
    <n v="9112"/>
    <n v="87"/>
    <x v="0"/>
  </r>
  <r>
    <d v="2021-10-07T00:00:00"/>
    <n v="15260"/>
    <n v="27328"/>
    <n v="16395"/>
    <n v="8516"/>
    <n v="90"/>
    <x v="0"/>
  </r>
  <r>
    <d v="2021-10-08T00:00:00"/>
    <n v="14434"/>
    <n v="25515"/>
    <n v="15469"/>
    <n v="8120"/>
    <n v="87"/>
    <x v="0"/>
  </r>
  <r>
    <d v="2021-10-09T00:00:00"/>
    <n v="12803"/>
    <n v="22116"/>
    <n v="13559"/>
    <n v="7236"/>
    <n v="84"/>
    <x v="0"/>
  </r>
  <r>
    <d v="2021-10-10T00:00:00"/>
    <n v="13880"/>
    <n v="23723"/>
    <n v="14773"/>
    <n v="7446"/>
    <n v="88"/>
    <x v="0"/>
  </r>
  <r>
    <d v="2021-10-11T00:00:00"/>
    <n v="12727"/>
    <n v="23469"/>
    <n v="13862"/>
    <n v="7292"/>
    <n v="96"/>
    <x v="0"/>
  </r>
  <r>
    <d v="2021-10-12T00:00:00"/>
    <n v="13186"/>
    <n v="23689"/>
    <n v="14214"/>
    <n v="7467"/>
    <n v="90"/>
    <x v="0"/>
  </r>
  <r>
    <d v="2021-10-13T00:00:00"/>
    <n v="14952"/>
    <n v="27160"/>
    <n v="16145"/>
    <n v="8083"/>
    <n v="95"/>
    <x v="0"/>
  </r>
  <r>
    <d v="2021-10-14T00:00:00"/>
    <n v="16416"/>
    <n v="28787"/>
    <n v="17677"/>
    <n v="8793"/>
    <n v="89"/>
    <x v="0"/>
  </r>
  <r>
    <d v="2021-10-15T00:00:00"/>
    <n v="16848"/>
    <n v="29659"/>
    <n v="18037"/>
    <n v="8806"/>
    <n v="84"/>
    <x v="0"/>
  </r>
  <r>
    <d v="2021-10-16T00:00:00"/>
    <n v="14601"/>
    <n v="25070"/>
    <n v="15522"/>
    <n v="7765"/>
    <n v="84"/>
    <x v="0"/>
  </r>
  <r>
    <d v="2021-10-17T00:00:00"/>
    <n v="14385"/>
    <n v="28575"/>
    <n v="15324"/>
    <n v="7662"/>
    <n v="83"/>
    <x v="0"/>
  </r>
  <r>
    <d v="2021-10-18T00:00:00"/>
    <n v="13828"/>
    <n v="25133"/>
    <n v="14918"/>
    <n v="7543"/>
    <n v="89"/>
    <x v="0"/>
  </r>
  <r>
    <d v="2021-10-19T00:00:00"/>
    <n v="13821"/>
    <n v="25811"/>
    <n v="14917"/>
    <n v="7645"/>
    <n v="91"/>
    <x v="0"/>
  </r>
  <r>
    <d v="2021-10-20T00:00:00"/>
    <n v="19218"/>
    <n v="34142"/>
    <n v="20523"/>
    <n v="9406"/>
    <n v="101"/>
    <x v="0"/>
  </r>
  <r>
    <d v="2021-10-21T00:00:00"/>
    <n v="17476"/>
    <n v="31283"/>
    <n v="18675"/>
    <n v="9075"/>
    <n v="99"/>
    <x v="0"/>
  </r>
  <r>
    <d v="2021-10-22T00:00:00"/>
    <n v="24507"/>
    <n v="43595"/>
    <n v="26555"/>
    <n v="11948"/>
    <n v="102"/>
    <x v="0"/>
  </r>
  <r>
    <d v="2021-10-23T00:00:00"/>
    <n v="24503"/>
    <n v="46855"/>
    <n v="27570"/>
    <n v="11734"/>
    <n v="84"/>
    <x v="0"/>
  </r>
  <r>
    <d v="2021-10-24T00:00:00"/>
    <n v="23778"/>
    <n v="44120"/>
    <n v="26221"/>
    <n v="11412"/>
    <n v="77"/>
    <x v="0"/>
  </r>
  <r>
    <d v="2021-10-25T00:00:00"/>
    <n v="21696"/>
    <n v="39782"/>
    <n v="23784"/>
    <n v="10853"/>
    <n v="85"/>
    <x v="0"/>
  </r>
  <r>
    <d v="2021-10-26T00:00:00"/>
    <n v="26671"/>
    <n v="49262"/>
    <n v="29109"/>
    <n v="12765"/>
    <n v="79"/>
    <x v="0"/>
  </r>
  <r>
    <d v="2021-10-27T00:00:00"/>
    <n v="23083"/>
    <n v="41932"/>
    <n v="24961"/>
    <n v="11345"/>
    <n v="76"/>
    <x v="0"/>
  </r>
  <r>
    <d v="2021-10-28T00:00:00"/>
    <n v="20450"/>
    <n v="38216"/>
    <n v="22172"/>
    <n v="10177"/>
    <n v="83"/>
    <x v="0"/>
  </r>
  <r>
    <d v="2021-10-29T00:00:00"/>
    <n v="18855"/>
    <n v="35107"/>
    <n v="20505"/>
    <n v="9457"/>
    <n v="87"/>
    <x v="0"/>
  </r>
  <r>
    <d v="2021-10-30T00:00:00"/>
    <n v="16660"/>
    <n v="29653"/>
    <n v="17902"/>
    <n v="8370"/>
    <n v="83"/>
    <x v="0"/>
  </r>
  <r>
    <d v="2021-10-31T00:00:00"/>
    <n v="14657"/>
    <n v="27284"/>
    <n v="15879"/>
    <n v="7661"/>
    <n v="84"/>
    <x v="0"/>
  </r>
  <r>
    <d v="2021-11-01T00:00:00"/>
    <n v="17467"/>
    <n v="32774"/>
    <n v="18866"/>
    <n v="9200"/>
    <n v="85"/>
    <x v="0"/>
  </r>
  <r>
    <d v="2021-11-02T00:00:00"/>
    <n v="18609"/>
    <n v="34777"/>
    <n v="20202"/>
    <n v="9663"/>
    <n v="89"/>
    <x v="0"/>
  </r>
  <r>
    <d v="2021-11-03T00:00:00"/>
    <n v="18498"/>
    <n v="34044"/>
    <n v="20152"/>
    <n v="9817"/>
    <n v="84"/>
    <x v="0"/>
  </r>
  <r>
    <d v="2021-11-04T00:00:00"/>
    <n v="21514"/>
    <n v="40260"/>
    <n v="23718"/>
    <n v="11184"/>
    <n v="79"/>
    <x v="0"/>
  </r>
  <r>
    <d v="2021-11-05T00:00:00"/>
    <n v="21038"/>
    <n v="39601"/>
    <n v="22990"/>
    <n v="10774"/>
    <n v="84"/>
    <x v="0"/>
  </r>
  <r>
    <d v="2021-11-06T00:00:00"/>
    <n v="16424"/>
    <n v="28301"/>
    <n v="17611"/>
    <n v="9218"/>
    <n v="72"/>
    <x v="0"/>
  </r>
  <r>
    <d v="2021-11-07T00:00:00"/>
    <n v="15679"/>
    <n v="27108"/>
    <n v="16806"/>
    <n v="8736"/>
    <n v="72"/>
    <x v="0"/>
  </r>
  <r>
    <d v="2021-11-08T00:00:00"/>
    <n v="17045"/>
    <n v="30646"/>
    <n v="18222"/>
    <n v="9071"/>
    <n v="91"/>
    <x v="0"/>
  </r>
  <r>
    <d v="2021-11-09T00:00:00"/>
    <n v="21813"/>
    <n v="37060"/>
    <n v="23289"/>
    <n v="10755"/>
    <n v="141"/>
    <x v="0"/>
  </r>
  <r>
    <d v="2021-11-10T00:00:00"/>
    <n v="20062"/>
    <n v="33961"/>
    <n v="21401"/>
    <n v="10395"/>
    <n v="111"/>
    <x v="0"/>
  </r>
  <r>
    <d v="2021-11-11T00:00:00"/>
    <n v="19411"/>
    <n v="33307"/>
    <n v="20800"/>
    <n v="10461"/>
    <n v="92"/>
    <x v="0"/>
  </r>
  <r>
    <d v="2021-11-12T00:00:00"/>
    <n v="21058"/>
    <n v="35006"/>
    <n v="22428"/>
    <n v="11537"/>
    <n v="83"/>
    <x v="0"/>
  </r>
  <r>
    <d v="2021-11-13T00:00:00"/>
    <n v="19256"/>
    <n v="31787"/>
    <n v="20508"/>
    <n v="10074"/>
    <n v="87"/>
    <x v="0"/>
  </r>
  <r>
    <d v="2021-11-14T00:00:00"/>
    <n v="19955"/>
    <n v="33316"/>
    <n v="21130"/>
    <n v="10502"/>
    <n v="81"/>
    <x v="0"/>
  </r>
  <r>
    <d v="2021-11-15T00:00:00"/>
    <n v="19645"/>
    <n v="34870"/>
    <n v="21254"/>
    <n v="10730"/>
    <n v="82"/>
    <x v="0"/>
  </r>
  <r>
    <d v="2021-11-16T00:00:00"/>
    <n v="20371"/>
    <n v="35957"/>
    <n v="21793"/>
    <n v="10951"/>
    <n v="77"/>
    <x v="0"/>
  </r>
  <r>
    <d v="2021-11-17T00:00:00"/>
    <n v="21128"/>
    <n v="37176"/>
    <n v="23041"/>
    <n v="11590"/>
    <n v="79"/>
    <x v="0"/>
  </r>
  <r>
    <d v="2021-11-18T00:00:00"/>
    <n v="29453"/>
    <n v="49787"/>
    <n v="31573"/>
    <n v="16662"/>
    <n v="74"/>
    <x v="0"/>
  </r>
  <r>
    <d v="2021-11-19T00:00:00"/>
    <n v="23814"/>
    <n v="42481"/>
    <n v="25899"/>
    <n v="13743"/>
    <n v="79"/>
    <x v="0"/>
  </r>
  <r>
    <d v="2021-11-20T00:00:00"/>
    <n v="19383"/>
    <n v="32215"/>
    <n v="20686"/>
    <n v="11084"/>
    <n v="75"/>
    <x v="0"/>
  </r>
  <r>
    <d v="2021-11-21T00:00:00"/>
    <n v="26549"/>
    <n v="45972"/>
    <n v="28520"/>
    <n v="14586"/>
    <n v="71"/>
    <x v="0"/>
  </r>
  <r>
    <d v="2021-11-22T00:00:00"/>
    <n v="48798"/>
    <n v="89115"/>
    <n v="53149"/>
    <n v="22185"/>
    <n v="78"/>
    <x v="1"/>
  </r>
  <r>
    <d v="2021-11-23T00:00:00"/>
    <n v="1003504"/>
    <n v="1894717"/>
    <n v="1139162"/>
    <n v="336053"/>
    <n v="147"/>
    <x v="0"/>
  </r>
  <r>
    <d v="2021-11-24T00:00:00"/>
    <n v="414730"/>
    <n v="711688"/>
    <n v="459412"/>
    <n v="183627"/>
    <n v="128"/>
    <x v="0"/>
  </r>
  <r>
    <d v="2021-11-25T00:00:00"/>
    <n v="144668"/>
    <n v="258031"/>
    <n v="162235"/>
    <n v="70930"/>
    <n v="121"/>
    <x v="0"/>
  </r>
  <r>
    <d v="2021-11-26T00:00:00"/>
    <n v="99395"/>
    <n v="179326"/>
    <n v="109041"/>
    <n v="47608"/>
    <n v="116"/>
    <x v="0"/>
  </r>
  <r>
    <d v="2021-11-27T00:00:00"/>
    <n v="75306"/>
    <n v="132900"/>
    <n v="82460"/>
    <n v="36374"/>
    <n v="120"/>
    <x v="0"/>
  </r>
  <r>
    <d v="2021-11-28T00:00:00"/>
    <n v="66848"/>
    <n v="120251"/>
    <n v="73229"/>
    <n v="31628"/>
    <n v="118"/>
    <x v="0"/>
  </r>
  <r>
    <d v="2021-11-29T00:00:00"/>
    <n v="58110"/>
    <n v="108988"/>
    <n v="63367"/>
    <n v="27362"/>
    <n v="123"/>
    <x v="0"/>
  </r>
  <r>
    <d v="2021-11-30T00:00:00"/>
    <n v="48440"/>
    <n v="88931"/>
    <n v="53457"/>
    <n v="24013"/>
    <n v="118"/>
    <x v="0"/>
  </r>
  <r>
    <d v="2021-12-01T00:00:00"/>
    <n v="45485"/>
    <n v="84789"/>
    <n v="50039"/>
    <n v="22908"/>
    <n v="110"/>
    <x v="0"/>
  </r>
  <r>
    <d v="2021-12-02T00:00:00"/>
    <n v="39226"/>
    <n v="73000"/>
    <n v="43337"/>
    <n v="20538"/>
    <n v="103"/>
    <x v="0"/>
  </r>
  <r>
    <d v="2021-12-03T00:00:00"/>
    <n v="34250"/>
    <n v="63092"/>
    <n v="38030"/>
    <n v="18342"/>
    <n v="106"/>
    <x v="0"/>
  </r>
  <r>
    <d v="2021-12-04T00:00:00"/>
    <n v="31242"/>
    <n v="55453"/>
    <n v="34124"/>
    <n v="16479"/>
    <n v="106"/>
    <x v="0"/>
  </r>
  <r>
    <d v="2021-12-05T00:00:00"/>
    <n v="32553"/>
    <n v="59475"/>
    <n v="35681"/>
    <n v="17556"/>
    <n v="107"/>
    <x v="0"/>
  </r>
  <r>
    <d v="2021-12-06T00:00:00"/>
    <n v="43623"/>
    <n v="81820"/>
    <n v="48175"/>
    <n v="22262"/>
    <n v="105"/>
    <x v="0"/>
  </r>
  <r>
    <d v="2021-12-07T00:00:00"/>
    <n v="42044"/>
    <n v="78539"/>
    <n v="46259"/>
    <n v="21418"/>
    <n v="104"/>
    <x v="0"/>
  </r>
  <r>
    <d v="2021-12-08T00:00:00"/>
    <n v="32332"/>
    <n v="62197"/>
    <n v="35880"/>
    <n v="16685"/>
    <n v="116"/>
    <x v="0"/>
  </r>
  <r>
    <d v="2021-12-09T00:00:00"/>
    <n v="28173"/>
    <n v="53624"/>
    <n v="31029"/>
    <n v="14609"/>
    <n v="106"/>
    <x v="0"/>
  </r>
  <r>
    <d v="2021-12-10T00:00:00"/>
    <n v="28200"/>
    <n v="50142"/>
    <n v="30273"/>
    <n v="14486"/>
    <n v="100"/>
    <x v="0"/>
  </r>
  <r>
    <d v="2021-12-11T00:00:00"/>
    <n v="25699"/>
    <n v="44794"/>
    <n v="27883"/>
    <n v="13658"/>
    <n v="98"/>
    <x v="0"/>
  </r>
  <r>
    <d v="2021-12-12T00:00:00"/>
    <n v="26464"/>
    <n v="46178"/>
    <n v="28753"/>
    <n v="14639"/>
    <n v="97"/>
    <x v="0"/>
  </r>
  <r>
    <d v="2021-12-13T00:00:00"/>
    <n v="25485"/>
    <n v="47839"/>
    <n v="28190"/>
    <n v="13859"/>
    <n v="103"/>
    <x v="0"/>
  </r>
  <r>
    <d v="2021-12-14T00:00:00"/>
    <n v="24091"/>
    <n v="43194"/>
    <n v="26089"/>
    <n v="13029"/>
    <n v="97"/>
    <x v="0"/>
  </r>
  <r>
    <d v="2021-12-15T00:00:00"/>
    <n v="21457"/>
    <n v="40012"/>
    <n v="23793"/>
    <n v="11976"/>
    <n v="96"/>
    <x v="0"/>
  </r>
  <r>
    <d v="2021-12-16T00:00:00"/>
    <n v="21360"/>
    <n v="38662"/>
    <n v="23302"/>
    <n v="11801"/>
    <n v="100"/>
    <x v="0"/>
  </r>
  <r>
    <d v="2021-12-17T00:00:00"/>
    <n v="19782"/>
    <n v="35502"/>
    <n v="21606"/>
    <n v="10963"/>
    <n v="97"/>
    <x v="0"/>
  </r>
  <r>
    <d v="2021-12-18T00:00:00"/>
    <n v="19568"/>
    <n v="33898"/>
    <n v="21348"/>
    <n v="10905"/>
    <n v="99"/>
    <x v="0"/>
  </r>
  <r>
    <d v="2021-12-19T00:00:00"/>
    <n v="19727"/>
    <n v="34366"/>
    <n v="21552"/>
    <n v="10843"/>
    <n v="101"/>
    <x v="0"/>
  </r>
  <r>
    <d v="2021-12-20T00:00:00"/>
    <n v="18962"/>
    <n v="34547"/>
    <n v="20771"/>
    <n v="10386"/>
    <n v="102"/>
    <x v="0"/>
  </r>
  <r>
    <d v="2021-12-21T00:00:00"/>
    <n v="19503"/>
    <n v="34327"/>
    <n v="21212"/>
    <n v="10660"/>
    <n v="99"/>
    <x v="0"/>
  </r>
  <r>
    <d v="2021-12-22T00:00:00"/>
    <n v="18941"/>
    <n v="33995"/>
    <n v="20901"/>
    <n v="10788"/>
    <n v="99"/>
    <x v="0"/>
  </r>
  <r>
    <d v="2021-12-23T00:00:00"/>
    <n v="18618"/>
    <n v="33070"/>
    <n v="20577"/>
    <n v="10441"/>
    <n v="97"/>
    <x v="0"/>
  </r>
  <r>
    <d v="2021-12-24T00:00:00"/>
    <n v="17222"/>
    <n v="29762"/>
    <n v="18848"/>
    <n v="9735"/>
    <n v="96"/>
    <x v="0"/>
  </r>
  <r>
    <d v="2021-12-25T00:00:00"/>
    <n v="16779"/>
    <n v="28706"/>
    <n v="18026"/>
    <n v="9385"/>
    <n v="95"/>
    <x v="0"/>
  </r>
  <r>
    <d v="2021-12-26T00:00:00"/>
    <n v="19561"/>
    <n v="34337"/>
    <n v="21534"/>
    <n v="10643"/>
    <n v="108"/>
    <x v="0"/>
  </r>
  <r>
    <d v="2021-12-27T00:00:00"/>
    <n v="19361"/>
    <n v="35186"/>
    <n v="21462"/>
    <n v="10495"/>
    <n v="106"/>
    <x v="0"/>
  </r>
  <r>
    <d v="2021-12-28T00:00:00"/>
    <n v="21521"/>
    <n v="39175"/>
    <n v="23579"/>
    <n v="11243"/>
    <n v="112"/>
    <x v="0"/>
  </r>
  <r>
    <d v="2021-12-29T00:00:00"/>
    <n v="21924"/>
    <n v="39992"/>
    <n v="24155"/>
    <n v="11670"/>
    <n v="110"/>
    <x v="0"/>
  </r>
  <r>
    <d v="2021-12-30T00:00:00"/>
    <n v="23859"/>
    <n v="44054"/>
    <n v="26137"/>
    <n v="11833"/>
    <n v="109"/>
    <x v="0"/>
  </r>
  <r>
    <d v="2021-12-31T00:00:00"/>
    <n v="35922"/>
    <n v="59931"/>
    <n v="38860"/>
    <n v="15883"/>
    <n v="94"/>
    <x v="0"/>
  </r>
  <r>
    <d v="2022-01-01T00:00:00"/>
    <n v="27103"/>
    <n v="46877"/>
    <n v="29266"/>
    <n v="13150"/>
    <n v="101"/>
    <x v="0"/>
  </r>
  <r>
    <d v="2022-01-02T00:00:00"/>
    <n v="25403"/>
    <n v="45582"/>
    <n v="27622"/>
    <n v="12640"/>
    <n v="110"/>
    <x v="0"/>
  </r>
  <r>
    <d v="2022-01-03T00:00:00"/>
    <n v="26678"/>
    <n v="49216"/>
    <n v="29098"/>
    <n v="13234"/>
    <n v="107"/>
    <x v="0"/>
  </r>
  <r>
    <d v="2022-01-04T00:00:00"/>
    <n v="32722"/>
    <n v="65614"/>
    <n v="36121"/>
    <n v="15457"/>
    <n v="114"/>
    <x v="0"/>
  </r>
  <r>
    <d v="2022-01-05T00:00:00"/>
    <n v="55461"/>
    <n v="93767"/>
    <n v="59677"/>
    <n v="23119"/>
    <n v="88"/>
    <x v="0"/>
  </r>
  <r>
    <d v="2022-01-06T00:00:00"/>
    <n v="45882"/>
    <n v="76172"/>
    <n v="49320"/>
    <n v="24641"/>
    <n v="77"/>
    <x v="0"/>
  </r>
  <r>
    <d v="2022-01-07T00:00:00"/>
    <n v="29218"/>
    <n v="53763"/>
    <n v="31714"/>
    <n v="13828"/>
    <n v="95"/>
    <x v="0"/>
  </r>
  <r>
    <d v="2022-01-08T00:00:00"/>
    <n v="25857"/>
    <n v="45869"/>
    <n v="27897"/>
    <n v="12429"/>
    <n v="99"/>
    <x v="0"/>
  </r>
  <r>
    <d v="2022-01-09T00:00:00"/>
    <n v="24280"/>
    <n v="43870"/>
    <n v="26562"/>
    <n v="12498"/>
    <n v="99"/>
    <x v="0"/>
  </r>
  <r>
    <d v="2022-01-10T00:00:00"/>
    <n v="25051"/>
    <n v="47148"/>
    <n v="27290"/>
    <n v="12786"/>
    <n v="94"/>
    <x v="0"/>
  </r>
  <r>
    <d v="2022-01-11T00:00:00"/>
    <n v="23817"/>
    <n v="44172"/>
    <n v="26166"/>
    <n v="12387"/>
    <n v="104"/>
    <x v="0"/>
  </r>
  <r>
    <d v="2022-01-12T00:00:00"/>
    <n v="24678"/>
    <n v="44288"/>
    <n v="26738"/>
    <n v="12672"/>
    <n v="107"/>
    <x v="0"/>
  </r>
  <r>
    <d v="2022-01-13T00:00:00"/>
    <n v="21036"/>
    <n v="37789"/>
    <n v="22598"/>
    <n v="11168"/>
    <n v="99"/>
    <x v="0"/>
  </r>
  <r>
    <d v="2022-01-14T00:00:00"/>
    <n v="20509"/>
    <n v="37322"/>
    <n v="22361"/>
    <n v="10989"/>
    <n v="95"/>
    <x v="0"/>
  </r>
  <r>
    <d v="2022-01-15T00:00:00"/>
    <n v="20504"/>
    <n v="35844"/>
    <n v="22568"/>
    <n v="11749"/>
    <n v="88"/>
    <x v="0"/>
  </r>
  <r>
    <d v="2022-01-16T00:00:00"/>
    <n v="20630"/>
    <n v="37128"/>
    <n v="22792"/>
    <n v="11283"/>
    <n v="95"/>
    <x v="0"/>
  </r>
  <r>
    <d v="2022-01-17T00:00:00"/>
    <n v="27402"/>
    <n v="47815"/>
    <n v="29844"/>
    <n v="14323"/>
    <n v="127"/>
    <x v="0"/>
  </r>
  <r>
    <d v="2022-01-18T00:00:00"/>
    <n v="30324"/>
    <n v="57248"/>
    <n v="32954"/>
    <n v="14619"/>
    <n v="110"/>
    <x v="0"/>
  </r>
  <r>
    <d v="2022-01-19T00:00:00"/>
    <n v="27005"/>
    <n v="51902"/>
    <n v="29456"/>
    <n v="13041"/>
    <n v="103"/>
    <x v="0"/>
  </r>
  <r>
    <d v="2022-01-20T00:00:00"/>
    <n v="29376"/>
    <n v="50163"/>
    <n v="31239"/>
    <n v="12409"/>
    <n v="109"/>
    <x v="0"/>
  </r>
  <r>
    <d v="2022-01-21T00:00:00"/>
    <n v="27532"/>
    <n v="47663"/>
    <n v="29526"/>
    <n v="13039"/>
    <n v="104"/>
    <x v="0"/>
  </r>
  <r>
    <d v="2022-01-22T00:00:00"/>
    <n v="25187"/>
    <n v="41634"/>
    <n v="26907"/>
    <n v="11592"/>
    <n v="107"/>
    <x v="0"/>
  </r>
  <r>
    <d v="2022-01-23T00:00:00"/>
    <n v="24506"/>
    <n v="40899"/>
    <n v="26326"/>
    <n v="11400"/>
    <n v="106"/>
    <x v="0"/>
  </r>
  <r>
    <d v="2022-01-24T00:00:00"/>
    <n v="24248"/>
    <n v="42219"/>
    <n v="26196"/>
    <n v="11519"/>
    <n v="102"/>
    <x v="0"/>
  </r>
  <r>
    <d v="2022-01-25T00:00:00"/>
    <n v="25663"/>
    <n v="44387"/>
    <n v="27496"/>
    <n v="11923"/>
    <n v="102"/>
    <x v="0"/>
  </r>
  <r>
    <d v="2022-01-26T00:00:00"/>
    <n v="20306"/>
    <n v="37956"/>
    <n v="22069"/>
    <n v="9247"/>
    <n v="118"/>
    <x v="0"/>
  </r>
  <r>
    <d v="2022-01-27T00:00:00"/>
    <n v="2"/>
    <n v="2"/>
    <n v="2"/>
    <n v="2"/>
    <n v="0"/>
    <x v="0"/>
  </r>
  <r>
    <d v="2022-01-28T00:00:00"/>
    <n v="32986"/>
    <n v="79160"/>
    <n v="36571"/>
    <n v="20268"/>
    <n v="83"/>
    <x v="0"/>
  </r>
  <r>
    <d v="2022-01-29T00:00:00"/>
    <n v="37899"/>
    <n v="79095"/>
    <n v="41920"/>
    <n v="25316"/>
    <n v="63"/>
    <x v="0"/>
  </r>
  <r>
    <d v="2022-01-30T00:00:00"/>
    <n v="39931"/>
    <n v="81186"/>
    <n v="43743"/>
    <n v="26636"/>
    <n v="61"/>
    <x v="0"/>
  </r>
  <r>
    <d v="2022-01-31T00:00:00"/>
    <n v="38221"/>
    <n v="92863"/>
    <n v="42291"/>
    <n v="21747"/>
    <n v="67"/>
    <x v="0"/>
  </r>
  <r>
    <d v="2022-02-01T00:00:00"/>
    <n v="33209"/>
    <n v="74033"/>
    <n v="30472"/>
    <n v="13070"/>
    <n v="69"/>
    <x v="0"/>
  </r>
  <r>
    <d v="2022-02-02T00:00:00"/>
    <n v="30511"/>
    <n v="43642"/>
    <n v="20761"/>
    <n v="11814"/>
    <n v="85"/>
    <x v="0"/>
  </r>
  <r>
    <d v="2022-02-03T00:00:00"/>
    <n v="31502"/>
    <n v="44147"/>
    <n v="20830"/>
    <n v="12015"/>
    <n v="90"/>
    <x v="0"/>
  </r>
  <r>
    <d v="2022-02-04T00:00:00"/>
    <n v="26863"/>
    <n v="39483"/>
    <n v="18700"/>
    <n v="10731"/>
    <n v="85"/>
    <x v="0"/>
  </r>
  <r>
    <d v="2022-02-05T00:00:00"/>
    <n v="18014"/>
    <n v="35046"/>
    <n v="16860"/>
    <n v="9604"/>
    <n v="75"/>
    <x v="0"/>
  </r>
  <r>
    <d v="2022-02-06T00:00:00"/>
    <n v="18287"/>
    <n v="34397"/>
    <n v="17185"/>
    <n v="10186"/>
    <n v="80"/>
    <x v="0"/>
  </r>
  <r>
    <d v="2022-02-07T00:00:00"/>
    <n v="19907"/>
    <n v="37993"/>
    <n v="18426"/>
    <n v="10715"/>
    <n v="86"/>
    <x v="0"/>
  </r>
  <r>
    <d v="2022-02-08T00:00:00"/>
    <n v="30850"/>
    <n v="69727"/>
    <n v="30684"/>
    <n v="15702"/>
    <n v="83"/>
    <x v="0"/>
  </r>
  <r>
    <d v="2022-02-09T00:00:00"/>
    <n v="26454"/>
    <n v="61007"/>
    <n v="26184"/>
    <n v="12739"/>
    <n v="88"/>
    <x v="0"/>
  </r>
  <r>
    <d v="2022-02-10T00:00:00"/>
    <n v="23368"/>
    <n v="53624"/>
    <n v="23246"/>
    <n v="11544"/>
    <n v="85"/>
    <x v="0"/>
  </r>
  <r>
    <d v="2022-02-11T00:00:00"/>
    <n v="23197"/>
    <n v="51566"/>
    <n v="22567"/>
    <n v="10819"/>
    <n v="82"/>
    <x v="0"/>
  </r>
  <r>
    <d v="2022-02-12T00:00:00"/>
    <n v="19978"/>
    <n v="44579"/>
    <n v="19796"/>
    <n v="9940"/>
    <n v="79"/>
    <x v="0"/>
  </r>
  <r>
    <d v="2022-02-13T00:00:00"/>
    <n v="22796"/>
    <n v="51628"/>
    <n v="23326"/>
    <n v="12039"/>
    <n v="74"/>
    <x v="0"/>
  </r>
  <r>
    <d v="2022-02-14T00:00:00"/>
    <n v="16559"/>
    <n v="29185"/>
    <n v="13695"/>
    <n v="7100"/>
    <n v="78"/>
    <x v="0"/>
  </r>
  <r>
    <d v="2022-02-15T00:00:00"/>
    <n v="17184"/>
    <n v="28356"/>
    <n v="13548"/>
    <n v="7135"/>
    <n v="81"/>
    <x v="0"/>
  </r>
  <r>
    <d v="2022-02-16T00:00:00"/>
    <n v="19998"/>
    <n v="33813"/>
    <n v="17766"/>
    <n v="10738"/>
    <n v="80"/>
    <x v="0"/>
  </r>
  <r>
    <d v="2022-02-17T00:00:00"/>
    <n v="17966"/>
    <n v="26957"/>
    <n v="13449"/>
    <n v="6989"/>
    <n v="84"/>
    <x v="0"/>
  </r>
  <r>
    <d v="2022-02-18T00:00:00"/>
    <n v="14732"/>
    <n v="23038"/>
    <n v="10750"/>
    <n v="5179"/>
    <n v="83"/>
    <x v="0"/>
  </r>
  <r>
    <d v="2022-02-19T00:00:00"/>
    <n v="13174"/>
    <n v="19607"/>
    <n v="9024"/>
    <n v="4382"/>
    <n v="72"/>
    <x v="0"/>
  </r>
  <r>
    <d v="2022-02-20T00:00:00"/>
    <n v="14536"/>
    <n v="22723"/>
    <n v="10400"/>
    <n v="4916"/>
    <n v="73"/>
    <x v="0"/>
  </r>
  <r>
    <d v="2022-02-21T00:00:00"/>
    <n v="14081"/>
    <n v="22226"/>
    <n v="10183"/>
    <n v="4925"/>
    <n v="72"/>
    <x v="0"/>
  </r>
  <r>
    <d v="2022-02-22T00:00:00"/>
    <n v="16266"/>
    <n v="25600"/>
    <n v="11882"/>
    <n v="5805"/>
    <n v="72"/>
    <x v="0"/>
  </r>
  <r>
    <d v="2022-02-23T00:00:00"/>
    <n v="16775"/>
    <n v="25088"/>
    <n v="11576"/>
    <n v="5800"/>
    <n v="75"/>
    <x v="0"/>
  </r>
  <r>
    <d v="2022-02-24T00:00:00"/>
    <n v="13671"/>
    <n v="20261"/>
    <n v="9548"/>
    <n v="4921"/>
    <n v="78"/>
    <x v="0"/>
  </r>
  <r>
    <d v="2022-02-25T00:00:00"/>
    <n v="20104"/>
    <n v="31104"/>
    <n v="12733"/>
    <n v="6079"/>
    <n v="78"/>
    <x v="0"/>
  </r>
  <r>
    <d v="2022-02-26T00:00:00"/>
    <n v="15521"/>
    <n v="25252"/>
    <n v="10565"/>
    <n v="4997"/>
    <n v="78"/>
    <x v="0"/>
  </r>
  <r>
    <d v="2022-02-27T00:00:00"/>
    <n v="14265"/>
    <n v="23380"/>
    <n v="10265"/>
    <n v="4823"/>
    <n v="75"/>
    <x v="0"/>
  </r>
  <r>
    <d v="2022-02-28T00:00:00"/>
    <n v="14589"/>
    <n v="22474"/>
    <n v="10376"/>
    <n v="5284"/>
    <n v="79"/>
    <x v="0"/>
  </r>
  <r>
    <d v="2022-03-01T00:00:00"/>
    <n v="12707"/>
    <n v="21191"/>
    <n v="9691"/>
    <n v="4946"/>
    <n v="74"/>
    <x v="0"/>
  </r>
  <r>
    <d v="2022-03-02T00:00:00"/>
    <n v="13615"/>
    <n v="23165"/>
    <n v="10378"/>
    <n v="5095"/>
    <n v="75"/>
    <x v="0"/>
  </r>
  <r>
    <d v="2022-03-03T00:00:00"/>
    <n v="15084"/>
    <n v="26558"/>
    <n v="11563"/>
    <n v="5573"/>
    <n v="78"/>
    <x v="0"/>
  </r>
  <r>
    <d v="2022-03-04T00:00:00"/>
    <n v="16010"/>
    <n v="33121"/>
    <n v="13823"/>
    <n v="6858"/>
    <n v="67"/>
    <x v="0"/>
  </r>
  <r>
    <d v="2022-03-05T00:00:00"/>
    <n v="14263"/>
    <n v="31479"/>
    <n v="11784"/>
    <n v="5441"/>
    <n v="66"/>
    <x v="0"/>
  </r>
  <r>
    <d v="2022-03-06T00:00:00"/>
    <n v="13775"/>
    <n v="28828"/>
    <n v="10936"/>
    <n v="4762"/>
    <n v="79"/>
    <x v="0"/>
  </r>
  <r>
    <d v="2022-03-07T00:00:00"/>
    <n v="15400"/>
    <n v="31321"/>
    <n v="12605"/>
    <n v="6098"/>
    <n v="77"/>
    <x v="0"/>
  </r>
  <r>
    <d v="2022-03-08T00:00:00"/>
    <n v="14808"/>
    <n v="29520"/>
    <n v="11915"/>
    <n v="5559"/>
    <n v="80"/>
    <x v="0"/>
  </r>
  <r>
    <d v="2022-03-09T00:00:00"/>
    <n v="14241"/>
    <n v="28081"/>
    <n v="11249"/>
    <n v="5118"/>
    <n v="77"/>
    <x v="0"/>
  </r>
  <r>
    <d v="2022-03-10T00:00:00"/>
    <n v="14840"/>
    <n v="30453"/>
    <n v="12201"/>
    <n v="5635"/>
    <n v="83"/>
    <x v="0"/>
  </r>
  <r>
    <d v="2022-03-11T00:00:00"/>
    <n v="14701"/>
    <n v="29701"/>
    <n v="12324"/>
    <n v="5928"/>
    <n v="81"/>
    <x v="0"/>
  </r>
  <r>
    <d v="2022-03-12T00:00:00"/>
    <n v="14572"/>
    <n v="29527"/>
    <n v="12313"/>
    <n v="6013"/>
    <n v="69"/>
    <x v="0"/>
  </r>
  <r>
    <d v="2022-03-13T00:00:00"/>
    <n v="18949"/>
    <n v="33107"/>
    <n v="14118"/>
    <n v="6822"/>
    <n v="63"/>
    <x v="0"/>
  </r>
  <r>
    <d v="2022-03-14T00:00:00"/>
    <n v="26073"/>
    <n v="48843"/>
    <n v="20992"/>
    <n v="10434"/>
    <n v="66"/>
    <x v="0"/>
  </r>
  <r>
    <d v="2022-03-15T00:00:00"/>
    <n v="48971"/>
    <n v="106667"/>
    <n v="45121"/>
    <n v="21794"/>
    <n v="64"/>
    <x v="0"/>
  </r>
  <r>
    <d v="2022-03-16T00:00:00"/>
    <n v="26864"/>
    <n v="60009"/>
    <n v="24616"/>
    <n v="11757"/>
    <n v="75"/>
    <x v="0"/>
  </r>
  <r>
    <d v="2022-03-17T00:00:00"/>
    <n v="23775"/>
    <n v="57572"/>
    <n v="23951"/>
    <n v="10913"/>
    <n v="86"/>
    <x v="0"/>
  </r>
  <r>
    <d v="2022-03-18T00:00:00"/>
    <n v="26065"/>
    <n v="65859"/>
    <n v="28685"/>
    <n v="13213"/>
    <n v="87"/>
    <x v="0"/>
  </r>
  <r>
    <d v="2022-03-19T00:00:00"/>
    <n v="31396"/>
    <n v="77684"/>
    <n v="34269"/>
    <n v="15915"/>
    <n v="77"/>
    <x v="0"/>
  </r>
  <r>
    <d v="2022-03-20T00:00:00"/>
    <n v="33350"/>
    <n v="83321"/>
    <n v="36290"/>
    <n v="16277"/>
    <n v="80"/>
    <x v="0"/>
  </r>
  <r>
    <d v="2022-03-21T00:00:00"/>
    <n v="32206"/>
    <n v="81304"/>
    <n v="35331"/>
    <n v="15786"/>
    <n v="90"/>
    <x v="0"/>
  </r>
  <r>
    <d v="2022-03-22T00:00:00"/>
    <n v="37508"/>
    <n v="103033"/>
    <n v="42065"/>
    <n v="18366"/>
    <n v="91"/>
    <x v="0"/>
  </r>
  <r>
    <d v="2022-03-23T00:00:00"/>
    <n v="34953"/>
    <n v="95806"/>
    <n v="38692"/>
    <n v="17187"/>
    <n v="101"/>
    <x v="0"/>
  </r>
  <r>
    <d v="2022-03-24T00:00:00"/>
    <n v="33743"/>
    <n v="90676"/>
    <n v="37781"/>
    <n v="16696"/>
    <n v="99"/>
    <x v="0"/>
  </r>
  <r>
    <d v="2022-03-25T00:00:00"/>
    <n v="35229"/>
    <n v="94117"/>
    <n v="39188"/>
    <n v="17572"/>
    <n v="90"/>
    <x v="0"/>
  </r>
  <r>
    <d v="2022-03-26T00:00:00"/>
    <n v="39481"/>
    <n v="104183"/>
    <n v="45128"/>
    <n v="21337"/>
    <n v="84"/>
    <x v="0"/>
  </r>
  <r>
    <d v="2022-03-27T00:00:00"/>
    <n v="81975"/>
    <n v="238268"/>
    <n v="90662"/>
    <n v="35894"/>
    <n v="90"/>
    <x v="0"/>
  </r>
  <r>
    <d v="2022-03-28T00:00:00"/>
    <n v="95370"/>
    <n v="289065"/>
    <n v="108815"/>
    <n v="42961"/>
    <n v="93"/>
    <x v="0"/>
  </r>
  <r>
    <d v="2022-03-29T00:00:00"/>
    <n v="92539"/>
    <n v="282285"/>
    <n v="104918"/>
    <n v="40583"/>
    <n v="102"/>
    <x v="0"/>
  </r>
  <r>
    <d v="2022-03-30T00:00:00"/>
    <n v="98317"/>
    <n v="282865"/>
    <n v="112650"/>
    <n v="46998"/>
    <n v="105"/>
    <x v="0"/>
  </r>
  <r>
    <d v="2022-03-31T00:00:00"/>
    <n v="82932"/>
    <n v="232120"/>
    <n v="95127"/>
    <n v="41371"/>
    <n v="102"/>
    <x v="0"/>
  </r>
  <r>
    <d v="2022-04-01T00:00:00"/>
    <n v="111046"/>
    <n v="318102"/>
    <n v="129979"/>
    <n v="55073"/>
    <n v="95"/>
    <x v="0"/>
  </r>
  <r>
    <d v="2022-04-02T00:00:00"/>
    <n v="219761"/>
    <n v="624465"/>
    <n v="258029"/>
    <n v="111753"/>
    <n v="89"/>
    <x v="0"/>
  </r>
  <r>
    <d v="2022-04-03T00:00:00"/>
    <n v="2232007"/>
    <n v="7344507"/>
    <n v="3086640"/>
    <n v="1300402"/>
    <n v="130"/>
    <x v="1"/>
  </r>
  <r>
    <d v="2022-04-04T00:00:00"/>
    <n v="798488"/>
    <n v="2168600"/>
    <n v="953408"/>
    <n v="413494"/>
    <n v="80"/>
    <x v="0"/>
  </r>
  <r>
    <d v="2022-04-05T00:00:00"/>
    <n v="226589"/>
    <n v="592457"/>
    <n v="263082"/>
    <n v="116914"/>
    <n v="85"/>
    <x v="0"/>
  </r>
  <r>
    <d v="2022-04-06T00:00:00"/>
    <n v="129318"/>
    <n v="327200"/>
    <n v="146051"/>
    <n v="65183"/>
    <n v="86"/>
    <x v="0"/>
  </r>
  <r>
    <d v="2022-04-07T00:00:00"/>
    <n v="95852"/>
    <n v="259527"/>
    <n v="111484"/>
    <n v="48017"/>
    <n v="88"/>
    <x v="0"/>
  </r>
  <r>
    <d v="2022-04-08T00:00:00"/>
    <n v="79275"/>
    <n v="210139"/>
    <n v="91964"/>
    <n v="40593"/>
    <n v="86"/>
    <x v="0"/>
  </r>
  <r>
    <d v="2022-04-09T00:00:00"/>
    <n v="67699"/>
    <n v="172244"/>
    <n v="76966"/>
    <n v="35351"/>
    <n v="81"/>
    <x v="0"/>
  </r>
  <r>
    <d v="2022-04-10T00:00:00"/>
    <n v="56971"/>
    <n v="143400"/>
    <n v="65164"/>
    <n v="30276"/>
    <n v="80"/>
    <x v="0"/>
  </r>
  <r>
    <d v="2022-04-11T00:00:00"/>
    <n v="47764"/>
    <n v="118990"/>
    <n v="54806"/>
    <n v="25918"/>
    <n v="86"/>
    <x v="0"/>
  </r>
  <r>
    <d v="2022-04-12T00:00:00"/>
    <n v="40892"/>
    <n v="98622"/>
    <n v="46525"/>
    <n v="22621"/>
    <n v="87"/>
    <x v="0"/>
  </r>
  <r>
    <d v="2022-04-13T00:00:00"/>
    <n v="36954"/>
    <n v="88367"/>
    <n v="42213"/>
    <n v="20807"/>
    <n v="88"/>
    <x v="0"/>
  </r>
  <r>
    <d v="2022-04-14T00:00:00"/>
    <n v="32305"/>
    <n v="79681"/>
    <n v="36634"/>
    <n v="17446"/>
    <n v="89"/>
    <x v="0"/>
  </r>
  <r>
    <d v="2022-04-15T00:00:00"/>
    <n v="30018"/>
    <n v="75580"/>
    <n v="33377"/>
    <n v="15494"/>
    <n v="85"/>
    <x v="0"/>
  </r>
  <r>
    <d v="2022-04-16T00:00:00"/>
    <n v="28244"/>
    <n v="71235"/>
    <n v="31175"/>
    <n v="14519"/>
    <n v="81"/>
    <x v="0"/>
  </r>
  <r>
    <d v="2022-04-17T00:00:00"/>
    <n v="27885"/>
    <n v="69707"/>
    <n v="30808"/>
    <n v="14416"/>
    <n v="84"/>
    <x v="0"/>
  </r>
  <r>
    <d v="2022-04-18T00:00:00"/>
    <n v="27322"/>
    <n v="66029"/>
    <n v="30204"/>
    <n v="14553"/>
    <n v="96"/>
    <x v="0"/>
  </r>
  <r>
    <d v="2022-04-19T00:00:00"/>
    <n v="25837"/>
    <n v="62994"/>
    <n v="28829"/>
    <n v="13804"/>
    <n v="97"/>
    <x v="0"/>
  </r>
  <r>
    <d v="2022-04-20T00:00:00"/>
    <n v="23687"/>
    <n v="63492"/>
    <n v="26353"/>
    <n v="10579"/>
    <n v="90"/>
    <x v="0"/>
  </r>
  <r>
    <d v="2022-04-21T00:00:00"/>
    <n v="26941"/>
    <n v="72875"/>
    <n v="30293"/>
    <n v="11945"/>
    <n v="86"/>
    <x v="0"/>
  </r>
  <r>
    <d v="2022-04-22T00:00:00"/>
    <n v="25546"/>
    <n v="57706"/>
    <n v="29268"/>
    <n v="15410"/>
    <n v="73"/>
    <x v="0"/>
  </r>
  <r>
    <d v="2022-04-23T00:00:00"/>
    <n v="22712"/>
    <n v="51852"/>
    <n v="25348"/>
    <n v="13024"/>
    <n v="69"/>
    <x v="0"/>
  </r>
  <r>
    <d v="2022-04-24T00:00:00"/>
    <n v="22428"/>
    <n v="51040"/>
    <n v="24810"/>
    <n v="12701"/>
    <n v="82"/>
    <x v="0"/>
  </r>
  <r>
    <d v="2022-04-25T00:00:00"/>
    <n v="21356"/>
    <n v="49883"/>
    <n v="24105"/>
    <n v="12157"/>
    <n v="93"/>
    <x v="0"/>
  </r>
  <r>
    <d v="2022-04-26T00:00:00"/>
    <n v="21257"/>
    <n v="51535"/>
    <n v="23947"/>
    <n v="11979"/>
    <n v="95"/>
    <x v="0"/>
  </r>
  <r>
    <d v="2022-04-27T00:00:00"/>
    <n v="20075"/>
    <n v="45732"/>
    <n v="22249"/>
    <n v="11485"/>
    <n v="91"/>
    <x v="0"/>
  </r>
  <r>
    <d v="2022-04-28T00:00:00"/>
    <n v="20883"/>
    <n v="48700"/>
    <n v="23335"/>
    <n v="11376"/>
    <n v="86"/>
    <x v="0"/>
  </r>
  <r>
    <d v="2022-04-29T00:00:00"/>
    <n v="20039"/>
    <n v="45345"/>
    <n v="22049"/>
    <n v="11437"/>
    <n v="87"/>
    <x v="0"/>
  </r>
  <r>
    <d v="2022-04-30T00:00:00"/>
    <n v="18375"/>
    <n v="41477"/>
    <n v="20054"/>
    <n v="10302"/>
    <n v="73"/>
    <x v="0"/>
  </r>
  <r>
    <d v="2022-05-01T00:00:00"/>
    <n v="18836"/>
    <n v="41240"/>
    <n v="20415"/>
    <n v="10651"/>
    <n v="75"/>
    <x v="0"/>
  </r>
  <r>
    <d v="2022-05-02T00:00:00"/>
    <n v="19433"/>
    <n v="43453"/>
    <n v="21773"/>
    <n v="11447"/>
    <n v="85"/>
    <x v="0"/>
  </r>
  <r>
    <d v="2022-05-03T00:00:00"/>
    <n v="19978"/>
    <n v="45328"/>
    <n v="22209"/>
    <n v="11769"/>
    <n v="88"/>
    <x v="0"/>
  </r>
  <r>
    <d v="2022-05-04T00:00:00"/>
    <n v="19977"/>
    <n v="45357"/>
    <n v="22448"/>
    <n v="11815"/>
    <n v="86"/>
    <x v="0"/>
  </r>
  <r>
    <d v="2022-05-05T00:00:00"/>
    <n v="17547"/>
    <n v="40225"/>
    <n v="19565"/>
    <n v="10249"/>
    <n v="85"/>
    <x v="0"/>
  </r>
  <r>
    <d v="2022-05-06T00:00:00"/>
    <n v="17715"/>
    <n v="39910"/>
    <n v="19867"/>
    <n v="10997"/>
    <n v="80"/>
    <x v="0"/>
  </r>
  <r>
    <d v="2022-05-07T00:00:00"/>
    <n v="16185"/>
    <n v="35937"/>
    <n v="17731"/>
    <n v="9701"/>
    <n v="78"/>
    <x v="0"/>
  </r>
  <r>
    <d v="2022-05-08T00:00:00"/>
    <n v="16968"/>
    <n v="38904"/>
    <n v="19149"/>
    <n v="10506"/>
    <n v="77"/>
    <x v="0"/>
  </r>
  <r>
    <d v="2022-05-09T00:00:00"/>
    <n v="17829"/>
    <n v="39983"/>
    <n v="19931"/>
    <n v="10971"/>
    <n v="87"/>
    <x v="0"/>
  </r>
  <r>
    <d v="2022-05-10T00:00:00"/>
    <n v="16427"/>
    <n v="37711"/>
    <n v="18798"/>
    <n v="10465"/>
    <n v="87"/>
    <x v="0"/>
  </r>
  <r>
    <d v="2022-05-11T00:00:00"/>
    <n v="16426"/>
    <n v="36679"/>
    <n v="18727"/>
    <n v="10373"/>
    <n v="84"/>
    <x v="0"/>
  </r>
  <r>
    <d v="2022-05-12T00:00:00"/>
    <n v="17904"/>
    <n v="40027"/>
    <n v="20075"/>
    <n v="10791"/>
    <n v="84"/>
    <x v="0"/>
  </r>
  <r>
    <d v="2022-05-13T00:00:00"/>
    <n v="18736"/>
    <n v="42160"/>
    <n v="21086"/>
    <n v="11319"/>
    <n v="81"/>
    <x v="0"/>
  </r>
  <r>
    <d v="2022-05-14T00:00:00"/>
    <n v="17024"/>
    <n v="39169"/>
    <n v="19378"/>
    <n v="10312"/>
    <n v="73"/>
    <x v="0"/>
  </r>
  <r>
    <d v="2022-05-15T00:00:00"/>
    <n v="17735"/>
    <n v="40322"/>
    <n v="19962"/>
    <n v="10764"/>
    <n v="79"/>
    <x v="0"/>
  </r>
  <r>
    <d v="2022-05-16T00:00:00"/>
    <n v="18330"/>
    <n v="41167"/>
    <n v="20329"/>
    <n v="11169"/>
    <n v="86"/>
    <x v="0"/>
  </r>
  <r>
    <d v="2022-05-17T00:00:00"/>
    <n v="16759"/>
    <n v="37590"/>
    <n v="18778"/>
    <n v="10218"/>
    <n v="91"/>
    <x v="0"/>
  </r>
  <r>
    <d v="2022-05-18T00:00:00"/>
    <n v="16373"/>
    <n v="37459"/>
    <n v="18609"/>
    <n v="10215"/>
    <n v="96"/>
    <x v="0"/>
  </r>
  <r>
    <d v="2022-05-19T00:00:00"/>
    <n v="20000"/>
    <n v="43958"/>
    <n v="22813"/>
    <n v="13417"/>
    <n v="79"/>
    <x v="0"/>
  </r>
  <r>
    <d v="2022-05-20T00:00:00"/>
    <n v="17920"/>
    <n v="39785"/>
    <n v="20034"/>
    <n v="11017"/>
    <n v="87"/>
    <x v="0"/>
  </r>
  <r>
    <d v="2022-05-21T00:00:00"/>
    <n v="15453"/>
    <n v="35273"/>
    <n v="17393"/>
    <n v="9363"/>
    <n v="74"/>
    <x v="0"/>
  </r>
  <r>
    <d v="2022-05-22T00:00:00"/>
    <n v="16225"/>
    <n v="37405"/>
    <n v="18342"/>
    <n v="9707"/>
    <n v="77"/>
    <x v="0"/>
  </r>
  <r>
    <d v="2022-05-23T00:00:00"/>
    <n v="16740"/>
    <n v="36342"/>
    <n v="18850"/>
    <n v="10764"/>
    <n v="83"/>
    <x v="0"/>
  </r>
  <r>
    <d v="2022-05-24T00:00:00"/>
    <n v="16516"/>
    <n v="35444"/>
    <n v="18241"/>
    <n v="10378"/>
    <n v="89"/>
    <x v="0"/>
  </r>
  <r>
    <d v="2022-05-25T00:00:00"/>
    <n v="16286"/>
    <n v="36436"/>
    <n v="17908"/>
    <n v="9556"/>
    <n v="88"/>
    <x v="0"/>
  </r>
  <r>
    <d v="2022-05-26T00:00:00"/>
    <n v="16047"/>
    <n v="36196"/>
    <n v="18021"/>
    <n v="9793"/>
    <n v="90"/>
    <x v="0"/>
  </r>
  <r>
    <d v="2022-05-27T00:00:00"/>
    <n v="19071"/>
    <n v="43271"/>
    <n v="24195"/>
    <n v="15287"/>
    <n v="70"/>
    <x v="0"/>
  </r>
  <r>
    <d v="2022-05-28T00:00:00"/>
    <n v="13187"/>
    <n v="29792"/>
    <n v="15101"/>
    <n v="8591"/>
    <n v="77"/>
    <x v="0"/>
  </r>
  <r>
    <d v="2022-05-29T00:00:00"/>
    <n v="13145"/>
    <n v="29366"/>
    <n v="14712"/>
    <n v="8145"/>
    <n v="80"/>
    <x v="0"/>
  </r>
  <r>
    <d v="2022-05-30T00:00:00"/>
    <n v="14439"/>
    <n v="32368"/>
    <n v="16675"/>
    <n v="9525"/>
    <n v="75"/>
    <x v="0"/>
  </r>
  <r>
    <d v="2022-05-31T00:00:00"/>
    <n v="13836"/>
    <n v="30743"/>
    <n v="15518"/>
    <n v="8602"/>
    <n v="86"/>
    <x v="0"/>
  </r>
  <r>
    <d v="2022-06-01T00:00:00"/>
    <n v="14341"/>
    <n v="32659"/>
    <n v="16180"/>
    <n v="8778"/>
    <n v="85"/>
    <x v="0"/>
  </r>
  <r>
    <d v="2022-06-02T00:00:00"/>
    <n v="14193"/>
    <n v="32029"/>
    <n v="16129"/>
    <n v="8755"/>
    <n v="84"/>
    <x v="0"/>
  </r>
  <r>
    <d v="2022-06-03T00:00:00"/>
    <n v="13029"/>
    <n v="29514"/>
    <n v="14818"/>
    <n v="8205"/>
    <n v="78"/>
    <x v="0"/>
  </r>
  <r>
    <d v="2022-06-04T00:00:00"/>
    <n v="11962"/>
    <n v="27349"/>
    <n v="13160"/>
    <n v="6945"/>
    <n v="83"/>
    <x v="0"/>
  </r>
  <r>
    <d v="2022-06-05T00:00:00"/>
    <n v="12620"/>
    <n v="28516"/>
    <n v="13880"/>
    <n v="7629"/>
    <n v="85"/>
    <x v="0"/>
  </r>
  <r>
    <d v="2022-06-06T00:00:00"/>
    <n v="12713"/>
    <n v="29847"/>
    <n v="14340"/>
    <n v="7616"/>
    <n v="87"/>
    <x v="0"/>
  </r>
  <r>
    <d v="2022-06-07T00:00:00"/>
    <n v="12716"/>
    <n v="29405"/>
    <n v="14333"/>
    <n v="7528"/>
    <n v="86"/>
    <x v="0"/>
  </r>
  <r>
    <d v="2022-06-08T00:00:00"/>
    <n v="18533"/>
    <n v="43318"/>
    <n v="20685"/>
    <n v="10258"/>
    <n v="86"/>
    <x v="0"/>
  </r>
  <r>
    <d v="2022-06-09T00:00:00"/>
    <n v="26238"/>
    <n v="58460"/>
    <n v="30134"/>
    <n v="15956"/>
    <n v="70"/>
    <x v="0"/>
  </r>
  <r>
    <d v="2022-06-10T00:00:00"/>
    <n v="45469"/>
    <n v="82355"/>
    <n v="49172"/>
    <n v="31731"/>
    <n v="64"/>
    <x v="0"/>
  </r>
  <r>
    <d v="2022-06-11T00:00:00"/>
    <n v="37018"/>
    <n v="64873"/>
    <n v="39899"/>
    <n v="26888"/>
    <n v="62"/>
    <x v="0"/>
  </r>
  <r>
    <d v="2022-06-12T00:00:00"/>
    <n v="17783"/>
    <n v="39700"/>
    <n v="19679"/>
    <n v="10157"/>
    <n v="79"/>
    <x v="0"/>
  </r>
  <r>
    <d v="2022-06-13T00:00:00"/>
    <n v="16613"/>
    <n v="37355"/>
    <n v="18723"/>
    <n v="10023"/>
    <n v="85"/>
    <x v="0"/>
  </r>
  <r>
    <d v="2022-06-14T00:00:00"/>
    <n v="17487"/>
    <n v="39628"/>
    <n v="19717"/>
    <n v="10736"/>
    <n v="78"/>
    <x v="0"/>
  </r>
  <r>
    <d v="2022-06-15T00:00:00"/>
    <n v="15027"/>
    <n v="35065"/>
    <n v="17297"/>
    <n v="9241"/>
    <n v="82"/>
    <x v="0"/>
  </r>
  <r>
    <d v="2022-06-16T00:00:00"/>
    <n v="17098"/>
    <n v="38634"/>
    <n v="19083"/>
    <n v="10109"/>
    <n v="75"/>
    <x v="0"/>
  </r>
  <r>
    <d v="2022-06-17T00:00:00"/>
    <n v="16714"/>
    <n v="37291"/>
    <n v="18581"/>
    <n v="9778"/>
    <n v="76"/>
    <x v="0"/>
  </r>
  <r>
    <d v="2022-06-18T00:00:00"/>
    <n v="13139"/>
    <n v="31116"/>
    <n v="14523"/>
    <n v="7265"/>
    <n v="85"/>
    <x v="0"/>
  </r>
  <r>
    <d v="2022-06-19T00:00:00"/>
    <n v="13386"/>
    <n v="31183"/>
    <n v="15013"/>
    <n v="7582"/>
    <n v="74"/>
    <x v="0"/>
  </r>
  <r>
    <d v="2022-06-20T00:00:00"/>
    <n v="14666"/>
    <n v="32816"/>
    <n v="16194"/>
    <n v="8114"/>
    <n v="81"/>
    <x v="0"/>
  </r>
  <r>
    <d v="2022-06-21T00:00:00"/>
    <n v="13925"/>
    <n v="31781"/>
    <n v="15843"/>
    <n v="8366"/>
    <n v="88"/>
    <x v="0"/>
  </r>
  <r>
    <d v="2022-06-22T00:00:00"/>
    <n v="13454"/>
    <n v="30214"/>
    <n v="15169"/>
    <n v="8122"/>
    <n v="90"/>
    <x v="0"/>
  </r>
  <r>
    <d v="2022-06-23T00:00:00"/>
    <n v="12772"/>
    <n v="29122"/>
    <n v="14493"/>
    <n v="7763"/>
    <n v="90"/>
    <x v="0"/>
  </r>
  <r>
    <d v="2022-06-24T00:00:00"/>
    <n v="11694"/>
    <n v="26523"/>
    <n v="12962"/>
    <n v="6786"/>
    <n v="87"/>
    <x v="0"/>
  </r>
  <r>
    <d v="2022-06-25T00:00:00"/>
    <n v="10238"/>
    <n v="23664"/>
    <n v="11298"/>
    <n v="5971"/>
    <n v="86"/>
    <x v="0"/>
  </r>
  <r>
    <d v="2022-06-26T00:00:00"/>
    <n v="11475"/>
    <n v="26986"/>
    <n v="12581"/>
    <n v="6599"/>
    <n v="80"/>
    <x v="0"/>
  </r>
  <r>
    <d v="2022-06-27T00:00:00"/>
    <n v="12283"/>
    <n v="28034"/>
    <n v="13568"/>
    <n v="7243"/>
    <n v="85"/>
    <x v="0"/>
  </r>
  <r>
    <d v="2022-06-28T00:00:00"/>
    <n v="11902"/>
    <n v="27279"/>
    <n v="13372"/>
    <n v="7066"/>
    <n v="92"/>
    <x v="0"/>
  </r>
  <r>
    <d v="2022-06-29T00:00:00"/>
    <n v="26488"/>
    <n v="57994"/>
    <n v="28865"/>
    <n v="13512"/>
    <n v="125"/>
    <x v="0"/>
  </r>
  <r>
    <d v="2022-06-30T00:00:00"/>
    <n v="16166"/>
    <n v="35566"/>
    <n v="18078"/>
    <n v="9323"/>
    <n v="96"/>
    <x v="0"/>
  </r>
  <r>
    <d v="2022-07-01T00:00:00"/>
    <n v="13709"/>
    <n v="30283"/>
    <n v="15104"/>
    <n v="7580"/>
    <n v="88"/>
    <x v="0"/>
  </r>
  <r>
    <d v="2022-07-02T00:00:00"/>
    <n v="14755"/>
    <n v="32510"/>
    <n v="16195"/>
    <n v="8469"/>
    <n v="84"/>
    <x v="0"/>
  </r>
  <r>
    <d v="2022-07-03T00:00:00"/>
    <n v="13397"/>
    <n v="30864"/>
    <n v="14895"/>
    <n v="7371"/>
    <n v="81"/>
    <x v="0"/>
  </r>
  <r>
    <d v="2022-07-04T00:00:00"/>
    <n v="12725"/>
    <n v="28977"/>
    <n v="13978"/>
    <n v="7078"/>
    <n v="77"/>
    <x v="0"/>
  </r>
  <r>
    <d v="2022-07-05T00:00:00"/>
    <n v="16349"/>
    <n v="38460"/>
    <n v="18443"/>
    <n v="9194"/>
    <n v="89"/>
    <x v="0"/>
  </r>
  <r>
    <d v="2022-07-06T00:00:00"/>
    <n v="15172"/>
    <n v="36118"/>
    <n v="16887"/>
    <n v="8373"/>
    <n v="85"/>
    <x v="0"/>
  </r>
  <r>
    <d v="2022-07-07T00:00:00"/>
    <n v="14743"/>
    <n v="33813"/>
    <n v="15902"/>
    <n v="7614"/>
    <n v="90"/>
    <x v="0"/>
  </r>
  <r>
    <d v="2022-07-08T00:00:00"/>
    <n v="13523"/>
    <n v="30984"/>
    <n v="14655"/>
    <n v="7288"/>
    <n v="85"/>
    <x v="0"/>
  </r>
  <r>
    <d v="2022-07-09T00:00:00"/>
    <n v="11128"/>
    <n v="25615"/>
    <n v="12309"/>
    <n v="6276"/>
    <n v="83"/>
    <x v="0"/>
  </r>
  <r>
    <d v="2022-07-10T00:00:00"/>
    <n v="10700"/>
    <n v="24668"/>
    <n v="11843"/>
    <n v="6083"/>
    <n v="83"/>
    <x v="0"/>
  </r>
  <r>
    <d v="2022-07-11T00:00:00"/>
    <n v="14960"/>
    <n v="34317"/>
    <n v="16525"/>
    <n v="7822"/>
    <n v="106"/>
    <x v="0"/>
  </r>
  <r>
    <d v="2022-07-12T00:00:00"/>
    <n v="15789"/>
    <n v="35827"/>
    <n v="17508"/>
    <n v="8371"/>
    <n v="95"/>
    <x v="0"/>
  </r>
  <r>
    <d v="2022-07-13T00:00:00"/>
    <n v="14306"/>
    <n v="32762"/>
    <n v="15766"/>
    <n v="7688"/>
    <n v="95"/>
    <x v="0"/>
  </r>
  <r>
    <d v="2022-07-14T00:00:00"/>
    <n v="15147"/>
    <n v="33933"/>
    <n v="16743"/>
    <n v="8411"/>
    <n v="87"/>
    <x v="0"/>
  </r>
  <r>
    <d v="2022-07-15T00:00:00"/>
    <n v="21402"/>
    <n v="43295"/>
    <n v="23258"/>
    <n v="13358"/>
    <n v="80"/>
    <x v="0"/>
  </r>
  <r>
    <d v="2022-07-16T00:00:00"/>
    <n v="19870"/>
    <n v="38393"/>
    <n v="21469"/>
    <n v="13019"/>
    <n v="67"/>
    <x v="0"/>
  </r>
  <r>
    <d v="2022-07-17T00:00:00"/>
    <n v="15648"/>
    <n v="34175"/>
    <n v="16805"/>
    <n v="8512"/>
    <n v="84"/>
    <x v="0"/>
  </r>
  <r>
    <d v="2022-07-18T00:00:00"/>
    <n v="12023"/>
    <n v="23667"/>
    <n v="13171"/>
    <n v="7363"/>
    <n v="80"/>
    <x v="0"/>
  </r>
  <r>
    <d v="2022-07-19T00:00:00"/>
    <n v="7554"/>
    <n v="13952"/>
    <n v="8438"/>
    <n v="5262"/>
    <n v="86"/>
    <x v="0"/>
  </r>
  <r>
    <d v="2022-07-20T00:00:00"/>
    <n v="7749"/>
    <n v="14172"/>
    <n v="8693"/>
    <n v="5499"/>
    <n v="92"/>
    <x v="0"/>
  </r>
  <r>
    <d v="2022-07-21T00:00:00"/>
    <n v="10785"/>
    <n v="21857"/>
    <n v="11718"/>
    <n v="6518"/>
    <n v="86"/>
    <x v="0"/>
  </r>
  <r>
    <d v="2022-07-22T00:00:00"/>
    <n v="13596"/>
    <n v="31363"/>
    <n v="15203"/>
    <n v="7745"/>
    <n v="90"/>
    <x v="0"/>
  </r>
  <r>
    <d v="2022-07-23T00:00:00"/>
    <n v="12225"/>
    <n v="27433"/>
    <n v="13258"/>
    <n v="6827"/>
    <n v="78"/>
    <x v="0"/>
  </r>
  <r>
    <d v="2022-07-24T00:00:00"/>
    <n v="11431"/>
    <n v="26081"/>
    <n v="12432"/>
    <n v="6149"/>
    <n v="84"/>
    <x v="0"/>
  </r>
  <r>
    <d v="2022-07-25T00:00:00"/>
    <n v="11959"/>
    <n v="26890"/>
    <n v="13238"/>
    <n v="6859"/>
    <n v="84"/>
    <x v="0"/>
  </r>
  <r>
    <d v="2022-07-26T00:00:00"/>
    <n v="12474"/>
    <n v="28876"/>
    <n v="13900"/>
    <n v="7035"/>
    <n v="84"/>
    <x v="0"/>
  </r>
  <r>
    <d v="2022-07-27T00:00:00"/>
    <n v="21822"/>
    <n v="58870"/>
    <n v="23379"/>
    <n v="8122"/>
    <n v="85"/>
    <x v="0"/>
  </r>
  <r>
    <d v="2022-07-28T00:00:00"/>
    <n v="19871"/>
    <n v="50883"/>
    <n v="21362"/>
    <n v="8391"/>
    <n v="84"/>
    <x v="0"/>
  </r>
  <r>
    <d v="2022-07-29T00:00:00"/>
    <n v="13088"/>
    <n v="30358"/>
    <n v="14370"/>
    <n v="7102"/>
    <n v="83"/>
    <x v="0"/>
  </r>
  <r>
    <d v="2022-07-30T00:00:00"/>
    <n v="11719"/>
    <n v="26386"/>
    <n v="12656"/>
    <n v="6336"/>
    <n v="76"/>
    <x v="0"/>
  </r>
  <r>
    <d v="2022-07-31T00:00:00"/>
    <n v="12228"/>
    <n v="27681"/>
    <n v="13154"/>
    <n v="6546"/>
    <n v="82"/>
    <x v="0"/>
  </r>
  <r>
    <d v="2022-08-01T00:00:00"/>
    <n v="12316"/>
    <n v="28465"/>
    <n v="13607"/>
    <n v="6698"/>
    <n v="83"/>
    <x v="0"/>
  </r>
  <r>
    <d v="2022-08-02T00:00:00"/>
    <n v="12952"/>
    <n v="29553"/>
    <n v="14369"/>
    <n v="7211"/>
    <n v="86"/>
    <x v="0"/>
  </r>
  <r>
    <d v="2022-08-03T00:00:00"/>
    <n v="13172"/>
    <n v="30852"/>
    <n v="14770"/>
    <n v="7455"/>
    <n v="87"/>
    <x v="0"/>
  </r>
  <r>
    <d v="2022-08-04T00:00:00"/>
    <n v="13603"/>
    <n v="30836"/>
    <n v="15061"/>
    <n v="7655"/>
    <n v="77"/>
    <x v="0"/>
  </r>
  <r>
    <d v="2022-08-05T00:00:00"/>
    <n v="13386"/>
    <n v="30885"/>
    <n v="14688"/>
    <n v="7418"/>
    <n v="81"/>
    <x v="0"/>
  </r>
  <r>
    <d v="2022-08-06T00:00:00"/>
    <n v="12694"/>
    <n v="29087"/>
    <n v="13819"/>
    <n v="6972"/>
    <n v="81"/>
    <x v="0"/>
  </r>
  <r>
    <d v="2022-08-07T00:00:00"/>
    <n v="14196"/>
    <n v="33043"/>
    <n v="15174"/>
    <n v="7155"/>
    <n v="75"/>
    <x v="0"/>
  </r>
  <r>
    <d v="2022-08-08T00:00:00"/>
    <n v="15694"/>
    <n v="38040"/>
    <n v="16847"/>
    <n v="8050"/>
    <n v="81"/>
    <x v="0"/>
  </r>
  <r>
    <d v="2022-08-09T00:00:00"/>
    <n v="15516"/>
    <n v="37196"/>
    <n v="17068"/>
    <n v="8497"/>
    <n v="83"/>
    <x v="0"/>
  </r>
  <r>
    <d v="2022-08-10T00:00:00"/>
    <n v="12616"/>
    <n v="28181"/>
    <n v="13765"/>
    <n v="7135"/>
    <n v="91"/>
    <x v="0"/>
  </r>
  <r>
    <d v="2022-08-11T00:00:00"/>
    <n v="13488"/>
    <n v="29614"/>
    <n v="14667"/>
    <n v="7655"/>
    <n v="90"/>
    <x v="0"/>
  </r>
  <r>
    <d v="2022-08-12T00:00:00"/>
    <n v="16914"/>
    <n v="37303"/>
    <n v="18306"/>
    <n v="9415"/>
    <n v="85"/>
    <x v="0"/>
  </r>
  <r>
    <d v="2022-08-13T00:00:00"/>
    <n v="14944"/>
    <n v="34538"/>
    <n v="16161"/>
    <n v="8094"/>
    <n v="84"/>
    <x v="0"/>
  </r>
  <r>
    <d v="2022-08-14T00:00:00"/>
    <n v="13311"/>
    <n v="29417"/>
    <n v="14329"/>
    <n v="7278"/>
    <n v="74"/>
    <x v="0"/>
  </r>
  <r>
    <d v="2022-08-15T00:00:00"/>
    <n v="19371"/>
    <n v="43773"/>
    <n v="20777"/>
    <n v="9735"/>
    <n v="101"/>
    <x v="0"/>
  </r>
  <r>
    <d v="2022-08-16T00:00:00"/>
    <n v="15829"/>
    <n v="36501"/>
    <n v="17394"/>
    <n v="8584"/>
    <n v="94"/>
    <x v="0"/>
  </r>
  <r>
    <d v="2022-08-17T00:00:00"/>
    <n v="14771"/>
    <n v="33625"/>
    <n v="16333"/>
    <n v="8381"/>
    <n v="91"/>
    <x v="0"/>
  </r>
  <r>
    <d v="2022-08-18T00:00:00"/>
    <n v="14224"/>
    <n v="32375"/>
    <n v="15799"/>
    <n v="8194"/>
    <n v="85"/>
    <x v="0"/>
  </r>
  <r>
    <d v="2022-08-19T00:00:00"/>
    <n v="15151"/>
    <n v="33882"/>
    <n v="16484"/>
    <n v="8538"/>
    <n v="80"/>
    <x v="0"/>
  </r>
  <r>
    <d v="2022-08-20T00:00:00"/>
    <n v="13505"/>
    <n v="30359"/>
    <n v="14454"/>
    <n v="7514"/>
    <n v="73"/>
    <x v="0"/>
  </r>
  <r>
    <d v="2022-08-21T00:00:00"/>
    <n v="12725"/>
    <n v="29389"/>
    <n v="13832"/>
    <n v="7123"/>
    <n v="79"/>
    <x v="0"/>
  </r>
  <r>
    <d v="2022-08-22T00:00:00"/>
    <n v="14104"/>
    <n v="33078"/>
    <n v="15577"/>
    <n v="7605"/>
    <n v="91"/>
    <x v="0"/>
  </r>
  <r>
    <d v="2022-08-23T00:00:00"/>
    <n v="14076"/>
    <n v="30045"/>
    <n v="15732"/>
    <n v="9430"/>
    <n v="88"/>
    <x v="0"/>
  </r>
  <r>
    <d v="2022-08-24T00:00:00"/>
    <n v="23193"/>
    <n v="53721"/>
    <n v="25271"/>
    <n v="12896"/>
    <n v="121"/>
    <x v="0"/>
  </r>
  <r>
    <d v="2022-08-25T00:00:00"/>
    <n v="19653"/>
    <n v="44169"/>
    <n v="21482"/>
    <n v="11180"/>
    <n v="98"/>
    <x v="0"/>
  </r>
  <r>
    <d v="2022-08-26T00:00:00"/>
    <n v="18555"/>
    <n v="41191"/>
    <n v="20307"/>
    <n v="10375"/>
    <n v="98"/>
    <x v="0"/>
  </r>
  <r>
    <d v="2022-08-27T00:00:00"/>
    <n v="16368"/>
    <n v="37216"/>
    <n v="17866"/>
    <n v="9182"/>
    <n v="81"/>
    <x v="0"/>
  </r>
  <r>
    <d v="2022-08-28T00:00:00"/>
    <n v="18079"/>
    <n v="41662"/>
    <n v="19417"/>
    <n v="9655"/>
    <n v="77"/>
    <x v="0"/>
  </r>
  <r>
    <d v="2022-08-29T00:00:00"/>
    <n v="19023"/>
    <n v="45154"/>
    <n v="20832"/>
    <n v="10062"/>
    <n v="85"/>
    <x v="0"/>
  </r>
  <r>
    <d v="2022-08-30T00:00:00"/>
    <n v="16726"/>
    <n v="38697"/>
    <n v="18511"/>
    <n v="9158"/>
    <n v="92"/>
    <x v="0"/>
  </r>
  <r>
    <d v="2022-08-31T00:00:00"/>
    <n v="15906"/>
    <n v="35815"/>
    <n v="17452"/>
    <n v="8849"/>
    <n v="86"/>
    <x v="0"/>
  </r>
  <r>
    <d v="2022-09-01T00:00:00"/>
    <n v="14717"/>
    <n v="34183"/>
    <n v="16162"/>
    <n v="8348"/>
    <n v="84"/>
    <x v="0"/>
  </r>
  <r>
    <d v="2022-09-02T00:00:00"/>
    <n v="13537"/>
    <n v="32010"/>
    <n v="14926"/>
    <n v="7489"/>
    <n v="85"/>
    <x v="0"/>
  </r>
  <r>
    <d v="2022-09-03T00:00:00"/>
    <n v="12640"/>
    <n v="29167"/>
    <n v="13564"/>
    <n v="6712"/>
    <n v="84"/>
    <x v="0"/>
  </r>
  <r>
    <d v="2022-09-04T00:00:00"/>
    <n v="16173"/>
    <n v="38673"/>
    <n v="17332"/>
    <n v="7762"/>
    <n v="80"/>
    <x v="0"/>
  </r>
  <r>
    <d v="2022-09-05T00:00:00"/>
    <n v="14463"/>
    <n v="35491"/>
    <n v="15808"/>
    <n v="7609"/>
    <n v="88"/>
    <x v="0"/>
  </r>
  <r>
    <d v="2022-09-06T00:00:00"/>
    <n v="14006"/>
    <n v="33333"/>
    <n v="15649"/>
    <n v="7916"/>
    <n v="90"/>
    <x v="0"/>
  </r>
  <r>
    <d v="2022-09-07T00:00:00"/>
    <n v="13985"/>
    <n v="32380"/>
    <n v="15478"/>
    <n v="7972"/>
    <n v="84"/>
    <x v="0"/>
  </r>
  <r>
    <d v="2022-09-08T00:00:00"/>
    <n v="12302"/>
    <n v="28366"/>
    <n v="13848"/>
    <n v="7470"/>
    <n v="85"/>
    <x v="0"/>
  </r>
  <r>
    <d v="2022-09-09T00:00:00"/>
    <n v="13770"/>
    <n v="31668"/>
    <n v="15120"/>
    <n v="7837"/>
    <n v="86"/>
    <x v="0"/>
  </r>
  <r>
    <d v="2022-09-10T00:00:00"/>
    <n v="12699"/>
    <n v="29441"/>
    <n v="13744"/>
    <n v="6981"/>
    <n v="95"/>
    <x v="0"/>
  </r>
  <r>
    <d v="2022-09-11T00:00:00"/>
    <n v="12298"/>
    <n v="30299"/>
    <n v="13473"/>
    <n v="6531"/>
    <n v="94"/>
    <x v="0"/>
  </r>
  <r>
    <d v="2022-09-12T00:00:00"/>
    <n v="15940"/>
    <n v="36708"/>
    <n v="17339"/>
    <n v="9084"/>
    <n v="78"/>
    <x v="0"/>
  </r>
  <r>
    <d v="2022-09-13T00:00:00"/>
    <n v="17884"/>
    <n v="42043"/>
    <n v="19440"/>
    <n v="9860"/>
    <n v="75"/>
    <x v="0"/>
  </r>
  <r>
    <d v="2022-09-14T00:00:00"/>
    <n v="14750"/>
    <n v="33644"/>
    <n v="16105"/>
    <n v="8398"/>
    <n v="86"/>
    <x v="0"/>
  </r>
  <r>
    <d v="2022-09-15T00:00:00"/>
    <n v="15206"/>
    <n v="34872"/>
    <n v="17144"/>
    <n v="9075"/>
    <n v="86"/>
    <x v="0"/>
  </r>
  <r>
    <d v="2022-09-16T00:00:00"/>
    <n v="14188"/>
    <n v="32761"/>
    <n v="15767"/>
    <n v="8259"/>
    <n v="79"/>
    <x v="0"/>
  </r>
  <r>
    <d v="2022-09-17T00:00:00"/>
    <n v="13156"/>
    <n v="30360"/>
    <n v="14330"/>
    <n v="7005"/>
    <n v="82"/>
    <x v="0"/>
  </r>
  <r>
    <d v="2022-09-18T00:00:00"/>
    <n v="12928"/>
    <n v="30167"/>
    <n v="13997"/>
    <n v="6832"/>
    <n v="75"/>
    <x v="0"/>
  </r>
  <r>
    <d v="2022-09-19T00:00:00"/>
    <n v="15726"/>
    <n v="35402"/>
    <n v="17245"/>
    <n v="8664"/>
    <n v="83"/>
    <x v="0"/>
  </r>
  <r>
    <d v="2022-09-20T00:00:00"/>
    <n v="28219"/>
    <n v="74195"/>
    <n v="31193"/>
    <n v="12952"/>
    <n v="87"/>
    <x v="0"/>
  </r>
  <r>
    <d v="2022-09-21T00:00:00"/>
    <n v="22555"/>
    <n v="59741"/>
    <n v="25163"/>
    <n v="11445"/>
    <n v="87"/>
    <x v="0"/>
  </r>
  <r>
    <d v="2022-09-22T00:00:00"/>
    <n v="17196"/>
    <n v="42621"/>
    <n v="19107"/>
    <n v="9181"/>
    <n v="87"/>
    <x v="0"/>
  </r>
  <r>
    <d v="2022-09-23T00:00:00"/>
    <n v="15413"/>
    <n v="37637"/>
    <n v="17088"/>
    <n v="8473"/>
    <n v="99"/>
    <x v="0"/>
  </r>
  <r>
    <d v="2022-09-24T00:00:00"/>
    <n v="20170"/>
    <n v="46625"/>
    <n v="21667"/>
    <n v="9829"/>
    <n v="90"/>
    <x v="0"/>
  </r>
  <r>
    <d v="2022-09-25T00:00:00"/>
    <n v="23476"/>
    <n v="53094"/>
    <n v="25057"/>
    <n v="11604"/>
    <n v="91"/>
    <x v="0"/>
  </r>
  <r>
    <d v="2022-09-26T00:00:00"/>
    <n v="23366"/>
    <n v="51900"/>
    <n v="25167"/>
    <n v="12894"/>
    <n v="91"/>
    <x v="0"/>
  </r>
  <r>
    <d v="2022-09-27T00:00:00"/>
    <n v="19241"/>
    <n v="44098"/>
    <n v="21410"/>
    <n v="11018"/>
    <n v="91"/>
    <x v="0"/>
  </r>
  <r>
    <d v="2022-09-28T00:00:00"/>
    <n v="17284"/>
    <n v="39640"/>
    <n v="19179"/>
    <n v="10014"/>
    <n v="88"/>
    <x v="0"/>
  </r>
  <r>
    <d v="2022-09-29T00:00:00"/>
    <n v="16730"/>
    <n v="39594"/>
    <n v="18873"/>
    <n v="9769"/>
    <n v="86"/>
    <x v="0"/>
  </r>
  <r>
    <d v="2022-09-30T00:00:00"/>
    <n v="15226"/>
    <n v="35978"/>
    <n v="17018"/>
    <n v="8766"/>
    <n v="87"/>
    <x v="0"/>
  </r>
  <r>
    <d v="2022-10-01T00:00:00"/>
    <n v="13580"/>
    <n v="31322"/>
    <n v="14808"/>
    <n v="7458"/>
    <n v="74"/>
    <x v="0"/>
  </r>
  <r>
    <d v="2022-10-02T00:00:00"/>
    <n v="15936"/>
    <n v="37142"/>
    <n v="17322"/>
    <n v="8779"/>
    <n v="75"/>
    <x v="0"/>
  </r>
  <r>
    <d v="2022-10-03T00:00:00"/>
    <n v="15386"/>
    <n v="38577"/>
    <n v="17163"/>
    <n v="8520"/>
    <n v="88"/>
    <x v="0"/>
  </r>
  <r>
    <d v="2022-10-04T00:00:00"/>
    <n v="16843"/>
    <n v="39832"/>
    <n v="18769"/>
    <n v="9781"/>
    <n v="95"/>
    <x v="0"/>
  </r>
  <r>
    <d v="2022-10-05T00:00:00"/>
    <n v="16405"/>
    <n v="38588"/>
    <n v="18026"/>
    <n v="9098"/>
    <n v="94"/>
    <x v="0"/>
  </r>
  <r>
    <d v="2022-10-06T00:00:00"/>
    <n v="24494"/>
    <n v="55519"/>
    <n v="27301"/>
    <n v="14246"/>
    <n v="118"/>
    <x v="0"/>
  </r>
  <r>
    <d v="2022-10-07T00:00:00"/>
    <n v="20492"/>
    <n v="47255"/>
    <n v="22916"/>
    <n v="11903"/>
    <n v="107"/>
    <x v="0"/>
  </r>
  <r>
    <d v="2022-10-08T00:00:00"/>
    <n v="17795"/>
    <n v="40562"/>
    <n v="19528"/>
    <n v="9868"/>
    <n v="100"/>
    <x v="0"/>
  </r>
  <r>
    <d v="2022-10-09T00:00:00"/>
    <n v="18533"/>
    <n v="41338"/>
    <n v="20331"/>
    <n v="10493"/>
    <n v="102"/>
    <x v="0"/>
  </r>
  <r>
    <d v="2022-10-10T00:00:00"/>
    <n v="19853"/>
    <n v="47122"/>
    <n v="22109"/>
    <n v="10887"/>
    <n v="110"/>
    <x v="0"/>
  </r>
  <r>
    <d v="2022-10-11T00:00:00"/>
    <n v="35630"/>
    <n v="83584"/>
    <n v="39432"/>
    <n v="19267"/>
    <n v="133"/>
    <x v="0"/>
  </r>
  <r>
    <d v="2022-10-12T00:00:00"/>
    <n v="24908"/>
    <n v="59672"/>
    <n v="28137"/>
    <n v="13931"/>
    <n v="124"/>
    <x v="0"/>
  </r>
  <r>
    <d v="2022-10-13T00:00:00"/>
    <n v="51723"/>
    <n v="141745"/>
    <n v="57104"/>
    <n v="21991"/>
    <n v="114"/>
    <x v="0"/>
  </r>
  <r>
    <d v="2022-10-14T00:00:00"/>
    <n v="48989"/>
    <n v="143591"/>
    <n v="53532"/>
    <n v="19320"/>
    <n v="94"/>
    <x v="0"/>
  </r>
  <r>
    <d v="2022-10-15T00:00:00"/>
    <n v="23796"/>
    <n v="66405"/>
    <n v="25691"/>
    <n v="9876"/>
    <n v="66"/>
    <x v="0"/>
  </r>
  <r>
    <d v="2022-10-16T00:00:00"/>
    <n v="19642"/>
    <n v="52203"/>
    <n v="21007"/>
    <n v="8401"/>
    <n v="69"/>
    <x v="0"/>
  </r>
  <r>
    <d v="2022-10-17T00:00:00"/>
    <n v="21736"/>
    <n v="58032"/>
    <n v="23358"/>
    <n v="9341"/>
    <n v="71"/>
    <x v="0"/>
  </r>
  <r>
    <d v="2022-10-18T00:00:00"/>
    <n v="20802"/>
    <n v="54669"/>
    <n v="22518"/>
    <n v="9235"/>
    <n v="70"/>
    <x v="0"/>
  </r>
  <r>
    <d v="2022-10-19T00:00:00"/>
    <n v="20397"/>
    <n v="52953"/>
    <n v="21993"/>
    <n v="9216"/>
    <n v="69"/>
    <x v="0"/>
  </r>
  <r>
    <d v="2022-10-20T00:00:00"/>
    <n v="19405"/>
    <n v="48990"/>
    <n v="21035"/>
    <n v="9022"/>
    <n v="66"/>
    <x v="0"/>
  </r>
  <r>
    <d v="2022-10-21T00:00:00"/>
    <n v="19220"/>
    <n v="47998"/>
    <n v="20769"/>
    <n v="9002"/>
    <n v="70"/>
    <x v="0"/>
  </r>
  <r>
    <d v="2022-10-22T00:00:00"/>
    <n v="18182"/>
    <n v="46969"/>
    <n v="19635"/>
    <n v="8029"/>
    <n v="67"/>
    <x v="0"/>
  </r>
  <r>
    <d v="2022-10-23T00:00:00"/>
    <n v="20169"/>
    <n v="51782"/>
    <n v="21602"/>
    <n v="8468"/>
    <n v="68"/>
    <x v="0"/>
  </r>
  <r>
    <d v="2022-10-24T00:00:00"/>
    <n v="19076"/>
    <n v="47745"/>
    <n v="20753"/>
    <n v="9287"/>
    <n v="76"/>
    <x v="0"/>
  </r>
  <r>
    <d v="2022-10-25T00:00:00"/>
    <n v="20894"/>
    <n v="49519"/>
    <n v="22565"/>
    <n v="10489"/>
    <n v="93"/>
    <x v="0"/>
  </r>
  <r>
    <d v="2022-10-26T00:00:00"/>
    <n v="19227"/>
    <n v="45469"/>
    <n v="20934"/>
    <n v="9923"/>
    <n v="82"/>
    <x v="0"/>
  </r>
  <r>
    <d v="2022-10-27T00:00:00"/>
    <n v="19672"/>
    <n v="47746"/>
    <n v="21298"/>
    <n v="9312"/>
    <n v="72"/>
    <x v="0"/>
  </r>
  <r>
    <d v="2022-10-28T00:00:00"/>
    <n v="16749"/>
    <n v="39980"/>
    <n v="18189"/>
    <n v="8640"/>
    <n v="68"/>
    <x v="0"/>
  </r>
  <r>
    <d v="2022-10-29T00:00:00"/>
    <n v="13558"/>
    <n v="31928"/>
    <n v="14589"/>
    <n v="7050"/>
    <n v="66"/>
    <x v="0"/>
  </r>
  <r>
    <d v="2022-10-30T00:00:00"/>
    <n v="13081"/>
    <n v="32000"/>
    <n v="14191"/>
    <n v="6802"/>
    <n v="72"/>
    <x v="0"/>
  </r>
  <r>
    <d v="2022-10-31T00:00:00"/>
    <n v="13678"/>
    <n v="32259"/>
    <n v="14757"/>
    <n v="7168"/>
    <n v="73"/>
    <x v="0"/>
  </r>
  <r>
    <d v="2022-11-01T00:00:00"/>
    <n v="18129"/>
    <n v="41595"/>
    <n v="19512"/>
    <n v="9636"/>
    <n v="81"/>
    <x v="0"/>
  </r>
  <r>
    <d v="2022-11-02T00:00:00"/>
    <n v="19340"/>
    <n v="45109"/>
    <n v="21319"/>
    <n v="10249"/>
    <n v="80"/>
    <x v="0"/>
  </r>
  <r>
    <d v="2022-11-03T00:00:00"/>
    <n v="17165"/>
    <n v="39489"/>
    <n v="18677"/>
    <n v="8977"/>
    <n v="79"/>
    <x v="0"/>
  </r>
  <r>
    <d v="2022-11-04T00:00:00"/>
    <n v="21757"/>
    <n v="52944"/>
    <n v="23428"/>
    <n v="10309"/>
    <n v="66"/>
    <x v="0"/>
  </r>
  <r>
    <d v="2022-11-05T00:00:00"/>
    <n v="20072"/>
    <n v="50056"/>
    <n v="23072"/>
    <n v="10687"/>
    <n v="64"/>
    <x v="0"/>
  </r>
  <r>
    <d v="2022-11-06T00:00:00"/>
    <n v="16032"/>
    <n v="38348"/>
    <n v="17602"/>
    <n v="8249"/>
    <n v="70"/>
    <x v="0"/>
  </r>
  <r>
    <d v="2022-11-07T00:00:00"/>
    <n v="16675"/>
    <n v="40010"/>
    <n v="18389"/>
    <n v="8846"/>
    <n v="72"/>
    <x v="0"/>
  </r>
  <r>
    <d v="2022-11-08T00:00:00"/>
    <n v="17985"/>
    <n v="42529"/>
    <n v="19516"/>
    <n v="9280"/>
    <n v="75"/>
    <x v="0"/>
  </r>
  <r>
    <d v="2022-11-09T00:00:00"/>
    <n v="19475"/>
    <n v="45165"/>
    <n v="20916"/>
    <n v="9733"/>
    <n v="78"/>
    <x v="0"/>
  </r>
  <r>
    <d v="2022-11-10T00:00:00"/>
    <n v="21297"/>
    <n v="50822"/>
    <n v="23677"/>
    <n v="11889"/>
    <n v="65"/>
    <x v="0"/>
  </r>
  <r>
    <d v="2022-11-11T00:00:00"/>
    <n v="18887"/>
    <n v="44808"/>
    <n v="20603"/>
    <n v="10244"/>
    <n v="69"/>
    <x v="0"/>
  </r>
  <r>
    <d v="2022-11-12T00:00:00"/>
    <n v="17205"/>
    <n v="42447"/>
    <n v="18749"/>
    <n v="8139"/>
    <n v="67"/>
    <x v="0"/>
  </r>
  <r>
    <d v="2022-11-13T00:00:00"/>
    <n v="18219"/>
    <n v="45859"/>
    <n v="20029"/>
    <n v="9056"/>
    <n v="71"/>
    <x v="0"/>
  </r>
  <r>
    <d v="2022-11-14T00:00:00"/>
    <n v="31150"/>
    <n v="76192"/>
    <n v="35100"/>
    <n v="17593"/>
    <n v="69"/>
    <x v="0"/>
  </r>
  <r>
    <d v="2022-11-15T00:00:00"/>
    <n v="700437"/>
    <n v="2214758"/>
    <n v="839192"/>
    <n v="321411"/>
    <n v="94"/>
    <x v="1"/>
  </r>
  <r>
    <d v="2022-11-16T00:00:00"/>
    <n v="306464"/>
    <n v="953774"/>
    <n v="358561"/>
    <n v="141632"/>
    <n v="79"/>
    <x v="0"/>
  </r>
  <r>
    <d v="2022-11-17T00:00:00"/>
    <n v="187301"/>
    <n v="600706"/>
    <n v="227982"/>
    <n v="92789"/>
    <n v="72"/>
    <x v="0"/>
  </r>
  <r>
    <d v="2022-11-18T00:00:00"/>
    <n v="147950"/>
    <n v="493115"/>
    <n v="194205"/>
    <n v="82926"/>
    <n v="60"/>
    <x v="0"/>
  </r>
  <r>
    <d v="2022-11-19T00:00:00"/>
    <n v="82284"/>
    <n v="254046"/>
    <n v="92482"/>
    <n v="35199"/>
    <n v="76"/>
    <x v="0"/>
  </r>
  <r>
    <d v="2022-11-20T00:00:00"/>
    <n v="68258"/>
    <n v="207070"/>
    <n v="76226"/>
    <n v="29622"/>
    <n v="78"/>
    <x v="0"/>
  </r>
  <r>
    <d v="2022-11-21T00:00:00"/>
    <n v="56746"/>
    <n v="168846"/>
    <n v="63466"/>
    <n v="25717"/>
    <n v="77"/>
    <x v="0"/>
  </r>
  <r>
    <d v="2022-11-22T00:00:00"/>
    <n v="40264"/>
    <n v="117676"/>
    <n v="45073"/>
    <n v="18575"/>
    <n v="79"/>
    <x v="0"/>
  </r>
  <r>
    <d v="2022-11-23T00:00:00"/>
    <n v="31859"/>
    <n v="91795"/>
    <n v="35263"/>
    <n v="14398"/>
    <n v="78"/>
    <x v="0"/>
  </r>
  <r>
    <d v="2022-11-24T00:00:00"/>
    <n v="27771"/>
    <n v="80112"/>
    <n v="30741"/>
    <n v="12383"/>
    <n v="72"/>
    <x v="0"/>
  </r>
  <r>
    <d v="2022-11-25T00:00:00"/>
    <n v="24089"/>
    <n v="66840"/>
    <n v="26478"/>
    <n v="11235"/>
    <n v="75"/>
    <x v="0"/>
  </r>
  <r>
    <d v="2022-11-26T00:00:00"/>
    <n v="23458"/>
    <n v="65996"/>
    <n v="25831"/>
    <n v="10609"/>
    <n v="79"/>
    <x v="0"/>
  </r>
  <r>
    <d v="2022-11-27T00:00:00"/>
    <n v="23161"/>
    <n v="64245"/>
    <n v="25493"/>
    <n v="10848"/>
    <n v="79"/>
    <x v="0"/>
  </r>
  <r>
    <d v="2022-11-28T00:00:00"/>
    <n v="22893"/>
    <n v="60742"/>
    <n v="25098"/>
    <n v="11192"/>
    <n v="80"/>
    <x v="0"/>
  </r>
  <r>
    <d v="2022-11-29T00:00:00"/>
    <n v="21623"/>
    <n v="58374"/>
    <n v="24012"/>
    <n v="10808"/>
    <n v="81"/>
    <x v="0"/>
  </r>
  <r>
    <d v="2022-11-30T00:00:00"/>
    <n v="24260"/>
    <n v="63867"/>
    <n v="26135"/>
    <n v="11398"/>
    <n v="75"/>
    <x v="0"/>
  </r>
  <r>
    <d v="2022-12-01T00:00:00"/>
    <n v="22518"/>
    <n v="59598"/>
    <n v="24790"/>
    <n v="10816"/>
    <n v="76"/>
    <x v="0"/>
  </r>
  <r>
    <d v="2022-12-02T00:00:00"/>
    <n v="23940"/>
    <n v="61174"/>
    <n v="25971"/>
    <n v="11739"/>
    <n v="84"/>
    <x v="0"/>
  </r>
  <r>
    <d v="2022-12-03T00:00:00"/>
    <n v="21070"/>
    <n v="55246"/>
    <n v="22859"/>
    <n v="9933"/>
    <n v="78"/>
    <x v="0"/>
  </r>
  <r>
    <d v="2022-12-04T00:00:00"/>
    <n v="21313"/>
    <n v="55274"/>
    <n v="24063"/>
    <n v="11183"/>
    <n v="68"/>
    <x v="0"/>
  </r>
  <r>
    <d v="2022-12-05T00:00:00"/>
    <n v="23651"/>
    <n v="60209"/>
    <n v="27268"/>
    <n v="13765"/>
    <n v="68"/>
    <x v="0"/>
  </r>
  <r>
    <d v="2022-12-06T00:00:00"/>
    <n v="22911"/>
    <n v="57761"/>
    <n v="25908"/>
    <n v="12776"/>
    <n v="66"/>
    <x v="0"/>
  </r>
  <r>
    <d v="2022-12-07T00:00:00"/>
    <n v="21158"/>
    <n v="57154"/>
    <n v="23852"/>
    <n v="9579"/>
    <n v="72"/>
    <x v="0"/>
  </r>
  <r>
    <d v="2022-12-08T00:00:00"/>
    <n v="21222"/>
    <n v="57811"/>
    <n v="23215"/>
    <n v="8760"/>
    <n v="72"/>
    <x v="0"/>
  </r>
  <r>
    <d v="2022-12-09T00:00:00"/>
    <n v="19116"/>
    <n v="49007"/>
    <n v="20968"/>
    <n v="8956"/>
    <n v="72"/>
    <x v="0"/>
  </r>
  <r>
    <d v="2022-12-10T00:00:00"/>
    <n v="18114"/>
    <n v="46423"/>
    <n v="19557"/>
    <n v="8703"/>
    <n v="79"/>
    <x v="0"/>
  </r>
  <r>
    <d v="2022-12-11T00:00:00"/>
    <n v="17517"/>
    <n v="44295"/>
    <n v="19239"/>
    <n v="8802"/>
    <n v="73"/>
    <x v="0"/>
  </r>
  <r>
    <d v="2022-12-12T00:00:00"/>
    <n v="19425"/>
    <n v="48112"/>
    <n v="21505"/>
    <n v="9972"/>
    <n v="76"/>
    <x v="0"/>
  </r>
  <r>
    <d v="2022-12-13T00:00:00"/>
    <n v="19116"/>
    <n v="46308"/>
    <n v="20622"/>
    <n v="9507"/>
    <n v="78"/>
    <x v="0"/>
  </r>
  <r>
    <d v="2022-12-14T00:00:00"/>
    <n v="20520"/>
    <n v="49148"/>
    <n v="23178"/>
    <n v="11664"/>
    <n v="71"/>
    <x v="0"/>
  </r>
  <r>
    <d v="2022-12-15T00:00:00"/>
    <n v="19881"/>
    <n v="49132"/>
    <n v="21876"/>
    <n v="10315"/>
    <n v="73"/>
    <x v="0"/>
  </r>
  <r>
    <d v="2022-12-16T00:00:00"/>
    <n v="18308"/>
    <n v="45907"/>
    <n v="19925"/>
    <n v="9150"/>
    <n v="76"/>
    <x v="0"/>
  </r>
  <r>
    <d v="2022-12-17T00:00:00"/>
    <n v="16285"/>
    <n v="42439"/>
    <n v="17768"/>
    <n v="7877"/>
    <n v="72"/>
    <x v="0"/>
  </r>
  <r>
    <d v="2022-12-18T00:00:00"/>
    <n v="16882"/>
    <n v="44035"/>
    <n v="18370"/>
    <n v="8280"/>
    <n v="76"/>
    <x v="0"/>
  </r>
  <r>
    <d v="2022-12-19T00:00:00"/>
    <n v="16884"/>
    <n v="43078"/>
    <n v="18633"/>
    <n v="8216"/>
    <n v="79"/>
    <x v="0"/>
  </r>
  <r>
    <d v="2022-12-20T00:00:00"/>
    <n v="17975"/>
    <n v="44573"/>
    <n v="19722"/>
    <n v="8889"/>
    <n v="77"/>
    <x v="0"/>
  </r>
  <r>
    <d v="2022-12-21T00:00:00"/>
    <n v="34234"/>
    <n v="92235"/>
    <n v="36868"/>
    <n v="14409"/>
    <n v="100"/>
    <x v="0"/>
  </r>
  <r>
    <d v="2022-12-22T00:00:00"/>
    <n v="26118"/>
    <n v="67667"/>
    <n v="28304"/>
    <n v="12236"/>
    <n v="83"/>
    <x v="0"/>
  </r>
  <r>
    <d v="2022-12-23T00:00:00"/>
    <n v="20065"/>
    <n v="50345"/>
    <n v="22605"/>
    <n v="10788"/>
    <n v="71"/>
    <x v="0"/>
  </r>
  <r>
    <d v="2022-12-24T00:00:00"/>
    <n v="16347"/>
    <n v="40634"/>
    <n v="17829"/>
    <n v="8104"/>
    <n v="71"/>
    <x v="0"/>
  </r>
  <r>
    <d v="2022-12-25T00:00:00"/>
    <n v="15042"/>
    <n v="36722"/>
    <n v="16224"/>
    <n v="7371"/>
    <n v="73"/>
    <x v="0"/>
  </r>
  <r>
    <d v="2022-12-26T00:00:00"/>
    <n v="16458"/>
    <n v="41674"/>
    <n v="17884"/>
    <n v="7893"/>
    <n v="78"/>
    <x v="0"/>
  </r>
  <r>
    <d v="2022-12-27T00:00:00"/>
    <n v="16794"/>
    <n v="43657"/>
    <n v="18528"/>
    <n v="7997"/>
    <n v="81"/>
    <x v="0"/>
  </r>
  <r>
    <d v="2022-12-28T00:00:00"/>
    <n v="21087"/>
    <n v="53209"/>
    <n v="22893"/>
    <n v="10270"/>
    <n v="76"/>
    <x v="0"/>
  </r>
  <r>
    <d v="2022-12-29T00:00:00"/>
    <n v="19914"/>
    <n v="50427"/>
    <n v="21923"/>
    <n v="9872"/>
    <n v="74"/>
    <x v="0"/>
  </r>
  <r>
    <d v="2022-12-30T00:00:00"/>
    <n v="19732"/>
    <n v="51678"/>
    <n v="21632"/>
    <n v="9207"/>
    <n v="76"/>
    <x v="0"/>
  </r>
  <r>
    <d v="2022-12-31T00:00:00"/>
    <n v="27350"/>
    <n v="71840"/>
    <n v="29593"/>
    <n v="11796"/>
    <n v="64"/>
    <x v="0"/>
  </r>
  <r>
    <d v="2023-01-01T00:00:00"/>
    <n v="23236"/>
    <n v="60374"/>
    <n v="25532"/>
    <n v="11066"/>
    <n v="75"/>
    <x v="0"/>
  </r>
  <r>
    <d v="2023-01-02T00:00:00"/>
    <n v="21469"/>
    <n v="56678"/>
    <n v="23612"/>
    <n v="10036"/>
    <n v="81"/>
    <x v="0"/>
  </r>
  <r>
    <d v="2023-01-03T00:00:00"/>
    <n v="23516"/>
    <n v="60912"/>
    <n v="25660"/>
    <n v="10803"/>
    <n v="78"/>
    <x v="0"/>
  </r>
  <r>
    <d v="2023-01-04T00:00:00"/>
    <n v="26984"/>
    <n v="74166"/>
    <n v="29988"/>
    <n v="12314"/>
    <n v="82"/>
    <x v="0"/>
  </r>
  <r>
    <d v="2023-01-05T00:00:00"/>
    <n v="34723"/>
    <n v="86444"/>
    <n v="38021"/>
    <n v="17042"/>
    <n v="72"/>
    <x v="0"/>
  </r>
  <r>
    <d v="2023-01-06T00:00:00"/>
    <n v="25792"/>
    <n v="66397"/>
    <n v="28576"/>
    <n v="13265"/>
    <n v="78"/>
    <x v="0"/>
  </r>
  <r>
    <d v="2023-01-07T00:00:00"/>
    <n v="22199"/>
    <n v="58042"/>
    <n v="24459"/>
    <n v="10777"/>
    <n v="72"/>
    <x v="0"/>
  </r>
  <r>
    <d v="2023-01-08T00:00:00"/>
    <n v="24901"/>
    <n v="65539"/>
    <n v="27031"/>
    <n v="11672"/>
    <n v="80"/>
    <x v="0"/>
  </r>
  <r>
    <d v="2023-01-09T00:00:00"/>
    <n v="24156"/>
    <n v="64106"/>
    <n v="26744"/>
    <n v="11869"/>
    <n v="81"/>
    <x v="0"/>
  </r>
  <r>
    <d v="2023-01-10T00:00:00"/>
    <n v="29935"/>
    <n v="80496"/>
    <n v="32310"/>
    <n v="13913"/>
    <n v="82"/>
    <x v="0"/>
  </r>
  <r>
    <d v="2023-01-11T00:00:00"/>
    <n v="32371"/>
    <n v="86980"/>
    <n v="35562"/>
    <n v="15303"/>
    <n v="83"/>
    <x v="0"/>
  </r>
  <r>
    <d v="2023-01-12T00:00:00"/>
    <n v="29192"/>
    <n v="74991"/>
    <n v="31842"/>
    <n v="13976"/>
    <n v="87"/>
    <x v="0"/>
  </r>
  <r>
    <d v="2023-01-13T00:00:00"/>
    <n v="26645"/>
    <n v="69538"/>
    <n v="29965"/>
    <n v="13299"/>
    <n v="81"/>
    <x v="0"/>
  </r>
  <r>
    <d v="2023-01-14T00:00:00"/>
    <n v="24105"/>
    <n v="62570"/>
    <n v="26535"/>
    <n v="11395"/>
    <n v="76"/>
    <x v="0"/>
  </r>
  <r>
    <d v="2023-01-15T00:00:00"/>
    <n v="26010"/>
    <n v="68642"/>
    <n v="28347"/>
    <n v="11787"/>
    <n v="81"/>
    <x v="0"/>
  </r>
  <r>
    <d v="2023-01-16T00:00:00"/>
    <n v="23335"/>
    <n v="64038"/>
    <n v="25464"/>
    <n v="10420"/>
    <n v="87"/>
    <x v="0"/>
  </r>
  <r>
    <d v="2023-01-17T00:00:00"/>
    <n v="23291"/>
    <n v="145866"/>
    <n v="25791"/>
    <n v="5587"/>
    <n v="113"/>
    <x v="0"/>
  </r>
  <r>
    <d v="2023-01-18T00:00:00"/>
    <n v="25933"/>
    <n v="170210"/>
    <n v="28848"/>
    <n v="4602"/>
    <n v="137"/>
    <x v="0"/>
  </r>
  <r>
    <d v="2023-01-19T00:00:00"/>
    <n v="27785"/>
    <n v="183587"/>
    <n v="31964"/>
    <n v="4105"/>
    <n v="117"/>
    <x v="0"/>
  </r>
  <r>
    <d v="2023-01-20T00:00:00"/>
    <n v="26096"/>
    <n v="125693"/>
    <n v="29251"/>
    <n v="5146"/>
    <n v="103"/>
    <x v="0"/>
  </r>
  <r>
    <d v="2023-01-21T00:00:00"/>
    <n v="24615"/>
    <n v="64786"/>
    <n v="27040"/>
    <n v="6531"/>
    <n v="84"/>
    <x v="0"/>
  </r>
  <r>
    <d v="2023-01-22T00:00:00"/>
    <n v="39303"/>
    <n v="103388"/>
    <n v="43345"/>
    <n v="10022"/>
    <n v="84"/>
    <x v="0"/>
  </r>
  <r>
    <d v="2023-01-23T00:00:00"/>
    <n v="31024"/>
    <n v="81100"/>
    <n v="34421"/>
    <n v="8420"/>
    <n v="90"/>
    <x v="0"/>
  </r>
  <r>
    <d v="2023-01-24T00:00:00"/>
    <n v="43446"/>
    <n v="115557"/>
    <n v="47571"/>
    <n v="11770"/>
    <n v="90"/>
    <x v="0"/>
  </r>
  <r>
    <d v="2023-01-25T00:00:00"/>
    <n v="52127"/>
    <n v="140288"/>
    <n v="60202"/>
    <n v="11842"/>
    <n v="118"/>
    <x v="0"/>
  </r>
  <r>
    <d v="2023-01-26T00:00:00"/>
    <n v="48124"/>
    <n v="113561"/>
    <n v="53136"/>
    <n v="16956"/>
    <n v="101"/>
    <x v="0"/>
  </r>
  <r>
    <d v="2023-01-27T00:00:00"/>
    <n v="45990"/>
    <n v="99612"/>
    <n v="49837"/>
    <n v="21176"/>
    <n v="90"/>
    <x v="0"/>
  </r>
  <r>
    <d v="2023-01-28T00:00:00"/>
    <n v="42476"/>
    <n v="92595"/>
    <n v="45642"/>
    <n v="17463"/>
    <n v="85"/>
    <x v="0"/>
  </r>
  <r>
    <d v="2023-01-29T00:00:00"/>
    <n v="75403"/>
    <n v="173982"/>
    <n v="81523"/>
    <n v="22754"/>
    <n v="86"/>
    <x v="0"/>
  </r>
  <r>
    <d v="2023-01-30T00:00:00"/>
    <n v="65228"/>
    <n v="152244"/>
    <n v="72134"/>
    <n v="22932"/>
    <n v="90"/>
    <x v="0"/>
  </r>
  <r>
    <d v="2023-01-31T00:00:00"/>
    <n v="64084"/>
    <n v="146379"/>
    <n v="69878"/>
    <n v="26722"/>
    <n v="96"/>
    <x v="0"/>
  </r>
  <r>
    <d v="2023-02-01T00:00:00"/>
    <n v="77233"/>
    <n v="178624"/>
    <n v="84436"/>
    <n v="32382"/>
    <n v="95"/>
    <x v="0"/>
  </r>
  <r>
    <d v="2023-02-02T00:00:00"/>
    <n v="88913"/>
    <n v="203918"/>
    <n v="96686"/>
    <n v="37708"/>
    <n v="92"/>
    <x v="0"/>
  </r>
  <r>
    <d v="2023-02-03T00:00:00"/>
    <n v="123104"/>
    <n v="291271"/>
    <n v="135224"/>
    <n v="46639"/>
    <n v="92"/>
    <x v="0"/>
  </r>
  <r>
    <d v="2023-02-04T00:00:00"/>
    <n v="198665"/>
    <n v="483438"/>
    <n v="220567"/>
    <n v="68090"/>
    <n v="94"/>
    <x v="0"/>
  </r>
  <r>
    <d v="2023-02-05T00:00:00"/>
    <n v="2824595"/>
    <n v="7895521"/>
    <n v="3470476"/>
    <n v="841244"/>
    <n v="284"/>
    <x v="1"/>
  </r>
  <r>
    <d v="2023-02-06T00:00:00"/>
    <n v="1441282"/>
    <n v="3390650"/>
    <n v="1563450"/>
    <n v="548615"/>
    <n v="97"/>
    <x v="0"/>
  </r>
  <r>
    <d v="2023-02-07T00:00:00"/>
    <n v="367787"/>
    <n v="836729"/>
    <n v="404375"/>
    <n v="144120"/>
    <n v="107"/>
    <x v="0"/>
  </r>
  <r>
    <d v="2023-02-08T00:00:00"/>
    <n v="209378"/>
    <n v="473098"/>
    <n v="225201"/>
    <n v="72222"/>
    <n v="110"/>
    <x v="0"/>
  </r>
  <r>
    <d v="2023-02-09T00:00:00"/>
    <n v="151241"/>
    <n v="330990"/>
    <n v="162540"/>
    <n v="51737"/>
    <n v="102"/>
    <x v="0"/>
  </r>
  <r>
    <d v="2023-02-10T00:00:00"/>
    <n v="122553"/>
    <n v="275305"/>
    <n v="133148"/>
    <n v="43140"/>
    <n v="108"/>
    <x v="0"/>
  </r>
  <r>
    <d v="2023-02-11T00:00:00"/>
    <n v="122153"/>
    <n v="273913"/>
    <n v="130190"/>
    <n v="38302"/>
    <n v="109"/>
    <x v="0"/>
  </r>
  <r>
    <d v="2023-02-12T00:00:00"/>
    <n v="126021"/>
    <n v="260762"/>
    <n v="136061"/>
    <n v="34682"/>
    <n v="111"/>
    <x v="0"/>
  </r>
  <r>
    <d v="2023-02-13T00:00:00"/>
    <n v="81844"/>
    <n v="162329"/>
    <n v="86797"/>
    <n v="24139"/>
    <n v="111"/>
    <x v="0"/>
  </r>
  <r>
    <d v="2023-02-14T00:00:00"/>
    <n v="55874"/>
    <n v="109908"/>
    <n v="59977"/>
    <n v="19415"/>
    <n v="102"/>
    <x v="0"/>
  </r>
  <r>
    <d v="2023-02-15T00:00:00"/>
    <n v="48658"/>
    <n v="98360"/>
    <n v="52353"/>
    <n v="18492"/>
    <n v="101"/>
    <x v="0"/>
  </r>
  <r>
    <d v="2023-02-16T00:00:00"/>
    <n v="43914"/>
    <n v="87613"/>
    <n v="47169"/>
    <n v="17863"/>
    <n v="97"/>
    <x v="0"/>
  </r>
  <r>
    <d v="2023-02-17T00:00:00"/>
    <n v="42247"/>
    <n v="85376"/>
    <n v="45549"/>
    <n v="16931"/>
    <n v="99"/>
    <x v="0"/>
  </r>
  <r>
    <d v="2023-02-18T00:00:00"/>
    <n v="37337"/>
    <n v="75567"/>
    <n v="40138"/>
    <n v="14611"/>
    <n v="95"/>
    <x v="0"/>
  </r>
  <r>
    <d v="2023-02-19T00:00:00"/>
    <n v="34338"/>
    <n v="69655"/>
    <n v="37181"/>
    <n v="14118"/>
    <n v="92"/>
    <x v="0"/>
  </r>
  <r>
    <d v="2023-02-20T00:00:00"/>
    <n v="29949"/>
    <n v="59554"/>
    <n v="32092"/>
    <n v="12966"/>
    <n v="87"/>
    <x v="0"/>
  </r>
  <r>
    <d v="2023-02-21T00:00:00"/>
    <n v="27896"/>
    <n v="55157"/>
    <n v="29761"/>
    <n v="12726"/>
    <n v="90"/>
    <x v="0"/>
  </r>
  <r>
    <d v="2023-02-22T00:00:00"/>
    <n v="26660"/>
    <n v="51730"/>
    <n v="28476"/>
    <n v="13005"/>
    <n v="91"/>
    <x v="0"/>
  </r>
  <r>
    <d v="2023-02-23T00:00:00"/>
    <n v="26618"/>
    <n v="51344"/>
    <n v="28370"/>
    <n v="13164"/>
    <n v="88"/>
    <x v="0"/>
  </r>
  <r>
    <d v="2023-02-24T00:00:00"/>
    <n v="27396"/>
    <n v="53956"/>
    <n v="29299"/>
    <n v="13648"/>
    <n v="84"/>
    <x v="0"/>
  </r>
  <r>
    <d v="2023-02-25T00:00:00"/>
    <n v="24847"/>
    <n v="50086"/>
    <n v="26561"/>
    <n v="12357"/>
    <n v="83"/>
    <x v="0"/>
  </r>
  <r>
    <d v="2023-02-26T00:00:00"/>
    <n v="21871"/>
    <n v="43844"/>
    <n v="23439"/>
    <n v="11242"/>
    <n v="87"/>
    <x v="0"/>
  </r>
  <r>
    <d v="2023-02-27T00:00:00"/>
    <n v="21367"/>
    <n v="41234"/>
    <n v="22820"/>
    <n v="11280"/>
    <n v="77"/>
    <x v="0"/>
  </r>
  <r>
    <d v="2023-02-28T00:00:00"/>
    <n v="20536"/>
    <n v="40037"/>
    <n v="22000"/>
    <n v="10818"/>
    <n v="76"/>
    <x v="0"/>
  </r>
  <r>
    <d v="2023-03-01T00:00:00"/>
    <n v="20487"/>
    <n v="38927"/>
    <n v="21878"/>
    <n v="10762"/>
    <n v="80"/>
    <x v="0"/>
  </r>
  <r>
    <d v="2023-03-02T00:00:00"/>
    <n v="20803"/>
    <n v="39818"/>
    <n v="21899"/>
    <n v="11046"/>
    <n v="80"/>
    <x v="0"/>
  </r>
  <r>
    <d v="2023-03-03T00:00:00"/>
    <n v="19518"/>
    <n v="37294"/>
    <n v="20717"/>
    <n v="10280"/>
    <n v="76"/>
    <x v="0"/>
  </r>
  <r>
    <d v="2023-03-04T00:00:00"/>
    <n v="18295"/>
    <n v="35962"/>
    <n v="19545"/>
    <n v="9306"/>
    <n v="79"/>
    <x v="0"/>
  </r>
  <r>
    <d v="2023-03-05T00:00:00"/>
    <n v="18840"/>
    <n v="36418"/>
    <n v="20056"/>
    <n v="9774"/>
    <n v="78"/>
    <x v="0"/>
  </r>
  <r>
    <d v="2023-03-06T00:00:00"/>
    <n v="18650"/>
    <n v="35807"/>
    <n v="19985"/>
    <n v="9891"/>
    <n v="82"/>
    <x v="0"/>
  </r>
  <r>
    <d v="2023-03-07T00:00:00"/>
    <n v="18921"/>
    <n v="35836"/>
    <n v="20328"/>
    <n v="10347"/>
    <n v="81"/>
    <x v="0"/>
  </r>
  <r>
    <d v="2023-03-08T00:00:00"/>
    <n v="18656"/>
    <n v="35916"/>
    <n v="20085"/>
    <n v="10348"/>
    <n v="84"/>
    <x v="0"/>
  </r>
  <r>
    <d v="2023-03-09T00:00:00"/>
    <n v="17114"/>
    <n v="33313"/>
    <n v="18576"/>
    <n v="9461"/>
    <n v="81"/>
    <x v="0"/>
  </r>
  <r>
    <d v="2023-03-10T00:00:00"/>
    <n v="19174"/>
    <n v="36701"/>
    <n v="20546"/>
    <n v="10578"/>
    <n v="73"/>
    <x v="0"/>
  </r>
  <r>
    <d v="2023-03-11T00:00:00"/>
    <n v="18801"/>
    <n v="35623"/>
    <n v="19934"/>
    <n v="10087"/>
    <n v="68"/>
    <x v="0"/>
  </r>
  <r>
    <d v="2023-03-12T00:00:00"/>
    <n v="37150"/>
    <n v="75379"/>
    <n v="38967"/>
    <n v="17828"/>
    <n v="65"/>
    <x v="0"/>
  </r>
  <r>
    <d v="2023-03-13T00:00:00"/>
    <n v="36086"/>
    <n v="77071"/>
    <n v="38037"/>
    <n v="17197"/>
    <n v="64"/>
    <x v="0"/>
  </r>
  <r>
    <d v="2023-03-14T00:00:00"/>
    <n v="21167"/>
    <n v="41054"/>
    <n v="22488"/>
    <n v="11330"/>
    <n v="73"/>
    <x v="0"/>
  </r>
  <r>
    <d v="2023-03-15T00:00:00"/>
    <n v="18476"/>
    <n v="36023"/>
    <n v="19678"/>
    <n v="9967"/>
    <n v="77"/>
    <x v="0"/>
  </r>
  <r>
    <d v="2023-03-16T00:00:00"/>
    <n v="18763"/>
    <n v="35997"/>
    <n v="19991"/>
    <n v="10334"/>
    <n v="76"/>
    <x v="0"/>
  </r>
  <r>
    <d v="2023-03-17T00:00:00"/>
    <n v="18023"/>
    <n v="34579"/>
    <n v="19227"/>
    <n v="9672"/>
    <n v="72"/>
    <x v="0"/>
  </r>
  <r>
    <d v="2023-03-18T00:00:00"/>
    <n v="27380"/>
    <n v="50004"/>
    <n v="29080"/>
    <n v="14817"/>
    <n v="76"/>
    <x v="0"/>
  </r>
  <r>
    <d v="2023-03-19T00:00:00"/>
    <n v="20211"/>
    <n v="37913"/>
    <n v="21136"/>
    <n v="10363"/>
    <n v="68"/>
    <x v="0"/>
  </r>
  <r>
    <d v="2023-03-20T00:00:00"/>
    <n v="18764"/>
    <n v="34670"/>
    <n v="20154"/>
    <n v="10724"/>
    <n v="72"/>
    <x v="0"/>
  </r>
  <r>
    <d v="2023-03-21T00:00:00"/>
    <n v="17787"/>
    <n v="32293"/>
    <n v="18846"/>
    <n v="10326"/>
    <n v="71"/>
    <x v="0"/>
  </r>
  <r>
    <d v="2023-03-22T00:00:00"/>
    <n v="17157"/>
    <n v="30657"/>
    <n v="18191"/>
    <n v="9942"/>
    <n v="73"/>
    <x v="0"/>
  </r>
  <r>
    <d v="2023-03-23T00:00:00"/>
    <n v="16723"/>
    <n v="30548"/>
    <n v="17723"/>
    <n v="9426"/>
    <n v="74"/>
    <x v="0"/>
  </r>
  <r>
    <d v="2023-03-24T00:00:00"/>
    <n v="20952"/>
    <n v="39241"/>
    <n v="22200"/>
    <n v="11100"/>
    <n v="80"/>
    <x v="0"/>
  </r>
  <r>
    <d v="2023-03-25T00:00:00"/>
    <n v="18056"/>
    <n v="33788"/>
    <n v="18826"/>
    <n v="9346"/>
    <n v="76"/>
    <x v="0"/>
  </r>
  <r>
    <d v="2023-03-26T00:00:00"/>
    <n v="16435"/>
    <n v="31118"/>
    <n v="17461"/>
    <n v="8923"/>
    <n v="80"/>
    <x v="0"/>
  </r>
  <r>
    <d v="2023-03-27T00:00:00"/>
    <n v="17009"/>
    <n v="31091"/>
    <n v="17745"/>
    <n v="9333"/>
    <n v="79"/>
    <x v="0"/>
  </r>
  <r>
    <d v="2023-03-28T00:00:00"/>
    <n v="16828"/>
    <n v="30960"/>
    <n v="17826"/>
    <n v="9281"/>
    <n v="77"/>
    <x v="0"/>
  </r>
  <r>
    <d v="2023-03-29T00:00:00"/>
    <n v="18432"/>
    <n v="34576"/>
    <n v="19730"/>
    <n v="10165"/>
    <n v="78"/>
    <x v="0"/>
  </r>
  <r>
    <d v="2023-03-30T00:00:00"/>
    <n v="16727"/>
    <n v="30475"/>
    <n v="17954"/>
    <n v="9561"/>
    <n v="78"/>
    <x v="0"/>
  </r>
  <r>
    <d v="2023-03-31T00:00:00"/>
    <n v="17114"/>
    <n v="32051"/>
    <n v="18300"/>
    <n v="9612"/>
    <n v="77"/>
    <x v="0"/>
  </r>
  <r>
    <d v="2023-04-01T00:00:00"/>
    <n v="14697"/>
    <n v="28144"/>
    <n v="15740"/>
    <n v="8081"/>
    <n v="75"/>
    <x v="0"/>
  </r>
  <r>
    <d v="2023-04-02T00:00:00"/>
    <n v="15613"/>
    <n v="28868"/>
    <n v="16427"/>
    <n v="8551"/>
    <n v="72"/>
    <x v="0"/>
  </r>
  <r>
    <d v="2023-04-03T00:00:00"/>
    <n v="18315"/>
    <n v="34889"/>
    <n v="19462"/>
    <n v="10043"/>
    <n v="81"/>
    <x v="0"/>
  </r>
  <r>
    <d v="2023-04-04T00:00:00"/>
    <n v="18358"/>
    <n v="34544"/>
    <n v="19559"/>
    <n v="10019"/>
    <n v="86"/>
    <x v="0"/>
  </r>
  <r>
    <d v="2023-04-05T00:00:00"/>
    <n v="16876"/>
    <n v="31812"/>
    <n v="18092"/>
    <n v="9533"/>
    <n v="82"/>
    <x v="0"/>
  </r>
  <r>
    <d v="2023-04-06T00:00:00"/>
    <n v="17771"/>
    <n v="33022"/>
    <n v="18896"/>
    <n v="9906"/>
    <n v="77"/>
    <x v="0"/>
  </r>
  <r>
    <d v="2023-04-07T00:00:00"/>
    <n v="15930"/>
    <n v="29951"/>
    <n v="17074"/>
    <n v="9019"/>
    <n v="80"/>
    <x v="0"/>
  </r>
  <r>
    <d v="2023-04-08T00:00:00"/>
    <n v="17143"/>
    <n v="31697"/>
    <n v="18081"/>
    <n v="9419"/>
    <n v="73"/>
    <x v="0"/>
  </r>
  <r>
    <d v="2023-04-09T00:00:00"/>
    <n v="35841"/>
    <n v="78751"/>
    <n v="38082"/>
    <n v="14243"/>
    <n v="95"/>
    <x v="0"/>
  </r>
  <r>
    <d v="2023-04-10T00:00:00"/>
    <n v="22844"/>
    <n v="44119"/>
    <n v="24136"/>
    <n v="10707"/>
    <n v="76"/>
    <x v="0"/>
  </r>
  <r>
    <d v="2023-04-11T00:00:00"/>
    <n v="17192"/>
    <n v="32481"/>
    <n v="18227"/>
    <n v="9163"/>
    <n v="76"/>
    <x v="0"/>
  </r>
  <r>
    <d v="2023-04-12T00:00:00"/>
    <n v="16241"/>
    <n v="30063"/>
    <n v="17152"/>
    <n v="8872"/>
    <n v="84"/>
    <x v="0"/>
  </r>
  <r>
    <d v="2023-04-13T00:00:00"/>
    <n v="16256"/>
    <n v="29864"/>
    <n v="17339"/>
    <n v="9121"/>
    <n v="77"/>
    <x v="0"/>
  </r>
  <r>
    <d v="2023-04-14T00:00:00"/>
    <n v="16682"/>
    <n v="31019"/>
    <n v="17905"/>
    <n v="9363"/>
    <n v="75"/>
    <x v="0"/>
  </r>
  <r>
    <d v="2023-04-15T00:00:00"/>
    <n v="15644"/>
    <n v="29586"/>
    <n v="16539"/>
    <n v="8411"/>
    <n v="77"/>
    <x v="0"/>
  </r>
  <r>
    <d v="2023-04-16T00:00:00"/>
    <n v="15983"/>
    <n v="29801"/>
    <n v="16908"/>
    <n v="8762"/>
    <n v="71"/>
    <x v="0"/>
  </r>
  <r>
    <d v="2023-04-17T00:00:00"/>
    <n v="16776"/>
    <n v="30658"/>
    <n v="17788"/>
    <n v="9595"/>
    <n v="74"/>
    <x v="0"/>
  </r>
  <r>
    <d v="2023-04-18T00:00:00"/>
    <n v="15899"/>
    <n v="29916"/>
    <n v="16970"/>
    <n v="8847"/>
    <n v="82"/>
    <x v="0"/>
  </r>
  <r>
    <d v="2023-04-19T00:00:00"/>
    <n v="18310"/>
    <n v="35347"/>
    <n v="19534"/>
    <n v="10059"/>
    <n v="76"/>
    <x v="0"/>
  </r>
  <r>
    <d v="2023-04-20T00:00:00"/>
    <n v="18790"/>
    <n v="35413"/>
    <n v="19976"/>
    <n v="10274"/>
    <n v="73"/>
    <x v="0"/>
  </r>
  <r>
    <d v="2023-04-21T00:00:00"/>
    <n v="18368"/>
    <n v="34490"/>
    <n v="19436"/>
    <n v="9864"/>
    <n v="73"/>
    <x v="0"/>
  </r>
  <r>
    <d v="2023-04-22T00:00:00"/>
    <n v="16403"/>
    <n v="30386"/>
    <n v="17247"/>
    <n v="8812"/>
    <n v="67"/>
    <x v="0"/>
  </r>
  <r>
    <d v="2023-04-23T00:00:00"/>
    <n v="16362"/>
    <n v="30751"/>
    <n v="17153"/>
    <n v="8553"/>
    <n v="76"/>
    <x v="0"/>
  </r>
  <r>
    <d v="2023-04-24T00:00:00"/>
    <n v="17541"/>
    <n v="32689"/>
    <n v="18678"/>
    <n v="9668"/>
    <n v="72"/>
    <x v="0"/>
  </r>
  <r>
    <d v="2023-04-25T00:00:00"/>
    <n v="18262"/>
    <n v="33281"/>
    <n v="19327"/>
    <n v="10387"/>
    <n v="73"/>
    <x v="0"/>
  </r>
  <r>
    <d v="2023-04-26T00:00:00"/>
    <n v="15660"/>
    <n v="29018"/>
    <n v="16699"/>
    <n v="8868"/>
    <n v="76"/>
    <x v="0"/>
  </r>
  <r>
    <d v="2023-04-27T00:00:00"/>
    <n v="14039"/>
    <n v="25944"/>
    <n v="15052"/>
    <n v="8040"/>
    <n v="77"/>
    <x v="0"/>
  </r>
  <r>
    <d v="2023-04-28T00:00:00"/>
    <n v="13947"/>
    <n v="25573"/>
    <n v="14769"/>
    <n v="7828"/>
    <n v="74"/>
    <x v="0"/>
  </r>
  <r>
    <d v="2023-04-29T00:00:00"/>
    <n v="13127"/>
    <n v="24285"/>
    <n v="13849"/>
    <n v="7083"/>
    <n v="73"/>
    <x v="0"/>
  </r>
  <r>
    <d v="2023-04-30T00:00:00"/>
    <n v="13662"/>
    <n v="25691"/>
    <n v="14623"/>
    <n v="7536"/>
    <n v="71"/>
    <x v="0"/>
  </r>
  <r>
    <d v="2023-05-01T00:00:00"/>
    <n v="16266"/>
    <n v="30062"/>
    <n v="17346"/>
    <n v="9097"/>
    <n v="71"/>
    <x v="0"/>
  </r>
  <r>
    <d v="2023-05-02T00:00:00"/>
    <n v="18538"/>
    <n v="34007"/>
    <n v="20000"/>
    <n v="10524"/>
    <n v="77"/>
    <x v="0"/>
  </r>
  <r>
    <d v="2023-05-03T00:00:00"/>
    <n v="18070"/>
    <n v="32890"/>
    <n v="19495"/>
    <n v="10325"/>
    <n v="73"/>
    <x v="0"/>
  </r>
  <r>
    <d v="2023-05-04T00:00:00"/>
    <n v="17018"/>
    <n v="29738"/>
    <n v="18074"/>
    <n v="10084"/>
    <n v="69"/>
    <x v="0"/>
  </r>
  <r>
    <d v="2023-05-05T00:00:00"/>
    <n v="13993"/>
    <n v="25219"/>
    <n v="14897"/>
    <n v="7917"/>
    <n v="79"/>
    <x v="0"/>
  </r>
  <r>
    <d v="2023-05-06T00:00:00"/>
    <n v="12198"/>
    <n v="22095"/>
    <n v="12928"/>
    <n v="6679"/>
    <n v="73"/>
    <x v="0"/>
  </r>
  <r>
    <d v="2023-05-07T00:00:00"/>
    <n v="12689"/>
    <n v="22960"/>
    <n v="13553"/>
    <n v="7212"/>
    <n v="72"/>
    <x v="0"/>
  </r>
  <r>
    <d v="2023-05-08T00:00:00"/>
    <n v="25026"/>
    <n v="45418"/>
    <n v="26725"/>
    <n v="14101"/>
    <n v="66"/>
    <x v="0"/>
  </r>
  <r>
    <d v="2023-05-09T00:00:00"/>
    <n v="22255"/>
    <n v="39841"/>
    <n v="23948"/>
    <n v="13052"/>
    <n v="72"/>
    <x v="0"/>
  </r>
  <r>
    <d v="2023-05-10T00:00:00"/>
    <n v="25566"/>
    <n v="47510"/>
    <n v="27459"/>
    <n v="14356"/>
    <n v="97"/>
    <x v="0"/>
  </r>
  <r>
    <d v="2023-05-11T00:00:00"/>
    <n v="20696"/>
    <n v="38328"/>
    <n v="22126"/>
    <n v="11643"/>
    <n v="80"/>
    <x v="0"/>
  </r>
  <r>
    <d v="2023-05-12T00:00:00"/>
    <n v="16972"/>
    <n v="30792"/>
    <n v="18165"/>
    <n v="9717"/>
    <n v="78"/>
    <x v="0"/>
  </r>
  <r>
    <d v="2023-05-13T00:00:00"/>
    <n v="14081"/>
    <n v="26593"/>
    <n v="15387"/>
    <n v="8128"/>
    <n v="72"/>
    <x v="0"/>
  </r>
  <r>
    <d v="2023-05-14T00:00:00"/>
    <n v="17400"/>
    <n v="35653"/>
    <n v="19801"/>
    <n v="9907"/>
    <n v="66"/>
    <x v="0"/>
  </r>
  <r>
    <d v="2023-05-15T00:00:00"/>
    <n v="15662"/>
    <n v="29597"/>
    <n v="16850"/>
    <n v="8966"/>
    <n v="86"/>
    <x v="0"/>
  </r>
  <r>
    <d v="2023-05-16T00:00:00"/>
    <n v="13441"/>
    <n v="25008"/>
    <n v="14480"/>
    <n v="7802"/>
    <n v="81"/>
    <x v="0"/>
  </r>
  <r>
    <d v="2023-05-17T00:00:00"/>
    <n v="14293"/>
    <n v="26016"/>
    <n v="15375"/>
    <n v="8206"/>
    <n v="78"/>
    <x v="0"/>
  </r>
  <r>
    <d v="2023-05-18T00:00:00"/>
    <n v="13468"/>
    <n v="24487"/>
    <n v="14315"/>
    <n v="7459"/>
    <n v="83"/>
    <x v="0"/>
  </r>
  <r>
    <d v="2023-05-19T00:00:00"/>
    <n v="17532"/>
    <n v="33040"/>
    <n v="18615"/>
    <n v="9198"/>
    <n v="84"/>
    <x v="0"/>
  </r>
  <r>
    <d v="2023-05-20T00:00:00"/>
    <n v="17796"/>
    <n v="33296"/>
    <n v="18934"/>
    <n v="9166"/>
    <n v="75"/>
    <x v="0"/>
  </r>
  <r>
    <d v="2023-05-21T00:00:00"/>
    <n v="16294"/>
    <n v="30442"/>
    <n v="17846"/>
    <n v="9248"/>
    <n v="71"/>
    <x v="0"/>
  </r>
  <r>
    <d v="2023-05-22T00:00:00"/>
    <n v="15471"/>
    <n v="34636"/>
    <n v="17583"/>
    <n v="7157"/>
    <n v="73"/>
    <x v="0"/>
  </r>
  <r>
    <d v="2023-05-23T00:00:00"/>
    <n v="17691"/>
    <n v="41993"/>
    <n v="18982"/>
    <n v="6916"/>
    <n v="77"/>
    <x v="0"/>
  </r>
  <r>
    <d v="2023-05-24T00:00:00"/>
    <n v="19607"/>
    <n v="46388"/>
    <n v="20908"/>
    <n v="7918"/>
    <n v="83"/>
    <x v="0"/>
  </r>
  <r>
    <d v="2023-05-25T00:00:00"/>
    <n v="21680"/>
    <n v="51484"/>
    <n v="23319"/>
    <n v="8353"/>
    <n v="80"/>
    <x v="0"/>
  </r>
  <r>
    <d v="2023-05-26T00:00:00"/>
    <n v="17211"/>
    <n v="41580"/>
    <n v="18453"/>
    <n v="6417"/>
    <n v="74"/>
    <x v="0"/>
  </r>
  <r>
    <d v="2023-05-27T00:00:00"/>
    <n v="14332"/>
    <n v="34178"/>
    <n v="15430"/>
    <n v="5424"/>
    <n v="75"/>
    <x v="0"/>
  </r>
  <r>
    <d v="2023-05-28T00:00:00"/>
    <n v="13798"/>
    <n v="31708"/>
    <n v="14662"/>
    <n v="5509"/>
    <n v="73"/>
    <x v="0"/>
  </r>
  <r>
    <d v="2023-05-29T00:00:00"/>
    <n v="20563"/>
    <n v="53396"/>
    <n v="22244"/>
    <n v="7005"/>
    <n v="92"/>
    <x v="0"/>
  </r>
  <r>
    <d v="2023-05-30T00:00:00"/>
    <n v="16105"/>
    <n v="37950"/>
    <n v="17264"/>
    <n v="6452"/>
    <n v="87"/>
    <x v="0"/>
  </r>
  <r>
    <d v="2023-05-31T00:00:00"/>
    <n v="31253"/>
    <n v="85686"/>
    <n v="33237"/>
    <n v="8200"/>
    <n v="106"/>
    <x v="0"/>
  </r>
  <r>
    <m/>
    <m/>
    <m/>
    <m/>
    <m/>
    <m/>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d v="2017-01-01T00:00:00"/>
    <n v="9611"/>
    <x v="0"/>
    <x v="0"/>
    <n v="6490"/>
    <n v="86"/>
    <s v="Regular Day"/>
    <x v="0"/>
  </r>
  <r>
    <d v="2017-01-02T00:00:00"/>
    <n v="10752"/>
    <x v="1"/>
    <x v="1"/>
    <n v="7055"/>
    <n v="100"/>
    <s v="Regular Day"/>
    <x v="0"/>
  </r>
  <r>
    <d v="2017-01-03T00:00:00"/>
    <n v="11425"/>
    <x v="2"/>
    <x v="2"/>
    <n v="7569"/>
    <n v="92"/>
    <s v="Regular Day"/>
    <x v="0"/>
  </r>
  <r>
    <d v="2017-01-04T00:00:00"/>
    <n v="13098"/>
    <x v="3"/>
    <x v="3"/>
    <n v="8929"/>
    <n v="90"/>
    <s v="Regular Day"/>
    <x v="0"/>
  </r>
  <r>
    <d v="2017-01-05T00:00:00"/>
    <n v="12234"/>
    <x v="4"/>
    <x v="4"/>
    <n v="8105"/>
    <n v="95"/>
    <s v="Regular Day"/>
    <x v="0"/>
  </r>
  <r>
    <d v="2017-01-06T00:00:00"/>
    <n v="11461"/>
    <x v="5"/>
    <x v="5"/>
    <n v="7500"/>
    <n v="95"/>
    <s v="Regular Day"/>
    <x v="0"/>
  </r>
  <r>
    <d v="2017-01-07T00:00:00"/>
    <n v="11183"/>
    <x v="6"/>
    <x v="6"/>
    <n v="7287"/>
    <n v="94"/>
    <s v="Regular Day"/>
    <x v="0"/>
  </r>
  <r>
    <d v="2017-01-08T00:00:00"/>
    <n v="16265"/>
    <x v="7"/>
    <x v="7"/>
    <n v="10587"/>
    <n v="84"/>
    <s v="Regular Day"/>
    <x v="0"/>
  </r>
  <r>
    <d v="2017-01-09T00:00:00"/>
    <n v="17852"/>
    <x v="8"/>
    <x v="8"/>
    <n v="11697"/>
    <n v="87"/>
    <s v="Regular Day"/>
    <x v="0"/>
  </r>
  <r>
    <d v="2017-01-10T00:00:00"/>
    <n v="14211"/>
    <x v="9"/>
    <x v="9"/>
    <n v="9270"/>
    <n v="96"/>
    <s v="Regular Day"/>
    <x v="0"/>
  </r>
  <r>
    <d v="2017-01-11T00:00:00"/>
    <n v="13456"/>
    <x v="10"/>
    <x v="10"/>
    <n v="8922"/>
    <n v="99"/>
    <s v="Regular Day"/>
    <x v="0"/>
  </r>
  <r>
    <d v="2017-01-12T00:00:00"/>
    <n v="13616"/>
    <x v="11"/>
    <x v="11"/>
    <n v="9227"/>
    <n v="98"/>
    <s v="Regular Day"/>
    <x v="0"/>
  </r>
  <r>
    <d v="2017-01-13T00:00:00"/>
    <n v="11880"/>
    <x v="12"/>
    <x v="12"/>
    <n v="8148"/>
    <n v="97"/>
    <s v="Regular Day"/>
    <x v="0"/>
  </r>
  <r>
    <d v="2017-01-14T00:00:00"/>
    <n v="11888"/>
    <x v="13"/>
    <x v="13"/>
    <n v="7804"/>
    <n v="93"/>
    <s v="Regular Day"/>
    <x v="0"/>
  </r>
  <r>
    <d v="2017-01-15T00:00:00"/>
    <n v="12706"/>
    <x v="14"/>
    <x v="14"/>
    <n v="8349"/>
    <n v="96"/>
    <s v="Regular Day"/>
    <x v="0"/>
  </r>
  <r>
    <d v="2017-01-16T00:00:00"/>
    <n v="12691"/>
    <x v="15"/>
    <x v="15"/>
    <n v="8282"/>
    <n v="100"/>
    <s v="Regular Day"/>
    <x v="0"/>
  </r>
  <r>
    <d v="2017-01-17T00:00:00"/>
    <n v="13260"/>
    <x v="16"/>
    <x v="16"/>
    <n v="8514"/>
    <n v="121"/>
    <s v="Regular Day"/>
    <x v="0"/>
  </r>
  <r>
    <d v="2017-01-18T00:00:00"/>
    <n v="14483"/>
    <x v="17"/>
    <x v="17"/>
    <n v="9494"/>
    <n v="117"/>
    <s v="Regular Day"/>
    <x v="0"/>
  </r>
  <r>
    <d v="2017-01-19T00:00:00"/>
    <n v="13551"/>
    <x v="18"/>
    <x v="18"/>
    <n v="9118"/>
    <n v="104"/>
    <s v="Regular Day"/>
    <x v="0"/>
  </r>
  <r>
    <d v="2017-01-20T00:00:00"/>
    <n v="13215"/>
    <x v="19"/>
    <x v="19"/>
    <n v="8609"/>
    <n v="99"/>
    <s v="Regular Day"/>
    <x v="0"/>
  </r>
  <r>
    <d v="2017-01-21T00:00:00"/>
    <n v="12578"/>
    <x v="20"/>
    <x v="20"/>
    <n v="8135"/>
    <n v="101"/>
    <s v="Regular Day"/>
    <x v="0"/>
  </r>
  <r>
    <d v="2017-01-22T00:00:00"/>
    <n v="16502"/>
    <x v="21"/>
    <x v="21"/>
    <n v="10570"/>
    <n v="93"/>
    <s v="Regular Day"/>
    <x v="0"/>
  </r>
  <r>
    <d v="2017-01-23T00:00:00"/>
    <n v="14620"/>
    <x v="22"/>
    <x v="22"/>
    <n v="9463"/>
    <n v="106"/>
    <s v="Regular Day"/>
    <x v="0"/>
  </r>
  <r>
    <d v="2017-01-24T00:00:00"/>
    <n v="17787"/>
    <x v="23"/>
    <x v="23"/>
    <n v="11845"/>
    <n v="106"/>
    <s v="Regular Day"/>
    <x v="0"/>
  </r>
  <r>
    <d v="2017-01-25T00:00:00"/>
    <n v="15447"/>
    <x v="24"/>
    <x v="24"/>
    <n v="10094"/>
    <n v="112"/>
    <s v="Regular Day"/>
    <x v="0"/>
  </r>
  <r>
    <d v="2017-01-26T00:00:00"/>
    <n v="15211"/>
    <x v="25"/>
    <x v="25"/>
    <n v="10184"/>
    <n v="111"/>
    <s v="Regular Day"/>
    <x v="0"/>
  </r>
  <r>
    <d v="2017-01-27T00:00:00"/>
    <n v="14007"/>
    <x v="26"/>
    <x v="26"/>
    <n v="9337"/>
    <n v="104"/>
    <s v="Regular Day"/>
    <x v="0"/>
  </r>
  <r>
    <d v="2017-01-28T00:00:00"/>
    <n v="12950"/>
    <x v="27"/>
    <x v="27"/>
    <n v="8861"/>
    <n v="101"/>
    <s v="Regular Day"/>
    <x v="0"/>
  </r>
  <r>
    <d v="2017-01-29T00:00:00"/>
    <n v="16137"/>
    <x v="28"/>
    <x v="28"/>
    <n v="11180"/>
    <n v="91"/>
    <s v="Regular Day"/>
    <x v="0"/>
  </r>
  <r>
    <d v="2017-01-30T00:00:00"/>
    <n v="18765"/>
    <x v="29"/>
    <x v="29"/>
    <n v="12442"/>
    <n v="105"/>
    <s v="Regular Day"/>
    <x v="0"/>
  </r>
  <r>
    <d v="2017-01-31T00:00:00"/>
    <n v="35148"/>
    <x v="30"/>
    <x v="30"/>
    <n v="24474"/>
    <n v="104"/>
    <s v="Regular Day"/>
    <x v="0"/>
  </r>
  <r>
    <d v="2017-02-01T00:00:00"/>
    <n v="28565"/>
    <x v="31"/>
    <x v="31"/>
    <n v="19408"/>
    <n v="98"/>
    <s v="Regular Day"/>
    <x v="0"/>
  </r>
  <r>
    <d v="2017-02-02T00:00:00"/>
    <n v="27502"/>
    <x v="32"/>
    <x v="32"/>
    <n v="18955"/>
    <n v="92"/>
    <s v="Regular Day"/>
    <x v="0"/>
  </r>
  <r>
    <d v="2017-02-03T00:00:00"/>
    <n v="22888"/>
    <x v="33"/>
    <x v="33"/>
    <n v="15676"/>
    <n v="102"/>
    <s v="Regular Day"/>
    <x v="0"/>
  </r>
  <r>
    <d v="2017-02-04T00:00:00"/>
    <n v="25069"/>
    <x v="34"/>
    <x v="34"/>
    <n v="16849"/>
    <n v="95"/>
    <s v="Regular Day"/>
    <x v="0"/>
  </r>
  <r>
    <d v="2017-02-05T00:00:00"/>
    <n v="30728"/>
    <x v="35"/>
    <x v="35"/>
    <n v="20307"/>
    <n v="100"/>
    <s v="Regular Day"/>
    <x v="0"/>
  </r>
  <r>
    <d v="2017-02-06T00:00:00"/>
    <n v="34723"/>
    <x v="36"/>
    <x v="36"/>
    <n v="22957"/>
    <n v="104"/>
    <s v="Regular Day"/>
    <x v="0"/>
  </r>
  <r>
    <d v="2017-02-07T00:00:00"/>
    <n v="47583"/>
    <x v="37"/>
    <x v="37"/>
    <n v="31531"/>
    <n v="108"/>
    <s v="Regular Day"/>
    <x v="0"/>
  </r>
  <r>
    <d v="2017-02-08T00:00:00"/>
    <n v="52279"/>
    <x v="38"/>
    <x v="38"/>
    <n v="34946"/>
    <n v="104"/>
    <s v="Regular Day"/>
    <x v="0"/>
  </r>
  <r>
    <d v="2017-02-09T00:00:00"/>
    <n v="73648"/>
    <x v="39"/>
    <x v="39"/>
    <n v="49926"/>
    <n v="108"/>
    <s v="Regular Day"/>
    <x v="0"/>
  </r>
  <r>
    <d v="2017-02-10T00:00:00"/>
    <n v="91058"/>
    <x v="40"/>
    <x v="40"/>
    <n v="59072"/>
    <n v="104"/>
    <s v="Regular Day"/>
    <x v="0"/>
  </r>
  <r>
    <d v="2017-02-11T00:00:00"/>
    <n v="133362"/>
    <x v="41"/>
    <x v="41"/>
    <n v="82930"/>
    <n v="105"/>
    <s v="Regular Day"/>
    <x v="0"/>
  </r>
  <r>
    <d v="2017-02-12T00:00:00"/>
    <n v="1930245"/>
    <x v="42"/>
    <x v="42"/>
    <n v="1190175"/>
    <n v="162"/>
    <s v="Grammy Awards"/>
    <x v="0"/>
  </r>
  <r>
    <d v="2017-02-13T00:00:00"/>
    <n v="1057729"/>
    <x v="43"/>
    <x v="43"/>
    <n v="694831"/>
    <n v="113"/>
    <s v="Regular Day"/>
    <x v="0"/>
  </r>
  <r>
    <d v="2017-02-14T00:00:00"/>
    <n v="213939"/>
    <x v="44"/>
    <x v="44"/>
    <n v="149522"/>
    <n v="102"/>
    <s v="Regular Day"/>
    <x v="0"/>
  </r>
  <r>
    <d v="2017-02-15T00:00:00"/>
    <n v="105345"/>
    <x v="45"/>
    <x v="45"/>
    <n v="73663"/>
    <n v="101"/>
    <s v="Regular Day"/>
    <x v="0"/>
  </r>
  <r>
    <d v="2017-02-16T00:00:00"/>
    <n v="72888"/>
    <x v="46"/>
    <x v="46"/>
    <n v="52100"/>
    <n v="102"/>
    <s v="Regular Day"/>
    <x v="0"/>
  </r>
  <r>
    <d v="2017-02-17T00:00:00"/>
    <n v="62042"/>
    <x v="47"/>
    <x v="47"/>
    <n v="46108"/>
    <n v="95"/>
    <s v="Regular Day"/>
    <x v="0"/>
  </r>
  <r>
    <d v="2017-02-18T00:00:00"/>
    <n v="56309"/>
    <x v="48"/>
    <x v="48"/>
    <n v="42517"/>
    <n v="93"/>
    <s v="Regular Day"/>
    <x v="0"/>
  </r>
  <r>
    <d v="2017-02-19T00:00:00"/>
    <n v="45545"/>
    <x v="49"/>
    <x v="49"/>
    <n v="34345"/>
    <n v="90"/>
    <s v="Regular Day"/>
    <x v="0"/>
  </r>
  <r>
    <d v="2017-02-20T00:00:00"/>
    <n v="36105"/>
    <x v="50"/>
    <x v="50"/>
    <n v="27324"/>
    <n v="92"/>
    <s v="Regular Day"/>
    <x v="0"/>
  </r>
  <r>
    <d v="2017-02-21T00:00:00"/>
    <n v="32413"/>
    <x v="51"/>
    <x v="51"/>
    <n v="23908"/>
    <n v="92"/>
    <s v="Regular Day"/>
    <x v="0"/>
  </r>
  <r>
    <d v="2017-02-22T00:00:00"/>
    <n v="29955"/>
    <x v="52"/>
    <x v="52"/>
    <n v="22189"/>
    <n v="93"/>
    <s v="Regular Day"/>
    <x v="0"/>
  </r>
  <r>
    <d v="2017-02-23T00:00:00"/>
    <n v="25603"/>
    <x v="53"/>
    <x v="53"/>
    <n v="19275"/>
    <n v="92"/>
    <s v="Regular Day"/>
    <x v="0"/>
  </r>
  <r>
    <d v="2017-02-24T00:00:00"/>
    <n v="23074"/>
    <x v="54"/>
    <x v="54"/>
    <n v="17384"/>
    <n v="84"/>
    <s v="Regular Day"/>
    <x v="0"/>
  </r>
  <r>
    <d v="2017-02-25T00:00:00"/>
    <n v="26718"/>
    <x v="55"/>
    <x v="55"/>
    <n v="20874"/>
    <n v="74"/>
    <s v="Regular Day"/>
    <x v="0"/>
  </r>
  <r>
    <d v="2017-02-26T00:00:00"/>
    <n v="33563"/>
    <x v="56"/>
    <x v="56"/>
    <n v="25790"/>
    <n v="69"/>
    <s v="Regular Day"/>
    <x v="0"/>
  </r>
  <r>
    <d v="2017-02-27T00:00:00"/>
    <n v="27790"/>
    <x v="57"/>
    <x v="57"/>
    <n v="21261"/>
    <n v="77"/>
    <s v="Regular Day"/>
    <x v="0"/>
  </r>
  <r>
    <d v="2017-02-28T00:00:00"/>
    <n v="19932"/>
    <x v="58"/>
    <x v="58"/>
    <n v="15222"/>
    <n v="80"/>
    <s v="Regular Day"/>
    <x v="0"/>
  </r>
  <r>
    <d v="2017-03-01T00:00:00"/>
    <n v="17077"/>
    <x v="59"/>
    <x v="59"/>
    <n v="12738"/>
    <n v="87"/>
    <s v="Regular Day"/>
    <x v="0"/>
  </r>
  <r>
    <d v="2017-03-02T00:00:00"/>
    <n v="21703"/>
    <x v="60"/>
    <x v="60"/>
    <n v="17530"/>
    <n v="68"/>
    <s v="Regular Day"/>
    <x v="0"/>
  </r>
  <r>
    <d v="2017-03-03T00:00:00"/>
    <n v="21421"/>
    <x v="61"/>
    <x v="61"/>
    <n v="17378"/>
    <n v="73"/>
    <s v="Regular Day"/>
    <x v="0"/>
  </r>
  <r>
    <d v="2017-03-04T00:00:00"/>
    <n v="16004"/>
    <x v="62"/>
    <x v="62"/>
    <n v="12417"/>
    <n v="79"/>
    <s v="Regular Day"/>
    <x v="0"/>
  </r>
  <r>
    <d v="2017-03-05T00:00:00"/>
    <n v="15142"/>
    <x v="63"/>
    <x v="63"/>
    <n v="11606"/>
    <n v="84"/>
    <s v="Regular Day"/>
    <x v="0"/>
  </r>
  <r>
    <d v="2017-03-06T00:00:00"/>
    <n v="14735"/>
    <x v="64"/>
    <x v="64"/>
    <n v="11346"/>
    <n v="81"/>
    <s v="Regular Day"/>
    <x v="0"/>
  </r>
  <r>
    <d v="2017-03-07T00:00:00"/>
    <n v="12773"/>
    <x v="65"/>
    <x v="65"/>
    <n v="9838"/>
    <n v="82"/>
    <s v="Regular Day"/>
    <x v="0"/>
  </r>
  <r>
    <d v="2017-03-08T00:00:00"/>
    <n v="11539"/>
    <x v="66"/>
    <x v="66"/>
    <n v="8892"/>
    <n v="87"/>
    <s v="Regular Day"/>
    <x v="0"/>
  </r>
  <r>
    <d v="2017-03-09T00:00:00"/>
    <n v="11395"/>
    <x v="67"/>
    <x v="67"/>
    <n v="8667"/>
    <n v="83"/>
    <s v="Regular Day"/>
    <x v="0"/>
  </r>
  <r>
    <d v="2017-03-10T00:00:00"/>
    <n v="10794"/>
    <x v="68"/>
    <x v="68"/>
    <n v="8175"/>
    <n v="86"/>
    <s v="Regular Day"/>
    <x v="0"/>
  </r>
  <r>
    <d v="2017-03-11T00:00:00"/>
    <n v="11855"/>
    <x v="69"/>
    <x v="69"/>
    <n v="8706"/>
    <n v="81"/>
    <s v="Regular Day"/>
    <x v="0"/>
  </r>
  <r>
    <d v="2017-03-12T00:00:00"/>
    <n v="9602"/>
    <x v="70"/>
    <x v="70"/>
    <n v="7414"/>
    <n v="83"/>
    <s v="Regular Day"/>
    <x v="0"/>
  </r>
  <r>
    <d v="2017-03-13T00:00:00"/>
    <n v="9797"/>
    <x v="71"/>
    <x v="71"/>
    <n v="7483"/>
    <n v="96"/>
    <s v="Regular Day"/>
    <x v="0"/>
  </r>
  <r>
    <d v="2017-03-14T00:00:00"/>
    <n v="10665"/>
    <x v="72"/>
    <x v="72"/>
    <n v="8190"/>
    <n v="86"/>
    <s v="Regular Day"/>
    <x v="0"/>
  </r>
  <r>
    <d v="2017-03-15T00:00:00"/>
    <n v="9546"/>
    <x v="73"/>
    <x v="73"/>
    <n v="7397"/>
    <n v="96"/>
    <s v="Regular Day"/>
    <x v="0"/>
  </r>
  <r>
    <d v="2017-03-16T00:00:00"/>
    <n v="8789"/>
    <x v="74"/>
    <x v="74"/>
    <n v="6718"/>
    <n v="83"/>
    <s v="Regular Day"/>
    <x v="0"/>
  </r>
  <r>
    <d v="2017-03-17T00:00:00"/>
    <n v="8242"/>
    <x v="75"/>
    <x v="75"/>
    <n v="6308"/>
    <n v="85"/>
    <s v="Regular Day"/>
    <x v="0"/>
  </r>
  <r>
    <d v="2017-03-18T00:00:00"/>
    <n v="8303"/>
    <x v="76"/>
    <x v="76"/>
    <n v="6314"/>
    <n v="89"/>
    <s v="Regular Day"/>
    <x v="0"/>
  </r>
  <r>
    <d v="2017-03-19T00:00:00"/>
    <n v="8990"/>
    <x v="77"/>
    <x v="77"/>
    <n v="6931"/>
    <n v="82"/>
    <s v="Regular Day"/>
    <x v="0"/>
  </r>
  <r>
    <d v="2017-03-20T00:00:00"/>
    <n v="8511"/>
    <x v="78"/>
    <x v="78"/>
    <n v="6560"/>
    <n v="87"/>
    <s v="Regular Day"/>
    <x v="0"/>
  </r>
  <r>
    <d v="2017-03-21T00:00:00"/>
    <n v="12251"/>
    <x v="79"/>
    <x v="79"/>
    <n v="9971"/>
    <n v="73"/>
    <s v="Regular Day"/>
    <x v="0"/>
  </r>
  <r>
    <d v="2017-03-22T00:00:00"/>
    <n v="9377"/>
    <x v="80"/>
    <x v="80"/>
    <n v="7190"/>
    <n v="86"/>
    <s v="Regular Day"/>
    <x v="0"/>
  </r>
  <r>
    <d v="2017-03-23T00:00:00"/>
    <n v="8615"/>
    <x v="81"/>
    <x v="81"/>
    <n v="6743"/>
    <n v="84"/>
    <s v="Regular Day"/>
    <x v="0"/>
  </r>
  <r>
    <d v="2017-03-24T00:00:00"/>
    <n v="7789"/>
    <x v="82"/>
    <x v="82"/>
    <n v="6033"/>
    <n v="90"/>
    <s v="Regular Day"/>
    <x v="0"/>
  </r>
  <r>
    <d v="2017-03-25T00:00:00"/>
    <n v="7602"/>
    <x v="83"/>
    <x v="83"/>
    <n v="6030"/>
    <n v="76"/>
    <s v="Regular Day"/>
    <x v="0"/>
  </r>
  <r>
    <d v="2017-03-26T00:00:00"/>
    <n v="7633"/>
    <x v="84"/>
    <x v="84"/>
    <n v="5961"/>
    <n v="82"/>
    <s v="Regular Day"/>
    <x v="0"/>
  </r>
  <r>
    <d v="2017-03-27T00:00:00"/>
    <n v="7947"/>
    <x v="85"/>
    <x v="85"/>
    <n v="6224"/>
    <n v="76"/>
    <s v="Regular Day"/>
    <x v="0"/>
  </r>
  <r>
    <d v="2017-03-28T00:00:00"/>
    <n v="8096"/>
    <x v="86"/>
    <x v="86"/>
    <n v="6388"/>
    <n v="81"/>
    <s v="Regular Day"/>
    <x v="0"/>
  </r>
  <r>
    <d v="2017-03-29T00:00:00"/>
    <n v="7968"/>
    <x v="87"/>
    <x v="87"/>
    <n v="6241"/>
    <n v="93"/>
    <s v="Regular Day"/>
    <x v="0"/>
  </r>
  <r>
    <d v="2017-03-30T00:00:00"/>
    <n v="7624"/>
    <x v="88"/>
    <x v="88"/>
    <n v="5836"/>
    <n v="87"/>
    <s v="Regular Day"/>
    <x v="0"/>
  </r>
  <r>
    <d v="2017-03-31T00:00:00"/>
    <n v="7373"/>
    <x v="89"/>
    <x v="89"/>
    <n v="5665"/>
    <n v="69"/>
    <s v="Regular Day"/>
    <x v="0"/>
  </r>
  <r>
    <d v="2017-04-01T00:00:00"/>
    <n v="7627"/>
    <x v="90"/>
    <x v="90"/>
    <n v="5976"/>
    <n v="78"/>
    <s v="Regular Day"/>
    <x v="0"/>
  </r>
  <r>
    <d v="2017-04-02T00:00:00"/>
    <n v="7970"/>
    <x v="91"/>
    <x v="91"/>
    <n v="6203"/>
    <n v="82"/>
    <s v="Regular Day"/>
    <x v="0"/>
  </r>
  <r>
    <d v="2017-04-03T00:00:00"/>
    <n v="7827"/>
    <x v="92"/>
    <x v="92"/>
    <n v="5994"/>
    <n v="80"/>
    <s v="Regular Day"/>
    <x v="0"/>
  </r>
  <r>
    <d v="2017-04-04T00:00:00"/>
    <n v="7359"/>
    <x v="93"/>
    <x v="93"/>
    <n v="5510"/>
    <n v="83"/>
    <s v="Regular Day"/>
    <x v="0"/>
  </r>
  <r>
    <d v="2017-04-05T00:00:00"/>
    <n v="7201"/>
    <x v="94"/>
    <x v="94"/>
    <n v="5521"/>
    <n v="80"/>
    <s v="Regular Day"/>
    <x v="0"/>
  </r>
  <r>
    <d v="2017-04-06T00:00:00"/>
    <n v="7249"/>
    <x v="95"/>
    <x v="95"/>
    <n v="5377"/>
    <n v="80"/>
    <s v="Regular Day"/>
    <x v="0"/>
  </r>
  <r>
    <d v="2017-04-07T00:00:00"/>
    <n v="6950"/>
    <x v="96"/>
    <x v="96"/>
    <n v="5254"/>
    <n v="71"/>
    <s v="Regular Day"/>
    <x v="0"/>
  </r>
  <r>
    <d v="2017-04-08T00:00:00"/>
    <n v="6262"/>
    <x v="97"/>
    <x v="97"/>
    <n v="4947"/>
    <n v="68"/>
    <s v="Regular Day"/>
    <x v="0"/>
  </r>
  <r>
    <d v="2017-04-09T00:00:00"/>
    <n v="6347"/>
    <x v="98"/>
    <x v="98"/>
    <n v="4855"/>
    <n v="78"/>
    <s v="Regular Day"/>
    <x v="0"/>
  </r>
  <r>
    <d v="2017-04-10T00:00:00"/>
    <n v="6337"/>
    <x v="99"/>
    <x v="99"/>
    <n v="4883"/>
    <n v="75"/>
    <s v="Regular Day"/>
    <x v="0"/>
  </r>
  <r>
    <d v="2017-04-11T00:00:00"/>
    <n v="7011"/>
    <x v="100"/>
    <x v="100"/>
    <n v="5456"/>
    <n v="74"/>
    <s v="Regular Day"/>
    <x v="0"/>
  </r>
  <r>
    <d v="2017-04-12T00:00:00"/>
    <n v="8038"/>
    <x v="101"/>
    <x v="101"/>
    <n v="6181"/>
    <n v="62"/>
    <s v="Regular Day"/>
    <x v="0"/>
  </r>
  <r>
    <d v="2017-04-13T00:00:00"/>
    <n v="10204"/>
    <x v="102"/>
    <x v="102"/>
    <n v="8061"/>
    <n v="62"/>
    <s v="Regular Day"/>
    <x v="0"/>
  </r>
  <r>
    <d v="2017-04-14T00:00:00"/>
    <n v="10322"/>
    <x v="103"/>
    <x v="103"/>
    <n v="8253"/>
    <n v="67"/>
    <s v="Regular Day"/>
    <x v="0"/>
  </r>
  <r>
    <d v="2017-04-15T00:00:00"/>
    <n v="8806"/>
    <x v="104"/>
    <x v="104"/>
    <n v="6988"/>
    <n v="62"/>
    <s v="Regular Day"/>
    <x v="0"/>
  </r>
  <r>
    <d v="2017-04-16T00:00:00"/>
    <n v="21469"/>
    <x v="105"/>
    <x v="105"/>
    <n v="16452"/>
    <n v="67"/>
    <s v="Regular Day"/>
    <x v="0"/>
  </r>
  <r>
    <d v="2017-04-17T00:00:00"/>
    <n v="14149"/>
    <x v="106"/>
    <x v="106"/>
    <n v="10188"/>
    <n v="73"/>
    <s v="Regular Day"/>
    <x v="0"/>
  </r>
  <r>
    <d v="2017-04-18T00:00:00"/>
    <n v="10477"/>
    <x v="107"/>
    <x v="107"/>
    <n v="7851"/>
    <n v="74"/>
    <s v="Regular Day"/>
    <x v="0"/>
  </r>
  <r>
    <d v="2017-04-19T00:00:00"/>
    <n v="35249"/>
    <x v="108"/>
    <x v="108"/>
    <n v="30063"/>
    <n v="35"/>
    <s v="Regular Day"/>
    <x v="0"/>
  </r>
  <r>
    <d v="2017-04-20T00:00:00"/>
    <n v="13080"/>
    <x v="109"/>
    <x v="109"/>
    <n v="10242"/>
    <n v="59"/>
    <s v="Regular Day"/>
    <x v="0"/>
  </r>
  <r>
    <d v="2017-04-21T00:00:00"/>
    <n v="11195"/>
    <x v="110"/>
    <x v="110"/>
    <n v="8228"/>
    <n v="68"/>
    <s v="Regular Day"/>
    <x v="0"/>
  </r>
  <r>
    <d v="2017-04-22T00:00:00"/>
    <n v="8363"/>
    <x v="111"/>
    <x v="111"/>
    <n v="6258"/>
    <n v="66"/>
    <s v="Regular Day"/>
    <x v="0"/>
  </r>
  <r>
    <d v="2017-04-23T00:00:00"/>
    <n v="8071"/>
    <x v="112"/>
    <x v="112"/>
    <n v="6231"/>
    <n v="69"/>
    <s v="Regular Day"/>
    <x v="0"/>
  </r>
  <r>
    <d v="2017-04-24T00:00:00"/>
    <n v="8548"/>
    <x v="113"/>
    <x v="113"/>
    <n v="6587"/>
    <n v="72"/>
    <s v="Regular Day"/>
    <x v="0"/>
  </r>
  <r>
    <d v="2017-04-25T00:00:00"/>
    <n v="8179"/>
    <x v="114"/>
    <x v="114"/>
    <n v="6410"/>
    <n v="60"/>
    <s v="Regular Day"/>
    <x v="0"/>
  </r>
  <r>
    <d v="2017-04-26T00:00:00"/>
    <n v="7717"/>
    <x v="115"/>
    <x v="115"/>
    <n v="5975"/>
    <n v="67"/>
    <s v="Regular Day"/>
    <x v="0"/>
  </r>
  <r>
    <d v="2017-04-27T00:00:00"/>
    <n v="7489"/>
    <x v="116"/>
    <x v="116"/>
    <n v="5706"/>
    <n v="67"/>
    <s v="Regular Day"/>
    <x v="0"/>
  </r>
  <r>
    <d v="2017-04-28T00:00:00"/>
    <n v="7011"/>
    <x v="117"/>
    <x v="117"/>
    <n v="5301"/>
    <n v="69"/>
    <s v="Regular Day"/>
    <x v="0"/>
  </r>
  <r>
    <d v="2017-04-29T00:00:00"/>
    <n v="10897"/>
    <x v="118"/>
    <x v="118"/>
    <n v="9440"/>
    <n v="36"/>
    <s v="Regular Day"/>
    <x v="0"/>
  </r>
  <r>
    <d v="2017-04-30T00:00:00"/>
    <n v="8115"/>
    <x v="119"/>
    <x v="119"/>
    <n v="6104"/>
    <n v="61"/>
    <s v="Regular Day"/>
    <x v="0"/>
  </r>
  <r>
    <d v="2017-05-01T00:00:00"/>
    <n v="7923"/>
    <x v="120"/>
    <x v="120"/>
    <n v="5982"/>
    <n v="70"/>
    <s v="Regular Day"/>
    <x v="0"/>
  </r>
  <r>
    <d v="2017-05-02T00:00:00"/>
    <n v="7653"/>
    <x v="121"/>
    <x v="121"/>
    <n v="5918"/>
    <n v="67"/>
    <s v="Regular Day"/>
    <x v="0"/>
  </r>
  <r>
    <d v="2017-05-03T00:00:00"/>
    <n v="12064"/>
    <x v="122"/>
    <x v="122"/>
    <n v="9369"/>
    <n v="69"/>
    <s v="Regular Day"/>
    <x v="0"/>
  </r>
  <r>
    <d v="2017-05-04T00:00:00"/>
    <n v="9065"/>
    <x v="123"/>
    <x v="123"/>
    <n v="6938"/>
    <n v="72"/>
    <s v="Regular Day"/>
    <x v="0"/>
  </r>
  <r>
    <d v="2017-05-05T00:00:00"/>
    <n v="8668"/>
    <x v="124"/>
    <x v="124"/>
    <n v="6757"/>
    <n v="66"/>
    <s v="Regular Day"/>
    <x v="0"/>
  </r>
  <r>
    <d v="2017-05-06T00:00:00"/>
    <n v="7559"/>
    <x v="125"/>
    <x v="125"/>
    <n v="6130"/>
    <n v="59"/>
    <s v="Regular Day"/>
    <x v="0"/>
  </r>
  <r>
    <d v="2017-05-07T00:00:00"/>
    <n v="7065"/>
    <x v="126"/>
    <x v="126"/>
    <n v="5465"/>
    <n v="63"/>
    <s v="Regular Day"/>
    <x v="0"/>
  </r>
  <r>
    <d v="2017-05-08T00:00:00"/>
    <n v="7589"/>
    <x v="127"/>
    <x v="127"/>
    <n v="5815"/>
    <n v="67"/>
    <s v="Regular Day"/>
    <x v="0"/>
  </r>
  <r>
    <d v="2017-05-09T00:00:00"/>
    <n v="7908"/>
    <x v="128"/>
    <x v="128"/>
    <n v="6023"/>
    <n v="69"/>
    <s v="Regular Day"/>
    <x v="0"/>
  </r>
  <r>
    <d v="2017-05-10T00:00:00"/>
    <n v="7363"/>
    <x v="129"/>
    <x v="129"/>
    <n v="5634"/>
    <n v="67"/>
    <s v="Regular Day"/>
    <x v="0"/>
  </r>
  <r>
    <d v="2017-05-11T00:00:00"/>
    <n v="7019"/>
    <x v="130"/>
    <x v="130"/>
    <n v="5431"/>
    <n v="64"/>
    <s v="Regular Day"/>
    <x v="0"/>
  </r>
  <r>
    <d v="2017-05-12T00:00:00"/>
    <n v="6703"/>
    <x v="131"/>
    <x v="131"/>
    <n v="5281"/>
    <n v="64"/>
    <s v="Regular Day"/>
    <x v="0"/>
  </r>
  <r>
    <d v="2017-05-13T00:00:00"/>
    <n v="6279"/>
    <x v="132"/>
    <x v="132"/>
    <n v="4736"/>
    <n v="69"/>
    <s v="Regular Day"/>
    <x v="0"/>
  </r>
  <r>
    <d v="2017-05-14T00:00:00"/>
    <n v="5789"/>
    <x v="133"/>
    <x v="133"/>
    <n v="4466"/>
    <n v="71"/>
    <s v="Regular Day"/>
    <x v="0"/>
  </r>
  <r>
    <d v="2017-05-15T00:00:00"/>
    <n v="6356"/>
    <x v="134"/>
    <x v="134"/>
    <n v="4928"/>
    <n v="68"/>
    <s v="Regular Day"/>
    <x v="0"/>
  </r>
  <r>
    <d v="2017-05-16T00:00:00"/>
    <n v="6376"/>
    <x v="135"/>
    <x v="135"/>
    <n v="4848"/>
    <n v="75"/>
    <s v="Regular Day"/>
    <x v="0"/>
  </r>
  <r>
    <d v="2017-05-17T00:00:00"/>
    <n v="1462"/>
    <x v="136"/>
    <x v="136"/>
    <n v="1002"/>
    <n v="94"/>
    <s v="Regular Day"/>
    <x v="0"/>
  </r>
  <r>
    <d v="2017-05-18T00:00:00"/>
    <n v="4263"/>
    <x v="137"/>
    <x v="137"/>
    <n v="3042"/>
    <n v="69"/>
    <s v="Regular Day"/>
    <x v="0"/>
  </r>
  <r>
    <d v="2017-05-19T00:00:00"/>
    <n v="4018"/>
    <x v="138"/>
    <x v="138"/>
    <n v="2364"/>
    <n v="78"/>
    <s v="Regular Day"/>
    <x v="0"/>
  </r>
  <r>
    <d v="2017-05-20T00:00:00"/>
    <n v="3444"/>
    <x v="139"/>
    <x v="139"/>
    <n v="1861"/>
    <n v="83"/>
    <s v="Regular Day"/>
    <x v="0"/>
  </r>
  <r>
    <d v="2017-05-21T00:00:00"/>
    <n v="4776"/>
    <x v="140"/>
    <x v="140"/>
    <n v="2711"/>
    <n v="83"/>
    <s v="Regular Day"/>
    <x v="0"/>
  </r>
  <r>
    <d v="2017-05-22T00:00:00"/>
    <n v="5434"/>
    <x v="141"/>
    <x v="141"/>
    <n v="3141"/>
    <n v="77"/>
    <s v="Regular Day"/>
    <x v="0"/>
  </r>
  <r>
    <d v="2017-05-23T00:00:00"/>
    <n v="4157"/>
    <x v="142"/>
    <x v="142"/>
    <n v="2466"/>
    <n v="80"/>
    <s v="Regular Day"/>
    <x v="0"/>
  </r>
  <r>
    <d v="2017-05-24T00:00:00"/>
    <n v="3766"/>
    <x v="143"/>
    <x v="143"/>
    <n v="2163"/>
    <n v="90"/>
    <s v="Regular Day"/>
    <x v="0"/>
  </r>
  <r>
    <d v="2017-05-25T00:00:00"/>
    <n v="4317"/>
    <x v="144"/>
    <x v="144"/>
    <n v="2529"/>
    <n v="84"/>
    <s v="Regular Day"/>
    <x v="0"/>
  </r>
  <r>
    <d v="2017-05-26T00:00:00"/>
    <n v="4406"/>
    <x v="145"/>
    <x v="145"/>
    <n v="2613"/>
    <n v="81"/>
    <s v="Regular Day"/>
    <x v="0"/>
  </r>
  <r>
    <d v="2017-05-27T00:00:00"/>
    <n v="4031"/>
    <x v="146"/>
    <x v="146"/>
    <n v="2474"/>
    <n v="76"/>
    <s v="Regular Day"/>
    <x v="0"/>
  </r>
  <r>
    <d v="2017-05-28T00:00:00"/>
    <n v="5186"/>
    <x v="147"/>
    <x v="147"/>
    <n v="2796"/>
    <n v="111"/>
    <s v="Regular Day"/>
    <x v="0"/>
  </r>
  <r>
    <d v="2017-05-29T00:00:00"/>
    <n v="3972"/>
    <x v="148"/>
    <x v="148"/>
    <n v="2365"/>
    <n v="87"/>
    <s v="Regular Day"/>
    <x v="0"/>
  </r>
  <r>
    <d v="2017-05-30T00:00:00"/>
    <n v="5343"/>
    <x v="149"/>
    <x v="149"/>
    <n v="2816"/>
    <n v="85"/>
    <s v="Regular Day"/>
    <x v="0"/>
  </r>
  <r>
    <d v="2017-05-31T00:00:00"/>
    <n v="5060"/>
    <x v="150"/>
    <x v="150"/>
    <n v="2805"/>
    <n v="81"/>
    <s v="Regular Day"/>
    <x v="0"/>
  </r>
  <r>
    <d v="2017-06-01T00:00:00"/>
    <n v="3998"/>
    <x v="151"/>
    <x v="151"/>
    <n v="2396"/>
    <n v="78"/>
    <s v="Regular Day"/>
    <x v="0"/>
  </r>
  <r>
    <d v="2017-06-02T00:00:00"/>
    <n v="3761"/>
    <x v="152"/>
    <x v="152"/>
    <n v="2307"/>
    <n v="73"/>
    <s v="Regular Day"/>
    <x v="0"/>
  </r>
  <r>
    <d v="2017-06-03T00:00:00"/>
    <n v="3794"/>
    <x v="153"/>
    <x v="153"/>
    <n v="2282"/>
    <n v="78"/>
    <s v="Regular Day"/>
    <x v="0"/>
  </r>
  <r>
    <d v="2017-06-04T00:00:00"/>
    <n v="3907"/>
    <x v="154"/>
    <x v="154"/>
    <n v="2351"/>
    <n v="70"/>
    <s v="Regular Day"/>
    <x v="0"/>
  </r>
  <r>
    <d v="2017-06-05T00:00:00"/>
    <n v="5109"/>
    <x v="155"/>
    <x v="155"/>
    <n v="2833"/>
    <n v="76"/>
    <s v="Regular Day"/>
    <x v="0"/>
  </r>
  <r>
    <d v="2017-06-06T00:00:00"/>
    <n v="4786"/>
    <x v="156"/>
    <x v="156"/>
    <n v="2091"/>
    <n v="84"/>
    <s v="Regular Day"/>
    <x v="0"/>
  </r>
  <r>
    <d v="2017-06-07T00:00:00"/>
    <n v="5010"/>
    <x v="157"/>
    <x v="157"/>
    <n v="1746"/>
    <n v="80"/>
    <s v="Regular Day"/>
    <x v="0"/>
  </r>
  <r>
    <d v="2017-06-08T00:00:00"/>
    <n v="5338"/>
    <x v="158"/>
    <x v="158"/>
    <n v="2436"/>
    <n v="77"/>
    <s v="Regular Day"/>
    <x v="0"/>
  </r>
  <r>
    <d v="2017-06-09T00:00:00"/>
    <n v="4948"/>
    <x v="159"/>
    <x v="159"/>
    <n v="2716"/>
    <n v="86"/>
    <s v="Regular Day"/>
    <x v="0"/>
  </r>
  <r>
    <d v="2017-06-10T00:00:00"/>
    <n v="4786"/>
    <x v="160"/>
    <x v="160"/>
    <n v="2599"/>
    <n v="75"/>
    <s v="Regular Day"/>
    <x v="0"/>
  </r>
  <r>
    <d v="2017-06-11T00:00:00"/>
    <n v="5219"/>
    <x v="161"/>
    <x v="161"/>
    <n v="2783"/>
    <n v="77"/>
    <s v="Regular Day"/>
    <x v="0"/>
  </r>
  <r>
    <d v="2017-06-12T00:00:00"/>
    <n v="5631"/>
    <x v="162"/>
    <x v="162"/>
    <n v="3023"/>
    <n v="84"/>
    <s v="Regular Day"/>
    <x v="0"/>
  </r>
  <r>
    <d v="2017-06-13T00:00:00"/>
    <n v="5178"/>
    <x v="163"/>
    <x v="163"/>
    <n v="2803"/>
    <n v="92"/>
    <s v="Regular Day"/>
    <x v="0"/>
  </r>
  <r>
    <d v="2017-06-14T00:00:00"/>
    <n v="5952"/>
    <x v="164"/>
    <x v="164"/>
    <n v="3146"/>
    <n v="85"/>
    <s v="Regular Day"/>
    <x v="0"/>
  </r>
  <r>
    <d v="2017-06-15T00:00:00"/>
    <n v="5287"/>
    <x v="165"/>
    <x v="165"/>
    <n v="2798"/>
    <n v="83"/>
    <s v="Regular Day"/>
    <x v="0"/>
  </r>
  <r>
    <d v="2017-06-16T00:00:00"/>
    <n v="4749"/>
    <x v="166"/>
    <x v="166"/>
    <n v="2582"/>
    <n v="78"/>
    <s v="Regular Day"/>
    <x v="0"/>
  </r>
  <r>
    <d v="2017-06-17T00:00:00"/>
    <n v="4515"/>
    <x v="167"/>
    <x v="167"/>
    <n v="2464"/>
    <n v="78"/>
    <s v="Regular Day"/>
    <x v="0"/>
  </r>
  <r>
    <d v="2017-06-18T00:00:00"/>
    <n v="4738"/>
    <x v="168"/>
    <x v="168"/>
    <n v="2497"/>
    <n v="84"/>
    <s v="Regular Day"/>
    <x v="0"/>
  </r>
  <r>
    <d v="2017-06-19T00:00:00"/>
    <n v="5153"/>
    <x v="169"/>
    <x v="169"/>
    <n v="2727"/>
    <n v="87"/>
    <s v="Regular Day"/>
    <x v="0"/>
  </r>
  <r>
    <d v="2017-06-20T00:00:00"/>
    <n v="5278"/>
    <x v="170"/>
    <x v="170"/>
    <n v="2828"/>
    <n v="83"/>
    <s v="Regular Day"/>
    <x v="0"/>
  </r>
  <r>
    <d v="2017-06-21T00:00:00"/>
    <n v="5224"/>
    <x v="171"/>
    <x v="171"/>
    <n v="2794"/>
    <n v="90"/>
    <s v="Regular Day"/>
    <x v="0"/>
  </r>
  <r>
    <d v="2017-06-22T00:00:00"/>
    <n v="5065"/>
    <x v="172"/>
    <x v="172"/>
    <n v="2691"/>
    <n v="82"/>
    <s v="Regular Day"/>
    <x v="0"/>
  </r>
  <r>
    <d v="2017-06-23T00:00:00"/>
    <n v="5043"/>
    <x v="173"/>
    <x v="173"/>
    <n v="2687"/>
    <n v="83"/>
    <s v="Regular Day"/>
    <x v="0"/>
  </r>
  <r>
    <d v="2017-06-24T00:00:00"/>
    <n v="5261"/>
    <x v="165"/>
    <x v="174"/>
    <n v="2743"/>
    <n v="98"/>
    <s v="Regular Day"/>
    <x v="0"/>
  </r>
  <r>
    <d v="2017-06-25T00:00:00"/>
    <n v="6300"/>
    <x v="174"/>
    <x v="175"/>
    <n v="3431"/>
    <n v="79"/>
    <s v="Regular Day"/>
    <x v="0"/>
  </r>
  <r>
    <d v="2017-06-26T00:00:00"/>
    <n v="6453"/>
    <x v="175"/>
    <x v="176"/>
    <n v="3477"/>
    <n v="82"/>
    <s v="Regular Day"/>
    <x v="0"/>
  </r>
  <r>
    <d v="2017-06-27T00:00:00"/>
    <n v="6162"/>
    <x v="176"/>
    <x v="177"/>
    <n v="3314"/>
    <n v="90"/>
    <s v="Regular Day"/>
    <x v="0"/>
  </r>
  <r>
    <d v="2017-06-28T00:00:00"/>
    <n v="5933"/>
    <x v="177"/>
    <x v="178"/>
    <n v="3176"/>
    <n v="95"/>
    <s v="Regular Day"/>
    <x v="0"/>
  </r>
  <r>
    <d v="2017-06-29T00:00:00"/>
    <n v="6410"/>
    <x v="178"/>
    <x v="179"/>
    <n v="3391"/>
    <n v="80"/>
    <s v="Regular Day"/>
    <x v="0"/>
  </r>
  <r>
    <d v="2017-06-30T00:00:00"/>
    <n v="5818"/>
    <x v="179"/>
    <x v="180"/>
    <n v="3224"/>
    <n v="75"/>
    <s v="Regular Day"/>
    <x v="0"/>
  </r>
  <r>
    <d v="2017-07-01T00:00:00"/>
    <n v="6168"/>
    <x v="180"/>
    <x v="181"/>
    <n v="3427"/>
    <n v="73"/>
    <s v="Regular Day"/>
    <x v="0"/>
  </r>
  <r>
    <d v="2017-07-02T00:00:00"/>
    <n v="7661"/>
    <x v="181"/>
    <x v="182"/>
    <n v="3519"/>
    <n v="89"/>
    <s v="Regular Day"/>
    <x v="0"/>
  </r>
  <r>
    <d v="2017-07-03T00:00:00"/>
    <n v="17656"/>
    <x v="182"/>
    <x v="183"/>
    <n v="8976"/>
    <n v="65"/>
    <s v="Regular Day"/>
    <x v="0"/>
  </r>
  <r>
    <d v="2017-07-04T00:00:00"/>
    <n v="15108"/>
    <x v="183"/>
    <x v="184"/>
    <n v="9020"/>
    <n v="56"/>
    <s v="Regular Day"/>
    <x v="0"/>
  </r>
  <r>
    <d v="2017-07-05T00:00:00"/>
    <n v="6976"/>
    <x v="184"/>
    <x v="185"/>
    <n v="3904"/>
    <n v="69"/>
    <s v="Regular Day"/>
    <x v="0"/>
  </r>
  <r>
    <d v="2017-07-06T00:00:00"/>
    <n v="6162"/>
    <x v="185"/>
    <x v="186"/>
    <n v="3524"/>
    <n v="77"/>
    <s v="Regular Day"/>
    <x v="0"/>
  </r>
  <r>
    <d v="2017-07-07T00:00:00"/>
    <n v="5866"/>
    <x v="186"/>
    <x v="187"/>
    <n v="3469"/>
    <n v="80"/>
    <s v="Regular Day"/>
    <x v="0"/>
  </r>
  <r>
    <d v="2017-07-08T00:00:00"/>
    <n v="5802"/>
    <x v="187"/>
    <x v="188"/>
    <n v="3355"/>
    <n v="69"/>
    <s v="Regular Day"/>
    <x v="0"/>
  </r>
  <r>
    <d v="2017-07-09T00:00:00"/>
    <n v="5786"/>
    <x v="188"/>
    <x v="189"/>
    <n v="3266"/>
    <n v="76"/>
    <s v="Regular Day"/>
    <x v="0"/>
  </r>
  <r>
    <d v="2017-07-10T00:00:00"/>
    <n v="5573"/>
    <x v="189"/>
    <x v="190"/>
    <n v="3136"/>
    <n v="81"/>
    <s v="Regular Day"/>
    <x v="0"/>
  </r>
  <r>
    <d v="2017-07-11T00:00:00"/>
    <n v="5949"/>
    <x v="190"/>
    <x v="191"/>
    <n v="3284"/>
    <n v="83"/>
    <s v="Regular Day"/>
    <x v="0"/>
  </r>
  <r>
    <d v="2017-07-12T00:00:00"/>
    <n v="6848"/>
    <x v="191"/>
    <x v="192"/>
    <n v="4246"/>
    <n v="72"/>
    <s v="Regular Day"/>
    <x v="0"/>
  </r>
  <r>
    <d v="2017-07-13T00:00:00"/>
    <n v="5618"/>
    <x v="192"/>
    <x v="193"/>
    <n v="3174"/>
    <n v="78"/>
    <s v="Regular Day"/>
    <x v="0"/>
  </r>
  <r>
    <d v="2017-07-14T00:00:00"/>
    <n v="6162"/>
    <x v="193"/>
    <x v="194"/>
    <n v="3200"/>
    <n v="82"/>
    <s v="Regular Day"/>
    <x v="0"/>
  </r>
  <r>
    <d v="2017-07-15T00:00:00"/>
    <n v="6425"/>
    <x v="194"/>
    <x v="195"/>
    <n v="3370"/>
    <n v="82"/>
    <s v="Regular Day"/>
    <x v="0"/>
  </r>
  <r>
    <d v="2017-07-16T00:00:00"/>
    <n v="5923"/>
    <x v="195"/>
    <x v="196"/>
    <n v="3281"/>
    <n v="76"/>
    <s v="Regular Day"/>
    <x v="0"/>
  </r>
  <r>
    <d v="2017-07-17T00:00:00"/>
    <n v="6098"/>
    <x v="196"/>
    <x v="197"/>
    <n v="3340"/>
    <n v="86"/>
    <s v="Regular Day"/>
    <x v="0"/>
  </r>
  <r>
    <d v="2017-07-18T00:00:00"/>
    <n v="5624"/>
    <x v="197"/>
    <x v="198"/>
    <n v="3211"/>
    <n v="81"/>
    <s v="Regular Day"/>
    <x v="0"/>
  </r>
  <r>
    <d v="2017-07-19T00:00:00"/>
    <n v="6170"/>
    <x v="198"/>
    <x v="199"/>
    <n v="2909"/>
    <n v="84"/>
    <s v="Regular Day"/>
    <x v="0"/>
  </r>
  <r>
    <d v="2017-07-20T00:00:00"/>
    <n v="6578"/>
    <x v="199"/>
    <x v="97"/>
    <n v="3390"/>
    <n v="79"/>
    <s v="Regular Day"/>
    <x v="0"/>
  </r>
  <r>
    <d v="2017-07-21T00:00:00"/>
    <n v="6650"/>
    <x v="200"/>
    <x v="200"/>
    <n v="3742"/>
    <n v="76"/>
    <s v="Regular Day"/>
    <x v="0"/>
  </r>
  <r>
    <d v="2017-07-22T00:00:00"/>
    <n v="5125"/>
    <x v="201"/>
    <x v="201"/>
    <n v="3080"/>
    <n v="71"/>
    <s v="Regular Day"/>
    <x v="0"/>
  </r>
  <r>
    <d v="2017-07-23T00:00:00"/>
    <n v="5381"/>
    <x v="202"/>
    <x v="202"/>
    <n v="3084"/>
    <n v="76"/>
    <s v="Regular Day"/>
    <x v="0"/>
  </r>
  <r>
    <d v="2017-07-24T00:00:00"/>
    <n v="5381"/>
    <x v="203"/>
    <x v="203"/>
    <n v="3200"/>
    <n v="87"/>
    <s v="Regular Day"/>
    <x v="0"/>
  </r>
  <r>
    <d v="2017-07-25T00:00:00"/>
    <n v="5481"/>
    <x v="204"/>
    <x v="204"/>
    <n v="3572"/>
    <n v="80"/>
    <s v="Regular Day"/>
    <x v="0"/>
  </r>
  <r>
    <d v="2017-07-26T00:00:00"/>
    <n v="5468"/>
    <x v="205"/>
    <x v="205"/>
    <n v="4079"/>
    <n v="78"/>
    <s v="Regular Day"/>
    <x v="0"/>
  </r>
  <r>
    <d v="2017-07-27T00:00:00"/>
    <n v="5519"/>
    <x v="206"/>
    <x v="206"/>
    <n v="4087"/>
    <n v="69"/>
    <s v="Regular Day"/>
    <x v="0"/>
  </r>
  <r>
    <d v="2017-07-28T00:00:00"/>
    <n v="5274"/>
    <x v="207"/>
    <x v="207"/>
    <n v="3806"/>
    <n v="77"/>
    <s v="Regular Day"/>
    <x v="0"/>
  </r>
  <r>
    <d v="2017-07-29T00:00:00"/>
    <n v="9232"/>
    <x v="208"/>
    <x v="208"/>
    <n v="7018"/>
    <n v="60"/>
    <s v="Regular Day"/>
    <x v="0"/>
  </r>
  <r>
    <d v="2017-07-30T00:00:00"/>
    <n v="7637"/>
    <x v="209"/>
    <x v="209"/>
    <n v="5829"/>
    <n v="60"/>
    <s v="Regular Day"/>
    <x v="0"/>
  </r>
  <r>
    <d v="2017-07-31T00:00:00"/>
    <n v="5929"/>
    <x v="210"/>
    <x v="210"/>
    <n v="4380"/>
    <n v="77"/>
    <s v="Regular Day"/>
    <x v="0"/>
  </r>
  <r>
    <d v="2017-08-01T00:00:00"/>
    <n v="5822"/>
    <x v="211"/>
    <x v="211"/>
    <n v="4351"/>
    <n v="80"/>
    <s v="Regular Day"/>
    <x v="0"/>
  </r>
  <r>
    <d v="2017-08-02T00:00:00"/>
    <n v="6357"/>
    <x v="212"/>
    <x v="212"/>
    <n v="3701"/>
    <n v="97"/>
    <s v="Regular Day"/>
    <x v="0"/>
  </r>
  <r>
    <d v="2017-08-03T00:00:00"/>
    <n v="5559"/>
    <x v="213"/>
    <x v="162"/>
    <n v="3287"/>
    <n v="98"/>
    <s v="Regular Day"/>
    <x v="0"/>
  </r>
  <r>
    <d v="2017-08-04T00:00:00"/>
    <n v="5429"/>
    <x v="214"/>
    <x v="213"/>
    <n v="3177"/>
    <n v="97"/>
    <s v="Regular Day"/>
    <x v="0"/>
  </r>
  <r>
    <d v="2017-08-05T00:00:00"/>
    <n v="5053"/>
    <x v="215"/>
    <x v="214"/>
    <n v="2849"/>
    <n v="87"/>
    <s v="Regular Day"/>
    <x v="0"/>
  </r>
  <r>
    <d v="2017-08-06T00:00:00"/>
    <n v="5281"/>
    <x v="216"/>
    <x v="215"/>
    <n v="2955"/>
    <n v="86"/>
    <s v="Regular Day"/>
    <x v="0"/>
  </r>
  <r>
    <d v="2017-08-07T00:00:00"/>
    <n v="5671"/>
    <x v="217"/>
    <x v="216"/>
    <n v="3366"/>
    <n v="86"/>
    <s v="Regular Day"/>
    <x v="0"/>
  </r>
  <r>
    <d v="2017-08-08T00:00:00"/>
    <n v="5832"/>
    <x v="218"/>
    <x v="217"/>
    <n v="3380"/>
    <n v="90"/>
    <s v="Regular Day"/>
    <x v="0"/>
  </r>
  <r>
    <d v="2017-08-09T00:00:00"/>
    <n v="5987"/>
    <x v="219"/>
    <x v="218"/>
    <n v="3464"/>
    <n v="95"/>
    <s v="Regular Day"/>
    <x v="0"/>
  </r>
  <r>
    <d v="2017-08-10T00:00:00"/>
    <n v="5720"/>
    <x v="220"/>
    <x v="219"/>
    <n v="3566"/>
    <n v="77"/>
    <s v="Regular Day"/>
    <x v="0"/>
  </r>
  <r>
    <d v="2017-08-11T00:00:00"/>
    <n v="5245"/>
    <x v="221"/>
    <x v="220"/>
    <n v="3107"/>
    <n v="81"/>
    <s v="Regular Day"/>
    <x v="0"/>
  </r>
  <r>
    <d v="2017-08-12T00:00:00"/>
    <n v="4619"/>
    <x v="222"/>
    <x v="221"/>
    <n v="2761"/>
    <n v="69"/>
    <s v="Regular Day"/>
    <x v="0"/>
  </r>
  <r>
    <d v="2017-08-13T00:00:00"/>
    <n v="4727"/>
    <x v="223"/>
    <x v="222"/>
    <n v="2825"/>
    <n v="74"/>
    <s v="Regular Day"/>
    <x v="0"/>
  </r>
  <r>
    <d v="2017-08-14T00:00:00"/>
    <n v="5412"/>
    <x v="224"/>
    <x v="223"/>
    <n v="3145"/>
    <n v="85"/>
    <s v="Regular Day"/>
    <x v="0"/>
  </r>
  <r>
    <d v="2017-08-15T00:00:00"/>
    <n v="6186"/>
    <x v="225"/>
    <x v="224"/>
    <n v="3927"/>
    <n v="75"/>
    <s v="Regular Day"/>
    <x v="0"/>
  </r>
  <r>
    <d v="2017-08-16T00:00:00"/>
    <n v="5455"/>
    <x v="226"/>
    <x v="225"/>
    <n v="3250"/>
    <n v="79"/>
    <s v="Regular Day"/>
    <x v="0"/>
  </r>
  <r>
    <d v="2017-08-17T00:00:00"/>
    <n v="5718"/>
    <x v="227"/>
    <x v="226"/>
    <n v="3487"/>
    <n v="82"/>
    <s v="Regular Day"/>
    <x v="0"/>
  </r>
  <r>
    <d v="2017-08-18T00:00:00"/>
    <n v="6087"/>
    <x v="228"/>
    <x v="227"/>
    <n v="3551"/>
    <n v="83"/>
    <s v="Regular Day"/>
    <x v="0"/>
  </r>
  <r>
    <d v="2017-08-19T00:00:00"/>
    <n v="5568"/>
    <x v="229"/>
    <x v="228"/>
    <n v="3159"/>
    <n v="87"/>
    <s v="Regular Day"/>
    <x v="0"/>
  </r>
  <r>
    <d v="2017-08-20T00:00:00"/>
    <n v="4899"/>
    <x v="230"/>
    <x v="229"/>
    <n v="2872"/>
    <n v="81"/>
    <s v="Regular Day"/>
    <x v="0"/>
  </r>
  <r>
    <d v="2017-08-21T00:00:00"/>
    <n v="4888"/>
    <x v="231"/>
    <x v="230"/>
    <n v="2874"/>
    <n v="91"/>
    <s v="Regular Day"/>
    <x v="0"/>
  </r>
  <r>
    <d v="2017-08-22T00:00:00"/>
    <n v="5395"/>
    <x v="232"/>
    <x v="231"/>
    <n v="3253"/>
    <n v="83"/>
    <s v="Regular Day"/>
    <x v="0"/>
  </r>
  <r>
    <d v="2017-08-23T00:00:00"/>
    <n v="5723"/>
    <x v="233"/>
    <x v="232"/>
    <n v="3397"/>
    <n v="76"/>
    <s v="Regular Day"/>
    <x v="0"/>
  </r>
  <r>
    <d v="2017-08-24T00:00:00"/>
    <n v="7602"/>
    <x v="234"/>
    <x v="233"/>
    <n v="4367"/>
    <n v="67"/>
    <s v="Regular Day"/>
    <x v="0"/>
  </r>
  <r>
    <d v="2017-08-25T00:00:00"/>
    <n v="5282"/>
    <x v="235"/>
    <x v="234"/>
    <n v="3250"/>
    <n v="83"/>
    <s v="Regular Day"/>
    <x v="0"/>
  </r>
  <r>
    <d v="2017-08-26T00:00:00"/>
    <n v="4382"/>
    <x v="236"/>
    <x v="235"/>
    <n v="2666"/>
    <n v="87"/>
    <s v="Regular Day"/>
    <x v="0"/>
  </r>
  <r>
    <d v="2017-08-27T00:00:00"/>
    <n v="5706"/>
    <x v="237"/>
    <x v="236"/>
    <n v="3355"/>
    <n v="81"/>
    <s v="Regular Day"/>
    <x v="0"/>
  </r>
  <r>
    <d v="2017-08-28T00:00:00"/>
    <n v="6778"/>
    <x v="238"/>
    <x v="237"/>
    <n v="4012"/>
    <n v="80"/>
    <s v="Regular Day"/>
    <x v="0"/>
  </r>
  <r>
    <d v="2017-08-29T00:00:00"/>
    <n v="6446"/>
    <x v="239"/>
    <x v="238"/>
    <n v="3787"/>
    <n v="84"/>
    <s v="Regular Day"/>
    <x v="0"/>
  </r>
  <r>
    <d v="2017-08-30T00:00:00"/>
    <n v="8170"/>
    <x v="240"/>
    <x v="239"/>
    <n v="4752"/>
    <n v="87"/>
    <s v="Regular Day"/>
    <x v="0"/>
  </r>
  <r>
    <d v="2017-08-31T00:00:00"/>
    <n v="14405"/>
    <x v="241"/>
    <x v="240"/>
    <n v="5056"/>
    <n v="81"/>
    <s v="Regular Day"/>
    <x v="0"/>
  </r>
  <r>
    <d v="2017-09-01T00:00:00"/>
    <n v="7778"/>
    <x v="242"/>
    <x v="241"/>
    <n v="3807"/>
    <n v="89"/>
    <s v="Regular Day"/>
    <x v="0"/>
  </r>
  <r>
    <d v="2017-09-02T00:00:00"/>
    <n v="9566"/>
    <x v="243"/>
    <x v="242"/>
    <n v="4489"/>
    <n v="101"/>
    <s v="Regular Day"/>
    <x v="0"/>
  </r>
  <r>
    <d v="2017-09-03T00:00:00"/>
    <n v="6866"/>
    <x v="244"/>
    <x v="243"/>
    <n v="3964"/>
    <n v="76"/>
    <s v="Regular Day"/>
    <x v="0"/>
  </r>
  <r>
    <d v="2017-09-04T00:00:00"/>
    <n v="6103"/>
    <x v="245"/>
    <x v="244"/>
    <n v="3482"/>
    <n v="83"/>
    <s v="Regular Day"/>
    <x v="0"/>
  </r>
  <r>
    <d v="2017-09-05T00:00:00"/>
    <n v="5872"/>
    <x v="246"/>
    <x v="245"/>
    <n v="3506"/>
    <n v="89"/>
    <s v="Regular Day"/>
    <x v="0"/>
  </r>
  <r>
    <d v="2017-09-06T00:00:00"/>
    <n v="6691"/>
    <x v="247"/>
    <x v="246"/>
    <n v="3772"/>
    <n v="90"/>
    <s v="Regular Day"/>
    <x v="0"/>
  </r>
  <r>
    <d v="2017-09-07T00:00:00"/>
    <n v="6152"/>
    <x v="248"/>
    <x v="244"/>
    <n v="3719"/>
    <n v="96"/>
    <s v="Regular Day"/>
    <x v="0"/>
  </r>
  <r>
    <d v="2017-09-08T00:00:00"/>
    <n v="5709"/>
    <x v="249"/>
    <x v="247"/>
    <n v="3453"/>
    <n v="88"/>
    <s v="Regular Day"/>
    <x v="0"/>
  </r>
  <r>
    <d v="2017-09-09T00:00:00"/>
    <n v="5336"/>
    <x v="250"/>
    <x v="248"/>
    <n v="3173"/>
    <n v="87"/>
    <s v="Regular Day"/>
    <x v="0"/>
  </r>
  <r>
    <d v="2017-09-10T00:00:00"/>
    <n v="5072"/>
    <x v="251"/>
    <x v="249"/>
    <n v="3004"/>
    <n v="94"/>
    <s v="Regular Day"/>
    <x v="0"/>
  </r>
  <r>
    <d v="2017-09-11T00:00:00"/>
    <n v="5659"/>
    <x v="252"/>
    <x v="250"/>
    <n v="3425"/>
    <n v="97"/>
    <s v="Regular Day"/>
    <x v="0"/>
  </r>
  <r>
    <d v="2017-09-12T00:00:00"/>
    <n v="8168"/>
    <x v="253"/>
    <x v="251"/>
    <n v="4649"/>
    <n v="76"/>
    <s v="Regular Day"/>
    <x v="0"/>
  </r>
  <r>
    <d v="2017-09-13T00:00:00"/>
    <n v="11927"/>
    <x v="254"/>
    <x v="252"/>
    <n v="5696"/>
    <n v="71"/>
    <s v="Regular Day"/>
    <x v="0"/>
  </r>
  <r>
    <d v="2017-09-14T00:00:00"/>
    <n v="9411"/>
    <x v="255"/>
    <x v="253"/>
    <n v="4925"/>
    <n v="72"/>
    <s v="Regular Day"/>
    <x v="0"/>
  </r>
  <r>
    <d v="2017-09-15T00:00:00"/>
    <n v="7285"/>
    <x v="256"/>
    <x v="254"/>
    <n v="4238"/>
    <n v="84"/>
    <s v="Regular Day"/>
    <x v="0"/>
  </r>
  <r>
    <d v="2017-09-16T00:00:00"/>
    <n v="6909"/>
    <x v="257"/>
    <x v="255"/>
    <n v="3800"/>
    <n v="77"/>
    <s v="Regular Day"/>
    <x v="0"/>
  </r>
  <r>
    <d v="2017-09-17T00:00:00"/>
    <n v="8802"/>
    <x v="258"/>
    <x v="256"/>
    <n v="4935"/>
    <n v="77"/>
    <s v="Regular Day"/>
    <x v="0"/>
  </r>
  <r>
    <d v="2017-09-18T00:00:00"/>
    <n v="9052"/>
    <x v="259"/>
    <x v="257"/>
    <n v="5133"/>
    <n v="82"/>
    <s v="Regular Day"/>
    <x v="0"/>
  </r>
  <r>
    <d v="2017-09-19T00:00:00"/>
    <n v="9180"/>
    <x v="260"/>
    <x v="258"/>
    <n v="5451"/>
    <n v="83"/>
    <s v="Regular Day"/>
    <x v="0"/>
  </r>
  <r>
    <d v="2017-09-20T00:00:00"/>
    <n v="7399"/>
    <x v="261"/>
    <x v="259"/>
    <n v="4342"/>
    <n v="84"/>
    <s v="Regular Day"/>
    <x v="0"/>
  </r>
  <r>
    <d v="2017-09-21T00:00:00"/>
    <n v="11407"/>
    <x v="262"/>
    <x v="260"/>
    <n v="6009"/>
    <n v="98"/>
    <s v="Regular Day"/>
    <x v="0"/>
  </r>
  <r>
    <d v="2017-09-22T00:00:00"/>
    <n v="6924"/>
    <x v="263"/>
    <x v="261"/>
    <n v="2739"/>
    <n v="79"/>
    <s v="Regular Day"/>
    <x v="0"/>
  </r>
  <r>
    <d v="2017-09-23T00:00:00"/>
    <n v="5928"/>
    <x v="264"/>
    <x v="262"/>
    <n v="2328"/>
    <n v="84"/>
    <s v="Regular Day"/>
    <x v="0"/>
  </r>
  <r>
    <d v="2017-09-24T00:00:00"/>
    <n v="6314"/>
    <x v="265"/>
    <x v="263"/>
    <n v="2139"/>
    <n v="82"/>
    <s v="Regular Day"/>
    <x v="0"/>
  </r>
  <r>
    <d v="2017-09-25T00:00:00"/>
    <n v="8801"/>
    <x v="266"/>
    <x v="264"/>
    <n v="2513"/>
    <n v="84"/>
    <s v="Regular Day"/>
    <x v="0"/>
  </r>
  <r>
    <d v="2017-09-26T00:00:00"/>
    <n v="10965"/>
    <x v="267"/>
    <x v="265"/>
    <n v="3303"/>
    <n v="91"/>
    <s v="Regular Day"/>
    <x v="0"/>
  </r>
  <r>
    <d v="2017-09-27T00:00:00"/>
    <n v="9788"/>
    <x v="268"/>
    <x v="266"/>
    <n v="2883"/>
    <n v="81"/>
    <s v="Regular Day"/>
    <x v="0"/>
  </r>
  <r>
    <d v="2017-09-28T00:00:00"/>
    <n v="9407"/>
    <x v="269"/>
    <x v="267"/>
    <n v="2708"/>
    <n v="82"/>
    <s v="Regular Day"/>
    <x v="0"/>
  </r>
  <r>
    <d v="2017-09-29T00:00:00"/>
    <n v="7889"/>
    <x v="270"/>
    <x v="268"/>
    <n v="2584"/>
    <n v="89"/>
    <s v="Regular Day"/>
    <x v="0"/>
  </r>
  <r>
    <d v="2017-09-30T00:00:00"/>
    <n v="8455"/>
    <x v="271"/>
    <x v="269"/>
    <n v="2439"/>
    <n v="86"/>
    <s v="Regular Day"/>
    <x v="0"/>
  </r>
  <r>
    <d v="2017-10-01T00:00:00"/>
    <n v="7768"/>
    <x v="272"/>
    <x v="270"/>
    <n v="3270"/>
    <n v="82"/>
    <s v="Regular Day"/>
    <x v="0"/>
  </r>
  <r>
    <d v="2017-10-02T00:00:00"/>
    <n v="8447"/>
    <x v="273"/>
    <x v="271"/>
    <n v="3067"/>
    <n v="81"/>
    <s v="Regular Day"/>
    <x v="0"/>
  </r>
  <r>
    <d v="2017-10-03T00:00:00"/>
    <n v="24449"/>
    <x v="274"/>
    <x v="272"/>
    <n v="3558"/>
    <n v="77"/>
    <s v="Regular Day"/>
    <x v="0"/>
  </r>
  <r>
    <d v="2017-10-04T00:00:00"/>
    <n v="66639"/>
    <x v="275"/>
    <x v="273"/>
    <n v="6175"/>
    <n v="70"/>
    <s v="Regular Day"/>
    <x v="0"/>
  </r>
  <r>
    <d v="2017-10-05T00:00:00"/>
    <n v="18708"/>
    <x v="276"/>
    <x v="274"/>
    <n v="9734"/>
    <n v="72"/>
    <s v="Regular Day"/>
    <x v="0"/>
  </r>
  <r>
    <d v="2017-10-06T00:00:00"/>
    <n v="11225"/>
    <x v="277"/>
    <x v="275"/>
    <n v="6328"/>
    <n v="75"/>
    <s v="Regular Day"/>
    <x v="0"/>
  </r>
  <r>
    <d v="2017-10-07T00:00:00"/>
    <n v="11678"/>
    <x v="278"/>
    <x v="276"/>
    <n v="6241"/>
    <n v="80"/>
    <s v="Regular Day"/>
    <x v="0"/>
  </r>
  <r>
    <d v="2017-10-08T00:00:00"/>
    <n v="11632"/>
    <x v="279"/>
    <x v="277"/>
    <n v="6411"/>
    <n v="79"/>
    <s v="Regular Day"/>
    <x v="0"/>
  </r>
  <r>
    <d v="2017-10-09T00:00:00"/>
    <n v="11285"/>
    <x v="280"/>
    <x v="278"/>
    <n v="6396"/>
    <n v="84"/>
    <s v="Regular Day"/>
    <x v="0"/>
  </r>
  <r>
    <d v="2017-10-10T00:00:00"/>
    <n v="18833"/>
    <x v="281"/>
    <x v="279"/>
    <n v="10210"/>
    <n v="93"/>
    <s v="Regular Day"/>
    <x v="0"/>
  </r>
  <r>
    <d v="2017-10-11T00:00:00"/>
    <n v="19938"/>
    <x v="282"/>
    <x v="280"/>
    <n v="10648"/>
    <n v="79"/>
    <s v="Regular Day"/>
    <x v="0"/>
  </r>
  <r>
    <d v="2017-10-12T00:00:00"/>
    <n v="13867"/>
    <x v="283"/>
    <x v="281"/>
    <n v="7889"/>
    <n v="84"/>
    <s v="Regular Day"/>
    <x v="0"/>
  </r>
  <r>
    <d v="2017-10-13T00:00:00"/>
    <n v="10560"/>
    <x v="284"/>
    <x v="282"/>
    <n v="6120"/>
    <n v="89"/>
    <s v="Regular Day"/>
    <x v="0"/>
  </r>
  <r>
    <d v="2017-10-14T00:00:00"/>
    <n v="7963"/>
    <x v="285"/>
    <x v="283"/>
    <n v="4772"/>
    <n v="81"/>
    <s v="Regular Day"/>
    <x v="0"/>
  </r>
  <r>
    <d v="2017-10-15T00:00:00"/>
    <n v="7745"/>
    <x v="286"/>
    <x v="284"/>
    <n v="4681"/>
    <n v="92"/>
    <s v="Regular Day"/>
    <x v="0"/>
  </r>
  <r>
    <d v="2017-10-16T00:00:00"/>
    <n v="9728"/>
    <x v="287"/>
    <x v="285"/>
    <n v="5606"/>
    <n v="94"/>
    <s v="Regular Day"/>
    <x v="0"/>
  </r>
  <r>
    <d v="2017-10-17T00:00:00"/>
    <n v="14227"/>
    <x v="288"/>
    <x v="286"/>
    <n v="7012"/>
    <n v="96"/>
    <s v="Regular Day"/>
    <x v="0"/>
  </r>
  <r>
    <d v="2017-10-18T00:00:00"/>
    <n v="11958"/>
    <x v="289"/>
    <x v="287"/>
    <n v="6267"/>
    <n v="89"/>
    <s v="Regular Day"/>
    <x v="0"/>
  </r>
  <r>
    <d v="2017-10-19T00:00:00"/>
    <n v="10365"/>
    <x v="290"/>
    <x v="288"/>
    <n v="6002"/>
    <n v="80"/>
    <s v="Regular Day"/>
    <x v="0"/>
  </r>
  <r>
    <d v="2017-10-20T00:00:00"/>
    <n v="21571"/>
    <x v="291"/>
    <x v="289"/>
    <n v="7494"/>
    <n v="70"/>
    <s v="Regular Day"/>
    <x v="0"/>
  </r>
  <r>
    <d v="2017-10-21T00:00:00"/>
    <n v="15468"/>
    <x v="292"/>
    <x v="290"/>
    <n v="3938"/>
    <n v="78"/>
    <s v="Regular Day"/>
    <x v="0"/>
  </r>
  <r>
    <d v="2017-10-22T00:00:00"/>
    <n v="12146"/>
    <x v="293"/>
    <x v="291"/>
    <n v="3808"/>
    <n v="81"/>
    <s v="Regular Day"/>
    <x v="0"/>
  </r>
  <r>
    <d v="2017-10-23T00:00:00"/>
    <n v="11156"/>
    <x v="294"/>
    <x v="292"/>
    <n v="3914"/>
    <n v="85"/>
    <s v="Regular Day"/>
    <x v="0"/>
  </r>
  <r>
    <d v="2017-10-24T00:00:00"/>
    <n v="10320"/>
    <x v="295"/>
    <x v="293"/>
    <n v="3838"/>
    <n v="87"/>
    <s v="Regular Day"/>
    <x v="0"/>
  </r>
  <r>
    <d v="2017-10-25T00:00:00"/>
    <n v="11122"/>
    <x v="296"/>
    <x v="294"/>
    <n v="3834"/>
    <n v="83"/>
    <s v="Regular Day"/>
    <x v="0"/>
  </r>
  <r>
    <d v="2017-10-26T00:00:00"/>
    <n v="10887"/>
    <x v="297"/>
    <x v="295"/>
    <n v="3494"/>
    <n v="85"/>
    <s v="Regular Day"/>
    <x v="0"/>
  </r>
  <r>
    <d v="2017-10-27T00:00:00"/>
    <n v="9273"/>
    <x v="298"/>
    <x v="296"/>
    <n v="3356"/>
    <n v="84"/>
    <s v="Regular Day"/>
    <x v="0"/>
  </r>
  <r>
    <d v="2017-10-28T00:00:00"/>
    <n v="7669"/>
    <x v="299"/>
    <x v="297"/>
    <n v="4522"/>
    <n v="87"/>
    <s v="Regular Day"/>
    <x v="0"/>
  </r>
  <r>
    <d v="2017-10-29T00:00:00"/>
    <n v="8507"/>
    <x v="300"/>
    <x v="298"/>
    <n v="5012"/>
    <n v="91"/>
    <s v="Regular Day"/>
    <x v="0"/>
  </r>
  <r>
    <d v="2017-10-30T00:00:00"/>
    <n v="9801"/>
    <x v="301"/>
    <x v="299"/>
    <n v="5687"/>
    <n v="83"/>
    <s v="Regular Day"/>
    <x v="0"/>
  </r>
  <r>
    <d v="2017-10-31T00:00:00"/>
    <n v="13702"/>
    <x v="302"/>
    <x v="300"/>
    <n v="8629"/>
    <n v="66"/>
    <s v="Regular Day"/>
    <x v="0"/>
  </r>
  <r>
    <d v="2017-11-01T00:00:00"/>
    <n v="9577"/>
    <x v="303"/>
    <x v="301"/>
    <n v="5959"/>
    <n v="81"/>
    <s v="Regular Day"/>
    <x v="0"/>
  </r>
  <r>
    <d v="2017-11-02T00:00:00"/>
    <n v="9264"/>
    <x v="304"/>
    <x v="302"/>
    <n v="5620"/>
    <n v="86"/>
    <s v="Regular Day"/>
    <x v="0"/>
  </r>
  <r>
    <d v="2017-11-03T00:00:00"/>
    <n v="14951"/>
    <x v="305"/>
    <x v="303"/>
    <n v="8720"/>
    <n v="76"/>
    <s v="Regular Day"/>
    <x v="0"/>
  </r>
  <r>
    <d v="2017-11-04T00:00:00"/>
    <n v="8603"/>
    <x v="306"/>
    <x v="304"/>
    <n v="5077"/>
    <n v="79"/>
    <s v="Regular Day"/>
    <x v="0"/>
  </r>
  <r>
    <d v="2017-11-05T00:00:00"/>
    <n v="10050"/>
    <x v="307"/>
    <x v="305"/>
    <n v="5763"/>
    <n v="89"/>
    <s v="Regular Day"/>
    <x v="0"/>
  </r>
  <r>
    <d v="2017-11-06T00:00:00"/>
    <n v="9826"/>
    <x v="308"/>
    <x v="306"/>
    <n v="5856"/>
    <n v="83"/>
    <s v="Regular Day"/>
    <x v="0"/>
  </r>
  <r>
    <d v="2017-11-07T00:00:00"/>
    <n v="9852"/>
    <x v="309"/>
    <x v="307"/>
    <n v="5877"/>
    <n v="99"/>
    <s v="Regular Day"/>
    <x v="0"/>
  </r>
  <r>
    <d v="2017-11-08T00:00:00"/>
    <n v="11223"/>
    <x v="310"/>
    <x v="308"/>
    <n v="6788"/>
    <n v="78"/>
    <s v="Regular Day"/>
    <x v="0"/>
  </r>
  <r>
    <d v="2017-11-09T00:00:00"/>
    <n v="10185"/>
    <x v="311"/>
    <x v="309"/>
    <n v="6183"/>
    <n v="81"/>
    <s v="Regular Day"/>
    <x v="0"/>
  </r>
  <r>
    <d v="2017-11-10T00:00:00"/>
    <n v="20194"/>
    <x v="312"/>
    <x v="310"/>
    <n v="13039"/>
    <n v="125"/>
    <s v="Regular Day"/>
    <x v="0"/>
  </r>
  <r>
    <d v="2017-11-11T00:00:00"/>
    <n v="15318"/>
    <x v="313"/>
    <x v="311"/>
    <n v="9772"/>
    <n v="86"/>
    <s v="Regular Day"/>
    <x v="0"/>
  </r>
  <r>
    <d v="2017-11-12T00:00:00"/>
    <n v="11899"/>
    <x v="314"/>
    <x v="312"/>
    <n v="6927"/>
    <n v="89"/>
    <s v="Regular Day"/>
    <x v="0"/>
  </r>
  <r>
    <d v="2017-11-13T00:00:00"/>
    <n v="12323"/>
    <x v="315"/>
    <x v="313"/>
    <n v="7145"/>
    <n v="86"/>
    <s v="Regular Day"/>
    <x v="0"/>
  </r>
  <r>
    <d v="2017-11-14T00:00:00"/>
    <n v="14072"/>
    <x v="316"/>
    <x v="314"/>
    <n v="8339"/>
    <n v="74"/>
    <s v="Regular Day"/>
    <x v="0"/>
  </r>
  <r>
    <d v="2017-11-15T00:00:00"/>
    <n v="23359"/>
    <x v="317"/>
    <x v="315"/>
    <n v="13237"/>
    <n v="64"/>
    <s v="Regular Day"/>
    <x v="0"/>
  </r>
  <r>
    <d v="2017-11-16T00:00:00"/>
    <n v="28059"/>
    <x v="318"/>
    <x v="316"/>
    <n v="15145"/>
    <n v="78"/>
    <s v="Regular Day"/>
    <x v="0"/>
  </r>
  <r>
    <d v="2017-11-17T00:00:00"/>
    <n v="19892"/>
    <x v="319"/>
    <x v="317"/>
    <n v="11190"/>
    <n v="80"/>
    <s v="Regular Day"/>
    <x v="0"/>
  </r>
  <r>
    <d v="2017-11-18T00:00:00"/>
    <n v="12230"/>
    <x v="320"/>
    <x v="318"/>
    <n v="7134"/>
    <n v="78"/>
    <s v="Regular Day"/>
    <x v="0"/>
  </r>
  <r>
    <d v="2017-11-19T00:00:00"/>
    <n v="14662"/>
    <x v="321"/>
    <x v="319"/>
    <n v="8783"/>
    <n v="80"/>
    <s v="Regular Day"/>
    <x v="0"/>
  </r>
  <r>
    <d v="2017-11-20T00:00:00"/>
    <n v="14931"/>
    <x v="322"/>
    <x v="320"/>
    <n v="9094"/>
    <n v="79"/>
    <s v="Regular Day"/>
    <x v="0"/>
  </r>
  <r>
    <d v="2017-11-21T00:00:00"/>
    <n v="12791"/>
    <x v="323"/>
    <x v="321"/>
    <n v="7734"/>
    <n v="82"/>
    <s v="Regular Day"/>
    <x v="0"/>
  </r>
  <r>
    <d v="2017-11-22T00:00:00"/>
    <n v="12236"/>
    <x v="324"/>
    <x v="322"/>
    <n v="7301"/>
    <n v="79"/>
    <s v="Regular Day"/>
    <x v="0"/>
  </r>
  <r>
    <d v="2017-11-23T00:00:00"/>
    <n v="10864"/>
    <x v="325"/>
    <x v="323"/>
    <n v="6672"/>
    <n v="77"/>
    <s v="Regular Day"/>
    <x v="0"/>
  </r>
  <r>
    <d v="2017-11-24T00:00:00"/>
    <n v="23292"/>
    <x v="326"/>
    <x v="324"/>
    <n v="13981"/>
    <n v="87"/>
    <s v="Regular Day"/>
    <x v="0"/>
  </r>
  <r>
    <d v="2017-11-25T00:00:00"/>
    <n v="18064"/>
    <x v="327"/>
    <x v="325"/>
    <n v="11352"/>
    <n v="81"/>
    <s v="Regular Day"/>
    <x v="0"/>
  </r>
  <r>
    <d v="2017-11-26T00:00:00"/>
    <n v="18299"/>
    <x v="328"/>
    <x v="326"/>
    <n v="11526"/>
    <n v="80"/>
    <s v="Regular Day"/>
    <x v="0"/>
  </r>
  <r>
    <d v="2017-11-27T00:00:00"/>
    <n v="33554"/>
    <x v="329"/>
    <x v="327"/>
    <n v="21251"/>
    <n v="82"/>
    <s v="Regular Day"/>
    <x v="0"/>
  </r>
  <r>
    <d v="2017-11-28T00:00:00"/>
    <n v="651685"/>
    <x v="330"/>
    <x v="328"/>
    <n v="393993"/>
    <n v="103"/>
    <s v="Grammy Awards"/>
    <x v="0"/>
  </r>
  <r>
    <d v="2017-11-29T00:00:00"/>
    <n v="151892"/>
    <x v="331"/>
    <x v="329"/>
    <n v="77766"/>
    <n v="94"/>
    <s v="Regular Day"/>
    <x v="0"/>
  </r>
  <r>
    <d v="2017-11-30T00:00:00"/>
    <n v="69378"/>
    <x v="332"/>
    <x v="330"/>
    <n v="35152"/>
    <n v="95"/>
    <s v="Regular Day"/>
    <x v="0"/>
  </r>
  <r>
    <d v="2017-12-01T00:00:00"/>
    <n v="43886"/>
    <x v="333"/>
    <x v="331"/>
    <n v="23037"/>
    <n v="92"/>
    <s v="Regular Day"/>
    <x v="0"/>
  </r>
  <r>
    <d v="2017-12-02T00:00:00"/>
    <n v="33267"/>
    <x v="334"/>
    <x v="332"/>
    <n v="17419"/>
    <n v="94"/>
    <s v="Regular Day"/>
    <x v="0"/>
  </r>
  <r>
    <d v="2017-12-03T00:00:00"/>
    <n v="30193"/>
    <x v="335"/>
    <x v="333"/>
    <n v="15599"/>
    <n v="97"/>
    <s v="Regular Day"/>
    <x v="0"/>
  </r>
  <r>
    <d v="2017-12-04T00:00:00"/>
    <n v="32442"/>
    <x v="336"/>
    <x v="334"/>
    <n v="16284"/>
    <n v="95"/>
    <s v="Regular Day"/>
    <x v="0"/>
  </r>
  <r>
    <d v="2017-12-05T00:00:00"/>
    <n v="28658"/>
    <x v="337"/>
    <x v="335"/>
    <n v="14484"/>
    <n v="104"/>
    <s v="Regular Day"/>
    <x v="0"/>
  </r>
  <r>
    <d v="2017-12-06T00:00:00"/>
    <n v="23004"/>
    <x v="338"/>
    <x v="336"/>
    <n v="12312"/>
    <n v="99"/>
    <s v="Regular Day"/>
    <x v="0"/>
  </r>
  <r>
    <d v="2017-12-07T00:00:00"/>
    <n v="19854"/>
    <x v="339"/>
    <x v="337"/>
    <n v="10720"/>
    <n v="101"/>
    <s v="Regular Day"/>
    <x v="0"/>
  </r>
  <r>
    <d v="2017-12-08T00:00:00"/>
    <n v="18452"/>
    <x v="340"/>
    <x v="338"/>
    <n v="9977"/>
    <n v="94"/>
    <s v="Regular Day"/>
    <x v="0"/>
  </r>
  <r>
    <d v="2017-12-09T00:00:00"/>
    <n v="17505"/>
    <x v="341"/>
    <x v="339"/>
    <n v="9285"/>
    <n v="91"/>
    <s v="Regular Day"/>
    <x v="0"/>
  </r>
  <r>
    <d v="2017-12-10T00:00:00"/>
    <n v="17192"/>
    <x v="342"/>
    <x v="340"/>
    <n v="9170"/>
    <n v="95"/>
    <s v="Regular Day"/>
    <x v="0"/>
  </r>
  <r>
    <d v="2017-12-11T00:00:00"/>
    <n v="20143"/>
    <x v="343"/>
    <x v="341"/>
    <n v="10650"/>
    <n v="90"/>
    <s v="Regular Day"/>
    <x v="0"/>
  </r>
  <r>
    <d v="2017-12-12T00:00:00"/>
    <n v="19649"/>
    <x v="344"/>
    <x v="342"/>
    <n v="10166"/>
    <n v="94"/>
    <s v="Regular Day"/>
    <x v="0"/>
  </r>
  <r>
    <d v="2017-12-13T00:00:00"/>
    <n v="20747"/>
    <x v="345"/>
    <x v="343"/>
    <n v="10599"/>
    <n v="104"/>
    <s v="Regular Day"/>
    <x v="0"/>
  </r>
  <r>
    <d v="2017-12-14T00:00:00"/>
    <n v="17891"/>
    <x v="346"/>
    <x v="344"/>
    <n v="9475"/>
    <n v="90"/>
    <s v="Regular Day"/>
    <x v="0"/>
  </r>
  <r>
    <d v="2017-12-15T00:00:00"/>
    <n v="18934"/>
    <x v="347"/>
    <x v="345"/>
    <n v="9981"/>
    <n v="87"/>
    <s v="Regular Day"/>
    <x v="0"/>
  </r>
  <r>
    <d v="2017-12-16T00:00:00"/>
    <n v="17759"/>
    <x v="348"/>
    <x v="346"/>
    <n v="9675"/>
    <n v="86"/>
    <s v="Regular Day"/>
    <x v="0"/>
  </r>
  <r>
    <d v="2017-12-17T00:00:00"/>
    <n v="19076"/>
    <x v="349"/>
    <x v="347"/>
    <n v="11657"/>
    <n v="77"/>
    <s v="Regular Day"/>
    <x v="0"/>
  </r>
  <r>
    <d v="2017-12-18T00:00:00"/>
    <n v="15658"/>
    <x v="350"/>
    <x v="348"/>
    <n v="8719"/>
    <n v="91"/>
    <s v="Regular Day"/>
    <x v="0"/>
  </r>
  <r>
    <d v="2017-12-19T00:00:00"/>
    <n v="16432"/>
    <x v="351"/>
    <x v="349"/>
    <n v="7464"/>
    <n v="102"/>
    <s v="Regular Day"/>
    <x v="0"/>
  </r>
  <r>
    <d v="2017-12-20T00:00:00"/>
    <n v="14018"/>
    <x v="352"/>
    <x v="350"/>
    <n v="6441"/>
    <n v="109"/>
    <s v="Regular Day"/>
    <x v="0"/>
  </r>
  <r>
    <d v="2017-12-21T00:00:00"/>
    <n v="14476"/>
    <x v="353"/>
    <x v="351"/>
    <n v="6467"/>
    <n v="112"/>
    <s v="Regular Day"/>
    <x v="0"/>
  </r>
  <r>
    <d v="2017-12-22T00:00:00"/>
    <n v="12812"/>
    <x v="354"/>
    <x v="352"/>
    <n v="5897"/>
    <n v="101"/>
    <s v="Regular Day"/>
    <x v="0"/>
  </r>
  <r>
    <d v="2017-12-23T00:00:00"/>
    <n v="13783"/>
    <x v="355"/>
    <x v="353"/>
    <n v="5794"/>
    <n v="98"/>
    <s v="Regular Day"/>
    <x v="0"/>
  </r>
  <r>
    <d v="2017-12-24T00:00:00"/>
    <n v="13571"/>
    <x v="356"/>
    <x v="354"/>
    <n v="5964"/>
    <n v="92"/>
    <s v="Regular Day"/>
    <x v="0"/>
  </r>
  <r>
    <d v="2017-12-25T00:00:00"/>
    <n v="10744"/>
    <x v="357"/>
    <x v="355"/>
    <n v="5055"/>
    <n v="97"/>
    <s v="Regular Day"/>
    <x v="0"/>
  </r>
  <r>
    <d v="2017-12-26T00:00:00"/>
    <n v="13080"/>
    <x v="358"/>
    <x v="356"/>
    <n v="6014"/>
    <n v="106"/>
    <s v="Regular Day"/>
    <x v="0"/>
  </r>
  <r>
    <d v="2017-12-27T00:00:00"/>
    <n v="17118"/>
    <x v="359"/>
    <x v="357"/>
    <n v="6566"/>
    <n v="105"/>
    <s v="Regular Day"/>
    <x v="0"/>
  </r>
  <r>
    <d v="2017-12-28T00:00:00"/>
    <n v="19826"/>
    <x v="360"/>
    <x v="358"/>
    <n v="7609"/>
    <n v="110"/>
    <s v="Regular Day"/>
    <x v="0"/>
  </r>
  <r>
    <d v="2017-12-29T00:00:00"/>
    <n v="15955"/>
    <x v="361"/>
    <x v="359"/>
    <n v="6741"/>
    <n v="106"/>
    <s v="Regular Day"/>
    <x v="0"/>
  </r>
  <r>
    <d v="2017-12-30T00:00:00"/>
    <n v="18568"/>
    <x v="362"/>
    <x v="360"/>
    <n v="7026"/>
    <n v="102"/>
    <s v="Regular Day"/>
    <x v="0"/>
  </r>
  <r>
    <d v="2017-12-31T00:00:00"/>
    <n v="45897"/>
    <x v="363"/>
    <x v="361"/>
    <n v="14322"/>
    <n v="69"/>
    <s v="Regular Day"/>
    <x v="0"/>
  </r>
  <r>
    <d v="2018-01-01T00:00:00"/>
    <n v="17539"/>
    <x v="364"/>
    <x v="362"/>
    <n v="7430"/>
    <n v="100"/>
    <s v="Regular Day"/>
    <x v="0"/>
  </r>
  <r>
    <d v="2018-01-02T00:00:00"/>
    <n v="19345"/>
    <x v="365"/>
    <x v="363"/>
    <n v="8452"/>
    <n v="106"/>
    <s v="Regular Day"/>
    <x v="0"/>
  </r>
  <r>
    <d v="2018-01-03T00:00:00"/>
    <n v="17934"/>
    <x v="366"/>
    <x v="364"/>
    <n v="7278"/>
    <n v="117"/>
    <s v="Regular Day"/>
    <x v="0"/>
  </r>
  <r>
    <d v="2018-01-04T00:00:00"/>
    <n v="25557"/>
    <x v="367"/>
    <x v="365"/>
    <n v="10090"/>
    <n v="109"/>
    <s v="Regular Day"/>
    <x v="0"/>
  </r>
  <r>
    <d v="2018-01-05T00:00:00"/>
    <n v="22959"/>
    <x v="368"/>
    <x v="366"/>
    <n v="9548"/>
    <n v="112"/>
    <s v="Regular Day"/>
    <x v="0"/>
  </r>
  <r>
    <d v="2018-01-06T00:00:00"/>
    <n v="19641"/>
    <x v="369"/>
    <x v="367"/>
    <n v="8634"/>
    <n v="106"/>
    <s v="Regular Day"/>
    <x v="0"/>
  </r>
  <r>
    <d v="2018-01-07T00:00:00"/>
    <n v="30527"/>
    <x v="370"/>
    <x v="368"/>
    <n v="12127"/>
    <n v="106"/>
    <s v="Regular Day"/>
    <x v="0"/>
  </r>
  <r>
    <d v="2018-01-08T00:00:00"/>
    <n v="28132"/>
    <x v="371"/>
    <x v="369"/>
    <n v="11359"/>
    <n v="113"/>
    <s v="Regular Day"/>
    <x v="0"/>
  </r>
  <r>
    <d v="2018-01-09T00:00:00"/>
    <n v="24612"/>
    <x v="372"/>
    <x v="370"/>
    <n v="10204"/>
    <n v="115"/>
    <s v="Regular Day"/>
    <x v="0"/>
  </r>
  <r>
    <d v="2018-01-10T00:00:00"/>
    <n v="29739"/>
    <x v="373"/>
    <x v="371"/>
    <n v="12479"/>
    <n v="113"/>
    <s v="Regular Day"/>
    <x v="0"/>
  </r>
  <r>
    <d v="2018-01-11T00:00:00"/>
    <n v="30146"/>
    <x v="374"/>
    <x v="372"/>
    <n v="12681"/>
    <n v="108"/>
    <s v="Regular Day"/>
    <x v="0"/>
  </r>
  <r>
    <d v="2018-01-12T00:00:00"/>
    <n v="23929"/>
    <x v="375"/>
    <x v="373"/>
    <n v="10561"/>
    <n v="112"/>
    <s v="Regular Day"/>
    <x v="0"/>
  </r>
  <r>
    <d v="2018-01-13T00:00:00"/>
    <n v="22836"/>
    <x v="376"/>
    <x v="374"/>
    <n v="9559"/>
    <n v="107"/>
    <s v="Regular Day"/>
    <x v="0"/>
  </r>
  <r>
    <d v="2018-01-14T00:00:00"/>
    <n v="25011"/>
    <x v="377"/>
    <x v="375"/>
    <n v="10776"/>
    <n v="106"/>
    <s v="Regular Day"/>
    <x v="0"/>
  </r>
  <r>
    <d v="2018-01-15T00:00:00"/>
    <n v="23562"/>
    <x v="378"/>
    <x v="376"/>
    <n v="9924"/>
    <n v="114"/>
    <s v="Regular Day"/>
    <x v="0"/>
  </r>
  <r>
    <d v="2018-01-16T00:00:00"/>
    <n v="27240"/>
    <x v="379"/>
    <x v="377"/>
    <n v="11394"/>
    <n v="113"/>
    <s v="Regular Day"/>
    <x v="0"/>
  </r>
  <r>
    <d v="2018-01-17T00:00:00"/>
    <n v="34318"/>
    <x v="380"/>
    <x v="378"/>
    <n v="13783"/>
    <n v="118"/>
    <s v="Regular Day"/>
    <x v="0"/>
  </r>
  <r>
    <d v="2018-01-18T00:00:00"/>
    <n v="28746"/>
    <x v="381"/>
    <x v="379"/>
    <n v="12396"/>
    <n v="114"/>
    <s v="Regular Day"/>
    <x v="0"/>
  </r>
  <r>
    <d v="2018-01-19T00:00:00"/>
    <n v="27819"/>
    <x v="382"/>
    <x v="380"/>
    <n v="11790"/>
    <n v="112"/>
    <s v="Regular Day"/>
    <x v="0"/>
  </r>
  <r>
    <d v="2018-01-20T00:00:00"/>
    <n v="27820"/>
    <x v="383"/>
    <x v="381"/>
    <n v="12003"/>
    <n v="106"/>
    <s v="Regular Day"/>
    <x v="0"/>
  </r>
  <r>
    <d v="2018-01-21T00:00:00"/>
    <n v="43352"/>
    <x v="384"/>
    <x v="382"/>
    <n v="18464"/>
    <n v="108"/>
    <s v="Regular Day"/>
    <x v="0"/>
  </r>
  <r>
    <d v="2018-01-22T00:00:00"/>
    <n v="49380"/>
    <x v="385"/>
    <x v="383"/>
    <n v="22621"/>
    <n v="108"/>
    <s v="Regular Day"/>
    <x v="0"/>
  </r>
  <r>
    <d v="2018-01-23T00:00:00"/>
    <n v="68206"/>
    <x v="386"/>
    <x v="384"/>
    <n v="29906"/>
    <n v="108"/>
    <s v="Regular Day"/>
    <x v="0"/>
  </r>
  <r>
    <d v="2018-01-24T00:00:00"/>
    <n v="68203"/>
    <x v="387"/>
    <x v="385"/>
    <n v="36563"/>
    <n v="98"/>
    <s v="Regular Day"/>
    <x v="0"/>
  </r>
  <r>
    <d v="2018-01-25T00:00:00"/>
    <n v="108074"/>
    <x v="388"/>
    <x v="386"/>
    <n v="59589"/>
    <n v="91"/>
    <s v="Regular Day"/>
    <x v="0"/>
  </r>
  <r>
    <d v="2018-01-26T00:00:00"/>
    <n v="148597"/>
    <x v="389"/>
    <x v="387"/>
    <n v="83520"/>
    <n v="90"/>
    <s v="Regular Day"/>
    <x v="0"/>
  </r>
  <r>
    <d v="2018-01-27T00:00:00"/>
    <n v="218441"/>
    <x v="390"/>
    <x v="388"/>
    <n v="115879"/>
    <n v="93"/>
    <s v="Grammy Awards"/>
    <x v="0"/>
  </r>
  <r>
    <d v="2018-01-28T00:00:00"/>
    <n v="1609729"/>
    <x v="391"/>
    <x v="389"/>
    <n v="612022"/>
    <n v="221"/>
    <s v="Regular Day"/>
    <x v="0"/>
  </r>
  <r>
    <d v="2018-01-29T00:00:00"/>
    <n v="727530"/>
    <x v="392"/>
    <x v="390"/>
    <n v="314663"/>
    <n v="152"/>
    <s v="Regular Day"/>
    <x v="0"/>
  </r>
  <r>
    <d v="2018-01-30T00:00:00"/>
    <n v="192235"/>
    <x v="393"/>
    <x v="391"/>
    <n v="88760"/>
    <n v="152"/>
    <s v="Regular Day"/>
    <x v="0"/>
  </r>
  <r>
    <d v="2018-01-31T00:00:00"/>
    <n v="97311"/>
    <x v="394"/>
    <x v="392"/>
    <n v="46090"/>
    <n v="150"/>
    <s v="Regular Day"/>
    <x v="0"/>
  </r>
  <r>
    <d v="2018-02-01T00:00:00"/>
    <n v="71273"/>
    <x v="395"/>
    <x v="393"/>
    <n v="35098"/>
    <n v="137"/>
    <s v="Regular Day"/>
    <x v="0"/>
  </r>
  <r>
    <d v="2018-02-02T00:00:00"/>
    <n v="57626"/>
    <x v="396"/>
    <x v="394"/>
    <n v="29541"/>
    <n v="129"/>
    <s v="Regular Day"/>
    <x v="0"/>
  </r>
  <r>
    <d v="2018-02-03T00:00:00"/>
    <n v="49644"/>
    <x v="397"/>
    <x v="395"/>
    <n v="25921"/>
    <n v="132"/>
    <s v="Regular Day"/>
    <x v="0"/>
  </r>
  <r>
    <d v="2018-02-04T00:00:00"/>
    <n v="42646"/>
    <x v="398"/>
    <x v="396"/>
    <n v="22683"/>
    <n v="123"/>
    <s v="Regular Day"/>
    <x v="0"/>
  </r>
  <r>
    <d v="2018-02-05T00:00:00"/>
    <n v="33561"/>
    <x v="399"/>
    <x v="397"/>
    <n v="18074"/>
    <n v="127"/>
    <s v="Regular Day"/>
    <x v="0"/>
  </r>
  <r>
    <d v="2018-02-06T00:00:00"/>
    <n v="29671"/>
    <x v="400"/>
    <x v="398"/>
    <n v="16112"/>
    <n v="128"/>
    <s v="Regular Day"/>
    <x v="0"/>
  </r>
  <r>
    <d v="2018-02-07T00:00:00"/>
    <n v="26192"/>
    <x v="401"/>
    <x v="399"/>
    <n v="14456"/>
    <n v="127"/>
    <s v="Regular Day"/>
    <x v="0"/>
  </r>
  <r>
    <d v="2018-02-08T00:00:00"/>
    <n v="24574"/>
    <x v="402"/>
    <x v="400"/>
    <n v="13446"/>
    <n v="120"/>
    <s v="Regular Day"/>
    <x v="0"/>
  </r>
  <r>
    <d v="2018-02-09T00:00:00"/>
    <n v="22637"/>
    <x v="403"/>
    <x v="401"/>
    <n v="12569"/>
    <n v="114"/>
    <s v="Regular Day"/>
    <x v="0"/>
  </r>
  <r>
    <d v="2018-02-10T00:00:00"/>
    <n v="20196"/>
    <x v="404"/>
    <x v="402"/>
    <n v="11554"/>
    <n v="113"/>
    <s v="Regular Day"/>
    <x v="0"/>
  </r>
  <r>
    <d v="2018-02-11T00:00:00"/>
    <n v="20338"/>
    <x v="405"/>
    <x v="403"/>
    <n v="11446"/>
    <n v="110"/>
    <s v="Regular Day"/>
    <x v="0"/>
  </r>
  <r>
    <d v="2018-02-12T00:00:00"/>
    <n v="18409"/>
    <x v="406"/>
    <x v="404"/>
    <n v="10999"/>
    <n v="103"/>
    <s v="Regular Day"/>
    <x v="0"/>
  </r>
  <r>
    <d v="2018-02-13T00:00:00"/>
    <n v="19598"/>
    <x v="407"/>
    <x v="405"/>
    <n v="11577"/>
    <n v="99"/>
    <s v="Regular Day"/>
    <x v="0"/>
  </r>
  <r>
    <d v="2018-02-14T00:00:00"/>
    <n v="18250"/>
    <x v="408"/>
    <x v="406"/>
    <n v="11104"/>
    <n v="87"/>
    <s v="Regular Day"/>
    <x v="0"/>
  </r>
  <r>
    <d v="2018-02-15T00:00:00"/>
    <n v="16454"/>
    <x v="409"/>
    <x v="407"/>
    <n v="10062"/>
    <n v="89"/>
    <s v="Regular Day"/>
    <x v="0"/>
  </r>
  <r>
    <d v="2018-02-16T00:00:00"/>
    <n v="15437"/>
    <x v="410"/>
    <x v="408"/>
    <n v="9639"/>
    <n v="85"/>
    <s v="Regular Day"/>
    <x v="0"/>
  </r>
  <r>
    <d v="2018-02-17T00:00:00"/>
    <n v="14342"/>
    <x v="411"/>
    <x v="409"/>
    <n v="8925"/>
    <n v="81"/>
    <s v="Regular Day"/>
    <x v="0"/>
  </r>
  <r>
    <d v="2018-02-18T00:00:00"/>
    <n v="13962"/>
    <x v="412"/>
    <x v="410"/>
    <n v="8923"/>
    <n v="81"/>
    <s v="Regular Day"/>
    <x v="0"/>
  </r>
  <r>
    <d v="2018-02-19T00:00:00"/>
    <n v="14807"/>
    <x v="413"/>
    <x v="411"/>
    <n v="9831"/>
    <n v="78"/>
    <s v="Regular Day"/>
    <x v="0"/>
  </r>
  <r>
    <d v="2018-02-20T00:00:00"/>
    <n v="14557"/>
    <x v="414"/>
    <x v="412"/>
    <n v="9098"/>
    <n v="81"/>
    <s v="Regular Day"/>
    <x v="0"/>
  </r>
  <r>
    <d v="2018-02-21T00:00:00"/>
    <n v="15137"/>
    <x v="415"/>
    <x v="413"/>
    <n v="9478"/>
    <n v="89"/>
    <s v="Regular Day"/>
    <x v="0"/>
  </r>
  <r>
    <d v="2018-02-22T00:00:00"/>
    <n v="18111"/>
    <x v="416"/>
    <x v="414"/>
    <n v="10700"/>
    <n v="86"/>
    <s v="Regular Day"/>
    <x v="0"/>
  </r>
  <r>
    <d v="2018-02-23T00:00:00"/>
    <n v="14628"/>
    <x v="417"/>
    <x v="415"/>
    <n v="9082"/>
    <n v="86"/>
    <s v="Regular Day"/>
    <x v="0"/>
  </r>
  <r>
    <d v="2018-02-24T00:00:00"/>
    <n v="14230"/>
    <x v="418"/>
    <x v="416"/>
    <n v="8576"/>
    <n v="80"/>
    <s v="Regular Day"/>
    <x v="0"/>
  </r>
  <r>
    <d v="2018-02-25T00:00:00"/>
    <n v="15115"/>
    <x v="419"/>
    <x v="417"/>
    <n v="9499"/>
    <n v="77"/>
    <s v="Regular Day"/>
    <x v="0"/>
  </r>
  <r>
    <d v="2018-02-26T00:00:00"/>
    <n v="15376"/>
    <x v="420"/>
    <x v="418"/>
    <n v="9722"/>
    <n v="82"/>
    <s v="Regular Day"/>
    <x v="0"/>
  </r>
  <r>
    <d v="2018-02-27T00:00:00"/>
    <n v="14965"/>
    <x v="421"/>
    <x v="419"/>
    <n v="9437"/>
    <n v="83"/>
    <s v="Regular Day"/>
    <x v="0"/>
  </r>
  <r>
    <d v="2018-02-28T00:00:00"/>
    <n v="14252"/>
    <x v="422"/>
    <x v="420"/>
    <n v="8885"/>
    <n v="86"/>
    <s v="Regular Day"/>
    <x v="0"/>
  </r>
  <r>
    <d v="2018-03-01T00:00:00"/>
    <n v="14424"/>
    <x v="423"/>
    <x v="421"/>
    <n v="9077"/>
    <n v="83"/>
    <s v="Regular Day"/>
    <x v="0"/>
  </r>
  <r>
    <d v="2018-03-02T00:00:00"/>
    <n v="14341"/>
    <x v="424"/>
    <x v="409"/>
    <n v="9062"/>
    <n v="77"/>
    <s v="Regular Day"/>
    <x v="0"/>
  </r>
  <r>
    <d v="2018-03-03T00:00:00"/>
    <n v="13462"/>
    <x v="425"/>
    <x v="422"/>
    <n v="8485"/>
    <n v="74"/>
    <s v="Regular Day"/>
    <x v="0"/>
  </r>
  <r>
    <d v="2018-03-04T00:00:00"/>
    <n v="20413"/>
    <x v="426"/>
    <x v="423"/>
    <n v="13342"/>
    <n v="70"/>
    <s v="Regular Day"/>
    <x v="0"/>
  </r>
  <r>
    <d v="2018-03-05T00:00:00"/>
    <n v="17573"/>
    <x v="427"/>
    <x v="424"/>
    <n v="11439"/>
    <n v="75"/>
    <s v="Regular Day"/>
    <x v="0"/>
  </r>
  <r>
    <d v="2018-03-06T00:00:00"/>
    <n v="15571"/>
    <x v="428"/>
    <x v="425"/>
    <n v="9701"/>
    <n v="78"/>
    <s v="Regular Day"/>
    <x v="0"/>
  </r>
  <r>
    <d v="2018-03-07T00:00:00"/>
    <n v="13895"/>
    <x v="429"/>
    <x v="426"/>
    <n v="8974"/>
    <n v="78"/>
    <s v="Regular Day"/>
    <x v="0"/>
  </r>
  <r>
    <d v="2018-03-08T00:00:00"/>
    <n v="18045"/>
    <x v="430"/>
    <x v="427"/>
    <n v="7047"/>
    <n v="83"/>
    <s v="Regular Day"/>
    <x v="0"/>
  </r>
  <r>
    <d v="2018-03-09T00:00:00"/>
    <n v="16433"/>
    <x v="431"/>
    <x v="428"/>
    <n v="7181"/>
    <n v="78"/>
    <s v="Regular Day"/>
    <x v="0"/>
  </r>
  <r>
    <d v="2018-03-10T00:00:00"/>
    <n v="13153"/>
    <x v="432"/>
    <x v="429"/>
    <n v="8523"/>
    <n v="76"/>
    <s v="Regular Day"/>
    <x v="0"/>
  </r>
  <r>
    <d v="2018-03-11T00:00:00"/>
    <n v="13166"/>
    <x v="433"/>
    <x v="430"/>
    <n v="8420"/>
    <n v="77"/>
    <s v="Regular Day"/>
    <x v="0"/>
  </r>
  <r>
    <d v="2018-03-12T00:00:00"/>
    <n v="14960"/>
    <x v="434"/>
    <x v="431"/>
    <n v="9629"/>
    <n v="76"/>
    <s v="Regular Day"/>
    <x v="0"/>
  </r>
  <r>
    <d v="2018-03-13T00:00:00"/>
    <n v="12650"/>
    <x v="435"/>
    <x v="432"/>
    <n v="7803"/>
    <n v="81"/>
    <s v="Regular Day"/>
    <x v="0"/>
  </r>
  <r>
    <d v="2018-03-14T00:00:00"/>
    <n v="12623"/>
    <x v="436"/>
    <x v="433"/>
    <n v="7617"/>
    <n v="80"/>
    <s v="Regular Day"/>
    <x v="0"/>
  </r>
  <r>
    <d v="2018-03-15T00:00:00"/>
    <n v="11401"/>
    <x v="437"/>
    <x v="434"/>
    <n v="6980"/>
    <n v="77"/>
    <s v="Regular Day"/>
    <x v="0"/>
  </r>
  <r>
    <d v="2018-03-16T00:00:00"/>
    <n v="11065"/>
    <x v="438"/>
    <x v="435"/>
    <n v="6749"/>
    <n v="72"/>
    <s v="Regular Day"/>
    <x v="0"/>
  </r>
  <r>
    <d v="2018-03-17T00:00:00"/>
    <n v="10333"/>
    <x v="439"/>
    <x v="436"/>
    <n v="6251"/>
    <n v="77"/>
    <s v="Regular Day"/>
    <x v="0"/>
  </r>
  <r>
    <d v="2018-03-18T00:00:00"/>
    <n v="12536"/>
    <x v="440"/>
    <x v="437"/>
    <n v="7997"/>
    <n v="70"/>
    <s v="Regular Day"/>
    <x v="0"/>
  </r>
  <r>
    <d v="2018-03-19T00:00:00"/>
    <n v="12171"/>
    <x v="441"/>
    <x v="438"/>
    <n v="7467"/>
    <n v="76"/>
    <s v="Regular Day"/>
    <x v="0"/>
  </r>
  <r>
    <d v="2018-03-20T00:00:00"/>
    <n v="11870"/>
    <x v="442"/>
    <x v="439"/>
    <n v="7267"/>
    <n v="86"/>
    <s v="Regular Day"/>
    <x v="0"/>
  </r>
  <r>
    <d v="2018-03-21T00:00:00"/>
    <n v="11377"/>
    <x v="443"/>
    <x v="440"/>
    <n v="6892"/>
    <n v="79"/>
    <s v="Regular Day"/>
    <x v="0"/>
  </r>
  <r>
    <d v="2018-03-22T00:00:00"/>
    <n v="11892"/>
    <x v="444"/>
    <x v="2"/>
    <n v="7116"/>
    <n v="84"/>
    <s v="Regular Day"/>
    <x v="0"/>
  </r>
  <r>
    <d v="2018-03-23T00:00:00"/>
    <n v="10390"/>
    <x v="445"/>
    <x v="441"/>
    <n v="6398"/>
    <n v="79"/>
    <s v="Regular Day"/>
    <x v="0"/>
  </r>
  <r>
    <d v="2018-03-24T00:00:00"/>
    <n v="13761"/>
    <x v="446"/>
    <x v="442"/>
    <n v="7061"/>
    <n v="67"/>
    <s v="Regular Day"/>
    <x v="0"/>
  </r>
  <r>
    <d v="2018-03-25T00:00:00"/>
    <n v="11217"/>
    <x v="447"/>
    <x v="443"/>
    <n v="6609"/>
    <n v="76"/>
    <s v="Regular Day"/>
    <x v="0"/>
  </r>
  <r>
    <d v="2018-03-26T00:00:00"/>
    <n v="11018"/>
    <x v="448"/>
    <x v="444"/>
    <n v="6655"/>
    <n v="84"/>
    <s v="Regular Day"/>
    <x v="0"/>
  </r>
  <r>
    <d v="2018-03-27T00:00:00"/>
    <n v="11937"/>
    <x v="449"/>
    <x v="445"/>
    <n v="7199"/>
    <n v="74"/>
    <s v="Regular Day"/>
    <x v="0"/>
  </r>
  <r>
    <d v="2018-03-28T00:00:00"/>
    <n v="11564"/>
    <x v="450"/>
    <x v="446"/>
    <n v="6787"/>
    <n v="72"/>
    <s v="Regular Day"/>
    <x v="0"/>
  </r>
  <r>
    <d v="2018-03-29T00:00:00"/>
    <n v="10577"/>
    <x v="451"/>
    <x v="447"/>
    <n v="6504"/>
    <n v="78"/>
    <s v="Regular Day"/>
    <x v="0"/>
  </r>
  <r>
    <d v="2018-03-30T00:00:00"/>
    <n v="14669"/>
    <x v="452"/>
    <x v="448"/>
    <n v="7558"/>
    <n v="74"/>
    <s v="Regular Day"/>
    <x v="0"/>
  </r>
  <r>
    <d v="2018-03-31T00:00:00"/>
    <n v="12940"/>
    <x v="453"/>
    <x v="449"/>
    <n v="7426"/>
    <n v="68"/>
    <s v="Regular Day"/>
    <x v="0"/>
  </r>
  <r>
    <d v="2018-04-01T00:00:00"/>
    <n v="10324"/>
    <x v="454"/>
    <x v="450"/>
    <n v="6237"/>
    <n v="75"/>
    <s v="Regular Day"/>
    <x v="0"/>
  </r>
  <r>
    <d v="2018-04-02T00:00:00"/>
    <n v="10708"/>
    <x v="455"/>
    <x v="451"/>
    <n v="6693"/>
    <n v="78"/>
    <s v="Regular Day"/>
    <x v="0"/>
  </r>
  <r>
    <d v="2018-04-03T00:00:00"/>
    <n v="11391"/>
    <x v="456"/>
    <x v="452"/>
    <n v="6826"/>
    <n v="71"/>
    <s v="Regular Day"/>
    <x v="0"/>
  </r>
  <r>
    <d v="2018-04-04T00:00:00"/>
    <n v="10868"/>
    <x v="457"/>
    <x v="453"/>
    <n v="6699"/>
    <n v="74"/>
    <s v="Regular Day"/>
    <x v="0"/>
  </r>
  <r>
    <d v="2018-04-05T00:00:00"/>
    <n v="12621"/>
    <x v="458"/>
    <x v="454"/>
    <n v="8113"/>
    <n v="69"/>
    <s v="Regular Day"/>
    <x v="0"/>
  </r>
  <r>
    <d v="2018-04-06T00:00:00"/>
    <n v="14754"/>
    <x v="459"/>
    <x v="455"/>
    <n v="7691"/>
    <n v="71"/>
    <s v="Regular Day"/>
    <x v="0"/>
  </r>
  <r>
    <d v="2018-04-07T00:00:00"/>
    <n v="13945"/>
    <x v="460"/>
    <x v="456"/>
    <n v="7569"/>
    <n v="70"/>
    <s v="Regular Day"/>
    <x v="0"/>
  </r>
  <r>
    <d v="2018-04-08T00:00:00"/>
    <n v="12451"/>
    <x v="461"/>
    <x v="457"/>
    <n v="7350"/>
    <n v="71"/>
    <s v="Regular Day"/>
    <x v="0"/>
  </r>
  <r>
    <d v="2018-04-09T00:00:00"/>
    <n v="13034"/>
    <x v="462"/>
    <x v="458"/>
    <n v="7722"/>
    <n v="74"/>
    <s v="Regular Day"/>
    <x v="0"/>
  </r>
  <r>
    <d v="2018-04-10T00:00:00"/>
    <n v="24432"/>
    <x v="463"/>
    <x v="459"/>
    <n v="13406"/>
    <n v="81"/>
    <s v="Regular Day"/>
    <x v="0"/>
  </r>
  <r>
    <d v="2018-04-11T00:00:00"/>
    <n v="22569"/>
    <x v="464"/>
    <x v="460"/>
    <n v="11262"/>
    <n v="80"/>
    <s v="Regular Day"/>
    <x v="0"/>
  </r>
  <r>
    <d v="2018-04-12T00:00:00"/>
    <n v="16688"/>
    <x v="465"/>
    <x v="461"/>
    <n v="9768"/>
    <n v="75"/>
    <s v="Regular Day"/>
    <x v="0"/>
  </r>
  <r>
    <d v="2018-04-13T00:00:00"/>
    <n v="13873"/>
    <x v="466"/>
    <x v="462"/>
    <n v="7986"/>
    <n v="75"/>
    <s v="Regular Day"/>
    <x v="0"/>
  </r>
  <r>
    <d v="2018-04-14T00:00:00"/>
    <n v="13482"/>
    <x v="467"/>
    <x v="463"/>
    <n v="7957"/>
    <n v="65"/>
    <s v="Regular Day"/>
    <x v="0"/>
  </r>
  <r>
    <d v="2018-04-15T00:00:00"/>
    <n v="16003"/>
    <x v="468"/>
    <x v="464"/>
    <n v="9557"/>
    <n v="67"/>
    <s v="Regular Day"/>
    <x v="0"/>
  </r>
  <r>
    <d v="2018-04-16T00:00:00"/>
    <n v="15870"/>
    <x v="469"/>
    <x v="465"/>
    <n v="9604"/>
    <n v="71"/>
    <s v="Regular Day"/>
    <x v="0"/>
  </r>
  <r>
    <d v="2018-04-17T00:00:00"/>
    <n v="15965"/>
    <x v="470"/>
    <x v="466"/>
    <n v="9116"/>
    <n v="72"/>
    <s v="Regular Day"/>
    <x v="0"/>
  </r>
  <r>
    <d v="2018-04-18T00:00:00"/>
    <n v="29388"/>
    <x v="471"/>
    <x v="467"/>
    <n v="14956"/>
    <n v="97"/>
    <s v="Regular Day"/>
    <x v="0"/>
  </r>
  <r>
    <d v="2018-04-19T00:00:00"/>
    <n v="19914"/>
    <x v="472"/>
    <x v="468"/>
    <n v="12028"/>
    <n v="69"/>
    <s v="Regular Day"/>
    <x v="0"/>
  </r>
  <r>
    <d v="2018-04-20T00:00:00"/>
    <n v="19957"/>
    <x v="473"/>
    <x v="469"/>
    <n v="11067"/>
    <n v="61"/>
    <s v="Regular Day"/>
    <x v="0"/>
  </r>
  <r>
    <d v="2018-04-21T00:00:00"/>
    <n v="20366"/>
    <x v="474"/>
    <x v="470"/>
    <n v="10739"/>
    <n v="55"/>
    <s v="Regular Day"/>
    <x v="0"/>
  </r>
  <r>
    <d v="2018-04-22T00:00:00"/>
    <n v="17963"/>
    <x v="475"/>
    <x v="471"/>
    <n v="9778"/>
    <n v="58"/>
    <s v="Regular Day"/>
    <x v="0"/>
  </r>
  <r>
    <d v="2018-04-23T00:00:00"/>
    <n v="17698"/>
    <x v="476"/>
    <x v="472"/>
    <n v="9678"/>
    <n v="62"/>
    <s v="Regular Day"/>
    <x v="0"/>
  </r>
  <r>
    <d v="2018-04-24T00:00:00"/>
    <n v="16290"/>
    <x v="477"/>
    <x v="473"/>
    <n v="9129"/>
    <n v="72"/>
    <s v="Regular Day"/>
    <x v="0"/>
  </r>
  <r>
    <d v="2018-04-25T00:00:00"/>
    <n v="15499"/>
    <x v="478"/>
    <x v="474"/>
    <n v="8673"/>
    <n v="70"/>
    <s v="Regular Day"/>
    <x v="0"/>
  </r>
  <r>
    <d v="2018-04-26T00:00:00"/>
    <n v="16901"/>
    <x v="479"/>
    <x v="475"/>
    <n v="9258"/>
    <n v="70"/>
    <s v="Regular Day"/>
    <x v="0"/>
  </r>
  <r>
    <d v="2018-04-27T00:00:00"/>
    <n v="15228"/>
    <x v="480"/>
    <x v="476"/>
    <n v="8497"/>
    <n v="66"/>
    <s v="Regular Day"/>
    <x v="0"/>
  </r>
  <r>
    <d v="2018-04-28T00:00:00"/>
    <n v="15602"/>
    <x v="481"/>
    <x v="477"/>
    <n v="8740"/>
    <n v="61"/>
    <s v="Regular Day"/>
    <x v="0"/>
  </r>
  <r>
    <d v="2018-04-29T00:00:00"/>
    <n v="15171"/>
    <x v="482"/>
    <x v="478"/>
    <n v="7607"/>
    <n v="61"/>
    <s v="Regular Day"/>
    <x v="0"/>
  </r>
  <r>
    <d v="2018-04-30T00:00:00"/>
    <n v="19538"/>
    <x v="483"/>
    <x v="479"/>
    <n v="9680"/>
    <n v="67"/>
    <s v="Regular Day"/>
    <x v="0"/>
  </r>
  <r>
    <d v="2018-05-01T00:00:00"/>
    <n v="14258"/>
    <x v="484"/>
    <x v="480"/>
    <n v="8015"/>
    <n v="71"/>
    <s v="Regular Day"/>
    <x v="0"/>
  </r>
  <r>
    <d v="2018-05-02T00:00:00"/>
    <n v="14338"/>
    <x v="485"/>
    <x v="481"/>
    <n v="7805"/>
    <n v="79"/>
    <s v="Regular Day"/>
    <x v="0"/>
  </r>
  <r>
    <d v="2018-05-03T00:00:00"/>
    <n v="14110"/>
    <x v="486"/>
    <x v="482"/>
    <n v="7537"/>
    <n v="71"/>
    <s v="Regular Day"/>
    <x v="0"/>
  </r>
  <r>
    <d v="2018-05-04T00:00:00"/>
    <n v="11855"/>
    <x v="487"/>
    <x v="483"/>
    <n v="6997"/>
    <n v="72"/>
    <s v="Regular Day"/>
    <x v="0"/>
  </r>
  <r>
    <d v="2018-05-05T00:00:00"/>
    <n v="9660"/>
    <x v="488"/>
    <x v="484"/>
    <n v="5731"/>
    <n v="69"/>
    <s v="Regular Day"/>
    <x v="0"/>
  </r>
  <r>
    <d v="2018-05-06T00:00:00"/>
    <n v="9865"/>
    <x v="489"/>
    <x v="485"/>
    <n v="5890"/>
    <n v="78"/>
    <s v="Regular Day"/>
    <x v="0"/>
  </r>
  <r>
    <d v="2018-05-07T00:00:00"/>
    <n v="15197"/>
    <x v="490"/>
    <x v="486"/>
    <n v="7878"/>
    <n v="79"/>
    <s v="Regular Day"/>
    <x v="0"/>
  </r>
  <r>
    <d v="2018-05-08T00:00:00"/>
    <n v="13533"/>
    <x v="491"/>
    <x v="487"/>
    <n v="7977"/>
    <n v="79"/>
    <s v="Regular Day"/>
    <x v="0"/>
  </r>
  <r>
    <d v="2018-05-09T00:00:00"/>
    <n v="15412"/>
    <x v="492"/>
    <x v="488"/>
    <n v="7661"/>
    <n v="74"/>
    <s v="Regular Day"/>
    <x v="0"/>
  </r>
  <r>
    <d v="2018-05-10T00:00:00"/>
    <n v="16306"/>
    <x v="493"/>
    <x v="489"/>
    <n v="9593"/>
    <n v="66"/>
    <s v="Regular Day"/>
    <x v="0"/>
  </r>
  <r>
    <d v="2018-05-11T00:00:00"/>
    <n v="38857"/>
    <x v="494"/>
    <x v="490"/>
    <n v="26001"/>
    <n v="54"/>
    <s v="Regular Day"/>
    <x v="0"/>
  </r>
  <r>
    <d v="2018-05-12T00:00:00"/>
    <n v="14032"/>
    <x v="495"/>
    <x v="491"/>
    <n v="8307"/>
    <n v="64"/>
    <s v="Regular Day"/>
    <x v="0"/>
  </r>
  <r>
    <d v="2018-05-13T00:00:00"/>
    <n v="11393"/>
    <x v="496"/>
    <x v="492"/>
    <n v="6706"/>
    <n v="75"/>
    <s v="Regular Day"/>
    <x v="0"/>
  </r>
  <r>
    <d v="2018-05-14T00:00:00"/>
    <n v="13385"/>
    <x v="497"/>
    <x v="493"/>
    <n v="7557"/>
    <n v="78"/>
    <s v="Regular Day"/>
    <x v="0"/>
  </r>
  <r>
    <d v="2018-05-15T00:00:00"/>
    <n v="19229"/>
    <x v="498"/>
    <x v="494"/>
    <n v="8200"/>
    <n v="411"/>
    <s v="Regular Day"/>
    <x v="0"/>
  </r>
  <r>
    <d v="2018-05-16T00:00:00"/>
    <n v="15021"/>
    <x v="499"/>
    <x v="495"/>
    <n v="7419"/>
    <n v="313"/>
    <s v="Regular Day"/>
    <x v="0"/>
  </r>
  <r>
    <d v="2018-05-17T00:00:00"/>
    <n v="14457"/>
    <x v="500"/>
    <x v="496"/>
    <n v="7537"/>
    <n v="291"/>
    <s v="Regular Day"/>
    <x v="0"/>
  </r>
  <r>
    <d v="2018-05-18T00:00:00"/>
    <n v="13300"/>
    <x v="501"/>
    <x v="497"/>
    <n v="7317"/>
    <n v="253"/>
    <s v="Regular Day"/>
    <x v="0"/>
  </r>
  <r>
    <d v="2018-05-19T00:00:00"/>
    <n v="13694"/>
    <x v="502"/>
    <x v="498"/>
    <n v="6956"/>
    <n v="223"/>
    <s v="Regular Day"/>
    <x v="0"/>
  </r>
  <r>
    <d v="2018-05-20T00:00:00"/>
    <n v="13506"/>
    <x v="503"/>
    <x v="499"/>
    <n v="7365"/>
    <n v="247"/>
    <s v="Regular Day"/>
    <x v="0"/>
  </r>
  <r>
    <d v="2018-05-21T00:00:00"/>
    <n v="13825"/>
    <x v="504"/>
    <x v="500"/>
    <n v="7881"/>
    <n v="268"/>
    <s v="Regular Day"/>
    <x v="0"/>
  </r>
  <r>
    <d v="2018-05-22T00:00:00"/>
    <n v="13659"/>
    <x v="505"/>
    <x v="501"/>
    <n v="7746"/>
    <n v="267"/>
    <s v="Regular Day"/>
    <x v="0"/>
  </r>
  <r>
    <d v="2018-05-23T00:00:00"/>
    <n v="12272"/>
    <x v="123"/>
    <x v="502"/>
    <n v="6756"/>
    <n v="259"/>
    <s v="Regular Day"/>
    <x v="0"/>
  </r>
  <r>
    <d v="2018-05-24T00:00:00"/>
    <n v="11203"/>
    <x v="506"/>
    <x v="503"/>
    <n v="6552"/>
    <n v="274"/>
    <s v="Regular Day"/>
    <x v="0"/>
  </r>
  <r>
    <d v="2018-05-25T00:00:00"/>
    <n v="10547"/>
    <x v="507"/>
    <x v="504"/>
    <n v="6155"/>
    <n v="278"/>
    <s v="Regular Day"/>
    <x v="0"/>
  </r>
  <r>
    <d v="2018-05-26T00:00:00"/>
    <n v="10256"/>
    <x v="508"/>
    <x v="505"/>
    <n v="5729"/>
    <n v="254"/>
    <s v="Regular Day"/>
    <x v="0"/>
  </r>
  <r>
    <d v="2018-05-27T00:00:00"/>
    <n v="11040"/>
    <x v="509"/>
    <x v="506"/>
    <n v="6230"/>
    <n v="256"/>
    <s v="Regular Day"/>
    <x v="0"/>
  </r>
  <r>
    <d v="2018-05-28T00:00:00"/>
    <n v="10719"/>
    <x v="510"/>
    <x v="507"/>
    <n v="6315"/>
    <n v="288"/>
    <s v="Regular Day"/>
    <x v="0"/>
  </r>
  <r>
    <d v="2018-05-29T00:00:00"/>
    <n v="11735"/>
    <x v="511"/>
    <x v="508"/>
    <n v="6783"/>
    <n v="297"/>
    <s v="Regular Day"/>
    <x v="0"/>
  </r>
  <r>
    <d v="2018-05-30T00:00:00"/>
    <n v="14774"/>
    <x v="512"/>
    <x v="509"/>
    <n v="7695"/>
    <n v="274"/>
    <s v="Regular Day"/>
    <x v="0"/>
  </r>
  <r>
    <d v="2018-05-31T00:00:00"/>
    <n v="13053"/>
    <x v="513"/>
    <x v="510"/>
    <n v="6417"/>
    <n v="242"/>
    <s v="Regular Day"/>
    <x v="0"/>
  </r>
  <r>
    <d v="2018-06-01T00:00:00"/>
    <n v="11825"/>
    <x v="514"/>
    <x v="511"/>
    <n v="6072"/>
    <n v="265"/>
    <s v="Regular Day"/>
    <x v="0"/>
  </r>
  <r>
    <d v="2018-06-02T00:00:00"/>
    <n v="9932"/>
    <x v="515"/>
    <x v="512"/>
    <n v="5747"/>
    <n v="213"/>
    <s v="Regular Day"/>
    <x v="0"/>
  </r>
  <r>
    <d v="2018-06-03T00:00:00"/>
    <n v="9586"/>
    <x v="516"/>
    <x v="513"/>
    <n v="5468"/>
    <n v="254"/>
    <s v="Regular Day"/>
    <x v="0"/>
  </r>
  <r>
    <d v="2018-06-04T00:00:00"/>
    <n v="10093"/>
    <x v="517"/>
    <x v="514"/>
    <n v="5846"/>
    <n v="324"/>
    <s v="Regular Day"/>
    <x v="0"/>
  </r>
  <r>
    <d v="2018-06-05T00:00:00"/>
    <n v="10463"/>
    <x v="518"/>
    <x v="515"/>
    <n v="5965"/>
    <n v="279"/>
    <s v="Regular Day"/>
    <x v="0"/>
  </r>
  <r>
    <d v="2018-06-06T00:00:00"/>
    <n v="11449"/>
    <x v="519"/>
    <x v="516"/>
    <n v="6819"/>
    <n v="237"/>
    <s v="Regular Day"/>
    <x v="0"/>
  </r>
  <r>
    <d v="2018-06-07T00:00:00"/>
    <n v="10669"/>
    <x v="520"/>
    <x v="517"/>
    <n v="6249"/>
    <n v="255"/>
    <s v="Regular Day"/>
    <x v="0"/>
  </r>
  <r>
    <d v="2018-06-08T00:00:00"/>
    <n v="10215"/>
    <x v="521"/>
    <x v="518"/>
    <n v="5891"/>
    <n v="267"/>
    <s v="Regular Day"/>
    <x v="0"/>
  </r>
  <r>
    <d v="2018-06-09T00:00:00"/>
    <n v="21010"/>
    <x v="522"/>
    <x v="519"/>
    <n v="8835"/>
    <n v="279"/>
    <s v="Regular Day"/>
    <x v="0"/>
  </r>
  <r>
    <d v="2018-06-10T00:00:00"/>
    <n v="14918"/>
    <x v="523"/>
    <x v="520"/>
    <n v="7698"/>
    <n v="306"/>
    <s v="Regular Day"/>
    <x v="0"/>
  </r>
  <r>
    <d v="2018-06-11T00:00:00"/>
    <n v="22842"/>
    <x v="524"/>
    <x v="521"/>
    <n v="9366"/>
    <n v="264"/>
    <s v="Regular Day"/>
    <x v="0"/>
  </r>
  <r>
    <d v="2018-06-12T00:00:00"/>
    <n v="21508"/>
    <x v="525"/>
    <x v="522"/>
    <n v="8972"/>
    <n v="303"/>
    <s v="Regular Day"/>
    <x v="0"/>
  </r>
  <r>
    <d v="2018-06-13T00:00:00"/>
    <n v="12669"/>
    <x v="526"/>
    <x v="523"/>
    <n v="6623"/>
    <n v="264"/>
    <s v="Regular Day"/>
    <x v="0"/>
  </r>
  <r>
    <d v="2018-06-14T00:00:00"/>
    <n v="11022"/>
    <x v="82"/>
    <x v="524"/>
    <n v="6168"/>
    <n v="274"/>
    <s v="Regular Day"/>
    <x v="0"/>
  </r>
  <r>
    <d v="2018-06-15T00:00:00"/>
    <n v="10217"/>
    <x v="527"/>
    <x v="525"/>
    <n v="5958"/>
    <n v="250"/>
    <s v="Regular Day"/>
    <x v="0"/>
  </r>
  <r>
    <d v="2018-06-16T00:00:00"/>
    <n v="12887"/>
    <x v="528"/>
    <x v="526"/>
    <n v="5879"/>
    <n v="235"/>
    <s v="Regular Day"/>
    <x v="0"/>
  </r>
  <r>
    <d v="2018-06-17T00:00:00"/>
    <n v="16016"/>
    <x v="529"/>
    <x v="527"/>
    <n v="6785"/>
    <n v="226"/>
    <s v="Regular Day"/>
    <x v="0"/>
  </r>
  <r>
    <d v="2018-06-18T00:00:00"/>
    <n v="11613"/>
    <x v="530"/>
    <x v="528"/>
    <n v="6368"/>
    <n v="283"/>
    <s v="Regular Day"/>
    <x v="0"/>
  </r>
  <r>
    <d v="2018-06-19T00:00:00"/>
    <n v="6673"/>
    <x v="531"/>
    <x v="529"/>
    <n v="3683"/>
    <n v="276"/>
    <s v="Regular Day"/>
    <x v="0"/>
  </r>
  <r>
    <d v="2018-06-20T00:00:00"/>
    <n v="8828"/>
    <x v="532"/>
    <x v="530"/>
    <n v="4739"/>
    <n v="265"/>
    <s v="Regular Day"/>
    <x v="0"/>
  </r>
  <r>
    <d v="2018-06-21T00:00:00"/>
    <n v="15204"/>
    <x v="533"/>
    <x v="531"/>
    <n v="6945"/>
    <n v="212"/>
    <s v="Regular Day"/>
    <x v="0"/>
  </r>
  <r>
    <d v="2018-06-22T00:00:00"/>
    <n v="10595"/>
    <x v="534"/>
    <x v="532"/>
    <n v="5893"/>
    <n v="255"/>
    <s v="Regular Day"/>
    <x v="0"/>
  </r>
  <r>
    <d v="2018-06-23T00:00:00"/>
    <n v="9752"/>
    <x v="535"/>
    <x v="533"/>
    <n v="5500"/>
    <n v="257"/>
    <s v="Regular Day"/>
    <x v="0"/>
  </r>
  <r>
    <d v="2018-06-24T00:00:00"/>
    <n v="9781"/>
    <x v="536"/>
    <x v="534"/>
    <n v="5614"/>
    <n v="272"/>
    <s v="Regular Day"/>
    <x v="0"/>
  </r>
  <r>
    <d v="2018-06-25T00:00:00"/>
    <n v="10033"/>
    <x v="537"/>
    <x v="535"/>
    <n v="5690"/>
    <n v="266"/>
    <s v="Regular Day"/>
    <x v="0"/>
  </r>
  <r>
    <d v="2018-06-26T00:00:00"/>
    <n v="10997"/>
    <x v="519"/>
    <x v="536"/>
    <n v="6151"/>
    <n v="275"/>
    <s v="Regular Day"/>
    <x v="0"/>
  </r>
  <r>
    <d v="2018-06-27T00:00:00"/>
    <n v="10292"/>
    <x v="538"/>
    <x v="537"/>
    <n v="5697"/>
    <n v="277"/>
    <s v="Regular Day"/>
    <x v="0"/>
  </r>
  <r>
    <d v="2018-06-28T00:00:00"/>
    <n v="10581"/>
    <x v="539"/>
    <x v="538"/>
    <n v="6003"/>
    <n v="287"/>
    <s v="Regular Day"/>
    <x v="0"/>
  </r>
  <r>
    <d v="2018-06-29T00:00:00"/>
    <n v="10195"/>
    <x v="540"/>
    <x v="539"/>
    <n v="5853"/>
    <n v="300"/>
    <s v="Regular Day"/>
    <x v="0"/>
  </r>
  <r>
    <d v="2018-06-30T00:00:00"/>
    <n v="11166"/>
    <x v="541"/>
    <x v="540"/>
    <n v="5640"/>
    <n v="226"/>
    <s v="Regular Day"/>
    <x v="0"/>
  </r>
  <r>
    <d v="2018-07-01T00:00:00"/>
    <n v="67364"/>
    <x v="542"/>
    <x v="541"/>
    <n v="10304"/>
    <n v="213"/>
    <s v="Regular Day"/>
    <x v="0"/>
  </r>
  <r>
    <d v="2018-07-02T00:00:00"/>
    <n v="49869"/>
    <x v="543"/>
    <x v="542"/>
    <n v="11064"/>
    <n v="246"/>
    <s v="Regular Day"/>
    <x v="0"/>
  </r>
  <r>
    <d v="2018-07-03T00:00:00"/>
    <n v="20157"/>
    <x v="544"/>
    <x v="543"/>
    <n v="7924"/>
    <n v="311"/>
    <s v="Regular Day"/>
    <x v="0"/>
  </r>
  <r>
    <d v="2018-07-04T00:00:00"/>
    <n v="16373"/>
    <x v="545"/>
    <x v="544"/>
    <n v="6682"/>
    <n v="278"/>
    <s v="Regular Day"/>
    <x v="0"/>
  </r>
  <r>
    <d v="2018-07-05T00:00:00"/>
    <n v="30550"/>
    <x v="546"/>
    <x v="545"/>
    <n v="10400"/>
    <n v="285"/>
    <s v="Regular Day"/>
    <x v="0"/>
  </r>
  <r>
    <d v="2018-07-06T00:00:00"/>
    <n v="30732"/>
    <x v="547"/>
    <x v="546"/>
    <n v="10271"/>
    <n v="280"/>
    <s v="Regular Day"/>
    <x v="0"/>
  </r>
  <r>
    <d v="2018-07-07T00:00:00"/>
    <n v="16025"/>
    <x v="548"/>
    <x v="547"/>
    <n v="6955"/>
    <n v="298"/>
    <s v="Regular Day"/>
    <x v="0"/>
  </r>
  <r>
    <d v="2018-07-08T00:00:00"/>
    <n v="25783"/>
    <x v="549"/>
    <x v="548"/>
    <n v="9211"/>
    <n v="265"/>
    <s v="Regular Day"/>
    <x v="0"/>
  </r>
  <r>
    <d v="2018-07-09T00:00:00"/>
    <n v="23247"/>
    <x v="550"/>
    <x v="549"/>
    <n v="9302"/>
    <n v="355"/>
    <s v="Regular Day"/>
    <x v="0"/>
  </r>
  <r>
    <d v="2018-07-10T00:00:00"/>
    <n v="16213"/>
    <x v="551"/>
    <x v="550"/>
    <n v="7424"/>
    <n v="320"/>
    <s v="Regular Day"/>
    <x v="0"/>
  </r>
  <r>
    <d v="2018-07-11T00:00:00"/>
    <n v="13469"/>
    <x v="552"/>
    <x v="551"/>
    <n v="6576"/>
    <n v="318"/>
    <s v="Regular Day"/>
    <x v="0"/>
  </r>
  <r>
    <d v="2018-07-12T00:00:00"/>
    <n v="13044"/>
    <x v="553"/>
    <x v="552"/>
    <n v="6628"/>
    <n v="319"/>
    <s v="Regular Day"/>
    <x v="0"/>
  </r>
  <r>
    <d v="2018-07-13T00:00:00"/>
    <n v="12756"/>
    <x v="554"/>
    <x v="553"/>
    <n v="6343"/>
    <n v="312"/>
    <s v="Regular Day"/>
    <x v="0"/>
  </r>
  <r>
    <d v="2018-07-14T00:00:00"/>
    <n v="12056"/>
    <x v="555"/>
    <x v="554"/>
    <n v="6013"/>
    <n v="296"/>
    <s v="Regular Day"/>
    <x v="0"/>
  </r>
  <r>
    <d v="2018-07-15T00:00:00"/>
    <n v="10760"/>
    <x v="556"/>
    <x v="555"/>
    <n v="5416"/>
    <n v="330"/>
    <s v="Regular Day"/>
    <x v="0"/>
  </r>
  <r>
    <d v="2018-07-16T00:00:00"/>
    <n v="15624"/>
    <x v="557"/>
    <x v="556"/>
    <n v="6871"/>
    <n v="330"/>
    <s v="Regular Day"/>
    <x v="0"/>
  </r>
  <r>
    <d v="2018-07-17T00:00:00"/>
    <n v="16345"/>
    <x v="558"/>
    <x v="557"/>
    <n v="7928"/>
    <n v="264"/>
    <s v="Regular Day"/>
    <x v="0"/>
  </r>
  <r>
    <d v="2018-07-18T00:00:00"/>
    <n v="15970"/>
    <x v="559"/>
    <x v="558"/>
    <n v="9911"/>
    <n v="231"/>
    <s v="Regular Day"/>
    <x v="0"/>
  </r>
  <r>
    <d v="2018-07-19T00:00:00"/>
    <n v="9734"/>
    <x v="560"/>
    <x v="559"/>
    <n v="5626"/>
    <n v="287"/>
    <s v="Regular Day"/>
    <x v="0"/>
  </r>
  <r>
    <d v="2018-07-20T00:00:00"/>
    <n v="9257"/>
    <x v="561"/>
    <x v="560"/>
    <n v="5270"/>
    <n v="258"/>
    <s v="Regular Day"/>
    <x v="0"/>
  </r>
  <r>
    <d v="2018-07-21T00:00:00"/>
    <n v="9987"/>
    <x v="562"/>
    <x v="561"/>
    <n v="5170"/>
    <n v="279"/>
    <s v="Regular Day"/>
    <x v="0"/>
  </r>
  <r>
    <d v="2018-07-22T00:00:00"/>
    <n v="14751"/>
    <x v="563"/>
    <x v="562"/>
    <n v="7232"/>
    <n v="266"/>
    <s v="Regular Day"/>
    <x v="0"/>
  </r>
  <r>
    <d v="2018-07-23T00:00:00"/>
    <n v="11891"/>
    <x v="564"/>
    <x v="563"/>
    <n v="6064"/>
    <n v="318"/>
    <s v="Regular Day"/>
    <x v="0"/>
  </r>
  <r>
    <d v="2018-07-24T00:00:00"/>
    <n v="9892"/>
    <x v="565"/>
    <x v="564"/>
    <n v="5237"/>
    <n v="320"/>
    <s v="Regular Day"/>
    <x v="0"/>
  </r>
  <r>
    <d v="2018-07-25T00:00:00"/>
    <n v="8862"/>
    <x v="566"/>
    <x v="565"/>
    <n v="4972"/>
    <n v="333"/>
    <s v="Regular Day"/>
    <x v="0"/>
  </r>
  <r>
    <d v="2018-07-26T00:00:00"/>
    <n v="10174"/>
    <x v="567"/>
    <x v="566"/>
    <n v="5358"/>
    <n v="265"/>
    <s v="Regular Day"/>
    <x v="0"/>
  </r>
  <r>
    <d v="2018-07-27T00:00:00"/>
    <n v="9225"/>
    <x v="568"/>
    <x v="567"/>
    <n v="5077"/>
    <n v="308"/>
    <s v="Regular Day"/>
    <x v="0"/>
  </r>
  <r>
    <d v="2018-07-28T00:00:00"/>
    <n v="9197"/>
    <x v="569"/>
    <x v="568"/>
    <n v="4804"/>
    <n v="281"/>
    <s v="Regular Day"/>
    <x v="0"/>
  </r>
  <r>
    <d v="2018-07-29T00:00:00"/>
    <n v="8828"/>
    <x v="570"/>
    <x v="569"/>
    <n v="4700"/>
    <n v="289"/>
    <s v="Regular Day"/>
    <x v="0"/>
  </r>
  <r>
    <d v="2018-07-30T00:00:00"/>
    <n v="9379"/>
    <x v="571"/>
    <x v="570"/>
    <n v="5095"/>
    <n v="320"/>
    <s v="Regular Day"/>
    <x v="0"/>
  </r>
  <r>
    <d v="2018-07-31T00:00:00"/>
    <n v="11026"/>
    <x v="572"/>
    <x v="571"/>
    <n v="5518"/>
    <n v="297"/>
    <s v="Regular Day"/>
    <x v="0"/>
  </r>
  <r>
    <d v="2018-08-01T00:00:00"/>
    <n v="10924"/>
    <x v="573"/>
    <x v="572"/>
    <n v="5258"/>
    <n v="295"/>
    <s v="Regular Day"/>
    <x v="0"/>
  </r>
  <r>
    <d v="2018-08-02T00:00:00"/>
    <n v="9393"/>
    <x v="574"/>
    <x v="573"/>
    <n v="4875"/>
    <n v="298"/>
    <s v="Regular Day"/>
    <x v="0"/>
  </r>
  <r>
    <d v="2018-08-03T00:00:00"/>
    <n v="8612"/>
    <x v="575"/>
    <x v="574"/>
    <n v="4811"/>
    <n v="301"/>
    <s v="Regular Day"/>
    <x v="0"/>
  </r>
  <r>
    <d v="2018-08-04T00:00:00"/>
    <n v="8130"/>
    <x v="576"/>
    <x v="575"/>
    <n v="4640"/>
    <n v="255"/>
    <s v="Regular Day"/>
    <x v="0"/>
  </r>
  <r>
    <d v="2018-08-05T00:00:00"/>
    <n v="9189"/>
    <x v="577"/>
    <x v="576"/>
    <n v="4905"/>
    <n v="271"/>
    <s v="Regular Day"/>
    <x v="0"/>
  </r>
  <r>
    <d v="2018-08-06T00:00:00"/>
    <n v="8193"/>
    <x v="578"/>
    <x v="577"/>
    <n v="4652"/>
    <n v="310"/>
    <s v="Regular Day"/>
    <x v="0"/>
  </r>
  <r>
    <d v="2018-08-07T00:00:00"/>
    <n v="8916"/>
    <x v="579"/>
    <x v="578"/>
    <n v="4849"/>
    <n v="293"/>
    <s v="Regular Day"/>
    <x v="0"/>
  </r>
  <r>
    <d v="2018-08-08T00:00:00"/>
    <n v="9225"/>
    <x v="580"/>
    <x v="579"/>
    <n v="5097"/>
    <n v="330"/>
    <s v="Regular Day"/>
    <x v="0"/>
  </r>
  <r>
    <d v="2018-08-09T00:00:00"/>
    <n v="24499"/>
    <x v="581"/>
    <x v="580"/>
    <n v="10572"/>
    <n v="225"/>
    <s v="Regular Day"/>
    <x v="0"/>
  </r>
  <r>
    <d v="2018-08-10T00:00:00"/>
    <n v="16517"/>
    <x v="582"/>
    <x v="581"/>
    <n v="7779"/>
    <n v="282"/>
    <s v="Regular Day"/>
    <x v="0"/>
  </r>
  <r>
    <d v="2018-08-11T00:00:00"/>
    <n v="11421"/>
    <x v="583"/>
    <x v="582"/>
    <n v="5781"/>
    <n v="286"/>
    <s v="Regular Day"/>
    <x v="0"/>
  </r>
  <r>
    <d v="2018-08-12T00:00:00"/>
    <n v="10167"/>
    <x v="584"/>
    <x v="504"/>
    <n v="5173"/>
    <n v="283"/>
    <s v="Regular Day"/>
    <x v="0"/>
  </r>
  <r>
    <d v="2018-08-13T00:00:00"/>
    <n v="10238"/>
    <x v="585"/>
    <x v="583"/>
    <n v="5747"/>
    <n v="348"/>
    <s v="Regular Day"/>
    <x v="0"/>
  </r>
  <r>
    <d v="2018-08-14T00:00:00"/>
    <n v="10163"/>
    <x v="586"/>
    <x v="584"/>
    <n v="5799"/>
    <n v="292"/>
    <s v="Regular Day"/>
    <x v="0"/>
  </r>
  <r>
    <d v="2018-08-15T00:00:00"/>
    <n v="9199"/>
    <x v="587"/>
    <x v="585"/>
    <n v="5199"/>
    <n v="291"/>
    <s v="Regular Day"/>
    <x v="0"/>
  </r>
  <r>
    <d v="2018-08-16T00:00:00"/>
    <n v="15712"/>
    <x v="588"/>
    <x v="586"/>
    <n v="9177"/>
    <n v="247"/>
    <s v="Regular Day"/>
    <x v="0"/>
  </r>
  <r>
    <d v="2018-08-17T00:00:00"/>
    <n v="11571"/>
    <x v="589"/>
    <x v="587"/>
    <n v="6877"/>
    <n v="256"/>
    <s v="Regular Day"/>
    <x v="0"/>
  </r>
  <r>
    <d v="2018-08-18T00:00:00"/>
    <n v="9539"/>
    <x v="590"/>
    <x v="588"/>
    <n v="5405"/>
    <n v="284"/>
    <s v="Regular Day"/>
    <x v="0"/>
  </r>
  <r>
    <d v="2018-08-19T00:00:00"/>
    <n v="8731"/>
    <x v="591"/>
    <x v="589"/>
    <n v="4890"/>
    <n v="288"/>
    <s v="Regular Day"/>
    <x v="0"/>
  </r>
  <r>
    <d v="2018-08-20T00:00:00"/>
    <n v="9854"/>
    <x v="592"/>
    <x v="590"/>
    <n v="5566"/>
    <n v="300"/>
    <s v="Regular Day"/>
    <x v="0"/>
  </r>
  <r>
    <d v="2018-08-21T00:00:00"/>
    <n v="11491"/>
    <x v="593"/>
    <x v="591"/>
    <n v="6263"/>
    <n v="299"/>
    <s v="Regular Day"/>
    <x v="0"/>
  </r>
  <r>
    <d v="2018-08-22T00:00:00"/>
    <n v="9866"/>
    <x v="594"/>
    <x v="592"/>
    <n v="5556"/>
    <n v="319"/>
    <s v="Regular Day"/>
    <x v="0"/>
  </r>
  <r>
    <d v="2018-08-23T00:00:00"/>
    <n v="9532"/>
    <x v="595"/>
    <x v="593"/>
    <n v="5356"/>
    <n v="269"/>
    <s v="Regular Day"/>
    <x v="0"/>
  </r>
  <r>
    <d v="2018-08-24T00:00:00"/>
    <n v="12500"/>
    <x v="596"/>
    <x v="594"/>
    <n v="6368"/>
    <n v="247"/>
    <s v="Regular Day"/>
    <x v="0"/>
  </r>
  <r>
    <d v="2018-08-25T00:00:00"/>
    <n v="10492"/>
    <x v="597"/>
    <x v="595"/>
    <n v="5364"/>
    <n v="281"/>
    <s v="Regular Day"/>
    <x v="0"/>
  </r>
  <r>
    <d v="2018-08-26T00:00:00"/>
    <n v="10211"/>
    <x v="598"/>
    <x v="596"/>
    <n v="5229"/>
    <n v="255"/>
    <s v="Regular Day"/>
    <x v="0"/>
  </r>
  <r>
    <d v="2018-08-27T00:00:00"/>
    <n v="9868"/>
    <x v="599"/>
    <x v="592"/>
    <n v="5456"/>
    <n v="296"/>
    <s v="Regular Day"/>
    <x v="0"/>
  </r>
  <r>
    <d v="2018-08-28T00:00:00"/>
    <n v="11417"/>
    <x v="600"/>
    <x v="597"/>
    <n v="6604"/>
    <n v="264"/>
    <s v="Regular Day"/>
    <x v="0"/>
  </r>
  <r>
    <d v="2018-08-29T00:00:00"/>
    <n v="9398"/>
    <x v="601"/>
    <x v="598"/>
    <n v="5474"/>
    <n v="275"/>
    <s v="Regular Day"/>
    <x v="0"/>
  </r>
  <r>
    <d v="2018-08-30T00:00:00"/>
    <n v="8888"/>
    <x v="602"/>
    <x v="599"/>
    <n v="5288"/>
    <n v="280"/>
    <s v="Regular Day"/>
    <x v="0"/>
  </r>
  <r>
    <d v="2018-08-31T00:00:00"/>
    <n v="10104"/>
    <x v="603"/>
    <x v="600"/>
    <n v="6113"/>
    <n v="233"/>
    <s v="Regular Day"/>
    <x v="0"/>
  </r>
  <r>
    <d v="2018-09-01T00:00:00"/>
    <n v="8068"/>
    <x v="604"/>
    <x v="601"/>
    <n v="4791"/>
    <n v="276"/>
    <s v="Regular Day"/>
    <x v="0"/>
  </r>
  <r>
    <d v="2018-09-02T00:00:00"/>
    <n v="8418"/>
    <x v="605"/>
    <x v="602"/>
    <n v="4924"/>
    <n v="267"/>
    <s v="Regular Day"/>
    <x v="0"/>
  </r>
  <r>
    <d v="2018-09-03T00:00:00"/>
    <n v="8811"/>
    <x v="606"/>
    <x v="603"/>
    <n v="5194"/>
    <n v="253"/>
    <s v="Regular Day"/>
    <x v="0"/>
  </r>
  <r>
    <d v="2018-09-04T00:00:00"/>
    <n v="9484"/>
    <x v="607"/>
    <x v="604"/>
    <n v="5578"/>
    <n v="278"/>
    <s v="Regular Day"/>
    <x v="0"/>
  </r>
  <r>
    <d v="2018-09-05T00:00:00"/>
    <n v="9866"/>
    <x v="608"/>
    <x v="605"/>
    <n v="6065"/>
    <n v="249"/>
    <s v="Regular Day"/>
    <x v="0"/>
  </r>
  <r>
    <d v="2018-09-06T00:00:00"/>
    <n v="9203"/>
    <x v="609"/>
    <x v="606"/>
    <n v="5654"/>
    <n v="255"/>
    <s v="Regular Day"/>
    <x v="0"/>
  </r>
  <r>
    <d v="2018-09-07T00:00:00"/>
    <n v="9303"/>
    <x v="527"/>
    <x v="607"/>
    <n v="5526"/>
    <n v="256"/>
    <s v="Regular Day"/>
    <x v="0"/>
  </r>
  <r>
    <d v="2018-09-08T00:00:00"/>
    <n v="8487"/>
    <x v="610"/>
    <x v="608"/>
    <n v="4999"/>
    <n v="243"/>
    <s v="Regular Day"/>
    <x v="0"/>
  </r>
  <r>
    <d v="2018-09-09T00:00:00"/>
    <n v="8107"/>
    <x v="611"/>
    <x v="609"/>
    <n v="4770"/>
    <n v="295"/>
    <s v="Regular Day"/>
    <x v="0"/>
  </r>
  <r>
    <d v="2018-09-10T00:00:00"/>
    <n v="9589"/>
    <x v="612"/>
    <x v="610"/>
    <n v="5561"/>
    <n v="256"/>
    <s v="Regular Day"/>
    <x v="0"/>
  </r>
  <r>
    <d v="2018-09-11T00:00:00"/>
    <n v="11365"/>
    <x v="613"/>
    <x v="611"/>
    <n v="6493"/>
    <n v="312"/>
    <s v="Regular Day"/>
    <x v="0"/>
  </r>
  <r>
    <d v="2018-09-12T00:00:00"/>
    <n v="34804"/>
    <x v="614"/>
    <x v="612"/>
    <n v="14067"/>
    <n v="234"/>
    <s v="Regular Day"/>
    <x v="0"/>
  </r>
  <r>
    <d v="2018-09-13T00:00:00"/>
    <n v="38017"/>
    <x v="615"/>
    <x v="613"/>
    <n v="17114"/>
    <n v="269"/>
    <s v="Regular Day"/>
    <x v="0"/>
  </r>
  <r>
    <d v="2018-09-14T00:00:00"/>
    <n v="22600"/>
    <x v="616"/>
    <x v="614"/>
    <n v="11979"/>
    <n v="300"/>
    <s v="Regular Day"/>
    <x v="0"/>
  </r>
  <r>
    <d v="2018-09-15T00:00:00"/>
    <n v="17046"/>
    <x v="617"/>
    <x v="615"/>
    <n v="9256"/>
    <n v="264"/>
    <s v="Regular Day"/>
    <x v="0"/>
  </r>
  <r>
    <d v="2018-09-16T00:00:00"/>
    <n v="10883"/>
    <x v="618"/>
    <x v="616"/>
    <n v="6234"/>
    <n v="335"/>
    <s v="Regular Day"/>
    <x v="0"/>
  </r>
  <r>
    <d v="2018-09-17T00:00:00"/>
    <n v="11636"/>
    <x v="619"/>
    <x v="617"/>
    <n v="6788"/>
    <n v="296"/>
    <s v="Regular Day"/>
    <x v="0"/>
  </r>
  <r>
    <d v="2018-09-18T00:00:00"/>
    <n v="12115"/>
    <x v="620"/>
    <x v="618"/>
    <n v="6988"/>
    <n v="288"/>
    <s v="Regular Day"/>
    <x v="0"/>
  </r>
  <r>
    <d v="2018-09-19T00:00:00"/>
    <n v="12838"/>
    <x v="621"/>
    <x v="619"/>
    <n v="6860"/>
    <n v="313"/>
    <s v="Regular Day"/>
    <x v="0"/>
  </r>
  <r>
    <d v="2018-09-20T00:00:00"/>
    <n v="13749"/>
    <x v="622"/>
    <x v="620"/>
    <n v="7628"/>
    <n v="268"/>
    <s v="Regular Day"/>
    <x v="0"/>
  </r>
  <r>
    <d v="2018-09-21T00:00:00"/>
    <n v="11174"/>
    <x v="623"/>
    <x v="621"/>
    <n v="6334"/>
    <n v="277"/>
    <s v="Regular Day"/>
    <x v="0"/>
  </r>
  <r>
    <d v="2018-09-22T00:00:00"/>
    <n v="9108"/>
    <x v="624"/>
    <x v="622"/>
    <n v="5232"/>
    <n v="290"/>
    <s v="Regular Day"/>
    <x v="0"/>
  </r>
  <r>
    <d v="2018-09-23T00:00:00"/>
    <n v="9115"/>
    <x v="625"/>
    <x v="623"/>
    <n v="5347"/>
    <n v="290"/>
    <s v="Regular Day"/>
    <x v="0"/>
  </r>
  <r>
    <d v="2018-09-24T00:00:00"/>
    <n v="10172"/>
    <x v="626"/>
    <x v="596"/>
    <n v="5860"/>
    <n v="275"/>
    <s v="Regular Day"/>
    <x v="0"/>
  </r>
  <r>
    <d v="2018-09-25T00:00:00"/>
    <n v="10572"/>
    <x v="627"/>
    <x v="624"/>
    <n v="6260"/>
    <n v="278"/>
    <s v="Regular Day"/>
    <x v="0"/>
  </r>
  <r>
    <d v="2018-09-26T00:00:00"/>
    <n v="11873"/>
    <x v="628"/>
    <x v="625"/>
    <n v="6993"/>
    <n v="290"/>
    <s v="Regular Day"/>
    <x v="0"/>
  </r>
  <r>
    <d v="2018-09-27T00:00:00"/>
    <n v="12056"/>
    <x v="629"/>
    <x v="626"/>
    <n v="7017"/>
    <n v="277"/>
    <s v="Regular Day"/>
    <x v="0"/>
  </r>
  <r>
    <d v="2018-09-28T00:00:00"/>
    <n v="10128"/>
    <x v="630"/>
    <x v="525"/>
    <n v="6049"/>
    <n v="303"/>
    <s v="Regular Day"/>
    <x v="0"/>
  </r>
  <r>
    <d v="2018-09-29T00:00:00"/>
    <n v="9150"/>
    <x v="631"/>
    <x v="627"/>
    <n v="5345"/>
    <n v="272"/>
    <s v="Regular Day"/>
    <x v="0"/>
  </r>
  <r>
    <d v="2018-09-30T00:00:00"/>
    <n v="9987"/>
    <x v="632"/>
    <x v="628"/>
    <n v="5931"/>
    <n v="282"/>
    <s v="Regular Day"/>
    <x v="0"/>
  </r>
  <r>
    <d v="2018-10-01T00:00:00"/>
    <n v="10623"/>
    <x v="633"/>
    <x v="629"/>
    <n v="6215"/>
    <n v="264"/>
    <s v="Regular Day"/>
    <x v="0"/>
  </r>
  <r>
    <d v="2018-10-02T00:00:00"/>
    <n v="11575"/>
    <x v="634"/>
    <x v="630"/>
    <n v="6622"/>
    <n v="286"/>
    <s v="Regular Day"/>
    <x v="0"/>
  </r>
  <r>
    <d v="2018-10-03T00:00:00"/>
    <n v="11211"/>
    <x v="635"/>
    <x v="631"/>
    <n v="6396"/>
    <n v="262"/>
    <s v="Regular Day"/>
    <x v="0"/>
  </r>
  <r>
    <d v="2018-10-04T00:00:00"/>
    <n v="11693"/>
    <x v="636"/>
    <x v="632"/>
    <n v="6594"/>
    <n v="259"/>
    <s v="Regular Day"/>
    <x v="0"/>
  </r>
  <r>
    <d v="2018-10-05T00:00:00"/>
    <n v="11749"/>
    <x v="637"/>
    <x v="617"/>
    <n v="6587"/>
    <n v="255"/>
    <s v="Regular Day"/>
    <x v="0"/>
  </r>
  <r>
    <d v="2018-10-06T00:00:00"/>
    <n v="9752"/>
    <x v="638"/>
    <x v="633"/>
    <n v="5717"/>
    <n v="284"/>
    <s v="Regular Day"/>
    <x v="0"/>
  </r>
  <r>
    <d v="2018-10-07T00:00:00"/>
    <n v="9552"/>
    <x v="639"/>
    <x v="634"/>
    <n v="5599"/>
    <n v="271"/>
    <s v="Regular Day"/>
    <x v="0"/>
  </r>
  <r>
    <d v="2018-10-08T00:00:00"/>
    <n v="12069"/>
    <x v="640"/>
    <x v="635"/>
    <n v="6497"/>
    <n v="253"/>
    <s v="Regular Day"/>
    <x v="0"/>
  </r>
  <r>
    <d v="2018-10-09T00:00:00"/>
    <n v="14755"/>
    <x v="641"/>
    <x v="636"/>
    <n v="7904"/>
    <n v="326"/>
    <s v="Regular Day"/>
    <x v="0"/>
  </r>
  <r>
    <d v="2018-10-10T00:00:00"/>
    <n v="14698"/>
    <x v="642"/>
    <x v="106"/>
    <n v="7885"/>
    <n v="292"/>
    <s v="Regular Day"/>
    <x v="0"/>
  </r>
  <r>
    <d v="2018-10-11T00:00:00"/>
    <n v="17087"/>
    <x v="643"/>
    <x v="637"/>
    <n v="9019"/>
    <n v="265"/>
    <s v="Regular Day"/>
    <x v="0"/>
  </r>
  <r>
    <d v="2018-10-12T00:00:00"/>
    <n v="13107"/>
    <x v="644"/>
    <x v="638"/>
    <n v="7685"/>
    <n v="282"/>
    <s v="Regular Day"/>
    <x v="0"/>
  </r>
  <r>
    <d v="2018-10-13T00:00:00"/>
    <n v="9656"/>
    <x v="645"/>
    <x v="639"/>
    <n v="5688"/>
    <n v="276"/>
    <s v="Regular Day"/>
    <x v="0"/>
  </r>
  <r>
    <d v="2018-10-14T00:00:00"/>
    <n v="9806"/>
    <x v="646"/>
    <x v="640"/>
    <n v="7424"/>
    <n v="18"/>
    <s v="Regular Day"/>
    <x v="0"/>
  </r>
  <r>
    <d v="2018-10-15T00:00:00"/>
    <n v="11399"/>
    <x v="647"/>
    <x v="641"/>
    <n v="8527"/>
    <n v="18"/>
    <s v="Regular Day"/>
    <x v="0"/>
  </r>
  <r>
    <d v="2018-10-16T00:00:00"/>
    <n v="11089"/>
    <x v="648"/>
    <x v="642"/>
    <n v="8188"/>
    <n v="18"/>
    <s v="Regular Day"/>
    <x v="0"/>
  </r>
  <r>
    <d v="2018-10-17T00:00:00"/>
    <n v="14046"/>
    <x v="649"/>
    <x v="643"/>
    <n v="9459"/>
    <n v="21"/>
    <s v="Regular Day"/>
    <x v="0"/>
  </r>
  <r>
    <d v="2018-10-18T00:00:00"/>
    <n v="15779"/>
    <x v="650"/>
    <x v="644"/>
    <n v="10867"/>
    <n v="20"/>
    <s v="Regular Day"/>
    <x v="0"/>
  </r>
  <r>
    <d v="2018-10-19T00:00:00"/>
    <n v="14546"/>
    <x v="651"/>
    <x v="645"/>
    <n v="9843"/>
    <n v="21"/>
    <s v="Regular Day"/>
    <x v="0"/>
  </r>
  <r>
    <d v="2018-10-20T00:00:00"/>
    <n v="12101"/>
    <x v="652"/>
    <x v="646"/>
    <n v="8193"/>
    <n v="21"/>
    <s v="Regular Day"/>
    <x v="0"/>
  </r>
  <r>
    <d v="2018-10-21T00:00:00"/>
    <n v="12445"/>
    <x v="653"/>
    <x v="647"/>
    <n v="6163"/>
    <n v="259"/>
    <s v="Regular Day"/>
    <x v="0"/>
  </r>
  <r>
    <d v="2018-10-22T00:00:00"/>
    <n v="15770"/>
    <x v="654"/>
    <x v="648"/>
    <n v="9841"/>
    <n v="20"/>
    <s v="Regular Day"/>
    <x v="0"/>
  </r>
  <r>
    <d v="2018-10-23T00:00:00"/>
    <n v="13986"/>
    <x v="655"/>
    <x v="649"/>
    <n v="9662"/>
    <n v="20"/>
    <s v="Regular Day"/>
    <x v="0"/>
  </r>
  <r>
    <d v="2018-10-24T00:00:00"/>
    <n v="13059"/>
    <x v="656"/>
    <x v="650"/>
    <n v="9221"/>
    <n v="19"/>
    <s v="Regular Day"/>
    <x v="0"/>
  </r>
  <r>
    <d v="2018-10-25T00:00:00"/>
    <n v="12552"/>
    <x v="657"/>
    <x v="651"/>
    <n v="9391"/>
    <n v="17"/>
    <s v="Regular Day"/>
    <x v="0"/>
  </r>
  <r>
    <d v="2018-10-26T00:00:00"/>
    <n v="12348"/>
    <x v="658"/>
    <x v="652"/>
    <n v="8971"/>
    <n v="17"/>
    <s v="Regular Day"/>
    <x v="0"/>
  </r>
  <r>
    <d v="2018-10-27T00:00:00"/>
    <n v="10442"/>
    <x v="659"/>
    <x v="653"/>
    <n v="7665"/>
    <n v="18"/>
    <s v="Regular Day"/>
    <x v="0"/>
  </r>
  <r>
    <d v="2018-10-28T00:00:00"/>
    <n v="9750"/>
    <x v="660"/>
    <x v="654"/>
    <n v="7557"/>
    <n v="17"/>
    <s v="Regular Day"/>
    <x v="0"/>
  </r>
  <r>
    <d v="2018-10-29T00:00:00"/>
    <n v="12609"/>
    <x v="661"/>
    <x v="655"/>
    <n v="8648"/>
    <n v="19"/>
    <s v="Regular Day"/>
    <x v="0"/>
  </r>
  <r>
    <d v="2018-10-30T00:00:00"/>
    <n v="12068"/>
    <x v="662"/>
    <x v="656"/>
    <n v="8394"/>
    <n v="19"/>
    <s v="Regular Day"/>
    <x v="0"/>
  </r>
  <r>
    <d v="2018-10-31T00:00:00"/>
    <n v="12904"/>
    <x v="663"/>
    <x v="657"/>
    <n v="8031"/>
    <n v="19"/>
    <s v="Regular Day"/>
    <x v="0"/>
  </r>
  <r>
    <d v="2018-11-01T00:00:00"/>
    <n v="11369"/>
    <x v="440"/>
    <x v="658"/>
    <n v="8324"/>
    <n v="16"/>
    <s v="Regular Day"/>
    <x v="0"/>
  </r>
  <r>
    <d v="2018-11-02T00:00:00"/>
    <n v="10765"/>
    <x v="664"/>
    <x v="659"/>
    <n v="8101"/>
    <n v="17"/>
    <s v="Regular Day"/>
    <x v="0"/>
  </r>
  <r>
    <d v="2018-11-03T00:00:00"/>
    <n v="9907"/>
    <x v="665"/>
    <x v="660"/>
    <n v="7394"/>
    <n v="18"/>
    <s v="Regular Day"/>
    <x v="0"/>
  </r>
  <r>
    <d v="2018-11-04T00:00:00"/>
    <n v="10296"/>
    <x v="666"/>
    <x v="661"/>
    <n v="7849"/>
    <n v="18"/>
    <s v="Regular Day"/>
    <x v="0"/>
  </r>
  <r>
    <d v="2018-11-05T00:00:00"/>
    <n v="10967"/>
    <x v="667"/>
    <x v="662"/>
    <n v="6741"/>
    <n v="73"/>
    <s v="Regular Day"/>
    <x v="0"/>
  </r>
  <r>
    <d v="2018-11-06T00:00:00"/>
    <n v="10920"/>
    <x v="668"/>
    <x v="663"/>
    <n v="6869"/>
    <n v="72"/>
    <s v="Regular Day"/>
    <x v="0"/>
  </r>
  <r>
    <d v="2018-11-07T00:00:00"/>
    <n v="10030"/>
    <x v="669"/>
    <x v="664"/>
    <n v="6468"/>
    <n v="72"/>
    <s v="Regular Day"/>
    <x v="0"/>
  </r>
  <r>
    <d v="2018-11-08T00:00:00"/>
    <n v="10093"/>
    <x v="670"/>
    <x v="665"/>
    <n v="6430"/>
    <n v="65"/>
    <s v="Regular Day"/>
    <x v="0"/>
  </r>
  <r>
    <d v="2018-11-09T00:00:00"/>
    <n v="10185"/>
    <x v="671"/>
    <x v="666"/>
    <n v="6600"/>
    <n v="68"/>
    <s v="Regular Day"/>
    <x v="0"/>
  </r>
  <r>
    <d v="2018-11-10T00:00:00"/>
    <n v="9468"/>
    <x v="672"/>
    <x v="667"/>
    <n v="5933"/>
    <n v="64"/>
    <s v="Regular Day"/>
    <x v="0"/>
  </r>
  <r>
    <d v="2018-11-11T00:00:00"/>
    <n v="9835"/>
    <x v="673"/>
    <x v="668"/>
    <n v="6147"/>
    <n v="72"/>
    <s v="Regular Day"/>
    <x v="0"/>
  </r>
  <r>
    <d v="2018-11-12T00:00:00"/>
    <n v="10946"/>
    <x v="674"/>
    <x v="669"/>
    <n v="6760"/>
    <n v="72"/>
    <s v="Regular Day"/>
    <x v="0"/>
  </r>
  <r>
    <d v="2018-11-13T00:00:00"/>
    <n v="11421"/>
    <x v="280"/>
    <x v="670"/>
    <n v="6993"/>
    <n v="73"/>
    <s v="Regular Day"/>
    <x v="0"/>
  </r>
  <r>
    <d v="2018-11-14T00:00:00"/>
    <n v="13338"/>
    <x v="675"/>
    <x v="671"/>
    <n v="8021"/>
    <n v="72"/>
    <s v="Regular Day"/>
    <x v="0"/>
  </r>
  <r>
    <d v="2018-11-15T00:00:00"/>
    <n v="23750"/>
    <x v="676"/>
    <x v="672"/>
    <n v="13094"/>
    <n v="70"/>
    <s v="Regular Day"/>
    <x v="0"/>
  </r>
  <r>
    <d v="2018-11-16T00:00:00"/>
    <n v="19538"/>
    <x v="677"/>
    <x v="673"/>
    <n v="10815"/>
    <n v="69"/>
    <s v="Regular Day"/>
    <x v="0"/>
  </r>
  <r>
    <d v="2018-11-17T00:00:00"/>
    <n v="12206"/>
    <x v="678"/>
    <x v="674"/>
    <n v="7416"/>
    <n v="68"/>
    <s v="Regular Day"/>
    <x v="0"/>
  </r>
  <r>
    <d v="2018-11-18T00:00:00"/>
    <n v="11053"/>
    <x v="679"/>
    <x v="675"/>
    <n v="6794"/>
    <n v="70"/>
    <s v="Regular Day"/>
    <x v="0"/>
  </r>
  <r>
    <d v="2018-11-19T00:00:00"/>
    <n v="10408"/>
    <x v="680"/>
    <x v="676"/>
    <n v="6560"/>
    <n v="75"/>
    <s v="Regular Day"/>
    <x v="0"/>
  </r>
  <r>
    <d v="2018-11-20T00:00:00"/>
    <n v="12144"/>
    <x v="681"/>
    <x v="677"/>
    <n v="7302"/>
    <n v="66"/>
    <s v="Regular Day"/>
    <x v="0"/>
  </r>
  <r>
    <d v="2018-11-21T00:00:00"/>
    <n v="9468"/>
    <x v="682"/>
    <x v="678"/>
    <n v="5818"/>
    <n v="73"/>
    <s v="Regular Day"/>
    <x v="0"/>
  </r>
  <r>
    <d v="2018-11-22T00:00:00"/>
    <n v="8124"/>
    <x v="683"/>
    <x v="679"/>
    <n v="5063"/>
    <n v="70"/>
    <s v="Regular Day"/>
    <x v="0"/>
  </r>
  <r>
    <d v="2018-11-23T00:00:00"/>
    <n v="7855"/>
    <x v="684"/>
    <x v="680"/>
    <n v="4772"/>
    <n v="74"/>
    <s v="Regular Day"/>
    <x v="0"/>
  </r>
  <r>
    <d v="2018-11-24T00:00:00"/>
    <n v="8017"/>
    <x v="685"/>
    <x v="681"/>
    <n v="4725"/>
    <n v="79"/>
    <s v="Regular Day"/>
    <x v="0"/>
  </r>
  <r>
    <d v="2018-11-25T00:00:00"/>
    <n v="9007"/>
    <x v="686"/>
    <x v="682"/>
    <n v="5397"/>
    <n v="79"/>
    <s v="Regular Day"/>
    <x v="0"/>
  </r>
  <r>
    <d v="2018-11-26T00:00:00"/>
    <n v="11403"/>
    <x v="687"/>
    <x v="683"/>
    <n v="6688"/>
    <n v="82"/>
    <s v="Regular Day"/>
    <x v="0"/>
  </r>
  <r>
    <d v="2018-11-27T00:00:00"/>
    <n v="10513"/>
    <x v="688"/>
    <x v="684"/>
    <n v="6312"/>
    <n v="84"/>
    <s v="Regular Day"/>
    <x v="0"/>
  </r>
  <r>
    <d v="2018-11-28T00:00:00"/>
    <n v="11261"/>
    <x v="689"/>
    <x v="685"/>
    <n v="6705"/>
    <n v="85"/>
    <s v="Regular Day"/>
    <x v="0"/>
  </r>
  <r>
    <d v="2018-11-29T00:00:00"/>
    <n v="14385"/>
    <x v="690"/>
    <x v="686"/>
    <n v="8439"/>
    <n v="72"/>
    <s v="Regular Day"/>
    <x v="0"/>
  </r>
  <r>
    <d v="2018-11-30T00:00:00"/>
    <n v="17001"/>
    <x v="691"/>
    <x v="687"/>
    <n v="9601"/>
    <n v="68"/>
    <s v="Regular Day"/>
    <x v="0"/>
  </r>
  <r>
    <d v="2018-12-01T00:00:00"/>
    <n v="12955"/>
    <x v="692"/>
    <x v="688"/>
    <n v="8368"/>
    <n v="65"/>
    <s v="Regular Day"/>
    <x v="0"/>
  </r>
  <r>
    <d v="2018-12-02T00:00:00"/>
    <n v="16595"/>
    <x v="693"/>
    <x v="689"/>
    <n v="10140"/>
    <n v="67"/>
    <s v="Regular Day"/>
    <x v="0"/>
  </r>
  <r>
    <d v="2018-12-03T00:00:00"/>
    <n v="16837"/>
    <x v="694"/>
    <x v="690"/>
    <n v="10473"/>
    <n v="80"/>
    <s v="Regular Day"/>
    <x v="0"/>
  </r>
  <r>
    <d v="2018-12-04T00:00:00"/>
    <n v="16334"/>
    <x v="695"/>
    <x v="691"/>
    <n v="10394"/>
    <n v="76"/>
    <s v="Regular Day"/>
    <x v="0"/>
  </r>
  <r>
    <d v="2018-12-05T00:00:00"/>
    <n v="19303"/>
    <x v="696"/>
    <x v="692"/>
    <n v="12474"/>
    <n v="76"/>
    <s v="Regular Day"/>
    <x v="0"/>
  </r>
  <r>
    <d v="2018-12-06T00:00:00"/>
    <n v="35466"/>
    <x v="697"/>
    <x v="693"/>
    <n v="20544"/>
    <n v="70"/>
    <s v="Regular Day"/>
    <x v="0"/>
  </r>
  <r>
    <d v="2018-12-07T00:00:00"/>
    <n v="818792"/>
    <x v="698"/>
    <x v="694"/>
    <n v="363567"/>
    <n v="113"/>
    <s v="Grammy Awards"/>
    <x v="0"/>
  </r>
  <r>
    <d v="2018-12-08T00:00:00"/>
    <n v="236576"/>
    <x v="699"/>
    <x v="695"/>
    <n v="140825"/>
    <n v="87"/>
    <s v="Regular Day"/>
    <x v="0"/>
  </r>
  <r>
    <d v="2018-12-09T00:00:00"/>
    <n v="112219"/>
    <x v="700"/>
    <x v="696"/>
    <n v="65423"/>
    <n v="91"/>
    <s v="Regular Day"/>
    <x v="0"/>
  </r>
  <r>
    <d v="2018-12-10T00:00:00"/>
    <n v="91037"/>
    <x v="701"/>
    <x v="697"/>
    <n v="52887"/>
    <n v="96"/>
    <s v="Regular Day"/>
    <x v="0"/>
  </r>
  <r>
    <d v="2018-12-11T00:00:00"/>
    <n v="66312"/>
    <x v="702"/>
    <x v="698"/>
    <n v="38213"/>
    <n v="100"/>
    <s v="Regular Day"/>
    <x v="0"/>
  </r>
  <r>
    <d v="2018-12-12T00:00:00"/>
    <n v="53198"/>
    <x v="703"/>
    <x v="699"/>
    <n v="27399"/>
    <n v="109"/>
    <s v="Regular Day"/>
    <x v="0"/>
  </r>
  <r>
    <d v="2018-12-13T00:00:00"/>
    <n v="44162"/>
    <x v="704"/>
    <x v="700"/>
    <n v="19065"/>
    <n v="123"/>
    <s v="Regular Day"/>
    <x v="0"/>
  </r>
  <r>
    <d v="2018-12-14T00:00:00"/>
    <n v="34731"/>
    <x v="705"/>
    <x v="701"/>
    <n v="15718"/>
    <n v="116"/>
    <s v="Regular Day"/>
    <x v="0"/>
  </r>
  <r>
    <d v="2018-12-15T00:00:00"/>
    <n v="28664"/>
    <x v="706"/>
    <x v="379"/>
    <n v="12987"/>
    <n v="115"/>
    <s v="Regular Day"/>
    <x v="0"/>
  </r>
  <r>
    <d v="2018-12-16T00:00:00"/>
    <n v="28095"/>
    <x v="707"/>
    <x v="702"/>
    <n v="12695"/>
    <n v="114"/>
    <s v="Regular Day"/>
    <x v="0"/>
  </r>
  <r>
    <d v="2018-12-17T00:00:00"/>
    <n v="27811"/>
    <x v="708"/>
    <x v="703"/>
    <n v="12511"/>
    <n v="116"/>
    <s v="Regular Day"/>
    <x v="0"/>
  </r>
  <r>
    <d v="2018-12-18T00:00:00"/>
    <n v="29905"/>
    <x v="709"/>
    <x v="704"/>
    <n v="12494"/>
    <n v="123"/>
    <s v="Regular Day"/>
    <x v="0"/>
  </r>
  <r>
    <d v="2018-12-19T00:00:00"/>
    <n v="32623"/>
    <x v="710"/>
    <x v="705"/>
    <n v="12803"/>
    <n v="127"/>
    <s v="Regular Day"/>
    <x v="0"/>
  </r>
  <r>
    <d v="2018-12-20T00:00:00"/>
    <n v="25702"/>
    <x v="711"/>
    <x v="706"/>
    <n v="10827"/>
    <n v="107"/>
    <s v="Regular Day"/>
    <x v="0"/>
  </r>
  <r>
    <d v="2018-12-21T00:00:00"/>
    <n v="25186"/>
    <x v="712"/>
    <x v="707"/>
    <n v="10807"/>
    <n v="103"/>
    <s v="Regular Day"/>
    <x v="0"/>
  </r>
  <r>
    <d v="2018-12-22T00:00:00"/>
    <n v="21301"/>
    <x v="713"/>
    <x v="708"/>
    <n v="9751"/>
    <n v="105"/>
    <s v="Regular Day"/>
    <x v="0"/>
  </r>
  <r>
    <d v="2018-12-23T00:00:00"/>
    <n v="22409"/>
    <x v="714"/>
    <x v="709"/>
    <n v="10726"/>
    <n v="98"/>
    <s v="Regular Day"/>
    <x v="0"/>
  </r>
  <r>
    <d v="2018-12-24T00:00:00"/>
    <n v="18133"/>
    <x v="715"/>
    <x v="710"/>
    <n v="8492"/>
    <n v="99"/>
    <s v="Regular Day"/>
    <x v="0"/>
  </r>
  <r>
    <d v="2018-12-25T00:00:00"/>
    <n v="17230"/>
    <x v="716"/>
    <x v="711"/>
    <n v="7795"/>
    <n v="107"/>
    <s v="Regular Day"/>
    <x v="0"/>
  </r>
  <r>
    <d v="2018-12-26T00:00:00"/>
    <n v="24720"/>
    <x v="717"/>
    <x v="712"/>
    <n v="9652"/>
    <n v="109"/>
    <s v="Regular Day"/>
    <x v="0"/>
  </r>
  <r>
    <d v="2018-12-27T00:00:00"/>
    <n v="26447"/>
    <x v="718"/>
    <x v="713"/>
    <n v="10611"/>
    <n v="104"/>
    <s v="Regular Day"/>
    <x v="0"/>
  </r>
  <r>
    <d v="2018-12-28T00:00:00"/>
    <n v="21935"/>
    <x v="719"/>
    <x v="714"/>
    <n v="9410"/>
    <n v="111"/>
    <s v="Regular Day"/>
    <x v="0"/>
  </r>
  <r>
    <d v="2018-12-29T00:00:00"/>
    <n v="22570"/>
    <x v="720"/>
    <x v="715"/>
    <n v="9277"/>
    <n v="110"/>
    <s v="Regular Day"/>
    <x v="0"/>
  </r>
  <r>
    <d v="2018-12-30T00:00:00"/>
    <n v="22830"/>
    <x v="721"/>
    <x v="716"/>
    <n v="9741"/>
    <n v="107"/>
    <s v="Regular Day"/>
    <x v="0"/>
  </r>
  <r>
    <d v="2018-12-31T00:00:00"/>
    <n v="31358"/>
    <x v="722"/>
    <x v="717"/>
    <n v="11766"/>
    <n v="87"/>
    <s v="Regular Day"/>
    <x v="0"/>
  </r>
  <r>
    <d v="2019-01-01T00:00:00"/>
    <n v="21417"/>
    <x v="723"/>
    <x v="718"/>
    <n v="9724"/>
    <n v="108"/>
    <s v="Regular Day"/>
    <x v="0"/>
  </r>
  <r>
    <d v="2019-01-02T00:00:00"/>
    <n v="24533"/>
    <x v="724"/>
    <x v="719"/>
    <n v="10402"/>
    <n v="114"/>
    <s v="Regular Day"/>
    <x v="0"/>
  </r>
  <r>
    <d v="2019-01-03T00:00:00"/>
    <n v="24163"/>
    <x v="725"/>
    <x v="720"/>
    <n v="10426"/>
    <n v="111"/>
    <s v="Regular Day"/>
    <x v="0"/>
  </r>
  <r>
    <d v="2019-01-04T00:00:00"/>
    <n v="25232"/>
    <x v="726"/>
    <x v="721"/>
    <n v="11060"/>
    <n v="116"/>
    <s v="Regular Day"/>
    <x v="0"/>
  </r>
  <r>
    <d v="2019-01-05T00:00:00"/>
    <n v="20213"/>
    <x v="727"/>
    <x v="722"/>
    <n v="9472"/>
    <n v="110"/>
    <s v="Regular Day"/>
    <x v="0"/>
  </r>
  <r>
    <d v="2019-01-06T00:00:00"/>
    <n v="31493"/>
    <x v="728"/>
    <x v="723"/>
    <n v="13453"/>
    <n v="115"/>
    <s v="Regular Day"/>
    <x v="0"/>
  </r>
  <r>
    <d v="2019-01-07T00:00:00"/>
    <n v="29682"/>
    <x v="729"/>
    <x v="724"/>
    <n v="13857"/>
    <n v="105"/>
    <s v="Regular Day"/>
    <x v="0"/>
  </r>
  <r>
    <d v="2019-01-08T00:00:00"/>
    <n v="26337"/>
    <x v="730"/>
    <x v="725"/>
    <n v="11895"/>
    <n v="111"/>
    <s v="Regular Day"/>
    <x v="0"/>
  </r>
  <r>
    <d v="2019-01-09T00:00:00"/>
    <n v="31050"/>
    <x v="731"/>
    <x v="726"/>
    <n v="12763"/>
    <n v="111"/>
    <s v="Regular Day"/>
    <x v="0"/>
  </r>
  <r>
    <d v="2019-01-10T00:00:00"/>
    <n v="34999"/>
    <x v="732"/>
    <x v="727"/>
    <n v="13665"/>
    <n v="95"/>
    <s v="Regular Day"/>
    <x v="0"/>
  </r>
  <r>
    <d v="2019-01-11T00:00:00"/>
    <n v="31253"/>
    <x v="733"/>
    <x v="728"/>
    <n v="12814"/>
    <n v="96"/>
    <s v="Regular Day"/>
    <x v="0"/>
  </r>
  <r>
    <d v="2019-01-12T00:00:00"/>
    <n v="26998"/>
    <x v="734"/>
    <x v="729"/>
    <n v="11218"/>
    <n v="100"/>
    <s v="Regular Day"/>
    <x v="0"/>
  </r>
  <r>
    <d v="2019-01-13T00:00:00"/>
    <n v="34839"/>
    <x v="735"/>
    <x v="730"/>
    <n v="14006"/>
    <n v="111"/>
    <s v="Regular Day"/>
    <x v="0"/>
  </r>
  <r>
    <d v="2019-01-14T00:00:00"/>
    <n v="26990"/>
    <x v="736"/>
    <x v="731"/>
    <n v="11822"/>
    <n v="107"/>
    <s v="Regular Day"/>
    <x v="0"/>
  </r>
  <r>
    <d v="2019-01-15T00:00:00"/>
    <n v="29177"/>
    <x v="737"/>
    <x v="732"/>
    <n v="13010"/>
    <n v="121"/>
    <s v="Regular Day"/>
    <x v="0"/>
  </r>
  <r>
    <d v="2019-01-16T00:00:00"/>
    <n v="31616"/>
    <x v="738"/>
    <x v="733"/>
    <n v="13817"/>
    <n v="116"/>
    <s v="Regular Day"/>
    <x v="0"/>
  </r>
  <r>
    <d v="2019-01-17T00:00:00"/>
    <n v="58691"/>
    <x v="739"/>
    <x v="734"/>
    <n v="20785"/>
    <n v="83"/>
    <s v="Regular Day"/>
    <x v="0"/>
  </r>
  <r>
    <d v="2019-01-18T00:00:00"/>
    <n v="34227"/>
    <x v="740"/>
    <x v="735"/>
    <n v="14943"/>
    <n v="94"/>
    <s v="Regular Day"/>
    <x v="0"/>
  </r>
  <r>
    <d v="2019-01-19T00:00:00"/>
    <n v="26904"/>
    <x v="741"/>
    <x v="736"/>
    <n v="12299"/>
    <n v="102"/>
    <s v="Regular Day"/>
    <x v="0"/>
  </r>
  <r>
    <d v="2019-01-20T00:00:00"/>
    <n v="29118"/>
    <x v="742"/>
    <x v="737"/>
    <n v="13288"/>
    <n v="102"/>
    <s v="Regular Day"/>
    <x v="0"/>
  </r>
  <r>
    <d v="2019-01-21T00:00:00"/>
    <n v="29985"/>
    <x v="743"/>
    <x v="738"/>
    <n v="14055"/>
    <n v="106"/>
    <s v="Regular Day"/>
    <x v="0"/>
  </r>
  <r>
    <d v="2019-01-22T00:00:00"/>
    <n v="37440"/>
    <x v="744"/>
    <x v="739"/>
    <n v="16221"/>
    <n v="115"/>
    <s v="Regular Day"/>
    <x v="0"/>
  </r>
  <r>
    <d v="2019-01-23T00:00:00"/>
    <n v="31014"/>
    <x v="745"/>
    <x v="740"/>
    <n v="13962"/>
    <n v="113"/>
    <s v="Regular Day"/>
    <x v="0"/>
  </r>
  <r>
    <d v="2019-01-24T00:00:00"/>
    <n v="36353"/>
    <x v="746"/>
    <x v="741"/>
    <n v="15587"/>
    <n v="102"/>
    <s v="Regular Day"/>
    <x v="0"/>
  </r>
  <r>
    <d v="2019-01-25T00:00:00"/>
    <n v="31596"/>
    <x v="747"/>
    <x v="742"/>
    <n v="13727"/>
    <n v="96"/>
    <s v="Regular Day"/>
    <x v="0"/>
  </r>
  <r>
    <d v="2019-01-26T00:00:00"/>
    <n v="26408"/>
    <x v="748"/>
    <x v="743"/>
    <n v="12041"/>
    <n v="100"/>
    <s v="Regular Day"/>
    <x v="0"/>
  </r>
  <r>
    <d v="2019-01-27T00:00:00"/>
    <n v="28425"/>
    <x v="749"/>
    <x v="744"/>
    <n v="13547"/>
    <n v="105"/>
    <s v="Regular Day"/>
    <x v="0"/>
  </r>
  <r>
    <d v="2019-01-28T00:00:00"/>
    <n v="38114"/>
    <x v="750"/>
    <x v="745"/>
    <n v="17392"/>
    <n v="111"/>
    <s v="Regular Day"/>
    <x v="0"/>
  </r>
  <r>
    <d v="2019-01-29T00:00:00"/>
    <n v="36275"/>
    <x v="751"/>
    <x v="746"/>
    <n v="16815"/>
    <n v="108"/>
    <s v="Regular Day"/>
    <x v="0"/>
  </r>
  <r>
    <d v="2019-01-30T00:00:00"/>
    <n v="31155"/>
    <x v="752"/>
    <x v="747"/>
    <n v="14496"/>
    <n v="109"/>
    <s v="Regular Day"/>
    <x v="0"/>
  </r>
  <r>
    <d v="2019-01-31T00:00:00"/>
    <n v="34887"/>
    <x v="753"/>
    <x v="748"/>
    <n v="14862"/>
    <n v="114"/>
    <s v="Regular Day"/>
    <x v="0"/>
  </r>
  <r>
    <d v="2019-02-01T00:00:00"/>
    <n v="37613"/>
    <x v="754"/>
    <x v="749"/>
    <n v="16487"/>
    <n v="110"/>
    <s v="Regular Day"/>
    <x v="0"/>
  </r>
  <r>
    <d v="2019-02-02T00:00:00"/>
    <n v="34877"/>
    <x v="755"/>
    <x v="750"/>
    <n v="15325"/>
    <n v="112"/>
    <s v="Regular Day"/>
    <x v="0"/>
  </r>
  <r>
    <d v="2019-02-03T00:00:00"/>
    <n v="74796"/>
    <x v="756"/>
    <x v="751"/>
    <n v="32287"/>
    <n v="111"/>
    <s v="Regular Day"/>
    <x v="0"/>
  </r>
  <r>
    <d v="2019-02-04T00:00:00"/>
    <n v="80591"/>
    <x v="757"/>
    <x v="752"/>
    <n v="33800"/>
    <n v="115"/>
    <s v="Regular Day"/>
    <x v="0"/>
  </r>
  <r>
    <d v="2019-02-05T00:00:00"/>
    <n v="98345"/>
    <x v="758"/>
    <x v="753"/>
    <n v="39057"/>
    <n v="119"/>
    <s v="Regular Day"/>
    <x v="0"/>
  </r>
  <r>
    <d v="2019-02-06T00:00:00"/>
    <n v="101785"/>
    <x v="759"/>
    <x v="754"/>
    <n v="37676"/>
    <n v="115"/>
    <s v="Regular Day"/>
    <x v="0"/>
  </r>
  <r>
    <d v="2019-02-07T00:00:00"/>
    <n v="135879"/>
    <x v="760"/>
    <x v="755"/>
    <n v="52024"/>
    <n v="105"/>
    <s v="Regular Day"/>
    <x v="0"/>
  </r>
  <r>
    <d v="2019-02-08T00:00:00"/>
    <n v="168197"/>
    <x v="761"/>
    <x v="756"/>
    <n v="68979"/>
    <n v="109"/>
    <s v="Regular Day"/>
    <x v="0"/>
  </r>
  <r>
    <d v="2019-02-09T00:00:00"/>
    <n v="259145"/>
    <x v="762"/>
    <x v="757"/>
    <n v="118470"/>
    <n v="115"/>
    <s v="Regular Day"/>
    <x v="0"/>
  </r>
  <r>
    <d v="2019-02-10T00:00:00"/>
    <n v="2990487"/>
    <x v="763"/>
    <x v="758"/>
    <n v="1017249"/>
    <n v="283"/>
    <s v="Grammy Awards"/>
    <x v="0"/>
  </r>
  <r>
    <d v="2019-02-11T00:00:00"/>
    <n v="1539061"/>
    <x v="764"/>
    <x v="759"/>
    <n v="591345"/>
    <n v="133"/>
    <s v="Regular Day"/>
    <x v="0"/>
  </r>
  <r>
    <d v="2019-02-12T00:00:00"/>
    <n v="457474"/>
    <x v="765"/>
    <x v="760"/>
    <n v="194187"/>
    <n v="132"/>
    <s v="Regular Day"/>
    <x v="0"/>
  </r>
  <r>
    <d v="2019-02-13T00:00:00"/>
    <n v="581827"/>
    <x v="766"/>
    <x v="761"/>
    <n v="199640"/>
    <n v="105"/>
    <s v="Regular Day"/>
    <x v="0"/>
  </r>
  <r>
    <d v="2019-02-14T00:00:00"/>
    <n v="262693"/>
    <x v="767"/>
    <x v="762"/>
    <n v="110270"/>
    <n v="99"/>
    <s v="Regular Day"/>
    <x v="0"/>
  </r>
  <r>
    <d v="2019-02-15T00:00:00"/>
    <n v="160188"/>
    <x v="768"/>
    <x v="763"/>
    <n v="76035"/>
    <n v="104"/>
    <s v="Regular Day"/>
    <x v="0"/>
  </r>
  <r>
    <d v="2019-02-16T00:00:00"/>
    <n v="127694"/>
    <x v="769"/>
    <x v="764"/>
    <n v="62810"/>
    <n v="103"/>
    <s v="Regular Day"/>
    <x v="0"/>
  </r>
  <r>
    <d v="2019-02-17T00:00:00"/>
    <n v="108026"/>
    <x v="770"/>
    <x v="765"/>
    <n v="50791"/>
    <n v="102"/>
    <s v="Regular Day"/>
    <x v="0"/>
  </r>
  <r>
    <d v="2019-02-18T00:00:00"/>
    <n v="77774"/>
    <x v="771"/>
    <x v="766"/>
    <n v="36931"/>
    <n v="105"/>
    <s v="Regular Day"/>
    <x v="0"/>
  </r>
  <r>
    <d v="2019-02-19T00:00:00"/>
    <n v="65533"/>
    <x v="772"/>
    <x v="767"/>
    <n v="31971"/>
    <n v="108"/>
    <s v="Regular Day"/>
    <x v="0"/>
  </r>
  <r>
    <d v="2019-02-20T00:00:00"/>
    <n v="86186"/>
    <x v="773"/>
    <x v="768"/>
    <n v="39171"/>
    <n v="103"/>
    <s v="Regular Day"/>
    <x v="0"/>
  </r>
  <r>
    <d v="2019-02-21T00:00:00"/>
    <n v="69340"/>
    <x v="774"/>
    <x v="769"/>
    <n v="31802"/>
    <n v="101"/>
    <s v="Regular Day"/>
    <x v="0"/>
  </r>
  <r>
    <d v="2019-02-22T00:00:00"/>
    <n v="59623"/>
    <x v="775"/>
    <x v="770"/>
    <n v="27754"/>
    <n v="102"/>
    <s v="Regular Day"/>
    <x v="0"/>
  </r>
  <r>
    <d v="2019-02-23T00:00:00"/>
    <n v="84807"/>
    <x v="776"/>
    <x v="771"/>
    <n v="35767"/>
    <n v="117"/>
    <s v="Regular Day"/>
    <x v="0"/>
  </r>
  <r>
    <d v="2019-02-24T00:00:00"/>
    <n v="113431"/>
    <x v="777"/>
    <x v="772"/>
    <n v="48063"/>
    <n v="88"/>
    <s v="Regular Day"/>
    <x v="0"/>
  </r>
  <r>
    <d v="2019-02-25T00:00:00"/>
    <n v="102842"/>
    <x v="778"/>
    <x v="773"/>
    <n v="47912"/>
    <n v="86"/>
    <s v="Regular Day"/>
    <x v="0"/>
  </r>
  <r>
    <d v="2019-02-26T00:00:00"/>
    <n v="57188"/>
    <x v="779"/>
    <x v="774"/>
    <n v="28044"/>
    <n v="91"/>
    <s v="Regular Day"/>
    <x v="0"/>
  </r>
  <r>
    <d v="2019-02-27T00:00:00"/>
    <n v="202980"/>
    <x v="780"/>
    <x v="775"/>
    <n v="81722"/>
    <n v="106"/>
    <s v="Regular Day"/>
    <x v="0"/>
  </r>
  <r>
    <d v="2019-02-28T00:00:00"/>
    <n v="63723"/>
    <x v="781"/>
    <x v="776"/>
    <n v="32709"/>
    <n v="83"/>
    <s v="Regular Day"/>
    <x v="0"/>
  </r>
  <r>
    <d v="2019-03-01T00:00:00"/>
    <n v="50175"/>
    <x v="782"/>
    <x v="777"/>
    <n v="26544"/>
    <n v="80"/>
    <s v="Regular Day"/>
    <x v="0"/>
  </r>
  <r>
    <d v="2019-03-02T00:00:00"/>
    <n v="39966"/>
    <x v="783"/>
    <x v="778"/>
    <n v="20951"/>
    <n v="80"/>
    <s v="Regular Day"/>
    <x v="0"/>
  </r>
  <r>
    <d v="2019-03-03T00:00:00"/>
    <n v="33334"/>
    <x v="784"/>
    <x v="779"/>
    <n v="17289"/>
    <n v="84"/>
    <s v="Regular Day"/>
    <x v="0"/>
  </r>
  <r>
    <d v="2019-03-04T00:00:00"/>
    <n v="27474"/>
    <x v="785"/>
    <x v="780"/>
    <n v="15020"/>
    <n v="85"/>
    <s v="Regular Day"/>
    <x v="0"/>
  </r>
  <r>
    <d v="2019-03-05T00:00:00"/>
    <n v="23031"/>
    <x v="786"/>
    <x v="781"/>
    <n v="12856"/>
    <n v="82"/>
    <s v="Regular Day"/>
    <x v="0"/>
  </r>
  <r>
    <d v="2019-03-06T00:00:00"/>
    <n v="23428"/>
    <x v="787"/>
    <x v="782"/>
    <n v="12642"/>
    <n v="76"/>
    <s v="Regular Day"/>
    <x v="0"/>
  </r>
  <r>
    <d v="2019-03-07T00:00:00"/>
    <n v="28237"/>
    <x v="788"/>
    <x v="783"/>
    <n v="13923"/>
    <n v="103"/>
    <s v="Regular Day"/>
    <x v="0"/>
  </r>
  <r>
    <d v="2019-03-08T00:00:00"/>
    <n v="26165"/>
    <x v="789"/>
    <x v="784"/>
    <n v="13459"/>
    <n v="86"/>
    <s v="Regular Day"/>
    <x v="0"/>
  </r>
  <r>
    <d v="2019-03-09T00:00:00"/>
    <n v="24003"/>
    <x v="790"/>
    <x v="785"/>
    <n v="12135"/>
    <n v="77"/>
    <s v="Regular Day"/>
    <x v="0"/>
  </r>
  <r>
    <d v="2019-03-10T00:00:00"/>
    <n v="38020"/>
    <x v="791"/>
    <x v="786"/>
    <n v="18804"/>
    <n v="73"/>
    <s v="Regular Day"/>
    <x v="0"/>
  </r>
  <r>
    <d v="2019-03-11T00:00:00"/>
    <n v="26326"/>
    <x v="792"/>
    <x v="787"/>
    <n v="13478"/>
    <n v="82"/>
    <s v="Regular Day"/>
    <x v="0"/>
  </r>
  <r>
    <d v="2019-03-12T00:00:00"/>
    <n v="21661"/>
    <x v="793"/>
    <x v="788"/>
    <n v="11605"/>
    <n v="79"/>
    <s v="Regular Day"/>
    <x v="0"/>
  </r>
  <r>
    <d v="2019-03-13T00:00:00"/>
    <n v="23679"/>
    <x v="794"/>
    <x v="789"/>
    <n v="11821"/>
    <n v="77"/>
    <s v="Regular Day"/>
    <x v="0"/>
  </r>
  <r>
    <d v="2019-03-14T00:00:00"/>
    <n v="28496"/>
    <x v="795"/>
    <x v="790"/>
    <n v="14914"/>
    <n v="70"/>
    <s v="Regular Day"/>
    <x v="0"/>
  </r>
  <r>
    <d v="2019-03-15T00:00:00"/>
    <n v="21397"/>
    <x v="796"/>
    <x v="791"/>
    <n v="11964"/>
    <n v="72"/>
    <s v="Regular Day"/>
    <x v="0"/>
  </r>
  <r>
    <d v="2019-03-16T00:00:00"/>
    <n v="20086"/>
    <x v="797"/>
    <x v="792"/>
    <n v="11165"/>
    <n v="64"/>
    <s v="Regular Day"/>
    <x v="0"/>
  </r>
  <r>
    <d v="2019-03-17T00:00:00"/>
    <n v="17242"/>
    <x v="798"/>
    <x v="793"/>
    <n v="9491"/>
    <n v="74"/>
    <s v="Regular Day"/>
    <x v="0"/>
  </r>
  <r>
    <d v="2019-03-18T00:00:00"/>
    <n v="19456"/>
    <x v="799"/>
    <x v="794"/>
    <n v="10841"/>
    <n v="76"/>
    <s v="Regular Day"/>
    <x v="0"/>
  </r>
  <r>
    <d v="2019-03-19T00:00:00"/>
    <n v="20798"/>
    <x v="800"/>
    <x v="795"/>
    <n v="11204"/>
    <n v="71"/>
    <s v="Regular Day"/>
    <x v="0"/>
  </r>
  <r>
    <d v="2019-03-20T00:00:00"/>
    <n v="20993"/>
    <x v="801"/>
    <x v="796"/>
    <n v="11303"/>
    <n v="72"/>
    <s v="Regular Day"/>
    <x v="0"/>
  </r>
  <r>
    <d v="2019-03-21T00:00:00"/>
    <n v="17566"/>
    <x v="802"/>
    <x v="797"/>
    <n v="9597"/>
    <n v="75"/>
    <s v="Regular Day"/>
    <x v="0"/>
  </r>
  <r>
    <d v="2019-03-22T00:00:00"/>
    <n v="16062"/>
    <x v="803"/>
    <x v="798"/>
    <n v="9000"/>
    <n v="69"/>
    <s v="Regular Day"/>
    <x v="0"/>
  </r>
  <r>
    <d v="2019-03-23T00:00:00"/>
    <n v="15258"/>
    <x v="804"/>
    <x v="799"/>
    <n v="8319"/>
    <n v="69"/>
    <s v="Regular Day"/>
    <x v="0"/>
  </r>
  <r>
    <d v="2019-03-24T00:00:00"/>
    <n v="15189"/>
    <x v="805"/>
    <x v="800"/>
    <n v="8377"/>
    <n v="74"/>
    <s v="Regular Day"/>
    <x v="0"/>
  </r>
  <r>
    <d v="2019-03-25T00:00:00"/>
    <n v="16231"/>
    <x v="806"/>
    <x v="801"/>
    <n v="9059"/>
    <n v="76"/>
    <s v="Regular Day"/>
    <x v="0"/>
  </r>
  <r>
    <d v="2019-03-26T00:00:00"/>
    <n v="19386"/>
    <x v="807"/>
    <x v="802"/>
    <n v="9802"/>
    <n v="92"/>
    <s v="Regular Day"/>
    <x v="0"/>
  </r>
  <r>
    <d v="2019-03-27T00:00:00"/>
    <n v="17243"/>
    <x v="808"/>
    <x v="803"/>
    <n v="9381"/>
    <n v="76"/>
    <s v="Regular Day"/>
    <x v="0"/>
  </r>
  <r>
    <d v="2019-03-28T00:00:00"/>
    <n v="18838"/>
    <x v="809"/>
    <x v="804"/>
    <n v="9575"/>
    <n v="68"/>
    <s v="Regular Day"/>
    <x v="0"/>
  </r>
  <r>
    <d v="2019-03-29T00:00:00"/>
    <n v="16320"/>
    <x v="810"/>
    <x v="805"/>
    <n v="9154"/>
    <n v="68"/>
    <s v="Regular Day"/>
    <x v="0"/>
  </r>
  <r>
    <d v="2019-03-30T00:00:00"/>
    <n v="14453"/>
    <x v="653"/>
    <x v="806"/>
    <n v="7896"/>
    <n v="70"/>
    <s v="Regular Day"/>
    <x v="0"/>
  </r>
  <r>
    <d v="2019-03-31T00:00:00"/>
    <n v="16833"/>
    <x v="811"/>
    <x v="807"/>
    <n v="9569"/>
    <n v="66"/>
    <s v="Regular Day"/>
    <x v="0"/>
  </r>
  <r>
    <d v="2019-04-01T00:00:00"/>
    <n v="21656"/>
    <x v="812"/>
    <x v="808"/>
    <n v="13310"/>
    <n v="64"/>
    <s v="Regular Day"/>
    <x v="0"/>
  </r>
  <r>
    <d v="2019-04-02T00:00:00"/>
    <n v="17788"/>
    <x v="813"/>
    <x v="809"/>
    <n v="10001"/>
    <n v="74"/>
    <s v="Regular Day"/>
    <x v="0"/>
  </r>
  <r>
    <d v="2019-04-03T00:00:00"/>
    <n v="16558"/>
    <x v="814"/>
    <x v="810"/>
    <n v="9474"/>
    <n v="69"/>
    <s v="Regular Day"/>
    <x v="0"/>
  </r>
  <r>
    <d v="2019-04-04T00:00:00"/>
    <n v="18398"/>
    <x v="815"/>
    <x v="811"/>
    <n v="10264"/>
    <n v="64"/>
    <s v="Regular Day"/>
    <x v="0"/>
  </r>
  <r>
    <d v="2019-04-05T00:00:00"/>
    <n v="16889"/>
    <x v="816"/>
    <x v="812"/>
    <n v="9366"/>
    <n v="70"/>
    <s v="Regular Day"/>
    <x v="0"/>
  </r>
  <r>
    <d v="2019-04-06T00:00:00"/>
    <n v="13128"/>
    <x v="817"/>
    <x v="813"/>
    <n v="7132"/>
    <n v="73"/>
    <s v="Regular Day"/>
    <x v="0"/>
  </r>
  <r>
    <d v="2019-04-07T00:00:00"/>
    <n v="15262"/>
    <x v="818"/>
    <x v="814"/>
    <n v="8269"/>
    <n v="75"/>
    <s v="Regular Day"/>
    <x v="0"/>
  </r>
  <r>
    <d v="2019-04-08T00:00:00"/>
    <n v="16089"/>
    <x v="819"/>
    <x v="815"/>
    <n v="9267"/>
    <n v="80"/>
    <s v="Regular Day"/>
    <x v="0"/>
  </r>
  <r>
    <d v="2019-04-09T00:00:00"/>
    <n v="15928"/>
    <x v="820"/>
    <x v="816"/>
    <n v="8824"/>
    <n v="77"/>
    <s v="Regular Day"/>
    <x v="0"/>
  </r>
  <r>
    <d v="2019-04-10T00:00:00"/>
    <n v="14650"/>
    <x v="821"/>
    <x v="817"/>
    <n v="8228"/>
    <n v="82"/>
    <s v="Regular Day"/>
    <x v="0"/>
  </r>
  <r>
    <d v="2019-04-11T00:00:00"/>
    <n v="15700"/>
    <x v="822"/>
    <x v="818"/>
    <n v="8993"/>
    <n v="77"/>
    <s v="Regular Day"/>
    <x v="0"/>
  </r>
  <r>
    <d v="2019-04-12T00:00:00"/>
    <n v="24210"/>
    <x v="823"/>
    <x v="819"/>
    <n v="11286"/>
    <n v="72"/>
    <s v="Regular Day"/>
    <x v="0"/>
  </r>
  <r>
    <d v="2019-04-13T00:00:00"/>
    <n v="24621"/>
    <x v="824"/>
    <x v="820"/>
    <n v="11517"/>
    <n v="59"/>
    <s v="Regular Day"/>
    <x v="0"/>
  </r>
  <r>
    <d v="2019-04-14T00:00:00"/>
    <n v="18479"/>
    <x v="825"/>
    <x v="821"/>
    <n v="9684"/>
    <n v="70"/>
    <s v="Regular Day"/>
    <x v="0"/>
  </r>
  <r>
    <d v="2019-04-15T00:00:00"/>
    <n v="14331"/>
    <x v="826"/>
    <x v="822"/>
    <n v="8106"/>
    <n v="74"/>
    <s v="Regular Day"/>
    <x v="0"/>
  </r>
  <r>
    <d v="2019-04-16T00:00:00"/>
    <n v="15013"/>
    <x v="827"/>
    <x v="823"/>
    <n v="8217"/>
    <n v="75"/>
    <s v="Regular Day"/>
    <x v="0"/>
  </r>
  <r>
    <d v="2019-04-17T00:00:00"/>
    <n v="15252"/>
    <x v="828"/>
    <x v="824"/>
    <n v="8360"/>
    <n v="72"/>
    <s v="Regular Day"/>
    <x v="0"/>
  </r>
  <r>
    <d v="2019-04-18T00:00:00"/>
    <n v="15096"/>
    <x v="829"/>
    <x v="825"/>
    <n v="8175"/>
    <n v="72"/>
    <s v="Regular Day"/>
    <x v="0"/>
  </r>
  <r>
    <d v="2019-04-19T00:00:00"/>
    <n v="13852"/>
    <x v="830"/>
    <x v="826"/>
    <n v="7380"/>
    <n v="73"/>
    <s v="Regular Day"/>
    <x v="0"/>
  </r>
  <r>
    <d v="2019-04-20T00:00:00"/>
    <n v="13312"/>
    <x v="831"/>
    <x v="827"/>
    <n v="6961"/>
    <n v="70"/>
    <s v="Regular Day"/>
    <x v="0"/>
  </r>
  <r>
    <d v="2019-04-21T00:00:00"/>
    <n v="28803"/>
    <x v="832"/>
    <x v="828"/>
    <n v="11451"/>
    <n v="74"/>
    <s v="Regular Day"/>
    <x v="0"/>
  </r>
  <r>
    <d v="2019-04-22T00:00:00"/>
    <n v="20577"/>
    <x v="833"/>
    <x v="829"/>
    <n v="10084"/>
    <n v="85"/>
    <s v="Regular Day"/>
    <x v="0"/>
  </r>
  <r>
    <d v="2019-04-23T00:00:00"/>
    <n v="17208"/>
    <x v="834"/>
    <x v="830"/>
    <n v="8961"/>
    <n v="100"/>
    <s v="Regular Day"/>
    <x v="0"/>
  </r>
  <r>
    <d v="2019-04-24T00:00:00"/>
    <n v="13534"/>
    <x v="835"/>
    <x v="831"/>
    <n v="7540"/>
    <n v="90"/>
    <s v="Regular Day"/>
    <x v="0"/>
  </r>
  <r>
    <d v="2019-04-25T00:00:00"/>
    <n v="12814"/>
    <x v="836"/>
    <x v="832"/>
    <n v="7453"/>
    <n v="83"/>
    <s v="Regular Day"/>
    <x v="0"/>
  </r>
  <r>
    <d v="2019-04-26T00:00:00"/>
    <n v="12365"/>
    <x v="837"/>
    <x v="833"/>
    <n v="7167"/>
    <n v="83"/>
    <s v="Regular Day"/>
    <x v="0"/>
  </r>
  <r>
    <d v="2019-04-27T00:00:00"/>
    <n v="10679"/>
    <x v="838"/>
    <x v="834"/>
    <n v="6221"/>
    <n v="80"/>
    <s v="Regular Day"/>
    <x v="0"/>
  </r>
  <r>
    <d v="2019-04-28T00:00:00"/>
    <n v="10767"/>
    <x v="839"/>
    <x v="669"/>
    <n v="6060"/>
    <n v="84"/>
    <s v="Regular Day"/>
    <x v="0"/>
  </r>
  <r>
    <d v="2019-04-29T00:00:00"/>
    <n v="12443"/>
    <x v="840"/>
    <x v="835"/>
    <n v="7111"/>
    <n v="79"/>
    <s v="Regular Day"/>
    <x v="0"/>
  </r>
  <r>
    <d v="2019-04-30T00:00:00"/>
    <n v="12067"/>
    <x v="841"/>
    <x v="594"/>
    <n v="6988"/>
    <n v="77"/>
    <s v="Regular Day"/>
    <x v="0"/>
  </r>
  <r>
    <d v="2019-05-01T00:00:00"/>
    <n v="14844"/>
    <x v="842"/>
    <x v="836"/>
    <n v="8499"/>
    <n v="75"/>
    <s v="Regular Day"/>
    <x v="0"/>
  </r>
  <r>
    <d v="2019-05-02T00:00:00"/>
    <n v="15210"/>
    <x v="843"/>
    <x v="837"/>
    <n v="8672"/>
    <n v="73"/>
    <s v="Regular Day"/>
    <x v="0"/>
  </r>
  <r>
    <d v="2019-05-03T00:00:00"/>
    <n v="14414"/>
    <x v="844"/>
    <x v="838"/>
    <n v="8418"/>
    <n v="64"/>
    <s v="Regular Day"/>
    <x v="0"/>
  </r>
  <r>
    <d v="2019-05-04T00:00:00"/>
    <n v="20138"/>
    <x v="845"/>
    <x v="839"/>
    <n v="13744"/>
    <n v="54"/>
    <s v="Regular Day"/>
    <x v="0"/>
  </r>
  <r>
    <d v="2019-05-05T00:00:00"/>
    <n v="14305"/>
    <x v="846"/>
    <x v="840"/>
    <n v="7537"/>
    <n v="67"/>
    <s v="Regular Day"/>
    <x v="0"/>
  </r>
  <r>
    <d v="2019-05-06T00:00:00"/>
    <n v="14208"/>
    <x v="847"/>
    <x v="841"/>
    <n v="7882"/>
    <n v="75"/>
    <s v="Regular Day"/>
    <x v="0"/>
  </r>
  <r>
    <d v="2019-05-07T00:00:00"/>
    <n v="12787"/>
    <x v="554"/>
    <x v="842"/>
    <n v="7307"/>
    <n v="75"/>
    <s v="Regular Day"/>
    <x v="0"/>
  </r>
  <r>
    <d v="2019-05-08T00:00:00"/>
    <n v="11946"/>
    <x v="848"/>
    <x v="843"/>
    <n v="6925"/>
    <n v="77"/>
    <s v="Regular Day"/>
    <x v="0"/>
  </r>
  <r>
    <d v="2019-05-09T00:00:00"/>
    <n v="12415"/>
    <x v="849"/>
    <x v="844"/>
    <n v="6622"/>
    <n v="79"/>
    <s v="Regular Day"/>
    <x v="0"/>
  </r>
  <r>
    <d v="2019-05-10T00:00:00"/>
    <n v="11853"/>
    <x v="850"/>
    <x v="845"/>
    <n v="6412"/>
    <n v="79"/>
    <s v="Regular Day"/>
    <x v="0"/>
  </r>
  <r>
    <d v="2019-05-11T00:00:00"/>
    <n v="10256"/>
    <x v="851"/>
    <x v="846"/>
    <n v="5946"/>
    <n v="73"/>
    <s v="Regular Day"/>
    <x v="0"/>
  </r>
  <r>
    <d v="2019-05-12T00:00:00"/>
    <n v="9656"/>
    <x v="852"/>
    <x v="847"/>
    <n v="5692"/>
    <n v="77"/>
    <s v="Regular Day"/>
    <x v="0"/>
  </r>
  <r>
    <d v="2019-05-13T00:00:00"/>
    <n v="10554"/>
    <x v="853"/>
    <x v="848"/>
    <n v="6056"/>
    <n v="80"/>
    <s v="Regular Day"/>
    <x v="0"/>
  </r>
  <r>
    <d v="2019-05-14T00:00:00"/>
    <n v="11229"/>
    <x v="854"/>
    <x v="849"/>
    <n v="6574"/>
    <n v="80"/>
    <s v="Regular Day"/>
    <x v="0"/>
  </r>
  <r>
    <d v="2019-05-15T00:00:00"/>
    <n v="12654"/>
    <x v="855"/>
    <x v="850"/>
    <n v="7503"/>
    <n v="72"/>
    <s v="Regular Day"/>
    <x v="0"/>
  </r>
  <r>
    <d v="2019-05-16T00:00:00"/>
    <n v="11777"/>
    <x v="856"/>
    <x v="851"/>
    <n v="6830"/>
    <n v="73"/>
    <s v="Regular Day"/>
    <x v="0"/>
  </r>
  <r>
    <d v="2019-05-17T00:00:00"/>
    <n v="14610"/>
    <x v="857"/>
    <x v="852"/>
    <n v="7650"/>
    <n v="74"/>
    <s v="Regular Day"/>
    <x v="0"/>
  </r>
  <r>
    <d v="2019-05-18T00:00:00"/>
    <n v="12154"/>
    <x v="858"/>
    <x v="853"/>
    <n v="6306"/>
    <n v="75"/>
    <s v="Regular Day"/>
    <x v="0"/>
  </r>
  <r>
    <d v="2019-05-19T00:00:00"/>
    <n v="10019"/>
    <x v="859"/>
    <x v="854"/>
    <n v="5498"/>
    <n v="76"/>
    <s v="Regular Day"/>
    <x v="0"/>
  </r>
  <r>
    <d v="2019-05-20T00:00:00"/>
    <n v="11498"/>
    <x v="860"/>
    <x v="855"/>
    <n v="6271"/>
    <n v="76"/>
    <s v="Regular Day"/>
    <x v="0"/>
  </r>
  <r>
    <d v="2019-05-21T00:00:00"/>
    <n v="14228"/>
    <x v="861"/>
    <x v="856"/>
    <n v="6305"/>
    <n v="78"/>
    <s v="Regular Day"/>
    <x v="0"/>
  </r>
  <r>
    <d v="2019-05-22T00:00:00"/>
    <n v="12342"/>
    <x v="862"/>
    <x v="857"/>
    <n v="6589"/>
    <n v="76"/>
    <s v="Regular Day"/>
    <x v="0"/>
  </r>
  <r>
    <d v="2019-05-23T00:00:00"/>
    <n v="11233"/>
    <x v="863"/>
    <x v="858"/>
    <n v="6587"/>
    <n v="68"/>
    <s v="Regular Day"/>
    <x v="0"/>
  </r>
  <r>
    <d v="2019-05-24T00:00:00"/>
    <n v="10679"/>
    <x v="864"/>
    <x v="859"/>
    <n v="6255"/>
    <n v="70"/>
    <s v="Regular Day"/>
    <x v="0"/>
  </r>
  <r>
    <d v="2019-05-25T00:00:00"/>
    <n v="9352"/>
    <x v="865"/>
    <x v="860"/>
    <n v="5343"/>
    <n v="66"/>
    <s v="Regular Day"/>
    <x v="0"/>
  </r>
  <r>
    <d v="2019-05-26T00:00:00"/>
    <n v="9113"/>
    <x v="866"/>
    <x v="861"/>
    <n v="5126"/>
    <n v="78"/>
    <s v="Regular Day"/>
    <x v="0"/>
  </r>
  <r>
    <d v="2019-05-27T00:00:00"/>
    <n v="10675"/>
    <x v="867"/>
    <x v="862"/>
    <n v="5892"/>
    <n v="79"/>
    <s v="Regular Day"/>
    <x v="0"/>
  </r>
  <r>
    <d v="2019-05-28T00:00:00"/>
    <n v="11156"/>
    <x v="868"/>
    <x v="863"/>
    <n v="6412"/>
    <n v="85"/>
    <s v="Regular Day"/>
    <x v="0"/>
  </r>
  <r>
    <d v="2019-05-29T00:00:00"/>
    <n v="11724"/>
    <x v="869"/>
    <x v="864"/>
    <n v="6250"/>
    <n v="77"/>
    <s v="Regular Day"/>
    <x v="0"/>
  </r>
  <r>
    <d v="2019-05-30T00:00:00"/>
    <n v="10534"/>
    <x v="870"/>
    <x v="865"/>
    <n v="6215"/>
    <n v="76"/>
    <s v="Regular Day"/>
    <x v="0"/>
  </r>
  <r>
    <d v="2019-05-31T00:00:00"/>
    <n v="11459"/>
    <x v="871"/>
    <x v="866"/>
    <n v="7073"/>
    <n v="65"/>
    <s v="Regular Day"/>
    <x v="0"/>
  </r>
  <r>
    <d v="2019-06-01T00:00:00"/>
    <n v="10969"/>
    <x v="872"/>
    <x v="867"/>
    <n v="6242"/>
    <n v="69"/>
    <s v="Regular Day"/>
    <x v="0"/>
  </r>
  <r>
    <d v="2019-06-02T00:00:00"/>
    <n v="10684"/>
    <x v="873"/>
    <x v="868"/>
    <n v="5924"/>
    <n v="76"/>
    <s v="Regular Day"/>
    <x v="0"/>
  </r>
  <r>
    <d v="2019-06-03T00:00:00"/>
    <n v="11660"/>
    <x v="874"/>
    <x v="869"/>
    <n v="6807"/>
    <n v="77"/>
    <s v="Regular Day"/>
    <x v="0"/>
  </r>
  <r>
    <d v="2019-06-04T00:00:00"/>
    <n v="11449"/>
    <x v="875"/>
    <x v="870"/>
    <n v="6819"/>
    <n v="78"/>
    <s v="Regular Day"/>
    <x v="0"/>
  </r>
  <r>
    <d v="2019-06-05T00:00:00"/>
    <n v="11164"/>
    <x v="876"/>
    <x v="871"/>
    <n v="6803"/>
    <n v="78"/>
    <s v="Regular Day"/>
    <x v="0"/>
  </r>
  <r>
    <d v="2019-06-06T00:00:00"/>
    <n v="40281"/>
    <x v="877"/>
    <x v="872"/>
    <n v="13940"/>
    <n v="73"/>
    <s v="Regular Day"/>
    <x v="0"/>
  </r>
  <r>
    <d v="2019-06-07T00:00:00"/>
    <n v="18913"/>
    <x v="878"/>
    <x v="873"/>
    <n v="8981"/>
    <n v="67"/>
    <s v="Regular Day"/>
    <x v="0"/>
  </r>
  <r>
    <d v="2019-06-08T00:00:00"/>
    <n v="12351"/>
    <x v="879"/>
    <x v="874"/>
    <n v="6745"/>
    <n v="68"/>
    <s v="Regular Day"/>
    <x v="0"/>
  </r>
  <r>
    <d v="2019-06-09T00:00:00"/>
    <n v="13720"/>
    <x v="880"/>
    <x v="875"/>
    <n v="7307"/>
    <n v="75"/>
    <s v="Regular Day"/>
    <x v="0"/>
  </r>
  <r>
    <d v="2019-06-10T00:00:00"/>
    <n v="14512"/>
    <x v="881"/>
    <x v="876"/>
    <n v="7813"/>
    <n v="75"/>
    <s v="Regular Day"/>
    <x v="0"/>
  </r>
  <r>
    <d v="2019-06-11T00:00:00"/>
    <n v="14209"/>
    <x v="882"/>
    <x v="877"/>
    <n v="7159"/>
    <n v="83"/>
    <s v="Regular Day"/>
    <x v="0"/>
  </r>
  <r>
    <d v="2019-06-12T00:00:00"/>
    <n v="21372"/>
    <x v="883"/>
    <x v="878"/>
    <n v="8975"/>
    <n v="92"/>
    <s v="Regular Day"/>
    <x v="0"/>
  </r>
  <r>
    <d v="2019-06-13T00:00:00"/>
    <n v="19877"/>
    <x v="884"/>
    <x v="879"/>
    <n v="12664"/>
    <n v="66"/>
    <s v="Regular Day"/>
    <x v="0"/>
  </r>
  <r>
    <d v="2019-06-14T00:00:00"/>
    <n v="14693"/>
    <x v="885"/>
    <x v="880"/>
    <n v="9417"/>
    <n v="60"/>
    <s v="Regular Day"/>
    <x v="0"/>
  </r>
  <r>
    <d v="2019-06-15T00:00:00"/>
    <n v="11110"/>
    <x v="886"/>
    <x v="492"/>
    <n v="6897"/>
    <n v="60"/>
    <s v="Regular Day"/>
    <x v="0"/>
  </r>
  <r>
    <d v="2019-06-16T00:00:00"/>
    <n v="10239"/>
    <x v="887"/>
    <x v="881"/>
    <n v="5951"/>
    <n v="77"/>
    <s v="Regular Day"/>
    <x v="0"/>
  </r>
  <r>
    <d v="2019-06-17T00:00:00"/>
    <n v="11403"/>
    <x v="888"/>
    <x v="275"/>
    <n v="6839"/>
    <n v="71"/>
    <s v="Regular Day"/>
    <x v="0"/>
  </r>
  <r>
    <d v="2019-06-18T00:00:00"/>
    <n v="11317"/>
    <x v="889"/>
    <x v="882"/>
    <n v="6490"/>
    <n v="73"/>
    <s v="Regular Day"/>
    <x v="0"/>
  </r>
  <r>
    <d v="2019-06-19T00:00:00"/>
    <n v="11584"/>
    <x v="890"/>
    <x v="883"/>
    <n v="6772"/>
    <n v="75"/>
    <s v="Regular Day"/>
    <x v="0"/>
  </r>
  <r>
    <d v="2019-06-20T00:00:00"/>
    <n v="15610"/>
    <x v="891"/>
    <x v="884"/>
    <n v="9278"/>
    <n v="68"/>
    <s v="Regular Day"/>
    <x v="0"/>
  </r>
  <r>
    <d v="2019-06-21T00:00:00"/>
    <n v="14676"/>
    <x v="892"/>
    <x v="885"/>
    <n v="7635"/>
    <n v="72"/>
    <s v="Regular Day"/>
    <x v="0"/>
  </r>
  <r>
    <d v="2019-06-22T00:00:00"/>
    <n v="14357"/>
    <x v="893"/>
    <x v="886"/>
    <n v="7527"/>
    <n v="67"/>
    <s v="Regular Day"/>
    <x v="0"/>
  </r>
  <r>
    <d v="2019-06-23T00:00:00"/>
    <n v="12298"/>
    <x v="894"/>
    <x v="887"/>
    <n v="6842"/>
    <n v="73"/>
    <s v="Regular Day"/>
    <x v="0"/>
  </r>
  <r>
    <d v="2019-06-24T00:00:00"/>
    <n v="12318"/>
    <x v="895"/>
    <x v="888"/>
    <n v="6786"/>
    <n v="84"/>
    <s v="Regular Day"/>
    <x v="0"/>
  </r>
  <r>
    <d v="2019-06-25T00:00:00"/>
    <n v="18073"/>
    <x v="896"/>
    <x v="889"/>
    <n v="9631"/>
    <n v="69"/>
    <s v="Regular Day"/>
    <x v="0"/>
  </r>
  <r>
    <d v="2019-06-26T00:00:00"/>
    <n v="14551"/>
    <x v="897"/>
    <x v="890"/>
    <n v="7535"/>
    <n v="75"/>
    <s v="Regular Day"/>
    <x v="0"/>
  </r>
  <r>
    <d v="2019-06-27T00:00:00"/>
    <n v="16932"/>
    <x v="898"/>
    <x v="891"/>
    <n v="6871"/>
    <n v="82"/>
    <s v="Regular Day"/>
    <x v="0"/>
  </r>
  <r>
    <d v="2019-06-28T00:00:00"/>
    <n v="13384"/>
    <x v="899"/>
    <x v="892"/>
    <n v="6244"/>
    <n v="91"/>
    <s v="Regular Day"/>
    <x v="0"/>
  </r>
  <r>
    <d v="2019-06-29T00:00:00"/>
    <n v="11742"/>
    <x v="900"/>
    <x v="893"/>
    <n v="7238"/>
    <n v="73"/>
    <s v="Regular Day"/>
    <x v="0"/>
  </r>
  <r>
    <d v="2019-06-30T00:00:00"/>
    <n v="10061"/>
    <x v="901"/>
    <x v="894"/>
    <n v="5778"/>
    <n v="77"/>
    <s v="Regular Day"/>
    <x v="0"/>
  </r>
  <r>
    <d v="2019-07-01T00:00:00"/>
    <n v="10324"/>
    <x v="902"/>
    <x v="895"/>
    <n v="5762"/>
    <n v="86"/>
    <s v="Regular Day"/>
    <x v="0"/>
  </r>
  <r>
    <d v="2019-07-02T00:00:00"/>
    <n v="10654"/>
    <x v="903"/>
    <x v="669"/>
    <n v="5942"/>
    <n v="86"/>
    <s v="Regular Day"/>
    <x v="0"/>
  </r>
  <r>
    <d v="2019-07-03T00:00:00"/>
    <n v="10118"/>
    <x v="904"/>
    <x v="896"/>
    <n v="5596"/>
    <n v="87"/>
    <s v="Regular Day"/>
    <x v="0"/>
  </r>
  <r>
    <d v="2019-07-04T00:00:00"/>
    <n v="9032"/>
    <x v="905"/>
    <x v="573"/>
    <n v="5037"/>
    <n v="76"/>
    <s v="Regular Day"/>
    <x v="0"/>
  </r>
  <r>
    <d v="2019-07-05T00:00:00"/>
    <n v="8669"/>
    <x v="906"/>
    <x v="897"/>
    <n v="5110"/>
    <n v="79"/>
    <s v="Regular Day"/>
    <x v="0"/>
  </r>
  <r>
    <d v="2019-07-06T00:00:00"/>
    <n v="9850"/>
    <x v="624"/>
    <x v="898"/>
    <n v="5994"/>
    <n v="71"/>
    <s v="Regular Day"/>
    <x v="0"/>
  </r>
  <r>
    <d v="2019-07-07T00:00:00"/>
    <n v="13922"/>
    <x v="907"/>
    <x v="899"/>
    <n v="7414"/>
    <n v="69"/>
    <s v="Regular Day"/>
    <x v="0"/>
  </r>
  <r>
    <d v="2019-07-08T00:00:00"/>
    <n v="10866"/>
    <x v="287"/>
    <x v="900"/>
    <n v="6182"/>
    <n v="82"/>
    <s v="Regular Day"/>
    <x v="0"/>
  </r>
  <r>
    <d v="2019-07-09T00:00:00"/>
    <n v="9491"/>
    <x v="908"/>
    <x v="901"/>
    <n v="5350"/>
    <n v="86"/>
    <s v="Regular Day"/>
    <x v="0"/>
  </r>
  <r>
    <d v="2019-07-10T00:00:00"/>
    <n v="11413"/>
    <x v="909"/>
    <x v="902"/>
    <n v="6645"/>
    <n v="81"/>
    <s v="Regular Day"/>
    <x v="0"/>
  </r>
  <r>
    <d v="2019-07-11T00:00:00"/>
    <n v="11903"/>
    <x v="910"/>
    <x v="903"/>
    <n v="6428"/>
    <n v="98"/>
    <s v="Regular Day"/>
    <x v="0"/>
  </r>
  <r>
    <d v="2019-07-12T00:00:00"/>
    <n v="10895"/>
    <x v="911"/>
    <x v="904"/>
    <n v="5898"/>
    <n v="80"/>
    <s v="Regular Day"/>
    <x v="0"/>
  </r>
  <r>
    <d v="2019-07-13T00:00:00"/>
    <n v="10120"/>
    <x v="912"/>
    <x v="905"/>
    <n v="5644"/>
    <n v="73"/>
    <s v="Regular Day"/>
    <x v="0"/>
  </r>
  <r>
    <d v="2019-07-14T00:00:00"/>
    <n v="9949"/>
    <x v="913"/>
    <x v="906"/>
    <n v="5364"/>
    <n v="75"/>
    <s v="Regular Day"/>
    <x v="0"/>
  </r>
  <r>
    <d v="2019-07-15T00:00:00"/>
    <n v="9841"/>
    <x v="914"/>
    <x v="907"/>
    <n v="5722"/>
    <n v="80"/>
    <s v="Regular Day"/>
    <x v="0"/>
  </r>
  <r>
    <d v="2019-07-16T00:00:00"/>
    <n v="4176"/>
    <x v="915"/>
    <x v="908"/>
    <n v="1376"/>
    <n v="76"/>
    <s v="Regular Day"/>
    <x v="0"/>
  </r>
  <r>
    <d v="2019-07-17T00:00:00"/>
    <n v="12091"/>
    <x v="916"/>
    <x v="909"/>
    <n v="6599"/>
    <n v="78"/>
    <s v="Regular Day"/>
    <x v="0"/>
  </r>
  <r>
    <d v="2019-07-18T00:00:00"/>
    <n v="11985"/>
    <x v="917"/>
    <x v="659"/>
    <n v="6887"/>
    <n v="73"/>
    <s v="Regular Day"/>
    <x v="0"/>
  </r>
  <r>
    <d v="2019-07-19T00:00:00"/>
    <n v="13587"/>
    <x v="918"/>
    <x v="910"/>
    <n v="6992"/>
    <n v="68"/>
    <s v="Regular Day"/>
    <x v="0"/>
  </r>
  <r>
    <d v="2019-07-20T00:00:00"/>
    <n v="20035"/>
    <x v="919"/>
    <x v="911"/>
    <n v="8817"/>
    <n v="62"/>
    <s v="Regular Day"/>
    <x v="0"/>
  </r>
  <r>
    <d v="2019-07-21T00:00:00"/>
    <n v="14439"/>
    <x v="920"/>
    <x v="912"/>
    <n v="7372"/>
    <n v="63"/>
    <s v="Regular Day"/>
    <x v="0"/>
  </r>
  <r>
    <d v="2019-07-22T00:00:00"/>
    <n v="12337"/>
    <x v="921"/>
    <x v="913"/>
    <n v="6840"/>
    <n v="77"/>
    <s v="Regular Day"/>
    <x v="0"/>
  </r>
  <r>
    <d v="2019-07-23T00:00:00"/>
    <n v="15058"/>
    <x v="922"/>
    <x v="914"/>
    <n v="8629"/>
    <n v="84"/>
    <s v="Regular Day"/>
    <x v="0"/>
  </r>
  <r>
    <d v="2019-07-24T00:00:00"/>
    <n v="12571"/>
    <x v="923"/>
    <x v="915"/>
    <n v="6632"/>
    <n v="94"/>
    <s v="Regular Day"/>
    <x v="0"/>
  </r>
  <r>
    <d v="2019-07-25T00:00:00"/>
    <n v="10667"/>
    <x v="924"/>
    <x v="916"/>
    <n v="6345"/>
    <n v="78"/>
    <s v="Regular Day"/>
    <x v="0"/>
  </r>
  <r>
    <d v="2019-07-26T00:00:00"/>
    <n v="10266"/>
    <x v="925"/>
    <x v="917"/>
    <n v="6336"/>
    <n v="73"/>
    <s v="Regular Day"/>
    <x v="0"/>
  </r>
  <r>
    <d v="2019-07-27T00:00:00"/>
    <n v="10433"/>
    <x v="926"/>
    <x v="918"/>
    <n v="6044"/>
    <n v="70"/>
    <s v="Regular Day"/>
    <x v="0"/>
  </r>
  <r>
    <d v="2019-07-28T00:00:00"/>
    <n v="10215"/>
    <x v="534"/>
    <x v="919"/>
    <n v="5948"/>
    <n v="72"/>
    <s v="Regular Day"/>
    <x v="0"/>
  </r>
  <r>
    <d v="2019-07-29T00:00:00"/>
    <n v="13938"/>
    <x v="927"/>
    <x v="920"/>
    <n v="7304"/>
    <n v="93"/>
    <s v="Regular Day"/>
    <x v="0"/>
  </r>
  <r>
    <d v="2019-07-30T00:00:00"/>
    <n v="5964"/>
    <x v="928"/>
    <x v="921"/>
    <n v="2467"/>
    <n v="86"/>
    <s v="Regular Day"/>
    <x v="0"/>
  </r>
  <r>
    <d v="2019-07-31T00:00:00"/>
    <n v="11359"/>
    <x v="929"/>
    <x v="922"/>
    <n v="6786"/>
    <n v="76"/>
    <s v="Regular Day"/>
    <x v="0"/>
  </r>
  <r>
    <d v="2019-08-01T00:00:00"/>
    <n v="12507"/>
    <x v="930"/>
    <x v="923"/>
    <n v="7699"/>
    <n v="83"/>
    <s v="Regular Day"/>
    <x v="0"/>
  </r>
  <r>
    <d v="2019-08-02T00:00:00"/>
    <n v="10905"/>
    <x v="931"/>
    <x v="924"/>
    <n v="6287"/>
    <n v="84"/>
    <s v="Regular Day"/>
    <x v="0"/>
  </r>
  <r>
    <d v="2019-08-03T00:00:00"/>
    <n v="9087"/>
    <x v="932"/>
    <x v="925"/>
    <n v="5531"/>
    <n v="76"/>
    <s v="Regular Day"/>
    <x v="0"/>
  </r>
  <r>
    <d v="2019-08-04T00:00:00"/>
    <n v="9963"/>
    <x v="933"/>
    <x v="926"/>
    <n v="5656"/>
    <n v="79"/>
    <s v="Regular Day"/>
    <x v="0"/>
  </r>
  <r>
    <d v="2019-08-05T00:00:00"/>
    <n v="12422"/>
    <x v="934"/>
    <x v="927"/>
    <n v="6728"/>
    <n v="70"/>
    <s v="Regular Day"/>
    <x v="0"/>
  </r>
  <r>
    <d v="2019-08-06T00:00:00"/>
    <n v="11118"/>
    <x v="935"/>
    <x v="928"/>
    <n v="6032"/>
    <n v="76"/>
    <s v="Regular Day"/>
    <x v="0"/>
  </r>
  <r>
    <d v="2019-08-07T00:00:00"/>
    <n v="10262"/>
    <x v="936"/>
    <x v="929"/>
    <n v="5969"/>
    <n v="75"/>
    <s v="Regular Day"/>
    <x v="0"/>
  </r>
  <r>
    <d v="2019-08-08T00:00:00"/>
    <n v="14950"/>
    <x v="937"/>
    <x v="930"/>
    <n v="7302"/>
    <n v="81"/>
    <s v="Regular Day"/>
    <x v="0"/>
  </r>
  <r>
    <d v="2019-08-09T00:00:00"/>
    <n v="15261"/>
    <x v="938"/>
    <x v="931"/>
    <n v="7469"/>
    <n v="97"/>
    <s v="Regular Day"/>
    <x v="0"/>
  </r>
  <r>
    <d v="2019-08-10T00:00:00"/>
    <n v="12390"/>
    <x v="939"/>
    <x v="932"/>
    <n v="6527"/>
    <n v="93"/>
    <s v="Regular Day"/>
    <x v="0"/>
  </r>
  <r>
    <d v="2019-08-11T00:00:00"/>
    <n v="10405"/>
    <x v="940"/>
    <x v="933"/>
    <n v="5914"/>
    <n v="79"/>
    <s v="Regular Day"/>
    <x v="0"/>
  </r>
  <r>
    <d v="2019-08-12T00:00:00"/>
    <n v="18366"/>
    <x v="941"/>
    <x v="934"/>
    <n v="7647"/>
    <n v="76"/>
    <s v="Regular Day"/>
    <x v="0"/>
  </r>
  <r>
    <d v="2019-08-13T00:00:00"/>
    <n v="22868"/>
    <x v="942"/>
    <x v="935"/>
    <n v="10105"/>
    <n v="65"/>
    <s v="Regular Day"/>
    <x v="0"/>
  </r>
  <r>
    <d v="2019-08-14T00:00:00"/>
    <n v="12030"/>
    <x v="943"/>
    <x v="936"/>
    <n v="6909"/>
    <n v="69"/>
    <s v="Regular Day"/>
    <x v="0"/>
  </r>
  <r>
    <d v="2019-08-15T00:00:00"/>
    <n v="12000"/>
    <x v="944"/>
    <x v="937"/>
    <n v="6537"/>
    <n v="91"/>
    <s v="Regular Day"/>
    <x v="0"/>
  </r>
  <r>
    <d v="2019-08-16T00:00:00"/>
    <n v="11373"/>
    <x v="945"/>
    <x v="938"/>
    <n v="6860"/>
    <n v="74"/>
    <s v="Regular Day"/>
    <x v="0"/>
  </r>
  <r>
    <d v="2019-08-17T00:00:00"/>
    <n v="9070"/>
    <x v="946"/>
    <x v="939"/>
    <n v="5355"/>
    <n v="79"/>
    <s v="Regular Day"/>
    <x v="0"/>
  </r>
  <r>
    <d v="2019-08-18T00:00:00"/>
    <n v="8840"/>
    <x v="947"/>
    <x v="940"/>
    <n v="5178"/>
    <n v="80"/>
    <s v="Regular Day"/>
    <x v="0"/>
  </r>
  <r>
    <d v="2019-08-19T00:00:00"/>
    <n v="9310"/>
    <x v="948"/>
    <x v="941"/>
    <n v="5643"/>
    <n v="76"/>
    <s v="Regular Day"/>
    <x v="0"/>
  </r>
  <r>
    <d v="2019-08-20T00:00:00"/>
    <n v="10197"/>
    <x v="949"/>
    <x v="942"/>
    <n v="5819"/>
    <n v="71"/>
    <s v="Regular Day"/>
    <x v="0"/>
  </r>
  <r>
    <d v="2019-08-21T00:00:00"/>
    <n v="11365"/>
    <x v="861"/>
    <x v="943"/>
    <n v="6092"/>
    <n v="68"/>
    <s v="Regular Day"/>
    <x v="0"/>
  </r>
  <r>
    <d v="2019-08-22T00:00:00"/>
    <n v="9347"/>
    <x v="950"/>
    <x v="944"/>
    <n v="4378"/>
    <n v="76"/>
    <s v="Regular Day"/>
    <x v="0"/>
  </r>
  <r>
    <d v="2019-08-23T00:00:00"/>
    <n v="8160"/>
    <x v="951"/>
    <x v="945"/>
    <n v="4174"/>
    <n v="73"/>
    <s v="Regular Day"/>
    <x v="0"/>
  </r>
  <r>
    <d v="2019-08-24T00:00:00"/>
    <n v="7001"/>
    <x v="952"/>
    <x v="946"/>
    <n v="3539"/>
    <n v="79"/>
    <s v="Regular Day"/>
    <x v="0"/>
  </r>
  <r>
    <d v="2019-08-25T00:00:00"/>
    <n v="6959"/>
    <x v="953"/>
    <x v="947"/>
    <n v="3515"/>
    <n v="76"/>
    <s v="Regular Day"/>
    <x v="0"/>
  </r>
  <r>
    <d v="2019-08-26T00:00:00"/>
    <n v="8033"/>
    <x v="954"/>
    <x v="948"/>
    <n v="4072"/>
    <n v="83"/>
    <s v="Regular Day"/>
    <x v="0"/>
  </r>
  <r>
    <d v="2019-08-27T00:00:00"/>
    <n v="8315"/>
    <x v="955"/>
    <x v="949"/>
    <n v="4307"/>
    <n v="81"/>
    <s v="Regular Day"/>
    <x v="0"/>
  </r>
  <r>
    <d v="2019-08-28T00:00:00"/>
    <n v="16128"/>
    <x v="956"/>
    <x v="950"/>
    <n v="8092"/>
    <n v="65"/>
    <s v="Regular Day"/>
    <x v="0"/>
  </r>
  <r>
    <d v="2019-08-29T00:00:00"/>
    <n v="12813"/>
    <x v="957"/>
    <x v="951"/>
    <n v="6553"/>
    <n v="75"/>
    <s v="Regular Day"/>
    <x v="0"/>
  </r>
  <r>
    <d v="2019-08-30T00:00:00"/>
    <n v="10930"/>
    <x v="958"/>
    <x v="516"/>
    <n v="5591"/>
    <n v="75"/>
    <s v="Regular Day"/>
    <x v="0"/>
  </r>
  <r>
    <d v="2019-08-31T00:00:00"/>
    <n v="14794"/>
    <x v="959"/>
    <x v="952"/>
    <n v="4947"/>
    <n v="50"/>
    <s v="Regular Day"/>
    <x v="0"/>
  </r>
  <r>
    <d v="2019-09-01T00:00:00"/>
    <n v="14627"/>
    <x v="960"/>
    <x v="953"/>
    <n v="4827"/>
    <n v="49"/>
    <s v="Regular Day"/>
    <x v="0"/>
  </r>
  <r>
    <d v="2019-09-02T00:00:00"/>
    <n v="8695"/>
    <x v="961"/>
    <x v="954"/>
    <n v="4346"/>
    <n v="79"/>
    <s v="Regular Day"/>
    <x v="0"/>
  </r>
  <r>
    <d v="2019-09-03T00:00:00"/>
    <n v="8340"/>
    <x v="962"/>
    <x v="955"/>
    <n v="4285"/>
    <n v="80"/>
    <s v="Regular Day"/>
    <x v="0"/>
  </r>
  <r>
    <d v="2019-09-04T00:00:00"/>
    <n v="10296"/>
    <x v="963"/>
    <x v="956"/>
    <n v="4909"/>
    <n v="73"/>
    <s v="Regular Day"/>
    <x v="0"/>
  </r>
  <r>
    <d v="2019-09-05T00:00:00"/>
    <n v="25821"/>
    <x v="964"/>
    <x v="957"/>
    <n v="8042"/>
    <n v="86"/>
    <s v="Regular Day"/>
    <x v="0"/>
  </r>
  <r>
    <d v="2019-09-06T00:00:00"/>
    <n v="11170"/>
    <x v="965"/>
    <x v="958"/>
    <n v="5360"/>
    <n v="79"/>
    <s v="Regular Day"/>
    <x v="0"/>
  </r>
  <r>
    <d v="2019-09-07T00:00:00"/>
    <n v="10037"/>
    <x v="966"/>
    <x v="959"/>
    <n v="4615"/>
    <n v="80"/>
    <s v="Regular Day"/>
    <x v="0"/>
  </r>
  <r>
    <d v="2019-09-08T00:00:00"/>
    <n v="9921"/>
    <x v="967"/>
    <x v="960"/>
    <n v="4307"/>
    <n v="79"/>
    <s v="Regular Day"/>
    <x v="0"/>
  </r>
  <r>
    <d v="2019-09-09T00:00:00"/>
    <n v="7993"/>
    <x v="578"/>
    <x v="961"/>
    <n v="4135"/>
    <n v="83"/>
    <s v="Regular Day"/>
    <x v="0"/>
  </r>
  <r>
    <d v="2019-09-10T00:00:00"/>
    <n v="7871"/>
    <x v="968"/>
    <x v="962"/>
    <n v="3829"/>
    <n v="91"/>
    <s v="Regular Day"/>
    <x v="0"/>
  </r>
  <r>
    <d v="2019-09-11T00:00:00"/>
    <n v="15129"/>
    <x v="969"/>
    <x v="963"/>
    <n v="7896"/>
    <n v="91"/>
    <s v="Regular Day"/>
    <x v="0"/>
  </r>
  <r>
    <d v="2019-09-12T00:00:00"/>
    <n v="11051"/>
    <x v="970"/>
    <x v="964"/>
    <n v="5312"/>
    <n v="91"/>
    <s v="Regular Day"/>
    <x v="0"/>
  </r>
  <r>
    <d v="2019-09-13T00:00:00"/>
    <n v="18065"/>
    <x v="971"/>
    <x v="965"/>
    <n v="12083"/>
    <n v="54"/>
    <s v="Regular Day"/>
    <x v="0"/>
  </r>
  <r>
    <d v="2019-09-14T00:00:00"/>
    <n v="23228"/>
    <x v="972"/>
    <x v="966"/>
    <n v="17495"/>
    <n v="37"/>
    <s v="Regular Day"/>
    <x v="0"/>
  </r>
  <r>
    <d v="2019-09-15T00:00:00"/>
    <n v="18797"/>
    <x v="973"/>
    <x v="967"/>
    <n v="13640"/>
    <n v="44"/>
    <s v="Regular Day"/>
    <x v="0"/>
  </r>
  <r>
    <d v="2019-09-16T00:00:00"/>
    <n v="14136"/>
    <x v="974"/>
    <x v="968"/>
    <n v="9333"/>
    <n v="57"/>
    <s v="Regular Day"/>
    <x v="0"/>
  </r>
  <r>
    <d v="2019-09-17T00:00:00"/>
    <n v="9528"/>
    <x v="975"/>
    <x v="969"/>
    <n v="5203"/>
    <n v="76"/>
    <s v="Regular Day"/>
    <x v="0"/>
  </r>
  <r>
    <d v="2019-09-18T00:00:00"/>
    <n v="9187"/>
    <x v="976"/>
    <x v="970"/>
    <n v="4671"/>
    <n v="77"/>
    <s v="Regular Day"/>
    <x v="0"/>
  </r>
  <r>
    <d v="2019-09-19T00:00:00"/>
    <n v="9078"/>
    <x v="977"/>
    <x v="971"/>
    <n v="4570"/>
    <n v="83"/>
    <s v="Regular Day"/>
    <x v="0"/>
  </r>
  <r>
    <d v="2019-09-20T00:00:00"/>
    <n v="10102"/>
    <x v="978"/>
    <x v="972"/>
    <n v="5333"/>
    <n v="74"/>
    <s v="Regular Day"/>
    <x v="0"/>
  </r>
  <r>
    <d v="2019-09-21T00:00:00"/>
    <n v="10161"/>
    <x v="979"/>
    <x v="973"/>
    <n v="5251"/>
    <n v="73"/>
    <s v="Regular Day"/>
    <x v="0"/>
  </r>
  <r>
    <d v="2019-09-22T00:00:00"/>
    <n v="13074"/>
    <x v="980"/>
    <x v="974"/>
    <n v="6246"/>
    <n v="68"/>
    <s v="Regular Day"/>
    <x v="0"/>
  </r>
  <r>
    <d v="2019-09-23T00:00:00"/>
    <n v="11947"/>
    <x v="981"/>
    <x v="975"/>
    <n v="6304"/>
    <n v="75"/>
    <s v="Regular Day"/>
    <x v="0"/>
  </r>
  <r>
    <d v="2019-09-24T00:00:00"/>
    <n v="27064"/>
    <x v="982"/>
    <x v="976"/>
    <n v="8150"/>
    <n v="63"/>
    <s v="Regular Day"/>
    <x v="0"/>
  </r>
  <r>
    <d v="2019-09-25T00:00:00"/>
    <n v="20065"/>
    <x v="983"/>
    <x v="977"/>
    <n v="8656"/>
    <n v="81"/>
    <s v="Regular Day"/>
    <x v="0"/>
  </r>
  <r>
    <d v="2019-09-26T00:00:00"/>
    <n v="16694"/>
    <x v="984"/>
    <x v="978"/>
    <n v="8117"/>
    <n v="72"/>
    <s v="Regular Day"/>
    <x v="0"/>
  </r>
  <r>
    <d v="2019-09-27T00:00:00"/>
    <n v="13417"/>
    <x v="985"/>
    <x v="979"/>
    <n v="6703"/>
    <n v="73"/>
    <s v="Regular Day"/>
    <x v="0"/>
  </r>
  <r>
    <d v="2019-09-28T00:00:00"/>
    <n v="11283"/>
    <x v="986"/>
    <x v="980"/>
    <n v="5695"/>
    <n v="78"/>
    <s v="Regular Day"/>
    <x v="0"/>
  </r>
  <r>
    <d v="2019-09-29T00:00:00"/>
    <n v="10719"/>
    <x v="987"/>
    <x v="981"/>
    <n v="5537"/>
    <n v="77"/>
    <s v="Regular Day"/>
    <x v="0"/>
  </r>
  <r>
    <d v="2019-09-30T00:00:00"/>
    <n v="11582"/>
    <x v="988"/>
    <x v="982"/>
    <n v="5776"/>
    <n v="81"/>
    <s v="Regular Day"/>
    <x v="0"/>
  </r>
  <r>
    <d v="2019-10-01T00:00:00"/>
    <n v="12212"/>
    <x v="989"/>
    <x v="983"/>
    <n v="5960"/>
    <n v="76"/>
    <s v="Regular Day"/>
    <x v="0"/>
  </r>
  <r>
    <d v="2019-10-02T00:00:00"/>
    <n v="11405"/>
    <x v="990"/>
    <x v="984"/>
    <n v="5600"/>
    <n v="75"/>
    <s v="Regular Day"/>
    <x v="0"/>
  </r>
  <r>
    <d v="2019-10-03T00:00:00"/>
    <n v="11627"/>
    <x v="991"/>
    <x v="985"/>
    <n v="5862"/>
    <n v="81"/>
    <s v="Regular Day"/>
    <x v="0"/>
  </r>
  <r>
    <d v="2019-10-04T00:00:00"/>
    <n v="11427"/>
    <x v="992"/>
    <x v="986"/>
    <n v="5625"/>
    <n v="79"/>
    <s v="Regular Day"/>
    <x v="0"/>
  </r>
  <r>
    <d v="2019-10-05T00:00:00"/>
    <n v="12796"/>
    <x v="993"/>
    <x v="987"/>
    <n v="6813"/>
    <n v="66"/>
    <s v="Regular Day"/>
    <x v="0"/>
  </r>
  <r>
    <d v="2019-10-06T00:00:00"/>
    <n v="14441"/>
    <x v="994"/>
    <x v="988"/>
    <n v="7614"/>
    <n v="72"/>
    <s v="Regular Day"/>
    <x v="0"/>
  </r>
  <r>
    <d v="2019-10-07T00:00:00"/>
    <n v="17752"/>
    <x v="995"/>
    <x v="989"/>
    <n v="10274"/>
    <n v="64"/>
    <s v="Regular Day"/>
    <x v="0"/>
  </r>
  <r>
    <d v="2019-10-08T00:00:00"/>
    <n v="16721"/>
    <x v="996"/>
    <x v="990"/>
    <n v="8771"/>
    <n v="70"/>
    <s v="Regular Day"/>
    <x v="0"/>
  </r>
  <r>
    <d v="2019-10-09T00:00:00"/>
    <n v="13744"/>
    <x v="997"/>
    <x v="991"/>
    <n v="6879"/>
    <n v="75"/>
    <s v="Regular Day"/>
    <x v="0"/>
  </r>
  <r>
    <d v="2019-10-10T00:00:00"/>
    <n v="12265"/>
    <x v="998"/>
    <x v="992"/>
    <n v="5995"/>
    <n v="77"/>
    <s v="Regular Day"/>
    <x v="0"/>
  </r>
  <r>
    <d v="2019-10-11T00:00:00"/>
    <n v="10819"/>
    <x v="999"/>
    <x v="295"/>
    <n v="5576"/>
    <n v="71"/>
    <s v="Regular Day"/>
    <x v="0"/>
  </r>
  <r>
    <d v="2019-10-12T00:00:00"/>
    <n v="10731"/>
    <x v="1000"/>
    <x v="993"/>
    <n v="5304"/>
    <n v="73"/>
    <s v="Regular Day"/>
    <x v="0"/>
  </r>
  <r>
    <d v="2019-10-13T00:00:00"/>
    <n v="11359"/>
    <x v="1001"/>
    <x v="994"/>
    <n v="5235"/>
    <n v="76"/>
    <s v="Regular Day"/>
    <x v="0"/>
  </r>
  <r>
    <d v="2019-10-14T00:00:00"/>
    <n v="11114"/>
    <x v="1002"/>
    <x v="995"/>
    <n v="5421"/>
    <n v="72"/>
    <s v="Regular Day"/>
    <x v="0"/>
  </r>
  <r>
    <d v="2019-10-15T00:00:00"/>
    <n v="10913"/>
    <x v="1003"/>
    <x v="996"/>
    <n v="5661"/>
    <n v="72"/>
    <s v="Regular Day"/>
    <x v="0"/>
  </r>
  <r>
    <d v="2019-10-16T00:00:00"/>
    <n v="9965"/>
    <x v="1004"/>
    <x v="997"/>
    <n v="5298"/>
    <n v="76"/>
    <s v="Regular Day"/>
    <x v="0"/>
  </r>
  <r>
    <d v="2019-10-17T00:00:00"/>
    <n v="10564"/>
    <x v="1005"/>
    <x v="998"/>
    <n v="5667"/>
    <n v="72"/>
    <s v="Regular Day"/>
    <x v="0"/>
  </r>
  <r>
    <d v="2019-10-18T00:00:00"/>
    <n v="10955"/>
    <x v="665"/>
    <x v="999"/>
    <n v="5984"/>
    <n v="68"/>
    <s v="Regular Day"/>
    <x v="0"/>
  </r>
  <r>
    <d v="2019-10-19T00:00:00"/>
    <n v="9374"/>
    <x v="1006"/>
    <x v="1000"/>
    <n v="4996"/>
    <n v="73"/>
    <s v="Regular Day"/>
    <x v="0"/>
  </r>
  <r>
    <d v="2019-10-20T00:00:00"/>
    <n v="9363"/>
    <x v="1007"/>
    <x v="1001"/>
    <n v="5030"/>
    <n v="70"/>
    <s v="Regular Day"/>
    <x v="0"/>
  </r>
  <r>
    <d v="2019-10-21T00:00:00"/>
    <n v="10841"/>
    <x v="1008"/>
    <x v="1002"/>
    <n v="4981"/>
    <n v="72"/>
    <s v="Regular Day"/>
    <x v="0"/>
  </r>
  <r>
    <d v="2019-10-22T00:00:00"/>
    <n v="12348"/>
    <x v="1009"/>
    <x v="1003"/>
    <n v="5929"/>
    <n v="69"/>
    <s v="Regular Day"/>
    <x v="0"/>
  </r>
  <r>
    <d v="2019-10-23T00:00:00"/>
    <n v="9297"/>
    <x v="1010"/>
    <x v="1004"/>
    <n v="4796"/>
    <n v="80"/>
    <s v="Regular Day"/>
    <x v="0"/>
  </r>
  <r>
    <d v="2019-10-24T00:00:00"/>
    <n v="10441"/>
    <x v="1011"/>
    <x v="1005"/>
    <n v="5138"/>
    <n v="91"/>
    <s v="Regular Day"/>
    <x v="0"/>
  </r>
  <r>
    <d v="2019-10-25T00:00:00"/>
    <n v="11573"/>
    <x v="1012"/>
    <x v="1006"/>
    <n v="6094"/>
    <n v="69"/>
    <s v="Regular Day"/>
    <x v="0"/>
  </r>
  <r>
    <d v="2019-10-26T00:00:00"/>
    <n v="9629"/>
    <x v="1013"/>
    <x v="1007"/>
    <n v="5140"/>
    <n v="72"/>
    <s v="Regular Day"/>
    <x v="0"/>
  </r>
  <r>
    <d v="2019-10-27T00:00:00"/>
    <n v="8494"/>
    <x v="1014"/>
    <x v="1008"/>
    <n v="4662"/>
    <n v="69"/>
    <s v="Regular Day"/>
    <x v="0"/>
  </r>
  <r>
    <d v="2019-10-28T00:00:00"/>
    <n v="9180"/>
    <x v="1015"/>
    <x v="1009"/>
    <n v="4941"/>
    <n v="75"/>
    <s v="Regular Day"/>
    <x v="0"/>
  </r>
  <r>
    <d v="2019-10-29T00:00:00"/>
    <n v="10130"/>
    <x v="1016"/>
    <x v="1010"/>
    <n v="5328"/>
    <n v="80"/>
    <s v="Regular Day"/>
    <x v="0"/>
  </r>
  <r>
    <d v="2019-10-30T00:00:00"/>
    <n v="9234"/>
    <x v="1017"/>
    <x v="1011"/>
    <n v="4787"/>
    <n v="78"/>
    <s v="Regular Day"/>
    <x v="0"/>
  </r>
  <r>
    <d v="2019-10-31T00:00:00"/>
    <n v="7856"/>
    <x v="1018"/>
    <x v="1012"/>
    <n v="4109"/>
    <n v="78"/>
    <s v="Regular Day"/>
    <x v="0"/>
  </r>
  <r>
    <d v="2019-11-01T00:00:00"/>
    <n v="9494"/>
    <x v="1019"/>
    <x v="1013"/>
    <n v="5038"/>
    <n v="79"/>
    <s v="Regular Day"/>
    <x v="0"/>
  </r>
  <r>
    <d v="2019-11-02T00:00:00"/>
    <n v="8702"/>
    <x v="1020"/>
    <x v="1014"/>
    <n v="4311"/>
    <n v="75"/>
    <s v="Regular Day"/>
    <x v="0"/>
  </r>
  <r>
    <d v="2019-11-03T00:00:00"/>
    <n v="10333"/>
    <x v="1021"/>
    <x v="1015"/>
    <n v="4895"/>
    <n v="74"/>
    <s v="Regular Day"/>
    <x v="0"/>
  </r>
  <r>
    <d v="2019-11-04T00:00:00"/>
    <n v="9978"/>
    <x v="1022"/>
    <x v="1016"/>
    <n v="5140"/>
    <n v="75"/>
    <s v="Regular Day"/>
    <x v="0"/>
  </r>
  <r>
    <d v="2019-11-05T00:00:00"/>
    <n v="10297"/>
    <x v="1023"/>
    <x v="1017"/>
    <n v="5165"/>
    <n v="72"/>
    <s v="Regular Day"/>
    <x v="0"/>
  </r>
  <r>
    <d v="2019-11-06T00:00:00"/>
    <n v="10591"/>
    <x v="1024"/>
    <x v="1018"/>
    <n v="5531"/>
    <n v="74"/>
    <s v="Regular Day"/>
    <x v="0"/>
  </r>
  <r>
    <d v="2019-11-07T00:00:00"/>
    <n v="9534"/>
    <x v="1025"/>
    <x v="1019"/>
    <n v="4993"/>
    <n v="78"/>
    <s v="Regular Day"/>
    <x v="0"/>
  </r>
  <r>
    <d v="2019-11-08T00:00:00"/>
    <n v="8732"/>
    <x v="1026"/>
    <x v="1020"/>
    <n v="4477"/>
    <n v="79"/>
    <s v="Regular Day"/>
    <x v="0"/>
  </r>
  <r>
    <d v="2019-11-09T00:00:00"/>
    <n v="8736"/>
    <x v="611"/>
    <x v="1021"/>
    <n v="4465"/>
    <n v="76"/>
    <s v="Regular Day"/>
    <x v="0"/>
  </r>
  <r>
    <d v="2019-11-10T00:00:00"/>
    <n v="9430"/>
    <x v="1027"/>
    <x v="1022"/>
    <n v="4782"/>
    <n v="74"/>
    <s v="Regular Day"/>
    <x v="0"/>
  </r>
  <r>
    <d v="2019-11-11T00:00:00"/>
    <n v="10541"/>
    <x v="1028"/>
    <x v="1023"/>
    <n v="5397"/>
    <n v="79"/>
    <s v="Regular Day"/>
    <x v="0"/>
  </r>
  <r>
    <d v="2019-11-12T00:00:00"/>
    <n v="11674"/>
    <x v="1029"/>
    <x v="1024"/>
    <n v="5524"/>
    <n v="85"/>
    <s v="Regular Day"/>
    <x v="0"/>
  </r>
  <r>
    <d v="2019-11-13T00:00:00"/>
    <n v="16101"/>
    <x v="1030"/>
    <x v="1025"/>
    <n v="6879"/>
    <n v="79"/>
    <s v="Regular Day"/>
    <x v="0"/>
  </r>
  <r>
    <d v="2019-11-14T00:00:00"/>
    <n v="35920"/>
    <x v="1031"/>
    <x v="1026"/>
    <n v="12996"/>
    <n v="72"/>
    <s v="Regular Day"/>
    <x v="0"/>
  </r>
  <r>
    <d v="2019-11-15T00:00:00"/>
    <n v="31921"/>
    <x v="1032"/>
    <x v="1027"/>
    <n v="11905"/>
    <n v="66"/>
    <s v="Regular Day"/>
    <x v="0"/>
  </r>
  <r>
    <d v="2019-11-16T00:00:00"/>
    <n v="20894"/>
    <x v="1033"/>
    <x v="1028"/>
    <n v="9041"/>
    <n v="67"/>
    <s v="Regular Day"/>
    <x v="0"/>
  </r>
  <r>
    <d v="2019-11-17T00:00:00"/>
    <n v="15511"/>
    <x v="1034"/>
    <x v="1029"/>
    <n v="7167"/>
    <n v="76"/>
    <s v="Regular Day"/>
    <x v="0"/>
  </r>
  <r>
    <d v="2019-11-18T00:00:00"/>
    <n v="22021"/>
    <x v="1035"/>
    <x v="1030"/>
    <n v="8583"/>
    <n v="74"/>
    <s v="Regular Day"/>
    <x v="0"/>
  </r>
  <r>
    <d v="2019-11-19T00:00:00"/>
    <n v="82270"/>
    <x v="1036"/>
    <x v="1031"/>
    <n v="26490"/>
    <n v="101"/>
    <s v="Grammy Awards"/>
    <x v="0"/>
  </r>
  <r>
    <d v="2019-11-20T00:00:00"/>
    <n v="1130463"/>
    <x v="1037"/>
    <x v="1032"/>
    <n v="334908"/>
    <n v="151"/>
    <s v="Regular Day"/>
    <x v="0"/>
  </r>
  <r>
    <d v="2019-11-21T00:00:00"/>
    <n v="299375"/>
    <x v="1038"/>
    <x v="1033"/>
    <n v="122804"/>
    <n v="122"/>
    <s v="Regular Day"/>
    <x v="0"/>
  </r>
  <r>
    <d v="2019-11-22T00:00:00"/>
    <n v="117189"/>
    <x v="1039"/>
    <x v="1034"/>
    <n v="50234"/>
    <n v="120"/>
    <s v="Regular Day"/>
    <x v="0"/>
  </r>
  <r>
    <d v="2019-11-23T00:00:00"/>
    <n v="80045"/>
    <x v="1040"/>
    <x v="1035"/>
    <n v="34198"/>
    <n v="118"/>
    <s v="Regular Day"/>
    <x v="0"/>
  </r>
  <r>
    <d v="2019-11-24T00:00:00"/>
    <n v="82649"/>
    <x v="1041"/>
    <x v="1036"/>
    <n v="34349"/>
    <n v="115"/>
    <s v="Regular Day"/>
    <x v="0"/>
  </r>
  <r>
    <d v="2019-11-25T00:00:00"/>
    <n v="77906"/>
    <x v="1042"/>
    <x v="1037"/>
    <n v="32086"/>
    <n v="107"/>
    <s v="Regular Day"/>
    <x v="0"/>
  </r>
  <r>
    <d v="2019-11-26T00:00:00"/>
    <n v="61179"/>
    <x v="1043"/>
    <x v="1038"/>
    <n v="22569"/>
    <n v="105"/>
    <s v="Regular Day"/>
    <x v="0"/>
  </r>
  <r>
    <d v="2019-11-27T00:00:00"/>
    <n v="62492"/>
    <x v="1044"/>
    <x v="1039"/>
    <n v="20132"/>
    <n v="94"/>
    <s v="Regular Day"/>
    <x v="0"/>
  </r>
  <r>
    <d v="2019-11-28T00:00:00"/>
    <n v="38787"/>
    <x v="1045"/>
    <x v="1040"/>
    <n v="14239"/>
    <n v="91"/>
    <s v="Regular Day"/>
    <x v="0"/>
  </r>
  <r>
    <d v="2019-11-29T00:00:00"/>
    <n v="30157"/>
    <x v="1046"/>
    <x v="1041"/>
    <n v="10628"/>
    <n v="96"/>
    <s v="Regular Day"/>
    <x v="0"/>
  </r>
  <r>
    <d v="2019-11-30T00:00:00"/>
    <n v="27939"/>
    <x v="1047"/>
    <x v="1042"/>
    <n v="10255"/>
    <n v="90"/>
    <s v="Regular Day"/>
    <x v="0"/>
  </r>
  <r>
    <d v="2019-12-01T00:00:00"/>
    <n v="24553"/>
    <x v="1048"/>
    <x v="1043"/>
    <n v="9342"/>
    <n v="97"/>
    <s v="Regular Day"/>
    <x v="0"/>
  </r>
  <r>
    <d v="2019-12-02T00:00:00"/>
    <n v="22364"/>
    <x v="1049"/>
    <x v="1044"/>
    <n v="8991"/>
    <n v="102"/>
    <s v="Regular Day"/>
    <x v="0"/>
  </r>
  <r>
    <d v="2019-12-03T00:00:00"/>
    <n v="22129"/>
    <x v="1050"/>
    <x v="1045"/>
    <n v="9154"/>
    <n v="102"/>
    <s v="Regular Day"/>
    <x v="0"/>
  </r>
  <r>
    <d v="2019-12-04T00:00:00"/>
    <n v="24693"/>
    <x v="1051"/>
    <x v="1046"/>
    <n v="10606"/>
    <n v="96"/>
    <s v="Regular Day"/>
    <x v="0"/>
  </r>
  <r>
    <d v="2019-12-05T00:00:00"/>
    <n v="25202"/>
    <x v="1052"/>
    <x v="1047"/>
    <n v="10751"/>
    <n v="95"/>
    <s v="Regular Day"/>
    <x v="0"/>
  </r>
  <r>
    <d v="2019-12-06T00:00:00"/>
    <n v="21967"/>
    <x v="1053"/>
    <x v="1048"/>
    <n v="9747"/>
    <n v="98"/>
    <s v="Regular Day"/>
    <x v="0"/>
  </r>
  <r>
    <d v="2019-12-07T00:00:00"/>
    <n v="18397"/>
    <x v="1054"/>
    <x v="1049"/>
    <n v="8663"/>
    <n v="98"/>
    <s v="Regular Day"/>
    <x v="0"/>
  </r>
  <r>
    <d v="2019-12-08T00:00:00"/>
    <n v="20762"/>
    <x v="1055"/>
    <x v="1050"/>
    <n v="9932"/>
    <n v="96"/>
    <s v="Regular Day"/>
    <x v="0"/>
  </r>
  <r>
    <d v="2019-12-09T00:00:00"/>
    <n v="25476"/>
    <x v="1056"/>
    <x v="1051"/>
    <n v="11420"/>
    <n v="98"/>
    <s v="Regular Day"/>
    <x v="0"/>
  </r>
  <r>
    <d v="2019-12-10T00:00:00"/>
    <n v="25792"/>
    <x v="1057"/>
    <x v="1052"/>
    <n v="11451"/>
    <n v="100"/>
    <s v="Regular Day"/>
    <x v="0"/>
  </r>
  <r>
    <d v="2019-12-11T00:00:00"/>
    <n v="23778"/>
    <x v="1058"/>
    <x v="1053"/>
    <n v="11160"/>
    <n v="99"/>
    <s v="Regular Day"/>
    <x v="0"/>
  </r>
  <r>
    <d v="2019-12-12T00:00:00"/>
    <n v="20997"/>
    <x v="1059"/>
    <x v="1054"/>
    <n v="9645"/>
    <n v="97"/>
    <s v="Regular Day"/>
    <x v="0"/>
  </r>
  <r>
    <d v="2019-12-13T00:00:00"/>
    <n v="20475"/>
    <x v="1060"/>
    <x v="1055"/>
    <n v="9677"/>
    <n v="96"/>
    <s v="Regular Day"/>
    <x v="0"/>
  </r>
  <r>
    <d v="2019-12-14T00:00:00"/>
    <n v="18742"/>
    <x v="1061"/>
    <x v="1056"/>
    <n v="9217"/>
    <n v="98"/>
    <s v="Regular Day"/>
    <x v="0"/>
  </r>
  <r>
    <d v="2019-12-15T00:00:00"/>
    <n v="19131"/>
    <x v="1062"/>
    <x v="1057"/>
    <n v="9016"/>
    <n v="99"/>
    <s v="Regular Day"/>
    <x v="0"/>
  </r>
  <r>
    <d v="2019-12-16T00:00:00"/>
    <n v="18022"/>
    <x v="1063"/>
    <x v="1058"/>
    <n v="8583"/>
    <n v="102"/>
    <s v="Regular Day"/>
    <x v="0"/>
  </r>
  <r>
    <d v="2019-12-17T00:00:00"/>
    <n v="19550"/>
    <x v="1064"/>
    <x v="1059"/>
    <n v="8966"/>
    <n v="106"/>
    <s v="Regular Day"/>
    <x v="0"/>
  </r>
  <r>
    <d v="2019-12-18T00:00:00"/>
    <n v="18721"/>
    <x v="1065"/>
    <x v="1060"/>
    <n v="8627"/>
    <n v="100"/>
    <s v="Regular Day"/>
    <x v="0"/>
  </r>
  <r>
    <d v="2019-12-19T00:00:00"/>
    <n v="18308"/>
    <x v="1066"/>
    <x v="1061"/>
    <n v="9033"/>
    <n v="96"/>
    <s v="Regular Day"/>
    <x v="0"/>
  </r>
  <r>
    <d v="2019-12-20T00:00:00"/>
    <n v="17747"/>
    <x v="1067"/>
    <x v="1062"/>
    <n v="8663"/>
    <n v="87"/>
    <s v="Regular Day"/>
    <x v="0"/>
  </r>
  <r>
    <d v="2019-12-21T00:00:00"/>
    <n v="15927"/>
    <x v="1068"/>
    <x v="1063"/>
    <n v="8113"/>
    <n v="89"/>
    <s v="Regular Day"/>
    <x v="0"/>
  </r>
  <r>
    <d v="2019-12-22T00:00:00"/>
    <n v="15731"/>
    <x v="1069"/>
    <x v="1064"/>
    <n v="8033"/>
    <n v="95"/>
    <s v="Regular Day"/>
    <x v="0"/>
  </r>
  <r>
    <d v="2019-12-23T00:00:00"/>
    <n v="16400"/>
    <x v="1070"/>
    <x v="1065"/>
    <n v="7637"/>
    <n v="94"/>
    <s v="Regular Day"/>
    <x v="0"/>
  </r>
  <r>
    <d v="2019-12-24T00:00:00"/>
    <n v="15063"/>
    <x v="1071"/>
    <x v="1066"/>
    <n v="6988"/>
    <n v="91"/>
    <s v="Regular Day"/>
    <x v="0"/>
  </r>
  <r>
    <d v="2019-12-25T00:00:00"/>
    <n v="14357"/>
    <x v="1072"/>
    <x v="1067"/>
    <n v="6885"/>
    <n v="91"/>
    <s v="Regular Day"/>
    <x v="0"/>
  </r>
  <r>
    <d v="2019-12-26T00:00:00"/>
    <n v="15433"/>
    <x v="1073"/>
    <x v="1068"/>
    <n v="7379"/>
    <n v="102"/>
    <s v="Regular Day"/>
    <x v="0"/>
  </r>
  <r>
    <d v="2019-12-27T00:00:00"/>
    <n v="16127"/>
    <x v="1074"/>
    <x v="1069"/>
    <n v="7969"/>
    <n v="97"/>
    <s v="Regular Day"/>
    <x v="0"/>
  </r>
  <r>
    <d v="2019-12-28T00:00:00"/>
    <n v="16420"/>
    <x v="1075"/>
    <x v="1070"/>
    <n v="7877"/>
    <n v="99"/>
    <s v="Regular Day"/>
    <x v="0"/>
  </r>
  <r>
    <d v="2019-12-29T00:00:00"/>
    <n v="18250"/>
    <x v="1076"/>
    <x v="1071"/>
    <n v="8699"/>
    <n v="100"/>
    <s v="Regular Day"/>
    <x v="0"/>
  </r>
  <r>
    <d v="2019-12-30T00:00:00"/>
    <n v="18083"/>
    <x v="1077"/>
    <x v="1072"/>
    <n v="8439"/>
    <n v="104"/>
    <s v="Regular Day"/>
    <x v="0"/>
  </r>
  <r>
    <d v="2019-12-31T00:00:00"/>
    <n v="29389"/>
    <x v="1078"/>
    <x v="1073"/>
    <n v="13385"/>
    <n v="69"/>
    <s v="Regular Day"/>
    <x v="0"/>
  </r>
  <r>
    <d v="2020-01-01T00:00:00"/>
    <n v="18485"/>
    <x v="1079"/>
    <x v="1074"/>
    <n v="8896"/>
    <n v="98"/>
    <s v="Regular Day"/>
    <x v="0"/>
  </r>
  <r>
    <d v="2020-01-02T00:00:00"/>
    <n v="20550"/>
    <x v="1080"/>
    <x v="1075"/>
    <n v="9024"/>
    <n v="107"/>
    <s v="Regular Day"/>
    <x v="0"/>
  </r>
  <r>
    <d v="2020-01-03T00:00:00"/>
    <n v="20712"/>
    <x v="1081"/>
    <x v="1076"/>
    <n v="9076"/>
    <n v="99"/>
    <s v="Regular Day"/>
    <x v="0"/>
  </r>
  <r>
    <d v="2020-01-04T00:00:00"/>
    <n v="20738"/>
    <x v="1082"/>
    <x v="1077"/>
    <n v="9657"/>
    <n v="99"/>
    <s v="Regular Day"/>
    <x v="0"/>
  </r>
  <r>
    <d v="2020-01-05T00:00:00"/>
    <n v="30413"/>
    <x v="1083"/>
    <x v="1078"/>
    <n v="14995"/>
    <n v="95"/>
    <s v="Regular Day"/>
    <x v="0"/>
  </r>
  <r>
    <d v="2020-01-06T00:00:00"/>
    <n v="34103"/>
    <x v="1084"/>
    <x v="1079"/>
    <n v="18640"/>
    <n v="85"/>
    <s v="Regular Day"/>
    <x v="0"/>
  </r>
  <r>
    <d v="2020-01-07T00:00:00"/>
    <n v="27628"/>
    <x v="1085"/>
    <x v="1080"/>
    <n v="12977"/>
    <n v="107"/>
    <s v="Regular Day"/>
    <x v="0"/>
  </r>
  <r>
    <d v="2020-01-08T00:00:00"/>
    <n v="44062"/>
    <x v="1086"/>
    <x v="1081"/>
    <n v="16973"/>
    <n v="93"/>
    <s v="Regular Day"/>
    <x v="0"/>
  </r>
  <r>
    <d v="2020-01-09T00:00:00"/>
    <n v="33177"/>
    <x v="1087"/>
    <x v="1082"/>
    <n v="14232"/>
    <n v="98"/>
    <s v="Regular Day"/>
    <x v="0"/>
  </r>
  <r>
    <d v="2020-01-10T00:00:00"/>
    <n v="27813"/>
    <x v="1088"/>
    <x v="1083"/>
    <n v="12121"/>
    <n v="100"/>
    <s v="Regular Day"/>
    <x v="0"/>
  </r>
  <r>
    <d v="2020-01-11T00:00:00"/>
    <n v="35869"/>
    <x v="1089"/>
    <x v="1084"/>
    <n v="15381"/>
    <n v="97"/>
    <s v="Regular Day"/>
    <x v="0"/>
  </r>
  <r>
    <d v="2020-01-12T00:00:00"/>
    <n v="33297"/>
    <x v="1090"/>
    <x v="1085"/>
    <n v="15027"/>
    <n v="103"/>
    <s v="Regular Day"/>
    <x v="0"/>
  </r>
  <r>
    <d v="2020-01-13T00:00:00"/>
    <n v="33987"/>
    <x v="1091"/>
    <x v="1086"/>
    <n v="14498"/>
    <n v="114"/>
    <s v="Regular Day"/>
    <x v="0"/>
  </r>
  <r>
    <d v="2020-01-14T00:00:00"/>
    <n v="52583"/>
    <x v="1092"/>
    <x v="1087"/>
    <n v="23422"/>
    <n v="95"/>
    <s v="Regular Day"/>
    <x v="0"/>
  </r>
  <r>
    <d v="2020-01-15T00:00:00"/>
    <n v="58571"/>
    <x v="1093"/>
    <x v="1088"/>
    <n v="25878"/>
    <n v="101"/>
    <s v="Regular Day"/>
    <x v="0"/>
  </r>
  <r>
    <d v="2020-01-16T00:00:00"/>
    <n v="40561"/>
    <x v="1094"/>
    <x v="1089"/>
    <n v="17747"/>
    <n v="110"/>
    <s v="Regular Day"/>
    <x v="0"/>
  </r>
  <r>
    <d v="2020-01-17T00:00:00"/>
    <n v="37597"/>
    <x v="1095"/>
    <x v="1090"/>
    <n v="16314"/>
    <n v="108"/>
    <s v="Regular Day"/>
    <x v="0"/>
  </r>
  <r>
    <d v="2020-01-18T00:00:00"/>
    <n v="34892"/>
    <x v="1096"/>
    <x v="1091"/>
    <n v="15847"/>
    <n v="100"/>
    <s v="Regular Day"/>
    <x v="0"/>
  </r>
  <r>
    <d v="2020-01-19T00:00:00"/>
    <n v="55119"/>
    <x v="1097"/>
    <x v="1092"/>
    <n v="24384"/>
    <n v="108"/>
    <s v="Regular Day"/>
    <x v="0"/>
  </r>
  <r>
    <d v="2020-01-20T00:00:00"/>
    <n v="46281"/>
    <x v="1098"/>
    <x v="1093"/>
    <n v="21311"/>
    <n v="118"/>
    <s v="Regular Day"/>
    <x v="0"/>
  </r>
  <r>
    <d v="2020-01-21T00:00:00"/>
    <n v="60163"/>
    <x v="1099"/>
    <x v="1094"/>
    <n v="25805"/>
    <n v="119"/>
    <s v="Regular Day"/>
    <x v="0"/>
  </r>
  <r>
    <d v="2020-01-22T00:00:00"/>
    <n v="86179"/>
    <x v="1100"/>
    <x v="1095"/>
    <n v="39408"/>
    <n v="113"/>
    <s v="Regular Day"/>
    <x v="0"/>
  </r>
  <r>
    <d v="2020-01-23T00:00:00"/>
    <n v="166060"/>
    <x v="1101"/>
    <x v="1096"/>
    <n v="79482"/>
    <n v="91"/>
    <s v="Regular Day"/>
    <x v="0"/>
  </r>
  <r>
    <d v="2020-01-24T00:00:00"/>
    <n v="145152"/>
    <x v="1102"/>
    <x v="1097"/>
    <n v="67173"/>
    <n v="109"/>
    <s v="Regular Day"/>
    <x v="0"/>
  </r>
  <r>
    <d v="2020-01-25T00:00:00"/>
    <n v="208046"/>
    <x v="1103"/>
    <x v="1098"/>
    <n v="101458"/>
    <n v="111"/>
    <s v="Regular Day"/>
    <x v="0"/>
  </r>
  <r>
    <d v="2020-01-26T00:00:00"/>
    <n v="2261512"/>
    <x v="1104"/>
    <x v="1099"/>
    <n v="796382"/>
    <n v="230"/>
    <s v="Grammy Awards"/>
    <x v="0"/>
  </r>
  <r>
    <d v="2020-01-27T00:00:00"/>
    <n v="1473248"/>
    <x v="1105"/>
    <x v="1100"/>
    <n v="480366"/>
    <n v="142"/>
    <s v="Regular Day"/>
    <x v="0"/>
  </r>
  <r>
    <d v="2020-01-28T00:00:00"/>
    <n v="402339"/>
    <x v="1106"/>
    <x v="1101"/>
    <n v="150009"/>
    <n v="145"/>
    <s v="Regular Day"/>
    <x v="0"/>
  </r>
  <r>
    <d v="2020-01-29T00:00:00"/>
    <n v="185134"/>
    <x v="1107"/>
    <x v="1102"/>
    <n v="73119"/>
    <n v="140"/>
    <s v="Regular Day"/>
    <x v="0"/>
  </r>
  <r>
    <d v="2020-01-30T00:00:00"/>
    <n v="109443"/>
    <x v="1108"/>
    <x v="1103"/>
    <n v="47690"/>
    <n v="123"/>
    <s v="Regular Day"/>
    <x v="0"/>
  </r>
  <r>
    <d v="2020-01-31T00:00:00"/>
    <n v="106853"/>
    <x v="1109"/>
    <x v="1104"/>
    <n v="46916"/>
    <n v="113"/>
    <s v="Regular Day"/>
    <x v="0"/>
  </r>
  <r>
    <d v="2020-02-01T00:00:00"/>
    <n v="98319"/>
    <x v="1110"/>
    <x v="1105"/>
    <n v="44597"/>
    <n v="101"/>
    <s v="Regular Day"/>
    <x v="0"/>
  </r>
  <r>
    <d v="2020-02-02T00:00:00"/>
    <n v="94254"/>
    <x v="1111"/>
    <x v="1106"/>
    <n v="44790"/>
    <n v="90"/>
    <s v="Regular Day"/>
    <x v="0"/>
  </r>
  <r>
    <d v="2020-02-03T00:00:00"/>
    <n v="80043"/>
    <x v="1112"/>
    <x v="1107"/>
    <n v="34884"/>
    <n v="101"/>
    <s v="Regular Day"/>
    <x v="0"/>
  </r>
  <r>
    <d v="2020-02-04T00:00:00"/>
    <n v="54334"/>
    <x v="1113"/>
    <x v="1108"/>
    <n v="24907"/>
    <n v="88"/>
    <s v="Regular Day"/>
    <x v="0"/>
  </r>
  <r>
    <d v="2020-02-05T00:00:00"/>
    <n v="41409"/>
    <x v="1114"/>
    <x v="1109"/>
    <n v="20298"/>
    <n v="95"/>
    <s v="Regular Day"/>
    <x v="0"/>
  </r>
  <r>
    <d v="2020-02-06T00:00:00"/>
    <n v="38833"/>
    <x v="1115"/>
    <x v="1110"/>
    <n v="18882"/>
    <n v="93"/>
    <s v="Regular Day"/>
    <x v="0"/>
  </r>
  <r>
    <d v="2020-02-07T00:00:00"/>
    <n v="35022"/>
    <x v="1116"/>
    <x v="1111"/>
    <n v="17732"/>
    <n v="91"/>
    <s v="Regular Day"/>
    <x v="0"/>
  </r>
  <r>
    <d v="2020-02-08T00:00:00"/>
    <n v="35951"/>
    <x v="1117"/>
    <x v="1112"/>
    <n v="18593"/>
    <n v="87"/>
    <s v="Regular Day"/>
    <x v="0"/>
  </r>
  <r>
    <d v="2020-02-09T00:00:00"/>
    <n v="74640"/>
    <x v="1118"/>
    <x v="1113"/>
    <n v="40008"/>
    <n v="67"/>
    <s v="Regular Day"/>
    <x v="0"/>
  </r>
  <r>
    <d v="2020-02-10T00:00:00"/>
    <n v="86393"/>
    <x v="1119"/>
    <x v="1114"/>
    <n v="37795"/>
    <n v="69"/>
    <s v="Regular Day"/>
    <x v="0"/>
  </r>
  <r>
    <d v="2020-02-11T00:00:00"/>
    <n v="40484"/>
    <x v="1120"/>
    <x v="1115"/>
    <n v="18410"/>
    <n v="88"/>
    <s v="Regular Day"/>
    <x v="0"/>
  </r>
  <r>
    <d v="2020-02-12T00:00:00"/>
    <n v="32930"/>
    <x v="1121"/>
    <x v="1116"/>
    <n v="16103"/>
    <n v="88"/>
    <s v="Regular Day"/>
    <x v="0"/>
  </r>
  <r>
    <d v="2020-02-13T00:00:00"/>
    <n v="30210"/>
    <x v="1122"/>
    <x v="1117"/>
    <n v="13892"/>
    <n v="81"/>
    <s v="Regular Day"/>
    <x v="0"/>
  </r>
  <r>
    <d v="2020-02-14T00:00:00"/>
    <n v="29348"/>
    <x v="1123"/>
    <x v="1118"/>
    <n v="13812"/>
    <n v="76"/>
    <s v="Regular Day"/>
    <x v="0"/>
  </r>
  <r>
    <d v="2020-02-15T00:00:00"/>
    <n v="28108"/>
    <x v="1124"/>
    <x v="1119"/>
    <n v="14372"/>
    <n v="82"/>
    <s v="Regular Day"/>
    <x v="0"/>
  </r>
  <r>
    <d v="2020-02-16T00:00:00"/>
    <n v="32926"/>
    <x v="1125"/>
    <x v="1120"/>
    <n v="16870"/>
    <n v="81"/>
    <s v="Regular Day"/>
    <x v="0"/>
  </r>
  <r>
    <d v="2020-02-17T00:00:00"/>
    <n v="38721"/>
    <x v="1126"/>
    <x v="1121"/>
    <n v="15829"/>
    <n v="90"/>
    <s v="Regular Day"/>
    <x v="0"/>
  </r>
  <r>
    <d v="2020-02-18T00:00:00"/>
    <n v="24945"/>
    <x v="1127"/>
    <x v="1122"/>
    <n v="11969"/>
    <n v="86"/>
    <s v="Regular Day"/>
    <x v="0"/>
  </r>
  <r>
    <d v="2020-02-19T00:00:00"/>
    <n v="24581"/>
    <x v="1128"/>
    <x v="1123"/>
    <n v="11834"/>
    <n v="82"/>
    <s v="Regular Day"/>
    <x v="0"/>
  </r>
  <r>
    <d v="2020-02-20T00:00:00"/>
    <n v="20553"/>
    <x v="1129"/>
    <x v="1124"/>
    <n v="10460"/>
    <n v="77"/>
    <s v="Regular Day"/>
    <x v="0"/>
  </r>
  <r>
    <d v="2020-02-21T00:00:00"/>
    <n v="20345"/>
    <x v="1130"/>
    <x v="1125"/>
    <n v="10089"/>
    <n v="78"/>
    <s v="Regular Day"/>
    <x v="0"/>
  </r>
  <r>
    <d v="2020-02-22T00:00:00"/>
    <n v="58424"/>
    <x v="1131"/>
    <x v="1126"/>
    <n v="18261"/>
    <n v="135"/>
    <s v="Regular Day"/>
    <x v="0"/>
  </r>
  <r>
    <d v="2020-02-23T00:00:00"/>
    <n v="33560"/>
    <x v="1132"/>
    <x v="1127"/>
    <n v="14777"/>
    <n v="101"/>
    <s v="Regular Day"/>
    <x v="0"/>
  </r>
  <r>
    <d v="2020-02-24T00:00:00"/>
    <n v="30211"/>
    <x v="1133"/>
    <x v="1128"/>
    <n v="17427"/>
    <n v="67"/>
    <s v="Regular Day"/>
    <x v="0"/>
  </r>
  <r>
    <d v="2020-02-25T00:00:00"/>
    <n v="20889"/>
    <x v="1134"/>
    <x v="1129"/>
    <n v="10783"/>
    <n v="76"/>
    <s v="Regular Day"/>
    <x v="0"/>
  </r>
  <r>
    <d v="2020-02-26T00:00:00"/>
    <n v="18030"/>
    <x v="1135"/>
    <x v="1130"/>
    <n v="9448"/>
    <n v="80"/>
    <s v="Regular Day"/>
    <x v="0"/>
  </r>
  <r>
    <d v="2020-02-27T00:00:00"/>
    <n v="24088"/>
    <x v="1136"/>
    <x v="1131"/>
    <n v="10158"/>
    <n v="82"/>
    <s v="Regular Day"/>
    <x v="0"/>
  </r>
  <r>
    <d v="2020-02-28T00:00:00"/>
    <n v="23395"/>
    <x v="1137"/>
    <x v="1132"/>
    <n v="10009"/>
    <n v="81"/>
    <s v="Regular Day"/>
    <x v="0"/>
  </r>
  <r>
    <d v="2020-02-29T00:00:00"/>
    <n v="26798"/>
    <x v="1138"/>
    <x v="1133"/>
    <n v="9867"/>
    <n v="64"/>
    <s v="Regular Day"/>
    <x v="0"/>
  </r>
  <r>
    <d v="2020-03-01T00:00:00"/>
    <n v="22925"/>
    <x v="1139"/>
    <x v="1134"/>
    <n v="10522"/>
    <n v="67"/>
    <s v="Regular Day"/>
    <x v="0"/>
  </r>
  <r>
    <d v="2020-03-02T00:00:00"/>
    <n v="19381"/>
    <x v="1140"/>
    <x v="1135"/>
    <n v="10316"/>
    <n v="71"/>
    <s v="Regular Day"/>
    <x v="0"/>
  </r>
  <r>
    <d v="2020-03-03T00:00:00"/>
    <n v="15908"/>
    <x v="1141"/>
    <x v="1136"/>
    <n v="8569"/>
    <n v="79"/>
    <s v="Regular Day"/>
    <x v="0"/>
  </r>
  <r>
    <d v="2020-03-04T00:00:00"/>
    <n v="19766"/>
    <x v="1142"/>
    <x v="1137"/>
    <n v="8578"/>
    <n v="79"/>
    <s v="Regular Day"/>
    <x v="0"/>
  </r>
  <r>
    <d v="2020-03-05T00:00:00"/>
    <n v="19719"/>
    <x v="1143"/>
    <x v="1138"/>
    <n v="10162"/>
    <n v="74"/>
    <s v="Regular Day"/>
    <x v="0"/>
  </r>
  <r>
    <d v="2020-03-06T00:00:00"/>
    <n v="17548"/>
    <x v="1144"/>
    <x v="1139"/>
    <n v="9385"/>
    <n v="73"/>
    <s v="Regular Day"/>
    <x v="0"/>
  </r>
  <r>
    <d v="2020-03-07T00:00:00"/>
    <n v="16518"/>
    <x v="1145"/>
    <x v="461"/>
    <n v="8775"/>
    <n v="73"/>
    <s v="Regular Day"/>
    <x v="0"/>
  </r>
  <r>
    <d v="2020-03-08T00:00:00"/>
    <n v="16027"/>
    <x v="1146"/>
    <x v="1140"/>
    <n v="8662"/>
    <n v="67"/>
    <s v="Regular Day"/>
    <x v="0"/>
  </r>
  <r>
    <d v="2020-03-09T00:00:00"/>
    <n v="15133"/>
    <x v="1147"/>
    <x v="1141"/>
    <n v="7646"/>
    <n v="77"/>
    <s v="Regular Day"/>
    <x v="0"/>
  </r>
  <r>
    <d v="2020-03-10T00:00:00"/>
    <n v="16815"/>
    <x v="1148"/>
    <x v="1142"/>
    <n v="7905"/>
    <n v="75"/>
    <s v="Regular Day"/>
    <x v="0"/>
  </r>
  <r>
    <d v="2020-03-11T00:00:00"/>
    <n v="15536"/>
    <x v="1149"/>
    <x v="1143"/>
    <n v="8383"/>
    <n v="70"/>
    <s v="Regular Day"/>
    <x v="0"/>
  </r>
  <r>
    <d v="2020-03-12T00:00:00"/>
    <n v="13219"/>
    <x v="1150"/>
    <x v="1144"/>
    <n v="7125"/>
    <n v="74"/>
    <s v="Regular Day"/>
    <x v="0"/>
  </r>
  <r>
    <d v="2020-03-13T00:00:00"/>
    <n v="12177"/>
    <x v="1151"/>
    <x v="1145"/>
    <n v="6059"/>
    <n v="77"/>
    <s v="Regular Day"/>
    <x v="0"/>
  </r>
  <r>
    <d v="2020-03-14T00:00:00"/>
    <n v="12401"/>
    <x v="1152"/>
    <x v="454"/>
    <n v="6195"/>
    <n v="72"/>
    <s v="Regular Day"/>
    <x v="0"/>
  </r>
  <r>
    <d v="2020-03-15T00:00:00"/>
    <n v="11101"/>
    <x v="1153"/>
    <x v="1146"/>
    <n v="5660"/>
    <n v="78"/>
    <s v="Regular Day"/>
    <x v="0"/>
  </r>
  <r>
    <d v="2020-03-16T00:00:00"/>
    <n v="10969"/>
    <x v="1154"/>
    <x v="1147"/>
    <n v="5463"/>
    <n v="93"/>
    <s v="Regular Day"/>
    <x v="0"/>
  </r>
  <r>
    <d v="2020-03-17T00:00:00"/>
    <n v="12614"/>
    <x v="1155"/>
    <x v="1148"/>
    <n v="6340"/>
    <n v="88"/>
    <s v="Regular Day"/>
    <x v="0"/>
  </r>
  <r>
    <d v="2020-03-18T00:00:00"/>
    <n v="13580"/>
    <x v="1156"/>
    <x v="1149"/>
    <n v="6531"/>
    <n v="89"/>
    <s v="Regular Day"/>
    <x v="0"/>
  </r>
  <r>
    <d v="2020-03-19T00:00:00"/>
    <n v="13637"/>
    <x v="1157"/>
    <x v="1150"/>
    <n v="6661"/>
    <n v="81"/>
    <s v="Regular Day"/>
    <x v="0"/>
  </r>
  <r>
    <d v="2020-03-20T00:00:00"/>
    <n v="12790"/>
    <x v="1158"/>
    <x v="1151"/>
    <n v="6191"/>
    <n v="89"/>
    <s v="Regular Day"/>
    <x v="0"/>
  </r>
  <r>
    <d v="2020-03-21T00:00:00"/>
    <n v="13464"/>
    <x v="1159"/>
    <x v="1152"/>
    <n v="6831"/>
    <n v="84"/>
    <s v="Regular Day"/>
    <x v="0"/>
  </r>
  <r>
    <d v="2020-03-22T00:00:00"/>
    <n v="12115"/>
    <x v="1160"/>
    <x v="1153"/>
    <n v="6018"/>
    <n v="88"/>
    <s v="Regular Day"/>
    <x v="0"/>
  </r>
  <r>
    <d v="2020-03-23T00:00:00"/>
    <n v="12679"/>
    <x v="1161"/>
    <x v="1154"/>
    <n v="6140"/>
    <n v="105"/>
    <s v="Regular Day"/>
    <x v="0"/>
  </r>
  <r>
    <d v="2020-03-24T00:00:00"/>
    <n v="13124"/>
    <x v="1162"/>
    <x v="1155"/>
    <n v="6353"/>
    <n v="96"/>
    <s v="Regular Day"/>
    <x v="0"/>
  </r>
  <r>
    <d v="2020-03-25T00:00:00"/>
    <n v="15150"/>
    <x v="1163"/>
    <x v="1156"/>
    <n v="6585"/>
    <n v="87"/>
    <s v="Regular Day"/>
    <x v="0"/>
  </r>
  <r>
    <d v="2020-03-26T00:00:00"/>
    <n v="13628"/>
    <x v="1164"/>
    <x v="1157"/>
    <n v="6403"/>
    <n v="101"/>
    <s v="Regular Day"/>
    <x v="0"/>
  </r>
  <r>
    <d v="2020-03-27T00:00:00"/>
    <n v="14196"/>
    <x v="1165"/>
    <x v="1158"/>
    <n v="6534"/>
    <n v="96"/>
    <s v="Regular Day"/>
    <x v="0"/>
  </r>
  <r>
    <d v="2020-03-28T00:00:00"/>
    <n v="14730"/>
    <x v="1166"/>
    <x v="1159"/>
    <n v="6305"/>
    <n v="93"/>
    <s v="Regular Day"/>
    <x v="0"/>
  </r>
  <r>
    <d v="2020-03-29T00:00:00"/>
    <n v="15682"/>
    <x v="0"/>
    <x v="1160"/>
    <n v="7208"/>
    <n v="97"/>
    <s v="Regular Day"/>
    <x v="0"/>
  </r>
  <r>
    <d v="2020-03-30T00:00:00"/>
    <n v="16101"/>
    <x v="1167"/>
    <x v="1161"/>
    <n v="7534"/>
    <n v="97"/>
    <s v="Regular Day"/>
    <x v="0"/>
  </r>
  <r>
    <d v="2020-03-31T00:00:00"/>
    <n v="20813"/>
    <x v="1168"/>
    <x v="1162"/>
    <n v="9314"/>
    <n v="107"/>
    <s v="Regular Day"/>
    <x v="0"/>
  </r>
  <r>
    <d v="2020-04-01T00:00:00"/>
    <n v="18988"/>
    <x v="1169"/>
    <x v="1163"/>
    <n v="9103"/>
    <n v="100"/>
    <s v="Regular Day"/>
    <x v="0"/>
  </r>
  <r>
    <d v="2020-04-02T00:00:00"/>
    <n v="16097"/>
    <x v="1170"/>
    <x v="1164"/>
    <n v="8095"/>
    <n v="89"/>
    <s v="Regular Day"/>
    <x v="0"/>
  </r>
  <r>
    <d v="2020-04-03T00:00:00"/>
    <n v="17584"/>
    <x v="1171"/>
    <x v="1165"/>
    <n v="8158"/>
    <n v="92"/>
    <s v="Regular Day"/>
    <x v="0"/>
  </r>
  <r>
    <d v="2020-04-04T00:00:00"/>
    <n v="15075"/>
    <x v="1172"/>
    <x v="1166"/>
    <n v="6945"/>
    <n v="91"/>
    <s v="Regular Day"/>
    <x v="0"/>
  </r>
  <r>
    <d v="2020-04-05T00:00:00"/>
    <n v="14318"/>
    <x v="1173"/>
    <x v="1167"/>
    <n v="6881"/>
    <n v="95"/>
    <s v="Regular Day"/>
    <x v="0"/>
  </r>
  <r>
    <d v="2020-04-06T00:00:00"/>
    <n v="16350"/>
    <x v="1174"/>
    <x v="1168"/>
    <n v="8274"/>
    <n v="92"/>
    <s v="Regular Day"/>
    <x v="0"/>
  </r>
  <r>
    <d v="2020-04-07T00:00:00"/>
    <n v="30882"/>
    <x v="1175"/>
    <x v="1169"/>
    <n v="13225"/>
    <n v="83"/>
    <s v="Regular Day"/>
    <x v="0"/>
  </r>
  <r>
    <d v="2020-04-08T00:00:00"/>
    <n v="23459"/>
    <x v="1176"/>
    <x v="1170"/>
    <n v="8982"/>
    <n v="96"/>
    <s v="Regular Day"/>
    <x v="0"/>
  </r>
  <r>
    <d v="2020-04-09T00:00:00"/>
    <n v="37775"/>
    <x v="1177"/>
    <x v="1171"/>
    <n v="14891"/>
    <n v="60"/>
    <s v="Regular Day"/>
    <x v="0"/>
  </r>
  <r>
    <d v="2020-04-10T00:00:00"/>
    <n v="59911"/>
    <x v="1178"/>
    <x v="1172"/>
    <n v="22995"/>
    <n v="54"/>
    <s v="Regular Day"/>
    <x v="0"/>
  </r>
  <r>
    <d v="2020-04-11T00:00:00"/>
    <n v="34484"/>
    <x v="1179"/>
    <x v="1173"/>
    <n v="14338"/>
    <n v="66"/>
    <s v="Regular Day"/>
    <x v="0"/>
  </r>
  <r>
    <d v="2020-04-12T00:00:00"/>
    <n v="29392"/>
    <x v="1180"/>
    <x v="1174"/>
    <n v="12003"/>
    <n v="79"/>
    <s v="Regular Day"/>
    <x v="0"/>
  </r>
  <r>
    <d v="2020-04-13T00:00:00"/>
    <n v="24009"/>
    <x v="1181"/>
    <x v="1175"/>
    <n v="10222"/>
    <n v="91"/>
    <s v="Regular Day"/>
    <x v="0"/>
  </r>
  <r>
    <d v="2020-04-14T00:00:00"/>
    <n v="21789"/>
    <x v="1182"/>
    <x v="1176"/>
    <n v="9360"/>
    <n v="87"/>
    <s v="Regular Day"/>
    <x v="0"/>
  </r>
  <r>
    <d v="2020-04-15T00:00:00"/>
    <n v="25039"/>
    <x v="347"/>
    <x v="1177"/>
    <n v="9661"/>
    <n v="80"/>
    <s v="Regular Day"/>
    <x v="0"/>
  </r>
  <r>
    <d v="2020-04-16T00:00:00"/>
    <n v="24642"/>
    <x v="1183"/>
    <x v="1178"/>
    <n v="10575"/>
    <n v="82"/>
    <s v="Regular Day"/>
    <x v="0"/>
  </r>
  <r>
    <d v="2020-04-17T00:00:00"/>
    <n v="26872"/>
    <x v="1184"/>
    <x v="1179"/>
    <n v="11272"/>
    <n v="75"/>
    <s v="Regular Day"/>
    <x v="0"/>
  </r>
  <r>
    <d v="2020-04-18T00:00:00"/>
    <n v="28685"/>
    <x v="1185"/>
    <x v="1180"/>
    <n v="12798"/>
    <n v="70"/>
    <s v="Regular Day"/>
    <x v="0"/>
  </r>
  <r>
    <d v="2020-04-19T00:00:00"/>
    <n v="22772"/>
    <x v="1186"/>
    <x v="1181"/>
    <n v="10022"/>
    <n v="81"/>
    <s v="Regular Day"/>
    <x v="0"/>
  </r>
  <r>
    <d v="2020-04-20T00:00:00"/>
    <n v="23122"/>
    <x v="1187"/>
    <x v="1182"/>
    <n v="10778"/>
    <n v="90"/>
    <s v="Regular Day"/>
    <x v="0"/>
  </r>
  <r>
    <d v="2020-04-21T00:00:00"/>
    <n v="64079"/>
    <x v="1188"/>
    <x v="1183"/>
    <n v="23591"/>
    <n v="95"/>
    <s v="Regular Day"/>
    <x v="0"/>
  </r>
  <r>
    <d v="2020-04-22T00:00:00"/>
    <n v="46135"/>
    <x v="1189"/>
    <x v="1184"/>
    <n v="15805"/>
    <n v="116"/>
    <s v="Regular Day"/>
    <x v="0"/>
  </r>
  <r>
    <d v="2020-04-23T00:00:00"/>
    <n v="45185"/>
    <x v="1190"/>
    <x v="1185"/>
    <n v="15083"/>
    <n v="125"/>
    <s v="Regular Day"/>
    <x v="0"/>
  </r>
  <r>
    <d v="2020-04-24T00:00:00"/>
    <n v="35853"/>
    <x v="1191"/>
    <x v="1186"/>
    <n v="12988"/>
    <n v="103"/>
    <s v="Regular Day"/>
    <x v="0"/>
  </r>
  <r>
    <d v="2020-04-25T00:00:00"/>
    <n v="38782"/>
    <x v="1192"/>
    <x v="1187"/>
    <n v="12350"/>
    <n v="121"/>
    <s v="Regular Day"/>
    <x v="0"/>
  </r>
  <r>
    <d v="2020-04-26T00:00:00"/>
    <n v="31371"/>
    <x v="1193"/>
    <x v="1188"/>
    <n v="11559"/>
    <n v="112"/>
    <s v="Regular Day"/>
    <x v="0"/>
  </r>
  <r>
    <d v="2020-04-27T00:00:00"/>
    <n v="21492"/>
    <x v="1194"/>
    <x v="1189"/>
    <n v="8964"/>
    <n v="119"/>
    <s v="Regular Day"/>
    <x v="0"/>
  </r>
  <r>
    <d v="2020-04-28T00:00:00"/>
    <n v="20397"/>
    <x v="1195"/>
    <x v="1190"/>
    <n v="9769"/>
    <n v="103"/>
    <s v="Regular Day"/>
    <x v="0"/>
  </r>
  <r>
    <d v="2020-04-29T00:00:00"/>
    <n v="20771"/>
    <x v="1196"/>
    <x v="1191"/>
    <n v="9911"/>
    <n v="99"/>
    <s v="Regular Day"/>
    <x v="0"/>
  </r>
  <r>
    <d v="2020-04-30T00:00:00"/>
    <n v="19230"/>
    <x v="1197"/>
    <x v="1192"/>
    <n v="9038"/>
    <n v="97"/>
    <s v="Regular Day"/>
    <x v="0"/>
  </r>
  <r>
    <d v="2020-05-01T00:00:00"/>
    <n v="18276"/>
    <x v="1198"/>
    <x v="1193"/>
    <n v="8505"/>
    <n v="99"/>
    <s v="Regular Day"/>
    <x v="0"/>
  </r>
  <r>
    <d v="2020-05-02T00:00:00"/>
    <n v="17143"/>
    <x v="1199"/>
    <x v="1194"/>
    <n v="7561"/>
    <n v="99"/>
    <s v="Regular Day"/>
    <x v="0"/>
  </r>
  <r>
    <d v="2020-05-03T00:00:00"/>
    <n v="18068"/>
    <x v="1200"/>
    <x v="1195"/>
    <n v="7925"/>
    <n v="95"/>
    <s v="Regular Day"/>
    <x v="0"/>
  </r>
  <r>
    <d v="2020-05-04T00:00:00"/>
    <n v="18477"/>
    <x v="1070"/>
    <x v="1196"/>
    <n v="7814"/>
    <n v="100"/>
    <s v="Regular Day"/>
    <x v="0"/>
  </r>
  <r>
    <d v="2020-05-05T00:00:00"/>
    <n v="20217"/>
    <x v="1201"/>
    <x v="1197"/>
    <n v="9533"/>
    <n v="101"/>
    <s v="Regular Day"/>
    <x v="0"/>
  </r>
  <r>
    <d v="2020-05-06T00:00:00"/>
    <n v="25702"/>
    <x v="1202"/>
    <x v="1198"/>
    <n v="14833"/>
    <n v="84"/>
    <s v="Regular Day"/>
    <x v="0"/>
  </r>
  <r>
    <d v="2020-05-07T00:00:00"/>
    <n v="22901"/>
    <x v="1203"/>
    <x v="1199"/>
    <n v="11964"/>
    <n v="94"/>
    <s v="Regular Day"/>
    <x v="0"/>
  </r>
  <r>
    <d v="2020-05-08T00:00:00"/>
    <n v="20690"/>
    <x v="1204"/>
    <x v="1200"/>
    <n v="10535"/>
    <n v="103"/>
    <s v="Regular Day"/>
    <x v="0"/>
  </r>
  <r>
    <d v="2020-05-09T00:00:00"/>
    <n v="20417"/>
    <x v="1205"/>
    <x v="1201"/>
    <n v="9980"/>
    <n v="106"/>
    <s v="Regular Day"/>
    <x v="0"/>
  </r>
  <r>
    <d v="2020-05-10T00:00:00"/>
    <n v="18201"/>
    <x v="1206"/>
    <x v="1202"/>
    <n v="9360"/>
    <n v="94"/>
    <s v="Regular Day"/>
    <x v="0"/>
  </r>
  <r>
    <d v="2020-05-11T00:00:00"/>
    <n v="18382"/>
    <x v="1207"/>
    <x v="1203"/>
    <n v="9546"/>
    <n v="98"/>
    <s v="Regular Day"/>
    <x v="0"/>
  </r>
  <r>
    <d v="2020-05-12T00:00:00"/>
    <n v="17456"/>
    <x v="1208"/>
    <x v="1204"/>
    <n v="8827"/>
    <n v="95"/>
    <s v="Regular Day"/>
    <x v="0"/>
  </r>
  <r>
    <d v="2020-05-13T00:00:00"/>
    <n v="18307"/>
    <x v="1209"/>
    <x v="1205"/>
    <n v="8891"/>
    <n v="99"/>
    <s v="Regular Day"/>
    <x v="0"/>
  </r>
  <r>
    <d v="2020-05-14T00:00:00"/>
    <n v="23339"/>
    <x v="1210"/>
    <x v="1206"/>
    <n v="10886"/>
    <n v="85"/>
    <s v="Regular Day"/>
    <x v="0"/>
  </r>
  <r>
    <d v="2020-05-15T00:00:00"/>
    <n v="24307"/>
    <x v="1211"/>
    <x v="1207"/>
    <n v="10988"/>
    <n v="78"/>
    <s v="Regular Day"/>
    <x v="0"/>
  </r>
  <r>
    <d v="2020-05-16T00:00:00"/>
    <n v="22974"/>
    <x v="1212"/>
    <x v="1208"/>
    <n v="10477"/>
    <n v="77"/>
    <s v="Regular Day"/>
    <x v="0"/>
  </r>
  <r>
    <d v="2020-05-17T00:00:00"/>
    <n v="19652"/>
    <x v="1213"/>
    <x v="1209"/>
    <n v="8906"/>
    <n v="86"/>
    <s v="Regular Day"/>
    <x v="0"/>
  </r>
  <r>
    <d v="2020-05-18T00:00:00"/>
    <n v="17842"/>
    <x v="1214"/>
    <x v="1210"/>
    <n v="8961"/>
    <n v="93"/>
    <s v="Regular Day"/>
    <x v="0"/>
  </r>
  <r>
    <d v="2020-05-19T00:00:00"/>
    <n v="17582"/>
    <x v="1215"/>
    <x v="1211"/>
    <n v="8855"/>
    <n v="88"/>
    <s v="Regular Day"/>
    <x v="0"/>
  </r>
  <r>
    <d v="2020-05-20T00:00:00"/>
    <n v="18808"/>
    <x v="1216"/>
    <x v="1212"/>
    <n v="9522"/>
    <n v="93"/>
    <s v="Regular Day"/>
    <x v="0"/>
  </r>
  <r>
    <d v="2020-05-21T00:00:00"/>
    <n v="19197"/>
    <x v="1217"/>
    <x v="1213"/>
    <n v="9877"/>
    <n v="86"/>
    <s v="Regular Day"/>
    <x v="0"/>
  </r>
  <r>
    <d v="2020-05-22T00:00:00"/>
    <n v="18912"/>
    <x v="1218"/>
    <x v="1214"/>
    <n v="9487"/>
    <n v="84"/>
    <s v="Regular Day"/>
    <x v="0"/>
  </r>
  <r>
    <d v="2020-05-23T00:00:00"/>
    <n v="16808"/>
    <x v="1219"/>
    <x v="1215"/>
    <n v="8340"/>
    <n v="84"/>
    <s v="Regular Day"/>
    <x v="0"/>
  </r>
  <r>
    <d v="2020-05-24T00:00:00"/>
    <n v="16070"/>
    <x v="1220"/>
    <x v="1216"/>
    <n v="7859"/>
    <n v="85"/>
    <s v="Regular Day"/>
    <x v="0"/>
  </r>
  <r>
    <d v="2020-05-25T00:00:00"/>
    <n v="16047"/>
    <x v="1221"/>
    <x v="1217"/>
    <n v="7792"/>
    <n v="92"/>
    <s v="Regular Day"/>
    <x v="0"/>
  </r>
  <r>
    <d v="2020-05-26T00:00:00"/>
    <n v="26587"/>
    <x v="1222"/>
    <x v="1218"/>
    <n v="12160"/>
    <n v="106"/>
    <s v="Regular Day"/>
    <x v="0"/>
  </r>
  <r>
    <d v="2020-05-27T00:00:00"/>
    <n v="27123"/>
    <x v="1223"/>
    <x v="1219"/>
    <n v="14054"/>
    <n v="102"/>
    <s v="Regular Day"/>
    <x v="0"/>
  </r>
  <r>
    <d v="2020-05-28T00:00:00"/>
    <n v="20603"/>
    <x v="1224"/>
    <x v="1220"/>
    <n v="10795"/>
    <n v="90"/>
    <s v="Regular Day"/>
    <x v="0"/>
  </r>
  <r>
    <d v="2020-05-29T00:00:00"/>
    <n v="21668"/>
    <x v="1225"/>
    <x v="1221"/>
    <n v="9464"/>
    <n v="117"/>
    <s v="Regular Day"/>
    <x v="0"/>
  </r>
  <r>
    <d v="2020-05-30T00:00:00"/>
    <n v="21981"/>
    <x v="1226"/>
    <x v="1222"/>
    <n v="9860"/>
    <n v="102"/>
    <s v="Regular Day"/>
    <x v="0"/>
  </r>
  <r>
    <d v="2020-05-31T00:00:00"/>
    <n v="17602"/>
    <x v="1227"/>
    <x v="1223"/>
    <n v="7996"/>
    <n v="93"/>
    <s v="Regular Day"/>
    <x v="0"/>
  </r>
  <r>
    <d v="2020-06-01T00:00:00"/>
    <n v="15862"/>
    <x v="1228"/>
    <x v="1224"/>
    <n v="8114"/>
    <n v="91"/>
    <s v="Regular Day"/>
    <x v="0"/>
  </r>
  <r>
    <d v="2020-06-02T00:00:00"/>
    <n v="13375"/>
    <x v="1229"/>
    <x v="1225"/>
    <n v="6579"/>
    <n v="91"/>
    <s v="Regular Day"/>
    <x v="0"/>
  </r>
  <r>
    <d v="2020-06-03T00:00:00"/>
    <n v="13735"/>
    <x v="1230"/>
    <x v="1226"/>
    <n v="6606"/>
    <n v="95"/>
    <s v="Regular Day"/>
    <x v="0"/>
  </r>
  <r>
    <d v="2020-06-04T00:00:00"/>
    <n v="27496"/>
    <x v="1231"/>
    <x v="1227"/>
    <n v="11653"/>
    <n v="85"/>
    <s v="Regular Day"/>
    <x v="0"/>
  </r>
  <r>
    <d v="2020-06-05T00:00:00"/>
    <n v="48315"/>
    <x v="1232"/>
    <x v="1228"/>
    <n v="32944"/>
    <n v="119"/>
    <s v="Regular Day"/>
    <x v="0"/>
  </r>
  <r>
    <d v="2020-06-06T00:00:00"/>
    <n v="21293"/>
    <x v="1233"/>
    <x v="1229"/>
    <n v="8035"/>
    <n v="76"/>
    <s v="Regular Day"/>
    <x v="0"/>
  </r>
  <r>
    <d v="2020-06-07T00:00:00"/>
    <n v="16361"/>
    <x v="1234"/>
    <x v="1230"/>
    <n v="7710"/>
    <n v="85"/>
    <s v="Regular Day"/>
    <x v="0"/>
  </r>
  <r>
    <d v="2020-06-08T00:00:00"/>
    <n v="19655"/>
    <x v="1235"/>
    <x v="1231"/>
    <n v="8930"/>
    <n v="88"/>
    <s v="Regular Day"/>
    <x v="0"/>
  </r>
  <r>
    <d v="2020-06-09T00:00:00"/>
    <n v="23422"/>
    <x v="1236"/>
    <x v="1232"/>
    <n v="11857"/>
    <n v="88"/>
    <s v="Regular Day"/>
    <x v="0"/>
  </r>
  <r>
    <d v="2020-06-10T00:00:00"/>
    <n v="29706"/>
    <x v="1237"/>
    <x v="1233"/>
    <n v="13485"/>
    <n v="91"/>
    <s v="Regular Day"/>
    <x v="0"/>
  </r>
  <r>
    <d v="2020-06-11T00:00:00"/>
    <n v="24169"/>
    <x v="1238"/>
    <x v="1234"/>
    <n v="10792"/>
    <n v="88"/>
    <s v="Regular Day"/>
    <x v="0"/>
  </r>
  <r>
    <d v="2020-06-12T00:00:00"/>
    <n v="21841"/>
    <x v="1239"/>
    <x v="1235"/>
    <n v="10306"/>
    <n v="79"/>
    <s v="Regular Day"/>
    <x v="0"/>
  </r>
  <r>
    <d v="2020-06-13T00:00:00"/>
    <n v="18297"/>
    <x v="1240"/>
    <x v="1236"/>
    <n v="8648"/>
    <n v="76"/>
    <s v="Regular Day"/>
    <x v="0"/>
  </r>
  <r>
    <d v="2020-06-14T00:00:00"/>
    <n v="16177"/>
    <x v="1241"/>
    <x v="1237"/>
    <n v="7386"/>
    <n v="81"/>
    <s v="Regular Day"/>
    <x v="0"/>
  </r>
  <r>
    <d v="2020-06-15T00:00:00"/>
    <n v="20985"/>
    <x v="1242"/>
    <x v="1238"/>
    <n v="9764"/>
    <n v="88"/>
    <s v="Regular Day"/>
    <x v="0"/>
  </r>
  <r>
    <d v="2020-06-16T00:00:00"/>
    <n v="21380"/>
    <x v="1243"/>
    <x v="1239"/>
    <n v="10490"/>
    <n v="85"/>
    <s v="Regular Day"/>
    <x v="0"/>
  </r>
  <r>
    <d v="2020-06-17T00:00:00"/>
    <n v="22351"/>
    <x v="1244"/>
    <x v="1240"/>
    <n v="13242"/>
    <n v="79"/>
    <s v="Regular Day"/>
    <x v="0"/>
  </r>
  <r>
    <d v="2020-06-18T00:00:00"/>
    <n v="23241"/>
    <x v="1245"/>
    <x v="1241"/>
    <n v="13113"/>
    <n v="77"/>
    <s v="Regular Day"/>
    <x v="0"/>
  </r>
  <r>
    <d v="2020-06-19T00:00:00"/>
    <n v="23572"/>
    <x v="1246"/>
    <x v="1242"/>
    <n v="12206"/>
    <n v="72"/>
    <s v="Regular Day"/>
    <x v="0"/>
  </r>
  <r>
    <d v="2020-06-20T00:00:00"/>
    <n v="29808"/>
    <x v="1247"/>
    <x v="1243"/>
    <n v="15838"/>
    <n v="64"/>
    <s v="Regular Day"/>
    <x v="0"/>
  </r>
  <r>
    <d v="2020-06-21T00:00:00"/>
    <n v="27455"/>
    <x v="1248"/>
    <x v="1244"/>
    <n v="14363"/>
    <n v="65"/>
    <s v="Regular Day"/>
    <x v="0"/>
  </r>
  <r>
    <d v="2020-06-22T00:00:00"/>
    <n v="28339"/>
    <x v="1249"/>
    <x v="1245"/>
    <n v="14788"/>
    <n v="74"/>
    <s v="Regular Day"/>
    <x v="0"/>
  </r>
  <r>
    <d v="2020-06-23T00:00:00"/>
    <n v="24640"/>
    <x v="1250"/>
    <x v="1246"/>
    <n v="12763"/>
    <n v="74"/>
    <s v="Regular Day"/>
    <x v="0"/>
  </r>
  <r>
    <d v="2020-06-24T00:00:00"/>
    <n v="23164"/>
    <x v="1251"/>
    <x v="1247"/>
    <n v="11656"/>
    <n v="84"/>
    <s v="Regular Day"/>
    <x v="0"/>
  </r>
  <r>
    <d v="2020-06-25T00:00:00"/>
    <n v="20832"/>
    <x v="1252"/>
    <x v="1248"/>
    <n v="10823"/>
    <n v="81"/>
    <s v="Regular Day"/>
    <x v="0"/>
  </r>
  <r>
    <d v="2020-06-26T00:00:00"/>
    <n v="19324"/>
    <x v="1253"/>
    <x v="1249"/>
    <n v="9850"/>
    <n v="75"/>
    <s v="Regular Day"/>
    <x v="0"/>
  </r>
  <r>
    <d v="2020-06-27T00:00:00"/>
    <n v="18136"/>
    <x v="1254"/>
    <x v="1250"/>
    <n v="9264"/>
    <n v="75"/>
    <s v="Regular Day"/>
    <x v="0"/>
  </r>
  <r>
    <d v="2020-06-28T00:00:00"/>
    <n v="20536"/>
    <x v="1255"/>
    <x v="1251"/>
    <n v="10175"/>
    <n v="76"/>
    <s v="Regular Day"/>
    <x v="0"/>
  </r>
  <r>
    <d v="2020-06-29T00:00:00"/>
    <n v="26433"/>
    <x v="1256"/>
    <x v="1252"/>
    <n v="11459"/>
    <n v="87"/>
    <s v="Regular Day"/>
    <x v="0"/>
  </r>
  <r>
    <d v="2020-06-30T00:00:00"/>
    <n v="35064"/>
    <x v="1257"/>
    <x v="1253"/>
    <n v="14062"/>
    <n v="139"/>
    <s v="Regular Day"/>
    <x v="0"/>
  </r>
  <r>
    <d v="2020-07-01T00:00:00"/>
    <n v="24986"/>
    <x v="1258"/>
    <x v="1254"/>
    <n v="10981"/>
    <n v="107"/>
    <s v="Regular Day"/>
    <x v="0"/>
  </r>
  <r>
    <d v="2020-07-02T00:00:00"/>
    <n v="18807"/>
    <x v="1259"/>
    <x v="1255"/>
    <n v="8686"/>
    <n v="92"/>
    <s v="Regular Day"/>
    <x v="0"/>
  </r>
  <r>
    <d v="2020-07-03T00:00:00"/>
    <n v="17396"/>
    <x v="1260"/>
    <x v="1256"/>
    <n v="7959"/>
    <n v="84"/>
    <s v="Regular Day"/>
    <x v="0"/>
  </r>
  <r>
    <d v="2020-07-04T00:00:00"/>
    <n v="16752"/>
    <x v="1261"/>
    <x v="1257"/>
    <n v="8137"/>
    <n v="77"/>
    <s v="Regular Day"/>
    <x v="0"/>
  </r>
  <r>
    <d v="2020-07-05T00:00:00"/>
    <n v="16869"/>
    <x v="1262"/>
    <x v="1258"/>
    <n v="8552"/>
    <n v="78"/>
    <s v="Regular Day"/>
    <x v="0"/>
  </r>
  <r>
    <d v="2020-07-06T00:00:00"/>
    <n v="19477"/>
    <x v="1263"/>
    <x v="1259"/>
    <n v="9574"/>
    <n v="91"/>
    <s v="Regular Day"/>
    <x v="0"/>
  </r>
  <r>
    <d v="2020-07-07T00:00:00"/>
    <n v="17648"/>
    <x v="1264"/>
    <x v="1260"/>
    <n v="8722"/>
    <n v="90"/>
    <s v="Regular Day"/>
    <x v="0"/>
  </r>
  <r>
    <d v="2020-07-08T00:00:00"/>
    <n v="29782"/>
    <x v="1265"/>
    <x v="1261"/>
    <n v="12739"/>
    <n v="86"/>
    <s v="Regular Day"/>
    <x v="0"/>
  </r>
  <r>
    <d v="2020-07-09T00:00:00"/>
    <n v="21380"/>
    <x v="1266"/>
    <x v="1262"/>
    <n v="10551"/>
    <n v="89"/>
    <s v="Regular Day"/>
    <x v="0"/>
  </r>
  <r>
    <d v="2020-07-10T00:00:00"/>
    <n v="16371"/>
    <x v="1267"/>
    <x v="1263"/>
    <n v="8484"/>
    <n v="80"/>
    <s v="Regular Day"/>
    <x v="0"/>
  </r>
  <r>
    <d v="2020-07-11T00:00:00"/>
    <n v="14982"/>
    <x v="1268"/>
    <x v="1264"/>
    <n v="7747"/>
    <n v="82"/>
    <s v="Regular Day"/>
    <x v="0"/>
  </r>
  <r>
    <d v="2020-07-12T00:00:00"/>
    <n v="14076"/>
    <x v="1269"/>
    <x v="455"/>
    <n v="7216"/>
    <n v="86"/>
    <s v="Regular Day"/>
    <x v="0"/>
  </r>
  <r>
    <d v="2020-07-13T00:00:00"/>
    <n v="14342"/>
    <x v="1270"/>
    <x v="1265"/>
    <n v="7242"/>
    <n v="90"/>
    <s v="Regular Day"/>
    <x v="0"/>
  </r>
  <r>
    <d v="2020-07-14T00:00:00"/>
    <n v="14802"/>
    <x v="1271"/>
    <x v="1266"/>
    <n v="7623"/>
    <n v="93"/>
    <s v="Regular Day"/>
    <x v="0"/>
  </r>
  <r>
    <d v="2020-07-15T00:00:00"/>
    <n v="15204"/>
    <x v="1272"/>
    <x v="1267"/>
    <n v="7856"/>
    <n v="93"/>
    <s v="Regular Day"/>
    <x v="0"/>
  </r>
  <r>
    <d v="2020-07-16T00:00:00"/>
    <n v="15185"/>
    <x v="1273"/>
    <x v="1268"/>
    <n v="8156"/>
    <n v="90"/>
    <s v="Regular Day"/>
    <x v="0"/>
  </r>
  <r>
    <d v="2020-07-17T00:00:00"/>
    <n v="18814"/>
    <x v="1274"/>
    <x v="1269"/>
    <n v="9745"/>
    <n v="103"/>
    <s v="Regular Day"/>
    <x v="0"/>
  </r>
  <r>
    <d v="2020-07-18T00:00:00"/>
    <n v="16224"/>
    <x v="1275"/>
    <x v="1270"/>
    <n v="8319"/>
    <n v="97"/>
    <s v="Regular Day"/>
    <x v="0"/>
  </r>
  <r>
    <d v="2020-07-19T00:00:00"/>
    <n v="17271"/>
    <x v="1276"/>
    <x v="1271"/>
    <n v="8267"/>
    <n v="88"/>
    <s v="Regular Day"/>
    <x v="0"/>
  </r>
  <r>
    <d v="2020-07-20T00:00:00"/>
    <n v="15790"/>
    <x v="1277"/>
    <x v="1272"/>
    <n v="7729"/>
    <n v="96"/>
    <s v="Regular Day"/>
    <x v="0"/>
  </r>
  <r>
    <d v="2020-07-21T00:00:00"/>
    <n v="17879"/>
    <x v="1278"/>
    <x v="1273"/>
    <n v="8143"/>
    <n v="104"/>
    <s v="Regular Day"/>
    <x v="0"/>
  </r>
  <r>
    <d v="2020-07-22T00:00:00"/>
    <n v="17955"/>
    <x v="1279"/>
    <x v="1274"/>
    <n v="8243"/>
    <n v="97"/>
    <s v="Regular Day"/>
    <x v="0"/>
  </r>
  <r>
    <d v="2020-07-23T00:00:00"/>
    <n v="22184"/>
    <x v="1280"/>
    <x v="1275"/>
    <n v="9166"/>
    <n v="81"/>
    <s v="Regular Day"/>
    <x v="0"/>
  </r>
  <r>
    <d v="2020-07-24T00:00:00"/>
    <n v="18907"/>
    <x v="1281"/>
    <x v="1276"/>
    <n v="9224"/>
    <n v="83"/>
    <s v="Regular Day"/>
    <x v="0"/>
  </r>
  <r>
    <d v="2020-07-25T00:00:00"/>
    <n v="17242"/>
    <x v="1282"/>
    <x v="1277"/>
    <n v="8327"/>
    <n v="88"/>
    <s v="Regular Day"/>
    <x v="0"/>
  </r>
  <r>
    <d v="2020-07-26T00:00:00"/>
    <n v="16431"/>
    <x v="1283"/>
    <x v="1278"/>
    <n v="8071"/>
    <n v="79"/>
    <s v="Regular Day"/>
    <x v="0"/>
  </r>
  <r>
    <d v="2020-07-27T00:00:00"/>
    <n v="15994"/>
    <x v="1284"/>
    <x v="1279"/>
    <n v="7747"/>
    <n v="90"/>
    <s v="Regular Day"/>
    <x v="0"/>
  </r>
  <r>
    <d v="2020-07-28T00:00:00"/>
    <n v="16399"/>
    <x v="1285"/>
    <x v="1280"/>
    <n v="7855"/>
    <n v="85"/>
    <s v="Regular Day"/>
    <x v="0"/>
  </r>
  <r>
    <d v="2020-07-29T00:00:00"/>
    <n v="18741"/>
    <x v="1286"/>
    <x v="1281"/>
    <n v="8796"/>
    <n v="84"/>
    <s v="Regular Day"/>
    <x v="0"/>
  </r>
  <r>
    <d v="2020-07-30T00:00:00"/>
    <n v="23396"/>
    <x v="1287"/>
    <x v="1282"/>
    <n v="9432"/>
    <n v="71"/>
    <s v="Regular Day"/>
    <x v="0"/>
  </r>
  <r>
    <d v="2020-07-31T00:00:00"/>
    <n v="18489"/>
    <x v="1288"/>
    <x v="1283"/>
    <n v="8148"/>
    <n v="74"/>
    <s v="Regular Day"/>
    <x v="0"/>
  </r>
  <r>
    <d v="2020-08-01T00:00:00"/>
    <n v="16783"/>
    <x v="1289"/>
    <x v="1284"/>
    <n v="7423"/>
    <n v="73"/>
    <s v="Regular Day"/>
    <x v="0"/>
  </r>
  <r>
    <d v="2020-08-02T00:00:00"/>
    <n v="15668"/>
    <x v="1290"/>
    <x v="1285"/>
    <n v="7352"/>
    <n v="76"/>
    <s v="Regular Day"/>
    <x v="0"/>
  </r>
  <r>
    <d v="2020-08-03T00:00:00"/>
    <n v="15107"/>
    <x v="1291"/>
    <x v="1286"/>
    <n v="7682"/>
    <n v="81"/>
    <s v="Regular Day"/>
    <x v="0"/>
  </r>
  <r>
    <d v="2020-08-04T00:00:00"/>
    <n v="15052"/>
    <x v="1292"/>
    <x v="1287"/>
    <n v="7666"/>
    <n v="89"/>
    <s v="Regular Day"/>
    <x v="0"/>
  </r>
  <r>
    <d v="2020-08-05T00:00:00"/>
    <n v="14392"/>
    <x v="1293"/>
    <x v="1288"/>
    <n v="7414"/>
    <n v="95"/>
    <s v="Regular Day"/>
    <x v="0"/>
  </r>
  <r>
    <d v="2020-08-06T00:00:00"/>
    <n v="15105"/>
    <x v="1294"/>
    <x v="1289"/>
    <n v="7696"/>
    <n v="94"/>
    <s v="Regular Day"/>
    <x v="0"/>
  </r>
  <r>
    <d v="2020-08-07T00:00:00"/>
    <n v="15608"/>
    <x v="1295"/>
    <x v="1290"/>
    <n v="7460"/>
    <n v="85"/>
    <s v="Regular Day"/>
    <x v="0"/>
  </r>
  <r>
    <d v="2020-08-08T00:00:00"/>
    <n v="18067"/>
    <x v="1296"/>
    <x v="1291"/>
    <n v="8656"/>
    <n v="76"/>
    <s v="Regular Day"/>
    <x v="0"/>
  </r>
  <r>
    <d v="2020-08-09T00:00:00"/>
    <n v="15609"/>
    <x v="1297"/>
    <x v="25"/>
    <n v="7610"/>
    <n v="77"/>
    <s v="Regular Day"/>
    <x v="0"/>
  </r>
  <r>
    <d v="2020-08-10T00:00:00"/>
    <n v="15440"/>
    <x v="1298"/>
    <x v="1292"/>
    <n v="7480"/>
    <n v="83"/>
    <s v="Regular Day"/>
    <x v="0"/>
  </r>
  <r>
    <d v="2020-08-11T00:00:00"/>
    <n v="15179"/>
    <x v="1299"/>
    <x v="1293"/>
    <n v="7591"/>
    <n v="91"/>
    <s v="Regular Day"/>
    <x v="0"/>
  </r>
  <r>
    <d v="2020-08-12T00:00:00"/>
    <n v="15505"/>
    <x v="1300"/>
    <x v="1294"/>
    <n v="8012"/>
    <n v="89"/>
    <s v="Regular Day"/>
    <x v="0"/>
  </r>
  <r>
    <d v="2020-08-13T00:00:00"/>
    <n v="18518"/>
    <x v="1301"/>
    <x v="1295"/>
    <n v="8991"/>
    <n v="91"/>
    <s v="Regular Day"/>
    <x v="0"/>
  </r>
  <r>
    <d v="2020-08-14T00:00:00"/>
    <n v="17607"/>
    <x v="1302"/>
    <x v="1296"/>
    <n v="8549"/>
    <n v="84"/>
    <s v="Regular Day"/>
    <x v="0"/>
  </r>
  <r>
    <d v="2020-08-15T00:00:00"/>
    <n v="15198"/>
    <x v="1303"/>
    <x v="1297"/>
    <n v="7566"/>
    <n v="87"/>
    <s v="Regular Day"/>
    <x v="0"/>
  </r>
  <r>
    <d v="2020-08-16T00:00:00"/>
    <n v="18845"/>
    <x v="1304"/>
    <x v="1298"/>
    <n v="8830"/>
    <n v="82"/>
    <s v="Regular Day"/>
    <x v="0"/>
  </r>
  <r>
    <d v="2020-08-17T00:00:00"/>
    <n v="20149"/>
    <x v="1305"/>
    <x v="1299"/>
    <n v="10091"/>
    <n v="108"/>
    <s v="Regular Day"/>
    <x v="0"/>
  </r>
  <r>
    <d v="2020-08-18T00:00:00"/>
    <n v="16633"/>
    <x v="1306"/>
    <x v="1300"/>
    <n v="8407"/>
    <n v="100"/>
    <s v="Regular Day"/>
    <x v="0"/>
  </r>
  <r>
    <d v="2020-08-19T00:00:00"/>
    <n v="17390"/>
    <x v="1307"/>
    <x v="1301"/>
    <n v="8416"/>
    <n v="96"/>
    <s v="Regular Day"/>
    <x v="0"/>
  </r>
  <r>
    <d v="2020-08-20T00:00:00"/>
    <n v="23890"/>
    <x v="1308"/>
    <x v="1302"/>
    <n v="11052"/>
    <n v="106"/>
    <s v="Regular Day"/>
    <x v="0"/>
  </r>
  <r>
    <d v="2020-08-21T00:00:00"/>
    <n v="63836"/>
    <x v="1309"/>
    <x v="1303"/>
    <n v="22537"/>
    <n v="118"/>
    <s v="Regular Day"/>
    <x v="0"/>
  </r>
  <r>
    <d v="2020-08-22T00:00:00"/>
    <n v="31064"/>
    <x v="1310"/>
    <x v="1304"/>
    <n v="13005"/>
    <n v="99"/>
    <s v="Regular Day"/>
    <x v="0"/>
  </r>
  <r>
    <d v="2020-08-23T00:00:00"/>
    <n v="24374"/>
    <x v="1311"/>
    <x v="1305"/>
    <n v="10720"/>
    <n v="85"/>
    <s v="Regular Day"/>
    <x v="0"/>
  </r>
  <r>
    <d v="2020-08-24T00:00:00"/>
    <n v="19051"/>
    <x v="1312"/>
    <x v="1306"/>
    <n v="8789"/>
    <n v="82"/>
    <s v="Regular Day"/>
    <x v="0"/>
  </r>
  <r>
    <d v="2020-08-25T00:00:00"/>
    <n v="17617"/>
    <x v="1313"/>
    <x v="1307"/>
    <n v="8303"/>
    <n v="90"/>
    <s v="Regular Day"/>
    <x v="0"/>
  </r>
  <r>
    <d v="2020-08-26T00:00:00"/>
    <n v="16292"/>
    <x v="1314"/>
    <x v="1308"/>
    <n v="8001"/>
    <n v="82"/>
    <s v="Regular Day"/>
    <x v="0"/>
  </r>
  <r>
    <d v="2020-08-27T00:00:00"/>
    <n v="15185"/>
    <x v="1315"/>
    <x v="1309"/>
    <n v="7609"/>
    <n v="80"/>
    <s v="Regular Day"/>
    <x v="0"/>
  </r>
  <r>
    <d v="2020-08-28T00:00:00"/>
    <n v="15579"/>
    <x v="1316"/>
    <x v="1310"/>
    <n v="7599"/>
    <n v="84"/>
    <s v="Regular Day"/>
    <x v="0"/>
  </r>
  <r>
    <d v="2020-08-29T00:00:00"/>
    <n v="17340"/>
    <x v="1317"/>
    <x v="1311"/>
    <n v="8570"/>
    <n v="78"/>
    <s v="Regular Day"/>
    <x v="0"/>
  </r>
  <r>
    <d v="2020-08-30T00:00:00"/>
    <n v="26580"/>
    <x v="1318"/>
    <x v="1312"/>
    <n v="13342"/>
    <n v="77"/>
    <s v="Regular Day"/>
    <x v="0"/>
  </r>
  <r>
    <d v="2020-08-31T00:00:00"/>
    <n v="28489"/>
    <x v="1319"/>
    <x v="1313"/>
    <n v="12940"/>
    <n v="79"/>
    <s v="Regular Day"/>
    <x v="0"/>
  </r>
  <r>
    <d v="2020-09-01T00:00:00"/>
    <n v="24444"/>
    <x v="1320"/>
    <x v="1314"/>
    <n v="12022"/>
    <n v="86"/>
    <s v="Regular Day"/>
    <x v="0"/>
  </r>
  <r>
    <d v="2020-09-02T00:00:00"/>
    <n v="25389"/>
    <x v="1321"/>
    <x v="1315"/>
    <n v="12101"/>
    <n v="83"/>
    <s v="Regular Day"/>
    <x v="0"/>
  </r>
  <r>
    <d v="2020-09-03T00:00:00"/>
    <n v="25754"/>
    <x v="1322"/>
    <x v="1316"/>
    <n v="11619"/>
    <n v="85"/>
    <s v="Regular Day"/>
    <x v="0"/>
  </r>
  <r>
    <d v="2020-09-04T00:00:00"/>
    <n v="24490"/>
    <x v="1323"/>
    <x v="1317"/>
    <n v="11156"/>
    <n v="80"/>
    <s v="Regular Day"/>
    <x v="0"/>
  </r>
  <r>
    <d v="2020-09-05T00:00:00"/>
    <n v="20222"/>
    <x v="1324"/>
    <x v="1318"/>
    <n v="9530"/>
    <n v="81"/>
    <s v="Regular Day"/>
    <x v="0"/>
  </r>
  <r>
    <d v="2020-09-06T00:00:00"/>
    <n v="20543"/>
    <x v="1325"/>
    <x v="1319"/>
    <n v="9755"/>
    <n v="90"/>
    <s v="Regular Day"/>
    <x v="0"/>
  </r>
  <r>
    <d v="2020-09-07T00:00:00"/>
    <n v="18803"/>
    <x v="1326"/>
    <x v="1320"/>
    <n v="8551"/>
    <n v="95"/>
    <s v="Regular Day"/>
    <x v="0"/>
  </r>
  <r>
    <d v="2020-09-08T00:00:00"/>
    <n v="16430"/>
    <x v="1327"/>
    <x v="1321"/>
    <n v="8148"/>
    <n v="85"/>
    <s v="Regular Day"/>
    <x v="0"/>
  </r>
  <r>
    <d v="2020-09-09T00:00:00"/>
    <n v="24942"/>
    <x v="1328"/>
    <x v="1322"/>
    <n v="10268"/>
    <n v="88"/>
    <s v="Regular Day"/>
    <x v="0"/>
  </r>
  <r>
    <d v="2020-09-10T00:00:00"/>
    <n v="24601"/>
    <x v="1329"/>
    <x v="1323"/>
    <n v="11462"/>
    <n v="88"/>
    <s v="Regular Day"/>
    <x v="0"/>
  </r>
  <r>
    <d v="2020-09-11T00:00:00"/>
    <n v="19487"/>
    <x v="1330"/>
    <x v="1324"/>
    <n v="8385"/>
    <n v="83"/>
    <s v="Regular Day"/>
    <x v="0"/>
  </r>
  <r>
    <d v="2020-09-12T00:00:00"/>
    <n v="17581"/>
    <x v="1331"/>
    <x v="1325"/>
    <n v="7927"/>
    <n v="72"/>
    <s v="Regular Day"/>
    <x v="0"/>
  </r>
  <r>
    <d v="2020-09-13T00:00:00"/>
    <n v="16829"/>
    <x v="1332"/>
    <x v="1326"/>
    <n v="7891"/>
    <n v="79"/>
    <s v="Regular Day"/>
    <x v="0"/>
  </r>
  <r>
    <d v="2020-09-14T00:00:00"/>
    <n v="17142"/>
    <x v="1333"/>
    <x v="1327"/>
    <n v="8172"/>
    <n v="93"/>
    <s v="Regular Day"/>
    <x v="0"/>
  </r>
  <r>
    <d v="2020-09-15T00:00:00"/>
    <n v="16621"/>
    <x v="1334"/>
    <x v="1328"/>
    <n v="7855"/>
    <n v="94"/>
    <s v="Regular Day"/>
    <x v="0"/>
  </r>
  <r>
    <d v="2020-09-16T00:00:00"/>
    <n v="20877"/>
    <x v="1335"/>
    <x v="1329"/>
    <n v="10425"/>
    <n v="82"/>
    <s v="Regular Day"/>
    <x v="0"/>
  </r>
  <r>
    <d v="2020-09-17T00:00:00"/>
    <n v="20512"/>
    <x v="1336"/>
    <x v="1330"/>
    <n v="9766"/>
    <n v="81"/>
    <s v="Regular Day"/>
    <x v="0"/>
  </r>
  <r>
    <d v="2020-09-18T00:00:00"/>
    <n v="203599"/>
    <x v="1337"/>
    <x v="1331"/>
    <n v="29985"/>
    <n v="69"/>
    <s v="Regular Day"/>
    <x v="0"/>
  </r>
  <r>
    <d v="2020-09-19T00:00:00"/>
    <n v="98663"/>
    <x v="1338"/>
    <x v="1332"/>
    <n v="19506"/>
    <n v="59"/>
    <s v="Regular Day"/>
    <x v="0"/>
  </r>
  <r>
    <d v="2020-09-20T00:00:00"/>
    <n v="54400"/>
    <x v="1339"/>
    <x v="1333"/>
    <n v="15282"/>
    <n v="62"/>
    <s v="Regular Day"/>
    <x v="0"/>
  </r>
  <r>
    <d v="2020-09-21T00:00:00"/>
    <n v="38523"/>
    <x v="1340"/>
    <x v="1334"/>
    <n v="13990"/>
    <n v="76"/>
    <s v="Regular Day"/>
    <x v="0"/>
  </r>
  <r>
    <d v="2020-09-22T00:00:00"/>
    <n v="37235"/>
    <x v="1341"/>
    <x v="1335"/>
    <n v="13309"/>
    <n v="75"/>
    <s v="Regular Day"/>
    <x v="0"/>
  </r>
  <r>
    <d v="2020-09-23T00:00:00"/>
    <n v="26278"/>
    <x v="1342"/>
    <x v="1336"/>
    <n v="11410"/>
    <n v="87"/>
    <s v="Regular Day"/>
    <x v="0"/>
  </r>
  <r>
    <d v="2020-09-24T00:00:00"/>
    <n v="30034"/>
    <x v="1343"/>
    <x v="1337"/>
    <n v="12216"/>
    <n v="101"/>
    <s v="Regular Day"/>
    <x v="0"/>
  </r>
  <r>
    <d v="2020-09-25T00:00:00"/>
    <n v="37147"/>
    <x v="1344"/>
    <x v="1338"/>
    <n v="15956"/>
    <n v="142"/>
    <s v="Regular Day"/>
    <x v="0"/>
  </r>
  <r>
    <d v="2020-09-26T00:00:00"/>
    <n v="36219"/>
    <x v="1345"/>
    <x v="1339"/>
    <n v="16100"/>
    <n v="109"/>
    <s v="Regular Day"/>
    <x v="0"/>
  </r>
  <r>
    <d v="2020-09-27T00:00:00"/>
    <n v="24538"/>
    <x v="1346"/>
    <x v="1340"/>
    <n v="11412"/>
    <n v="101"/>
    <s v="Regular Day"/>
    <x v="0"/>
  </r>
  <r>
    <d v="2020-09-28T00:00:00"/>
    <n v="24366"/>
    <x v="1347"/>
    <x v="1341"/>
    <n v="10002"/>
    <n v="90"/>
    <s v="Regular Day"/>
    <x v="0"/>
  </r>
  <r>
    <d v="2020-09-29T00:00:00"/>
    <n v="75836"/>
    <x v="1348"/>
    <x v="1342"/>
    <n v="19204"/>
    <n v="171"/>
    <s v="Regular Day"/>
    <x v="0"/>
  </r>
  <r>
    <d v="2020-09-30T00:00:00"/>
    <n v="43438"/>
    <x v="1349"/>
    <x v="1343"/>
    <n v="17158"/>
    <n v="110"/>
    <s v="Regular Day"/>
    <x v="0"/>
  </r>
  <r>
    <d v="2020-10-01T00:00:00"/>
    <n v="41020"/>
    <x v="1350"/>
    <x v="1344"/>
    <n v="17799"/>
    <n v="85"/>
    <s v="Regular Day"/>
    <x v="0"/>
  </r>
  <r>
    <d v="2020-10-02T00:00:00"/>
    <n v="34921"/>
    <x v="1351"/>
    <x v="1345"/>
    <n v="16280"/>
    <n v="84"/>
    <s v="Regular Day"/>
    <x v="0"/>
  </r>
  <r>
    <d v="2020-10-03T00:00:00"/>
    <n v="28152"/>
    <x v="1352"/>
    <x v="1346"/>
    <n v="12449"/>
    <n v="79"/>
    <s v="Regular Day"/>
    <x v="0"/>
  </r>
  <r>
    <d v="2020-10-04T00:00:00"/>
    <n v="24607"/>
    <x v="1353"/>
    <x v="1347"/>
    <n v="10951"/>
    <n v="81"/>
    <s v="Regular Day"/>
    <x v="0"/>
  </r>
  <r>
    <d v="2020-10-05T00:00:00"/>
    <n v="22575"/>
    <x v="1354"/>
    <x v="1348"/>
    <n v="10485"/>
    <n v="90"/>
    <s v="Regular Day"/>
    <x v="0"/>
  </r>
  <r>
    <d v="2020-10-06T00:00:00"/>
    <n v="28241"/>
    <x v="1355"/>
    <x v="1349"/>
    <n v="12615"/>
    <n v="104"/>
    <s v="Regular Day"/>
    <x v="0"/>
  </r>
  <r>
    <d v="2020-10-07T00:00:00"/>
    <n v="37612"/>
    <x v="1356"/>
    <x v="1350"/>
    <n v="15389"/>
    <n v="144"/>
    <s v="Regular Day"/>
    <x v="0"/>
  </r>
  <r>
    <d v="2020-10-08T00:00:00"/>
    <n v="31984"/>
    <x v="1357"/>
    <x v="1351"/>
    <n v="14388"/>
    <n v="113"/>
    <s v="Regular Day"/>
    <x v="0"/>
  </r>
  <r>
    <d v="2020-10-09T00:00:00"/>
    <n v="25040"/>
    <x v="1358"/>
    <x v="1352"/>
    <n v="11422"/>
    <n v="97"/>
    <s v="Regular Day"/>
    <x v="0"/>
  </r>
  <r>
    <d v="2020-10-10T00:00:00"/>
    <n v="22129"/>
    <x v="1359"/>
    <x v="1353"/>
    <n v="9560"/>
    <n v="92"/>
    <s v="Regular Day"/>
    <x v="0"/>
  </r>
  <r>
    <d v="2020-10-11T00:00:00"/>
    <n v="21476"/>
    <x v="1360"/>
    <x v="1354"/>
    <n v="9302"/>
    <n v="93"/>
    <s v="Regular Day"/>
    <x v="0"/>
  </r>
  <r>
    <d v="2020-10-12T00:00:00"/>
    <n v="27364"/>
    <x v="1361"/>
    <x v="1355"/>
    <n v="12931"/>
    <n v="92"/>
    <s v="Regular Day"/>
    <x v="0"/>
  </r>
  <r>
    <d v="2020-10-13T00:00:00"/>
    <n v="23155"/>
    <x v="1362"/>
    <x v="1356"/>
    <n v="10711"/>
    <n v="82"/>
    <s v="Regular Day"/>
    <x v="0"/>
  </r>
  <r>
    <d v="2020-10-14T00:00:00"/>
    <n v="22916"/>
    <x v="1363"/>
    <x v="1357"/>
    <n v="10333"/>
    <n v="80"/>
    <s v="Regular Day"/>
    <x v="0"/>
  </r>
  <r>
    <d v="2020-10-15T00:00:00"/>
    <n v="21944"/>
    <x v="1364"/>
    <x v="1358"/>
    <n v="9970"/>
    <n v="86"/>
    <s v="Regular Day"/>
    <x v="0"/>
  </r>
  <r>
    <d v="2020-10-16T00:00:00"/>
    <n v="24022"/>
    <x v="1365"/>
    <x v="1359"/>
    <n v="11023"/>
    <n v="83"/>
    <s v="Regular Day"/>
    <x v="0"/>
  </r>
  <r>
    <d v="2020-10-17T00:00:00"/>
    <n v="20469"/>
    <x v="1366"/>
    <x v="1360"/>
    <n v="9216"/>
    <n v="80"/>
    <s v="Regular Day"/>
    <x v="0"/>
  </r>
  <r>
    <d v="2020-10-18T00:00:00"/>
    <n v="18254"/>
    <x v="1367"/>
    <x v="1361"/>
    <n v="8190"/>
    <n v="83"/>
    <s v="Regular Day"/>
    <x v="0"/>
  </r>
  <r>
    <d v="2020-10-19T00:00:00"/>
    <n v="17963"/>
    <x v="1368"/>
    <x v="1362"/>
    <n v="8151"/>
    <n v="87"/>
    <s v="Regular Day"/>
    <x v="0"/>
  </r>
  <r>
    <d v="2020-10-20T00:00:00"/>
    <n v="17177"/>
    <x v="1369"/>
    <x v="1363"/>
    <n v="8004"/>
    <n v="91"/>
    <s v="Regular Day"/>
    <x v="0"/>
  </r>
  <r>
    <d v="2020-10-21T00:00:00"/>
    <n v="34674"/>
    <x v="1370"/>
    <x v="1364"/>
    <n v="15189"/>
    <n v="77"/>
    <s v="Regular Day"/>
    <x v="0"/>
  </r>
  <r>
    <d v="2020-10-22T00:00:00"/>
    <n v="25334"/>
    <x v="1371"/>
    <x v="1365"/>
    <n v="11948"/>
    <n v="84"/>
    <s v="Regular Day"/>
    <x v="0"/>
  </r>
  <r>
    <d v="2020-10-23T00:00:00"/>
    <n v="20083"/>
    <x v="1372"/>
    <x v="1366"/>
    <n v="9068"/>
    <n v="83"/>
    <s v="Regular Day"/>
    <x v="0"/>
  </r>
  <r>
    <d v="2020-10-24T00:00:00"/>
    <n v="19208"/>
    <x v="1373"/>
    <x v="1367"/>
    <n v="8407"/>
    <n v="82"/>
    <s v="Regular Day"/>
    <x v="0"/>
  </r>
  <r>
    <d v="2020-10-25T00:00:00"/>
    <n v="17880"/>
    <x v="1374"/>
    <x v="1368"/>
    <n v="8108"/>
    <n v="79"/>
    <s v="Regular Day"/>
    <x v="0"/>
  </r>
  <r>
    <d v="2020-10-26T00:00:00"/>
    <n v="29907"/>
    <x v="1375"/>
    <x v="1369"/>
    <n v="13541"/>
    <n v="119"/>
    <s v="Regular Day"/>
    <x v="0"/>
  </r>
  <r>
    <d v="2020-10-27T00:00:00"/>
    <n v="20512"/>
    <x v="1376"/>
    <x v="1370"/>
    <n v="9857"/>
    <n v="90"/>
    <s v="Regular Day"/>
    <x v="0"/>
  </r>
  <r>
    <d v="2020-10-28T00:00:00"/>
    <n v="21173"/>
    <x v="1377"/>
    <x v="1371"/>
    <n v="9838"/>
    <n v="82"/>
    <s v="Regular Day"/>
    <x v="0"/>
  </r>
  <r>
    <d v="2020-10-29T00:00:00"/>
    <n v="19574"/>
    <x v="1378"/>
    <x v="1372"/>
    <n v="9339"/>
    <n v="86"/>
    <s v="Regular Day"/>
    <x v="0"/>
  </r>
  <r>
    <d v="2020-10-30T00:00:00"/>
    <n v="17623"/>
    <x v="1379"/>
    <x v="1373"/>
    <n v="8567"/>
    <n v="79"/>
    <s v="Regular Day"/>
    <x v="0"/>
  </r>
  <r>
    <d v="2020-10-31T00:00:00"/>
    <n v="13141"/>
    <x v="1380"/>
    <x v="1374"/>
    <n v="6157"/>
    <n v="76"/>
    <s v="Regular Day"/>
    <x v="0"/>
  </r>
  <r>
    <d v="2020-11-01T00:00:00"/>
    <n v="14584"/>
    <x v="1381"/>
    <x v="1375"/>
    <n v="6752"/>
    <n v="86"/>
    <s v="Regular Day"/>
    <x v="0"/>
  </r>
  <r>
    <d v="2020-11-02T00:00:00"/>
    <n v="15014"/>
    <x v="1382"/>
    <x v="1376"/>
    <n v="7112"/>
    <n v="85"/>
    <s v="Regular Day"/>
    <x v="0"/>
  </r>
  <r>
    <d v="2020-11-03T00:00:00"/>
    <n v="13986"/>
    <x v="1383"/>
    <x v="1377"/>
    <n v="6295"/>
    <n v="85"/>
    <s v="Regular Day"/>
    <x v="0"/>
  </r>
  <r>
    <d v="2020-11-04T00:00:00"/>
    <n v="13576"/>
    <x v="1270"/>
    <x v="1378"/>
    <n v="6487"/>
    <n v="83"/>
    <s v="Regular Day"/>
    <x v="0"/>
  </r>
  <r>
    <d v="2020-11-05T00:00:00"/>
    <n v="13514"/>
    <x v="1384"/>
    <x v="18"/>
    <n v="6520"/>
    <n v="88"/>
    <s v="Regular Day"/>
    <x v="0"/>
  </r>
  <r>
    <d v="2020-11-06T00:00:00"/>
    <n v="14861"/>
    <x v="1385"/>
    <x v="1379"/>
    <n v="6872"/>
    <n v="81"/>
    <s v="Regular Day"/>
    <x v="0"/>
  </r>
  <r>
    <d v="2020-11-07T00:00:00"/>
    <n v="13135"/>
    <x v="1386"/>
    <x v="1380"/>
    <n v="5706"/>
    <n v="74"/>
    <s v="Regular Day"/>
    <x v="0"/>
  </r>
  <r>
    <d v="2020-11-08T00:00:00"/>
    <n v="13600"/>
    <x v="1387"/>
    <x v="1381"/>
    <n v="5996"/>
    <n v="85"/>
    <s v="Regular Day"/>
    <x v="0"/>
  </r>
  <r>
    <d v="2020-11-09T00:00:00"/>
    <n v="18814"/>
    <x v="1388"/>
    <x v="1295"/>
    <n v="8013"/>
    <n v="80"/>
    <s v="Regular Day"/>
    <x v="0"/>
  </r>
  <r>
    <d v="2020-11-10T00:00:00"/>
    <n v="16962"/>
    <x v="1389"/>
    <x v="1382"/>
    <n v="7649"/>
    <n v="83"/>
    <s v="Regular Day"/>
    <x v="0"/>
  </r>
  <r>
    <d v="2020-11-11T00:00:00"/>
    <n v="17079"/>
    <x v="1390"/>
    <x v="1383"/>
    <n v="7996"/>
    <n v="83"/>
    <s v="Regular Day"/>
    <x v="0"/>
  </r>
  <r>
    <d v="2020-11-12T00:00:00"/>
    <n v="18830"/>
    <x v="1391"/>
    <x v="1384"/>
    <n v="8873"/>
    <n v="89"/>
    <s v="Regular Day"/>
    <x v="0"/>
  </r>
  <r>
    <d v="2020-11-13T00:00:00"/>
    <n v="16319"/>
    <x v="1392"/>
    <x v="1385"/>
    <n v="7704"/>
    <n v="84"/>
    <s v="Regular Day"/>
    <x v="0"/>
  </r>
  <r>
    <d v="2020-11-14T00:00:00"/>
    <n v="15983"/>
    <x v="1393"/>
    <x v="1386"/>
    <n v="7405"/>
    <n v="78"/>
    <s v="Regular Day"/>
    <x v="0"/>
  </r>
  <r>
    <d v="2020-11-15T00:00:00"/>
    <n v="17175"/>
    <x v="1394"/>
    <x v="1387"/>
    <n v="7651"/>
    <n v="80"/>
    <s v="Regular Day"/>
    <x v="0"/>
  </r>
  <r>
    <d v="2020-11-16T00:00:00"/>
    <n v="20858"/>
    <x v="1395"/>
    <x v="1388"/>
    <n v="8925"/>
    <n v="88"/>
    <s v="Regular Day"/>
    <x v="0"/>
  </r>
  <r>
    <d v="2020-11-17T00:00:00"/>
    <n v="25041"/>
    <x v="1396"/>
    <x v="1389"/>
    <n v="10846"/>
    <n v="91"/>
    <s v="Regular Day"/>
    <x v="0"/>
  </r>
  <r>
    <d v="2020-11-18T00:00:00"/>
    <n v="25803"/>
    <x v="1397"/>
    <x v="1390"/>
    <n v="11378"/>
    <n v="80"/>
    <s v="Regular Day"/>
    <x v="0"/>
  </r>
  <r>
    <d v="2020-11-19T00:00:00"/>
    <n v="61532"/>
    <x v="1398"/>
    <x v="1391"/>
    <n v="25044"/>
    <n v="73"/>
    <s v="Regular Day"/>
    <x v="0"/>
  </r>
  <r>
    <d v="2020-11-20T00:00:00"/>
    <n v="42261"/>
    <x v="1399"/>
    <x v="1392"/>
    <n v="17967"/>
    <n v="65"/>
    <s v="Regular Day"/>
    <x v="0"/>
  </r>
  <r>
    <d v="2020-11-21T00:00:00"/>
    <n v="24891"/>
    <x v="1400"/>
    <x v="1393"/>
    <n v="11230"/>
    <n v="77"/>
    <s v="Regular Day"/>
    <x v="0"/>
  </r>
  <r>
    <d v="2020-11-22T00:00:00"/>
    <n v="32299"/>
    <x v="1401"/>
    <x v="1394"/>
    <n v="13323"/>
    <n v="69"/>
    <s v="Regular Day"/>
    <x v="0"/>
  </r>
  <r>
    <d v="2020-11-23T00:00:00"/>
    <n v="63653"/>
    <x v="1402"/>
    <x v="1395"/>
    <n v="26688"/>
    <n v="88"/>
    <s v="Grammy Awards"/>
    <x v="0"/>
  </r>
  <r>
    <d v="2020-11-24T00:00:00"/>
    <n v="1958933"/>
    <x v="1403"/>
    <x v="1396"/>
    <n v="630849"/>
    <n v="198"/>
    <s v="Regular Day"/>
    <x v="0"/>
  </r>
  <r>
    <d v="2020-11-25T00:00:00"/>
    <n v="762775"/>
    <x v="1404"/>
    <x v="1397"/>
    <n v="330937"/>
    <n v="116"/>
    <s v="Regular Day"/>
    <x v="0"/>
  </r>
  <r>
    <d v="2020-11-26T00:00:00"/>
    <n v="260940"/>
    <x v="1405"/>
    <x v="1398"/>
    <n v="118915"/>
    <n v="109"/>
    <s v="Regular Day"/>
    <x v="0"/>
  </r>
  <r>
    <d v="2020-11-27T00:00:00"/>
    <n v="141310"/>
    <x v="1406"/>
    <x v="1399"/>
    <n v="62891"/>
    <n v="112"/>
    <s v="Regular Day"/>
    <x v="0"/>
  </r>
  <r>
    <d v="2020-11-28T00:00:00"/>
    <n v="113877"/>
    <x v="1407"/>
    <x v="1400"/>
    <n v="51071"/>
    <n v="112"/>
    <s v="Regular Day"/>
    <x v="0"/>
  </r>
  <r>
    <d v="2020-11-29T00:00:00"/>
    <n v="94497"/>
    <x v="1408"/>
    <x v="1401"/>
    <n v="41694"/>
    <n v="111"/>
    <s v="Regular Day"/>
    <x v="0"/>
  </r>
  <r>
    <d v="2020-11-30T00:00:00"/>
    <n v="92980"/>
    <x v="1409"/>
    <x v="1402"/>
    <n v="37331"/>
    <n v="105"/>
    <s v="Regular Day"/>
    <x v="0"/>
  </r>
  <r>
    <d v="2020-12-01T00:00:00"/>
    <n v="76758"/>
    <x v="1410"/>
    <x v="1403"/>
    <n v="32544"/>
    <n v="104"/>
    <s v="Regular Day"/>
    <x v="0"/>
  </r>
  <r>
    <d v="2020-12-02T00:00:00"/>
    <n v="63844"/>
    <x v="1411"/>
    <x v="1404"/>
    <n v="29650"/>
    <n v="103"/>
    <s v="Regular Day"/>
    <x v="0"/>
  </r>
  <r>
    <d v="2020-12-03T00:00:00"/>
    <n v="51087"/>
    <x v="1412"/>
    <x v="1405"/>
    <n v="23770"/>
    <n v="101"/>
    <s v="Regular Day"/>
    <x v="0"/>
  </r>
  <r>
    <d v="2020-12-04T00:00:00"/>
    <n v="48800"/>
    <x v="1413"/>
    <x v="1406"/>
    <n v="22701"/>
    <n v="100"/>
    <s v="Regular Day"/>
    <x v="0"/>
  </r>
  <r>
    <d v="2020-12-05T00:00:00"/>
    <n v="43764"/>
    <x v="1414"/>
    <x v="1407"/>
    <n v="20800"/>
    <n v="97"/>
    <s v="Regular Day"/>
    <x v="0"/>
  </r>
  <r>
    <d v="2020-12-06T00:00:00"/>
    <n v="42409"/>
    <x v="1415"/>
    <x v="1408"/>
    <n v="19515"/>
    <n v="96"/>
    <s v="Regular Day"/>
    <x v="0"/>
  </r>
  <r>
    <d v="2020-12-07T00:00:00"/>
    <n v="43390"/>
    <x v="1416"/>
    <x v="1409"/>
    <n v="19030"/>
    <n v="101"/>
    <s v="Regular Day"/>
    <x v="0"/>
  </r>
  <r>
    <d v="2020-12-08T00:00:00"/>
    <n v="43146"/>
    <x v="1417"/>
    <x v="1410"/>
    <n v="18737"/>
    <n v="98"/>
    <s v="Regular Day"/>
    <x v="0"/>
  </r>
  <r>
    <d v="2020-12-09T00:00:00"/>
    <n v="38797"/>
    <x v="1418"/>
    <x v="1411"/>
    <n v="17546"/>
    <n v="99"/>
    <s v="Regular Day"/>
    <x v="0"/>
  </r>
  <r>
    <d v="2020-12-10T00:00:00"/>
    <n v="44347"/>
    <x v="1419"/>
    <x v="1412"/>
    <n v="20500"/>
    <n v="96"/>
    <s v="Regular Day"/>
    <x v="0"/>
  </r>
  <r>
    <d v="2020-12-11T00:00:00"/>
    <n v="43634"/>
    <x v="1420"/>
    <x v="1413"/>
    <n v="19146"/>
    <n v="115"/>
    <s v="Regular Day"/>
    <x v="0"/>
  </r>
  <r>
    <d v="2020-12-12T00:00:00"/>
    <n v="37815"/>
    <x v="1421"/>
    <x v="1414"/>
    <n v="16978"/>
    <n v="99"/>
    <s v="Regular Day"/>
    <x v="0"/>
  </r>
  <r>
    <d v="2020-12-13T00:00:00"/>
    <n v="34527"/>
    <x v="1422"/>
    <x v="1415"/>
    <n v="15439"/>
    <n v="96"/>
    <s v="Regular Day"/>
    <x v="0"/>
  </r>
  <r>
    <d v="2020-12-14T00:00:00"/>
    <n v="32447"/>
    <x v="1423"/>
    <x v="1416"/>
    <n v="14451"/>
    <n v="102"/>
    <s v="Regular Day"/>
    <x v="0"/>
  </r>
  <r>
    <d v="2020-12-15T00:00:00"/>
    <n v="47318"/>
    <x v="1424"/>
    <x v="1417"/>
    <n v="20646"/>
    <n v="100"/>
    <s v="Regular Day"/>
    <x v="0"/>
  </r>
  <r>
    <d v="2020-12-16T00:00:00"/>
    <n v="39080"/>
    <x v="1425"/>
    <x v="1418"/>
    <n v="19629"/>
    <n v="96"/>
    <s v="Regular Day"/>
    <x v="0"/>
  </r>
  <r>
    <d v="2020-12-17T00:00:00"/>
    <n v="36052"/>
    <x v="1426"/>
    <x v="1419"/>
    <n v="17304"/>
    <n v="92"/>
    <s v="Regular Day"/>
    <x v="0"/>
  </r>
  <r>
    <d v="2020-12-18T00:00:00"/>
    <n v="34217"/>
    <x v="1427"/>
    <x v="1420"/>
    <n v="16220"/>
    <n v="91"/>
    <s v="Regular Day"/>
    <x v="0"/>
  </r>
  <r>
    <d v="2020-12-19T00:00:00"/>
    <n v="30628"/>
    <x v="1428"/>
    <x v="1421"/>
    <n v="14978"/>
    <n v="93"/>
    <s v="Regular Day"/>
    <x v="0"/>
  </r>
  <r>
    <d v="2020-12-20T00:00:00"/>
    <n v="32345"/>
    <x v="1429"/>
    <x v="1082"/>
    <n v="15991"/>
    <n v="97"/>
    <s v="Regular Day"/>
    <x v="0"/>
  </r>
  <r>
    <d v="2020-12-21T00:00:00"/>
    <n v="30430"/>
    <x v="1430"/>
    <x v="1422"/>
    <n v="14706"/>
    <n v="95"/>
    <s v="Regular Day"/>
    <x v="0"/>
  </r>
  <r>
    <d v="2020-12-22T00:00:00"/>
    <n v="30528"/>
    <x v="1431"/>
    <x v="1423"/>
    <n v="14919"/>
    <n v="92"/>
    <s v="Regular Day"/>
    <x v="0"/>
  </r>
  <r>
    <d v="2020-12-23T00:00:00"/>
    <n v="27639"/>
    <x v="1432"/>
    <x v="1424"/>
    <n v="13850"/>
    <n v="93"/>
    <s v="Regular Day"/>
    <x v="0"/>
  </r>
  <r>
    <d v="2020-12-24T00:00:00"/>
    <n v="24138"/>
    <x v="1433"/>
    <x v="1425"/>
    <n v="12130"/>
    <n v="87"/>
    <s v="Regular Day"/>
    <x v="0"/>
  </r>
  <r>
    <d v="2020-12-25T00:00:00"/>
    <n v="23066"/>
    <x v="1434"/>
    <x v="1426"/>
    <n v="12025"/>
    <n v="83"/>
    <s v="Regular Day"/>
    <x v="0"/>
  </r>
  <r>
    <d v="2020-12-26T00:00:00"/>
    <n v="27622"/>
    <x v="1435"/>
    <x v="1427"/>
    <n v="14003"/>
    <n v="90"/>
    <s v="Regular Day"/>
    <x v="0"/>
  </r>
  <r>
    <d v="2020-12-27T00:00:00"/>
    <n v="31899"/>
    <x v="1436"/>
    <x v="1428"/>
    <n v="15484"/>
    <n v="96"/>
    <s v="Regular Day"/>
    <x v="0"/>
  </r>
  <r>
    <d v="2020-12-28T00:00:00"/>
    <n v="34809"/>
    <x v="1437"/>
    <x v="1429"/>
    <n v="17296"/>
    <n v="89"/>
    <s v="Regular Day"/>
    <x v="0"/>
  </r>
  <r>
    <d v="2020-12-29T00:00:00"/>
    <n v="37251"/>
    <x v="1438"/>
    <x v="1430"/>
    <n v="16888"/>
    <n v="99"/>
    <s v="Regular Day"/>
    <x v="0"/>
  </r>
  <r>
    <d v="2020-12-30T00:00:00"/>
    <n v="47761"/>
    <x v="1439"/>
    <x v="1431"/>
    <n v="22769"/>
    <n v="97"/>
    <s v="Regular Day"/>
    <x v="0"/>
  </r>
  <r>
    <d v="2020-12-31T00:00:00"/>
    <n v="60092"/>
    <x v="1440"/>
    <x v="1432"/>
    <n v="26542"/>
    <n v="97"/>
    <s v="Regular Day"/>
    <x v="0"/>
  </r>
  <r>
    <d v="2021-01-01T00:00:00"/>
    <n v="40258"/>
    <x v="1441"/>
    <x v="1433"/>
    <n v="18659"/>
    <n v="105"/>
    <s v="Regular Day"/>
    <x v="0"/>
  </r>
  <r>
    <d v="2021-01-02T00:00:00"/>
    <n v="37616"/>
    <x v="1442"/>
    <x v="1121"/>
    <n v="19229"/>
    <n v="91"/>
    <s v="Regular Day"/>
    <x v="0"/>
  </r>
  <r>
    <d v="2021-01-03T00:00:00"/>
    <n v="52820"/>
    <x v="1443"/>
    <x v="1434"/>
    <n v="27524"/>
    <n v="89"/>
    <s v="Regular Day"/>
    <x v="0"/>
  </r>
  <r>
    <d v="2021-01-04T00:00:00"/>
    <n v="51998"/>
    <x v="1444"/>
    <x v="1435"/>
    <n v="23163"/>
    <n v="99"/>
    <s v="Regular Day"/>
    <x v="0"/>
  </r>
  <r>
    <d v="2021-01-05T00:00:00"/>
    <n v="68607"/>
    <x v="1445"/>
    <x v="1436"/>
    <n v="28169"/>
    <n v="113"/>
    <s v="Regular Day"/>
    <x v="0"/>
  </r>
  <r>
    <d v="2021-01-06T00:00:00"/>
    <n v="42536"/>
    <x v="1446"/>
    <x v="1437"/>
    <n v="18472"/>
    <n v="99"/>
    <s v="Regular Day"/>
    <x v="0"/>
  </r>
  <r>
    <d v="2021-01-07T00:00:00"/>
    <n v="53905"/>
    <x v="1447"/>
    <x v="1438"/>
    <n v="21045"/>
    <n v="121"/>
    <s v="Regular Day"/>
    <x v="0"/>
  </r>
  <r>
    <d v="2021-01-08T00:00:00"/>
    <n v="46932"/>
    <x v="1448"/>
    <x v="1439"/>
    <n v="20086"/>
    <n v="101"/>
    <s v="Regular Day"/>
    <x v="0"/>
  </r>
  <r>
    <d v="2021-01-09T00:00:00"/>
    <n v="33569"/>
    <x v="1449"/>
    <x v="1440"/>
    <n v="15661"/>
    <n v="95"/>
    <s v="Regular Day"/>
    <x v="0"/>
  </r>
  <r>
    <d v="2021-01-10T00:00:00"/>
    <n v="29415"/>
    <x v="1450"/>
    <x v="1441"/>
    <n v="14232"/>
    <n v="94"/>
    <s v="Regular Day"/>
    <x v="0"/>
  </r>
  <r>
    <d v="2021-01-11T00:00:00"/>
    <n v="28714"/>
    <x v="1451"/>
    <x v="1442"/>
    <n v="14130"/>
    <n v="92"/>
    <s v="Regular Day"/>
    <x v="0"/>
  </r>
  <r>
    <d v="2021-01-12T00:00:00"/>
    <n v="64897"/>
    <x v="1452"/>
    <x v="1443"/>
    <n v="28961"/>
    <n v="129"/>
    <s v="Regular Day"/>
    <x v="0"/>
  </r>
  <r>
    <d v="2021-01-13T00:00:00"/>
    <n v="39162"/>
    <x v="1453"/>
    <x v="1444"/>
    <n v="18603"/>
    <n v="98"/>
    <s v="Regular Day"/>
    <x v="0"/>
  </r>
  <r>
    <d v="2021-01-14T00:00:00"/>
    <n v="29025"/>
    <x v="1454"/>
    <x v="1445"/>
    <n v="14215"/>
    <n v="96"/>
    <s v="Regular Day"/>
    <x v="0"/>
  </r>
  <r>
    <d v="2021-01-15T00:00:00"/>
    <n v="27081"/>
    <x v="1455"/>
    <x v="1446"/>
    <n v="13042"/>
    <n v="94"/>
    <s v="Regular Day"/>
    <x v="0"/>
  </r>
  <r>
    <d v="2021-01-16T00:00:00"/>
    <n v="35318"/>
    <x v="1456"/>
    <x v="1447"/>
    <n v="14479"/>
    <n v="91"/>
    <s v="Regular Day"/>
    <x v="0"/>
  </r>
  <r>
    <d v="2021-01-17T00:00:00"/>
    <n v="30540"/>
    <x v="1457"/>
    <x v="1448"/>
    <n v="14774"/>
    <n v="88"/>
    <s v="Regular Day"/>
    <x v="0"/>
  </r>
  <r>
    <d v="2021-01-18T00:00:00"/>
    <n v="27897"/>
    <x v="1458"/>
    <x v="1449"/>
    <n v="13708"/>
    <n v="90"/>
    <s v="Regular Day"/>
    <x v="0"/>
  </r>
  <r>
    <d v="2021-01-19T00:00:00"/>
    <n v="30789"/>
    <x v="1459"/>
    <x v="1450"/>
    <n v="15243"/>
    <n v="94"/>
    <s v="Regular Day"/>
    <x v="0"/>
  </r>
  <r>
    <d v="2021-01-20T00:00:00"/>
    <n v="34055"/>
    <x v="1460"/>
    <x v="1451"/>
    <n v="14949"/>
    <n v="89"/>
    <s v="Regular Day"/>
    <x v="0"/>
  </r>
  <r>
    <d v="2021-01-21T00:00:00"/>
    <n v="28723"/>
    <x v="1461"/>
    <x v="1452"/>
    <n v="12205"/>
    <n v="91"/>
    <s v="Regular Day"/>
    <x v="0"/>
  </r>
  <r>
    <d v="2021-01-22T00:00:00"/>
    <n v="26986"/>
    <x v="1462"/>
    <x v="1453"/>
    <n v="12915"/>
    <n v="91"/>
    <s v="Regular Day"/>
    <x v="0"/>
  </r>
  <r>
    <d v="2021-01-23T00:00:00"/>
    <n v="26181"/>
    <x v="1463"/>
    <x v="1454"/>
    <n v="12559"/>
    <n v="85"/>
    <s v="Regular Day"/>
    <x v="0"/>
  </r>
  <r>
    <d v="2021-01-24T00:00:00"/>
    <n v="27607"/>
    <x v="1464"/>
    <x v="1455"/>
    <n v="13606"/>
    <n v="94"/>
    <s v="Regular Day"/>
    <x v="0"/>
  </r>
  <r>
    <d v="2021-01-25T00:00:00"/>
    <n v="28697"/>
    <x v="1465"/>
    <x v="1456"/>
    <n v="13236"/>
    <n v="96"/>
    <s v="Regular Day"/>
    <x v="0"/>
  </r>
  <r>
    <d v="2021-01-26T00:00:00"/>
    <n v="30624"/>
    <x v="1466"/>
    <x v="1457"/>
    <n v="14735"/>
    <n v="95"/>
    <s v="Regular Day"/>
    <x v="0"/>
  </r>
  <r>
    <d v="2021-01-27T00:00:00"/>
    <n v="28918"/>
    <x v="1467"/>
    <x v="1458"/>
    <n v="14387"/>
    <n v="93"/>
    <s v="Regular Day"/>
    <x v="0"/>
  </r>
  <r>
    <d v="2021-01-28T00:00:00"/>
    <n v="29339"/>
    <x v="1468"/>
    <x v="1459"/>
    <n v="14411"/>
    <n v="97"/>
    <s v="Regular Day"/>
    <x v="0"/>
  </r>
  <r>
    <d v="2021-01-29T00:00:00"/>
    <n v="32113"/>
    <x v="1469"/>
    <x v="1460"/>
    <n v="15562"/>
    <n v="93"/>
    <s v="Regular Day"/>
    <x v="0"/>
  </r>
  <r>
    <d v="2021-01-30T00:00:00"/>
    <n v="39955"/>
    <x v="1470"/>
    <x v="1461"/>
    <n v="20516"/>
    <n v="83"/>
    <s v="Regular Day"/>
    <x v="0"/>
  </r>
  <r>
    <d v="2021-01-31T00:00:00"/>
    <n v="45327"/>
    <x v="1471"/>
    <x v="1462"/>
    <n v="23632"/>
    <n v="83"/>
    <s v="Regular Day"/>
    <x v="0"/>
  </r>
  <r>
    <d v="2021-02-01T00:00:00"/>
    <n v="36153"/>
    <x v="1472"/>
    <x v="1463"/>
    <n v="17273"/>
    <n v="89"/>
    <s v="Regular Day"/>
    <x v="0"/>
  </r>
  <r>
    <d v="2021-02-02T00:00:00"/>
    <n v="32165"/>
    <x v="1473"/>
    <x v="1464"/>
    <n v="15735"/>
    <n v="90"/>
    <s v="Regular Day"/>
    <x v="0"/>
  </r>
  <r>
    <d v="2021-02-03T00:00:00"/>
    <n v="37163"/>
    <x v="1474"/>
    <x v="1465"/>
    <n v="18114"/>
    <n v="88"/>
    <s v="Regular Day"/>
    <x v="0"/>
  </r>
  <r>
    <d v="2021-02-04T00:00:00"/>
    <n v="32797"/>
    <x v="1475"/>
    <x v="1466"/>
    <n v="16202"/>
    <n v="95"/>
    <s v="Regular Day"/>
    <x v="0"/>
  </r>
  <r>
    <d v="2021-02-05T00:00:00"/>
    <n v="33624"/>
    <x v="1476"/>
    <x v="1467"/>
    <n v="16532"/>
    <n v="92"/>
    <s v="Regular Day"/>
    <x v="0"/>
  </r>
  <r>
    <d v="2021-02-06T00:00:00"/>
    <n v="33292"/>
    <x v="1477"/>
    <x v="1468"/>
    <n v="16248"/>
    <n v="88"/>
    <s v="Regular Day"/>
    <x v="0"/>
  </r>
  <r>
    <d v="2021-02-07T00:00:00"/>
    <n v="46467"/>
    <x v="1478"/>
    <x v="1469"/>
    <n v="23241"/>
    <n v="91"/>
    <s v="Regular Day"/>
    <x v="0"/>
  </r>
  <r>
    <d v="2021-02-08T00:00:00"/>
    <n v="36737"/>
    <x v="1479"/>
    <x v="1470"/>
    <n v="18075"/>
    <n v="92"/>
    <s v="Regular Day"/>
    <x v="0"/>
  </r>
  <r>
    <d v="2021-02-09T00:00:00"/>
    <n v="33478"/>
    <x v="1480"/>
    <x v="1471"/>
    <n v="16476"/>
    <n v="91"/>
    <s v="Regular Day"/>
    <x v="0"/>
  </r>
  <r>
    <d v="2021-02-10T00:00:00"/>
    <n v="36115"/>
    <x v="1481"/>
    <x v="1472"/>
    <n v="18086"/>
    <n v="80"/>
    <s v="Regular Day"/>
    <x v="0"/>
  </r>
  <r>
    <d v="2021-02-11T00:00:00"/>
    <n v="35117"/>
    <x v="1482"/>
    <x v="1473"/>
    <n v="17345"/>
    <n v="88"/>
    <s v="Regular Day"/>
    <x v="0"/>
  </r>
  <r>
    <d v="2021-02-12T00:00:00"/>
    <n v="31024"/>
    <x v="1483"/>
    <x v="1474"/>
    <n v="15457"/>
    <n v="94"/>
    <s v="Regular Day"/>
    <x v="0"/>
  </r>
  <r>
    <d v="2021-02-13T00:00:00"/>
    <n v="43253"/>
    <x v="1484"/>
    <x v="1475"/>
    <n v="24850"/>
    <n v="66"/>
    <s v="Regular Day"/>
    <x v="0"/>
  </r>
  <r>
    <d v="2021-02-14T00:00:00"/>
    <n v="27848"/>
    <x v="1485"/>
    <x v="1476"/>
    <n v="14029"/>
    <n v="88"/>
    <s v="Regular Day"/>
    <x v="0"/>
  </r>
  <r>
    <d v="2021-02-15T00:00:00"/>
    <n v="30025"/>
    <x v="1486"/>
    <x v="1477"/>
    <n v="14734"/>
    <n v="89"/>
    <s v="Regular Day"/>
    <x v="0"/>
  </r>
  <r>
    <d v="2021-02-16T00:00:00"/>
    <n v="40727"/>
    <x v="1487"/>
    <x v="1478"/>
    <n v="21180"/>
    <n v="87"/>
    <s v="Regular Day"/>
    <x v="0"/>
  </r>
  <r>
    <d v="2021-02-17T00:00:00"/>
    <n v="36765"/>
    <x v="1488"/>
    <x v="1479"/>
    <n v="19579"/>
    <n v="88"/>
    <s v="Regular Day"/>
    <x v="0"/>
  </r>
  <r>
    <d v="2021-02-18T00:00:00"/>
    <n v="41094"/>
    <x v="1489"/>
    <x v="1480"/>
    <n v="22062"/>
    <n v="90"/>
    <s v="Regular Day"/>
    <x v="0"/>
  </r>
  <r>
    <d v="2021-02-19T00:00:00"/>
    <n v="40017"/>
    <x v="1490"/>
    <x v="1481"/>
    <n v="21409"/>
    <n v="81"/>
    <s v="Regular Day"/>
    <x v="0"/>
  </r>
  <r>
    <d v="2021-02-20T00:00:00"/>
    <n v="39861"/>
    <x v="1491"/>
    <x v="1482"/>
    <n v="19173"/>
    <n v="86"/>
    <s v="Regular Day"/>
    <x v="0"/>
  </r>
  <r>
    <d v="2021-02-21T00:00:00"/>
    <n v="39107"/>
    <x v="1492"/>
    <x v="1483"/>
    <n v="19662"/>
    <n v="86"/>
    <s v="Regular Day"/>
    <x v="0"/>
  </r>
  <r>
    <d v="2021-02-22T00:00:00"/>
    <n v="44411"/>
    <x v="1493"/>
    <x v="1484"/>
    <n v="21708"/>
    <n v="90"/>
    <s v="Regular Day"/>
    <x v="0"/>
  </r>
  <r>
    <d v="2021-02-23T00:00:00"/>
    <n v="40381"/>
    <x v="1494"/>
    <x v="1485"/>
    <n v="20584"/>
    <n v="89"/>
    <s v="Regular Day"/>
    <x v="0"/>
  </r>
  <r>
    <d v="2021-02-24T00:00:00"/>
    <n v="41689"/>
    <x v="1495"/>
    <x v="1486"/>
    <n v="21929"/>
    <n v="89"/>
    <s v="Regular Day"/>
    <x v="0"/>
  </r>
  <r>
    <d v="2021-02-25T00:00:00"/>
    <n v="44507"/>
    <x v="1496"/>
    <x v="1487"/>
    <n v="23815"/>
    <n v="89"/>
    <s v="Regular Day"/>
    <x v="0"/>
  </r>
  <r>
    <d v="2021-02-26T00:00:00"/>
    <n v="50087"/>
    <x v="1497"/>
    <x v="1488"/>
    <n v="26082"/>
    <n v="82"/>
    <s v="Regular Day"/>
    <x v="0"/>
  </r>
  <r>
    <d v="2021-02-27T00:00:00"/>
    <n v="41470"/>
    <x v="1498"/>
    <x v="1489"/>
    <n v="21463"/>
    <n v="87"/>
    <s v="Regular Day"/>
    <x v="0"/>
  </r>
  <r>
    <d v="2021-02-28T00:00:00"/>
    <n v="57598"/>
    <x v="1499"/>
    <x v="1490"/>
    <n v="30549"/>
    <n v="87"/>
    <s v="Regular Day"/>
    <x v="0"/>
  </r>
  <r>
    <d v="2021-03-01T00:00:00"/>
    <n v="60583"/>
    <x v="1500"/>
    <x v="1491"/>
    <n v="31145"/>
    <n v="92"/>
    <s v="Regular Day"/>
    <x v="0"/>
  </r>
  <r>
    <d v="2021-03-02T00:00:00"/>
    <n v="72866"/>
    <x v="1501"/>
    <x v="1492"/>
    <n v="36090"/>
    <n v="91"/>
    <s v="Regular Day"/>
    <x v="0"/>
  </r>
  <r>
    <d v="2021-03-03T00:00:00"/>
    <n v="81467"/>
    <x v="1502"/>
    <x v="1493"/>
    <n v="38650"/>
    <n v="88"/>
    <s v="Regular Day"/>
    <x v="0"/>
  </r>
  <r>
    <d v="2021-03-04T00:00:00"/>
    <n v="94367"/>
    <x v="1503"/>
    <x v="1494"/>
    <n v="44106"/>
    <n v="88"/>
    <s v="Regular Day"/>
    <x v="0"/>
  </r>
  <r>
    <d v="2021-03-05T00:00:00"/>
    <n v="92324"/>
    <x v="1504"/>
    <x v="1495"/>
    <n v="47996"/>
    <n v="88"/>
    <s v="Regular Day"/>
    <x v="0"/>
  </r>
  <r>
    <d v="2021-03-06T00:00:00"/>
    <n v="97176"/>
    <x v="1505"/>
    <x v="1496"/>
    <n v="54179"/>
    <n v="85"/>
    <s v="Regular Day"/>
    <x v="0"/>
  </r>
  <r>
    <d v="2021-03-07T00:00:00"/>
    <n v="582099"/>
    <x v="1506"/>
    <x v="1497"/>
    <n v="285563"/>
    <n v="79"/>
    <s v="Regular Day"/>
    <x v="0"/>
  </r>
  <r>
    <d v="2021-03-08T00:00:00"/>
    <n v="324136"/>
    <x v="1507"/>
    <x v="1498"/>
    <n v="147087"/>
    <n v="79"/>
    <s v="Regular Day"/>
    <x v="0"/>
  </r>
  <r>
    <d v="2021-03-09T00:00:00"/>
    <n v="251019"/>
    <x v="1508"/>
    <x v="1499"/>
    <n v="116692"/>
    <n v="88"/>
    <s v="Regular Day"/>
    <x v="0"/>
  </r>
  <r>
    <d v="2021-03-10T00:00:00"/>
    <n v="246802"/>
    <x v="1509"/>
    <x v="1500"/>
    <n v="109934"/>
    <n v="108"/>
    <s v="Regular Day"/>
    <x v="0"/>
  </r>
  <r>
    <d v="2021-03-11T00:00:00"/>
    <n v="278768"/>
    <x v="1510"/>
    <x v="1501"/>
    <n v="129654"/>
    <n v="100"/>
    <s v="Regular Day"/>
    <x v="0"/>
  </r>
  <r>
    <d v="2021-03-12T00:00:00"/>
    <n v="450745"/>
    <x v="1511"/>
    <x v="1502"/>
    <n v="187868"/>
    <n v="91"/>
    <s v="Regular Day"/>
    <x v="0"/>
  </r>
  <r>
    <d v="2021-03-13T00:00:00"/>
    <n v="615568"/>
    <x v="1512"/>
    <x v="1503"/>
    <n v="256173"/>
    <n v="98"/>
    <s v="Regular Day"/>
    <x v="0"/>
  </r>
  <r>
    <d v="2021-03-14T00:00:00"/>
    <n v="3241751"/>
    <x v="1513"/>
    <x v="1504"/>
    <n v="1276549"/>
    <n v="246"/>
    <s v="Grammy Awards"/>
    <x v="0"/>
  </r>
  <r>
    <d v="2021-03-15T00:00:00"/>
    <n v="642500"/>
    <x v="1514"/>
    <x v="1505"/>
    <n v="238392"/>
    <n v="112"/>
    <s v="Regular Day"/>
    <x v="0"/>
  </r>
  <r>
    <d v="2021-03-16T00:00:00"/>
    <n v="613586"/>
    <x v="1515"/>
    <x v="1506"/>
    <n v="208404"/>
    <n v="197"/>
    <s v="Regular Day"/>
    <x v="0"/>
  </r>
  <r>
    <d v="2021-03-17T00:00:00"/>
    <n v="441504"/>
    <x v="1516"/>
    <x v="1507"/>
    <n v="159302"/>
    <n v="177"/>
    <s v="Regular Day"/>
    <x v="0"/>
  </r>
  <r>
    <d v="2021-03-18T00:00:00"/>
    <n v="272107"/>
    <x v="1517"/>
    <x v="1508"/>
    <n v="113703"/>
    <n v="148"/>
    <s v="Regular Day"/>
    <x v="0"/>
  </r>
  <r>
    <d v="2021-03-19T00:00:00"/>
    <n v="226618"/>
    <x v="1518"/>
    <x v="1509"/>
    <n v="109933"/>
    <n v="125"/>
    <s v="Regular Day"/>
    <x v="0"/>
  </r>
  <r>
    <d v="2021-03-20T00:00:00"/>
    <n v="152729"/>
    <x v="1519"/>
    <x v="1510"/>
    <n v="73070"/>
    <n v="128"/>
    <s v="Regular Day"/>
    <x v="0"/>
  </r>
  <r>
    <d v="2021-03-21T00:00:00"/>
    <n v="104240"/>
    <x v="1520"/>
    <x v="1511"/>
    <n v="48788"/>
    <n v="128"/>
    <s v="Regular Day"/>
    <x v="0"/>
  </r>
  <r>
    <d v="2021-03-22T00:00:00"/>
    <n v="80498"/>
    <x v="1521"/>
    <x v="1512"/>
    <n v="37445"/>
    <n v="121"/>
    <s v="Regular Day"/>
    <x v="0"/>
  </r>
  <r>
    <d v="2021-03-23T00:00:00"/>
    <n v="64607"/>
    <x v="1522"/>
    <x v="1513"/>
    <n v="32211"/>
    <n v="113"/>
    <s v="Regular Day"/>
    <x v="0"/>
  </r>
  <r>
    <d v="2021-03-24T00:00:00"/>
    <n v="58285"/>
    <x v="1523"/>
    <x v="1514"/>
    <n v="29131"/>
    <n v="103"/>
    <s v="Regular Day"/>
    <x v="0"/>
  </r>
  <r>
    <d v="2021-03-25T00:00:00"/>
    <n v="62862"/>
    <x v="1524"/>
    <x v="1515"/>
    <n v="29951"/>
    <n v="111"/>
    <s v="Regular Day"/>
    <x v="0"/>
  </r>
  <r>
    <d v="2021-03-26T00:00:00"/>
    <n v="64985"/>
    <x v="1525"/>
    <x v="1516"/>
    <n v="30922"/>
    <n v="105"/>
    <s v="Regular Day"/>
    <x v="0"/>
  </r>
  <r>
    <d v="2021-03-27T00:00:00"/>
    <n v="47201"/>
    <x v="1526"/>
    <x v="1517"/>
    <n v="24429"/>
    <n v="101"/>
    <s v="Regular Day"/>
    <x v="0"/>
  </r>
  <r>
    <d v="2021-03-28T00:00:00"/>
    <n v="42852"/>
    <x v="1527"/>
    <x v="1518"/>
    <n v="22093"/>
    <n v="101"/>
    <s v="Regular Day"/>
    <x v="0"/>
  </r>
  <r>
    <d v="2021-03-29T00:00:00"/>
    <n v="40352"/>
    <x v="1528"/>
    <x v="1519"/>
    <n v="20193"/>
    <n v="106"/>
    <s v="Regular Day"/>
    <x v="0"/>
  </r>
  <r>
    <d v="2021-03-30T00:00:00"/>
    <n v="40188"/>
    <x v="1529"/>
    <x v="1520"/>
    <n v="19630"/>
    <n v="107"/>
    <s v="Regular Day"/>
    <x v="0"/>
  </r>
  <r>
    <d v="2021-03-31T00:00:00"/>
    <n v="45491"/>
    <x v="1530"/>
    <x v="1521"/>
    <n v="23383"/>
    <n v="96"/>
    <s v="Regular Day"/>
    <x v="0"/>
  </r>
  <r>
    <d v="2021-04-01T00:00:00"/>
    <n v="45032"/>
    <x v="1531"/>
    <x v="1522"/>
    <n v="23475"/>
    <n v="103"/>
    <s v="Regular Day"/>
    <x v="0"/>
  </r>
  <r>
    <d v="2021-04-02T00:00:00"/>
    <n v="39160"/>
    <x v="1532"/>
    <x v="1523"/>
    <n v="20377"/>
    <n v="96"/>
    <s v="Regular Day"/>
    <x v="0"/>
  </r>
  <r>
    <d v="2021-04-03T00:00:00"/>
    <n v="36510"/>
    <x v="1533"/>
    <x v="1524"/>
    <n v="18487"/>
    <n v="94"/>
    <s v="Regular Day"/>
    <x v="0"/>
  </r>
  <r>
    <d v="2021-04-04T00:00:00"/>
    <n v="32923"/>
    <x v="1534"/>
    <x v="1525"/>
    <n v="17270"/>
    <n v="91"/>
    <s v="Regular Day"/>
    <x v="0"/>
  </r>
  <r>
    <d v="2021-04-05T00:00:00"/>
    <n v="29312"/>
    <x v="1535"/>
    <x v="1526"/>
    <n v="15411"/>
    <n v="97"/>
    <s v="Regular Day"/>
    <x v="0"/>
  </r>
  <r>
    <d v="2021-04-06T00:00:00"/>
    <n v="29227"/>
    <x v="1536"/>
    <x v="1527"/>
    <n v="14949"/>
    <n v="104"/>
    <s v="Regular Day"/>
    <x v="0"/>
  </r>
  <r>
    <d v="2021-04-07T00:00:00"/>
    <n v="27971"/>
    <x v="1537"/>
    <x v="1528"/>
    <n v="14771"/>
    <n v="95"/>
    <s v="Regular Day"/>
    <x v="0"/>
  </r>
  <r>
    <d v="2021-04-08T00:00:00"/>
    <n v="29506"/>
    <x v="1538"/>
    <x v="1529"/>
    <n v="14941"/>
    <n v="88"/>
    <s v="Regular Day"/>
    <x v="0"/>
  </r>
  <r>
    <d v="2021-04-09T00:00:00"/>
    <n v="29088"/>
    <x v="1539"/>
    <x v="1530"/>
    <n v="14822"/>
    <n v="83"/>
    <s v="Regular Day"/>
    <x v="0"/>
  </r>
  <r>
    <d v="2021-04-10T00:00:00"/>
    <n v="23738"/>
    <x v="1540"/>
    <x v="1531"/>
    <n v="12629"/>
    <n v="85"/>
    <s v="Regular Day"/>
    <x v="0"/>
  </r>
  <r>
    <d v="2021-04-11T00:00:00"/>
    <n v="22651"/>
    <x v="1541"/>
    <x v="1532"/>
    <n v="12092"/>
    <n v="89"/>
    <s v="Regular Day"/>
    <x v="0"/>
  </r>
  <r>
    <d v="2021-04-12T00:00:00"/>
    <n v="25217"/>
    <x v="1542"/>
    <x v="1533"/>
    <n v="13684"/>
    <n v="86"/>
    <s v="Regular Day"/>
    <x v="0"/>
  </r>
  <r>
    <d v="2021-04-13T00:00:00"/>
    <n v="24729"/>
    <x v="1543"/>
    <x v="1534"/>
    <n v="13849"/>
    <n v="87"/>
    <s v="Regular Day"/>
    <x v="0"/>
  </r>
  <r>
    <d v="2021-04-14T00:00:00"/>
    <n v="22644"/>
    <x v="1544"/>
    <x v="1535"/>
    <n v="12671"/>
    <n v="95"/>
    <s v="Regular Day"/>
    <x v="0"/>
  </r>
  <r>
    <d v="2021-04-15T00:00:00"/>
    <n v="24493"/>
    <x v="1545"/>
    <x v="1536"/>
    <n v="13313"/>
    <n v="94"/>
    <s v="Regular Day"/>
    <x v="0"/>
  </r>
  <r>
    <d v="2021-04-16T00:00:00"/>
    <n v="23283"/>
    <x v="1546"/>
    <x v="1537"/>
    <n v="12379"/>
    <n v="92"/>
    <s v="Regular Day"/>
    <x v="0"/>
  </r>
  <r>
    <d v="2021-04-17T00:00:00"/>
    <n v="22982"/>
    <x v="1547"/>
    <x v="1538"/>
    <n v="11198"/>
    <n v="78"/>
    <s v="Regular Day"/>
    <x v="0"/>
  </r>
  <r>
    <d v="2021-04-18T00:00:00"/>
    <n v="20971"/>
    <x v="1548"/>
    <x v="1539"/>
    <n v="11181"/>
    <n v="85"/>
    <s v="Regular Day"/>
    <x v="0"/>
  </r>
  <r>
    <d v="2021-04-19T00:00:00"/>
    <n v="25846"/>
    <x v="1549"/>
    <x v="1540"/>
    <n v="15699"/>
    <n v="77"/>
    <s v="Regular Day"/>
    <x v="0"/>
  </r>
  <r>
    <d v="2021-04-20T00:00:00"/>
    <n v="26076"/>
    <x v="1550"/>
    <x v="1541"/>
    <n v="15802"/>
    <n v="77"/>
    <s v="Regular Day"/>
    <x v="0"/>
  </r>
  <r>
    <d v="2021-04-21T00:00:00"/>
    <n v="22104"/>
    <x v="1551"/>
    <x v="1542"/>
    <n v="11661"/>
    <n v="88"/>
    <s v="Regular Day"/>
    <x v="0"/>
  </r>
  <r>
    <d v="2021-04-22T00:00:00"/>
    <n v="21250"/>
    <x v="1552"/>
    <x v="1543"/>
    <n v="11169"/>
    <n v="96"/>
    <s v="Regular Day"/>
    <x v="0"/>
  </r>
  <r>
    <d v="2021-04-23T00:00:00"/>
    <n v="27086"/>
    <x v="1553"/>
    <x v="1544"/>
    <n v="15579"/>
    <n v="85"/>
    <s v="Regular Day"/>
    <x v="0"/>
  </r>
  <r>
    <d v="2021-04-24T00:00:00"/>
    <n v="29414"/>
    <x v="1554"/>
    <x v="1545"/>
    <n v="16333"/>
    <n v="91"/>
    <s v="Regular Day"/>
    <x v="0"/>
  </r>
  <r>
    <d v="2021-04-25T00:00:00"/>
    <n v="33957"/>
    <x v="1555"/>
    <x v="1546"/>
    <n v="18745"/>
    <n v="80"/>
    <s v="Regular Day"/>
    <x v="0"/>
  </r>
  <r>
    <d v="2021-04-26T00:00:00"/>
    <n v="36892"/>
    <x v="1556"/>
    <x v="1547"/>
    <n v="18807"/>
    <n v="83"/>
    <s v="Regular Day"/>
    <x v="0"/>
  </r>
  <r>
    <d v="2021-04-27T00:00:00"/>
    <n v="25989"/>
    <x v="1557"/>
    <x v="1548"/>
    <n v="13869"/>
    <n v="90"/>
    <s v="Regular Day"/>
    <x v="0"/>
  </r>
  <r>
    <d v="2021-04-28T00:00:00"/>
    <n v="25358"/>
    <x v="1558"/>
    <x v="1549"/>
    <n v="13474"/>
    <n v="95"/>
    <s v="Regular Day"/>
    <x v="0"/>
  </r>
  <r>
    <d v="2021-04-29T00:00:00"/>
    <n v="21759"/>
    <x v="1559"/>
    <x v="1550"/>
    <n v="11639"/>
    <n v="93"/>
    <s v="Regular Day"/>
    <x v="0"/>
  </r>
  <r>
    <d v="2021-04-30T00:00:00"/>
    <n v="25030"/>
    <x v="1560"/>
    <x v="1551"/>
    <n v="13010"/>
    <n v="93"/>
    <s v="Regular Day"/>
    <x v="0"/>
  </r>
  <r>
    <d v="2021-05-01T00:00:00"/>
    <n v="22972"/>
    <x v="1561"/>
    <x v="1552"/>
    <n v="11519"/>
    <n v="87"/>
    <s v="Regular Day"/>
    <x v="0"/>
  </r>
  <r>
    <d v="2021-05-02T00:00:00"/>
    <n v="21619"/>
    <x v="1562"/>
    <x v="1553"/>
    <n v="10801"/>
    <n v="89"/>
    <s v="Regular Day"/>
    <x v="0"/>
  </r>
  <r>
    <d v="2021-05-03T00:00:00"/>
    <n v="22124"/>
    <x v="1563"/>
    <x v="1554"/>
    <n v="11537"/>
    <n v="92"/>
    <s v="Regular Day"/>
    <x v="0"/>
  </r>
  <r>
    <d v="2021-05-04T00:00:00"/>
    <n v="21448"/>
    <x v="1564"/>
    <x v="1555"/>
    <n v="11452"/>
    <n v="86"/>
    <s v="Regular Day"/>
    <x v="0"/>
  </r>
  <r>
    <d v="2021-05-05T00:00:00"/>
    <n v="20466"/>
    <x v="1565"/>
    <x v="1556"/>
    <n v="10556"/>
    <n v="85"/>
    <s v="Regular Day"/>
    <x v="0"/>
  </r>
  <r>
    <d v="2021-05-06T00:00:00"/>
    <n v="20035"/>
    <x v="1566"/>
    <x v="1557"/>
    <n v="10066"/>
    <n v="89"/>
    <s v="Regular Day"/>
    <x v="0"/>
  </r>
  <r>
    <d v="2021-05-07T00:00:00"/>
    <n v="19315"/>
    <x v="1567"/>
    <x v="1558"/>
    <n v="9790"/>
    <n v="85"/>
    <s v="Regular Day"/>
    <x v="0"/>
  </r>
  <r>
    <d v="2021-05-08T00:00:00"/>
    <n v="18516"/>
    <x v="1568"/>
    <x v="1559"/>
    <n v="9138"/>
    <n v="84"/>
    <s v="Regular Day"/>
    <x v="0"/>
  </r>
  <r>
    <d v="2021-05-09T00:00:00"/>
    <n v="20668"/>
    <x v="344"/>
    <x v="1191"/>
    <n v="10308"/>
    <n v="86"/>
    <s v="Regular Day"/>
    <x v="0"/>
  </r>
  <r>
    <d v="2021-05-10T00:00:00"/>
    <n v="22768"/>
    <x v="1569"/>
    <x v="1560"/>
    <n v="10909"/>
    <n v="91"/>
    <s v="Regular Day"/>
    <x v="0"/>
  </r>
  <r>
    <d v="2021-05-11T00:00:00"/>
    <n v="23819"/>
    <x v="1570"/>
    <x v="1561"/>
    <n v="11631"/>
    <n v="87"/>
    <s v="Regular Day"/>
    <x v="0"/>
  </r>
  <r>
    <d v="2021-05-12T00:00:00"/>
    <n v="20173"/>
    <x v="1571"/>
    <x v="1562"/>
    <n v="10524"/>
    <n v="87"/>
    <s v="Regular Day"/>
    <x v="0"/>
  </r>
  <r>
    <d v="2021-05-13T00:00:00"/>
    <n v="18788"/>
    <x v="1572"/>
    <x v="1563"/>
    <n v="9872"/>
    <n v="93"/>
    <s v="Regular Day"/>
    <x v="0"/>
  </r>
  <r>
    <d v="2021-05-14T00:00:00"/>
    <n v="18778"/>
    <x v="1573"/>
    <x v="1564"/>
    <n v="9849"/>
    <n v="87"/>
    <s v="Regular Day"/>
    <x v="0"/>
  </r>
  <r>
    <d v="2021-05-15T00:00:00"/>
    <n v="16338"/>
    <x v="1574"/>
    <x v="1565"/>
    <n v="8320"/>
    <n v="80"/>
    <s v="Regular Day"/>
    <x v="0"/>
  </r>
  <r>
    <d v="2021-05-16T00:00:00"/>
    <n v="16910"/>
    <x v="1575"/>
    <x v="1566"/>
    <n v="8699"/>
    <n v="85"/>
    <s v="Regular Day"/>
    <x v="0"/>
  </r>
  <r>
    <d v="2021-05-17T00:00:00"/>
    <n v="16762"/>
    <x v="1576"/>
    <x v="1567"/>
    <n v="9048"/>
    <n v="91"/>
    <s v="Regular Day"/>
    <x v="0"/>
  </r>
  <r>
    <d v="2021-05-18T00:00:00"/>
    <n v="18661"/>
    <x v="1577"/>
    <x v="1568"/>
    <n v="9508"/>
    <n v="95"/>
    <s v="Regular Day"/>
    <x v="0"/>
  </r>
  <r>
    <d v="2021-05-19T00:00:00"/>
    <n v="17979"/>
    <x v="1578"/>
    <x v="1569"/>
    <n v="9573"/>
    <n v="90"/>
    <s v="Regular Day"/>
    <x v="0"/>
  </r>
  <r>
    <d v="2021-05-20T00:00:00"/>
    <n v="18174"/>
    <x v="1579"/>
    <x v="1570"/>
    <n v="9902"/>
    <n v="84"/>
    <s v="Regular Day"/>
    <x v="0"/>
  </r>
  <r>
    <d v="2021-05-21T00:00:00"/>
    <n v="18530"/>
    <x v="1580"/>
    <x v="1571"/>
    <n v="9676"/>
    <n v="82"/>
    <s v="Regular Day"/>
    <x v="0"/>
  </r>
  <r>
    <d v="2021-05-22T00:00:00"/>
    <n v="16691"/>
    <x v="1315"/>
    <x v="1572"/>
    <n v="8573"/>
    <n v="82"/>
    <s v="Regular Day"/>
    <x v="0"/>
  </r>
  <r>
    <d v="2021-05-23T00:00:00"/>
    <n v="19341"/>
    <x v="1581"/>
    <x v="1573"/>
    <n v="10146"/>
    <n v="82"/>
    <s v="Regular Day"/>
    <x v="0"/>
  </r>
  <r>
    <d v="2021-05-24T00:00:00"/>
    <n v="19598"/>
    <x v="1582"/>
    <x v="1574"/>
    <n v="10702"/>
    <n v="79"/>
    <s v="Regular Day"/>
    <x v="0"/>
  </r>
  <r>
    <d v="2021-05-25T00:00:00"/>
    <n v="16854"/>
    <x v="1583"/>
    <x v="1575"/>
    <n v="9173"/>
    <n v="87"/>
    <s v="Regular Day"/>
    <x v="0"/>
  </r>
  <r>
    <d v="2021-05-26T00:00:00"/>
    <n v="38717"/>
    <x v="1584"/>
    <x v="1576"/>
    <n v="19178"/>
    <n v="72"/>
    <s v="Regular Day"/>
    <x v="0"/>
  </r>
  <r>
    <d v="2021-05-27T00:00:00"/>
    <n v="24019"/>
    <x v="1585"/>
    <x v="1577"/>
    <n v="12845"/>
    <n v="80"/>
    <s v="Regular Day"/>
    <x v="0"/>
  </r>
  <r>
    <d v="2021-05-28T00:00:00"/>
    <n v="20149"/>
    <x v="1586"/>
    <x v="1578"/>
    <n v="10718"/>
    <n v="84"/>
    <s v="Regular Day"/>
    <x v="0"/>
  </r>
  <r>
    <d v="2021-05-29T00:00:00"/>
    <n v="16924"/>
    <x v="1587"/>
    <x v="1326"/>
    <n v="9288"/>
    <n v="83"/>
    <s v="Regular Day"/>
    <x v="0"/>
  </r>
  <r>
    <d v="2021-05-30T00:00:00"/>
    <n v="34487"/>
    <x v="1588"/>
    <x v="1579"/>
    <n v="13849"/>
    <n v="90"/>
    <s v="Regular Day"/>
    <x v="0"/>
  </r>
  <r>
    <d v="2021-05-31T00:00:00"/>
    <n v="24687"/>
    <x v="1589"/>
    <x v="1580"/>
    <n v="10771"/>
    <n v="89"/>
    <s v="Regular Day"/>
    <x v="0"/>
  </r>
  <r>
    <d v="2021-06-01T00:00:00"/>
    <n v="25628"/>
    <x v="1590"/>
    <x v="1581"/>
    <n v="11160"/>
    <n v="84"/>
    <s v="Regular Day"/>
    <x v="0"/>
  </r>
  <r>
    <d v="2021-06-02T00:00:00"/>
    <n v="25640"/>
    <x v="1591"/>
    <x v="1582"/>
    <n v="11144"/>
    <n v="76"/>
    <s v="Regular Day"/>
    <x v="0"/>
  </r>
  <r>
    <d v="2021-06-03T00:00:00"/>
    <n v="20496"/>
    <x v="1592"/>
    <x v="1583"/>
    <n v="9326"/>
    <n v="79"/>
    <s v="Regular Day"/>
    <x v="0"/>
  </r>
  <r>
    <d v="2021-06-04T00:00:00"/>
    <n v="19591"/>
    <x v="1593"/>
    <x v="1584"/>
    <n v="9447"/>
    <n v="82"/>
    <s v="Regular Day"/>
    <x v="0"/>
  </r>
  <r>
    <d v="2021-06-05T00:00:00"/>
    <n v="19252"/>
    <x v="1594"/>
    <x v="1585"/>
    <n v="10489"/>
    <n v="77"/>
    <s v="Regular Day"/>
    <x v="0"/>
  </r>
  <r>
    <d v="2021-06-06T00:00:00"/>
    <n v="17668"/>
    <x v="1595"/>
    <x v="1586"/>
    <n v="9265"/>
    <n v="91"/>
    <s v="Regular Day"/>
    <x v="0"/>
  </r>
  <r>
    <d v="2021-06-07T00:00:00"/>
    <n v="18146"/>
    <x v="1596"/>
    <x v="1587"/>
    <n v="9785"/>
    <n v="89"/>
    <s v="Regular Day"/>
    <x v="0"/>
  </r>
  <r>
    <d v="2021-06-08T00:00:00"/>
    <n v="23362"/>
    <x v="1597"/>
    <x v="1588"/>
    <n v="10956"/>
    <n v="129"/>
    <s v="Regular Day"/>
    <x v="0"/>
  </r>
  <r>
    <d v="2021-06-09T00:00:00"/>
    <n v="19686"/>
    <x v="1598"/>
    <x v="1589"/>
    <n v="10045"/>
    <n v="102"/>
    <s v="Regular Day"/>
    <x v="0"/>
  </r>
  <r>
    <d v="2021-06-10T00:00:00"/>
    <n v="19228"/>
    <x v="1599"/>
    <x v="1590"/>
    <n v="10097"/>
    <n v="95"/>
    <s v="Regular Day"/>
    <x v="0"/>
  </r>
  <r>
    <d v="2021-06-11T00:00:00"/>
    <n v="16768"/>
    <x v="1600"/>
    <x v="1591"/>
    <n v="8815"/>
    <n v="89"/>
    <s v="Regular Day"/>
    <x v="0"/>
  </r>
  <r>
    <d v="2021-06-12T00:00:00"/>
    <n v="14471"/>
    <x v="1601"/>
    <x v="1592"/>
    <n v="7675"/>
    <n v="86"/>
    <s v="Regular Day"/>
    <x v="0"/>
  </r>
  <r>
    <d v="2021-06-13T00:00:00"/>
    <n v="14403"/>
    <x v="1602"/>
    <x v="1593"/>
    <n v="7732"/>
    <n v="83"/>
    <s v="Regular Day"/>
    <x v="0"/>
  </r>
  <r>
    <d v="2021-06-14T00:00:00"/>
    <n v="14362"/>
    <x v="1603"/>
    <x v="1594"/>
    <n v="7967"/>
    <n v="90"/>
    <s v="Regular Day"/>
    <x v="0"/>
  </r>
  <r>
    <d v="2021-06-15T00:00:00"/>
    <n v="14553"/>
    <x v="1604"/>
    <x v="1595"/>
    <n v="8084"/>
    <n v="89"/>
    <s v="Regular Day"/>
    <x v="0"/>
  </r>
  <r>
    <d v="2021-06-16T00:00:00"/>
    <n v="14255"/>
    <x v="1605"/>
    <x v="1596"/>
    <n v="7928"/>
    <n v="86"/>
    <s v="Regular Day"/>
    <x v="0"/>
  </r>
  <r>
    <d v="2021-06-17T00:00:00"/>
    <n v="14559"/>
    <x v="1606"/>
    <x v="351"/>
    <n v="8178"/>
    <n v="88"/>
    <s v="Regular Day"/>
    <x v="0"/>
  </r>
  <r>
    <d v="2021-06-18T00:00:00"/>
    <n v="14286"/>
    <x v="1607"/>
    <x v="1597"/>
    <n v="7858"/>
    <n v="82"/>
    <s v="Regular Day"/>
    <x v="0"/>
  </r>
  <r>
    <d v="2021-06-19T00:00:00"/>
    <n v="14125"/>
    <x v="1608"/>
    <x v="1598"/>
    <n v="7344"/>
    <n v="85"/>
    <s v="Regular Day"/>
    <x v="0"/>
  </r>
  <r>
    <d v="2021-06-20T00:00:00"/>
    <n v="13136"/>
    <x v="1609"/>
    <x v="1599"/>
    <n v="7105"/>
    <n v="81"/>
    <s v="Regular Day"/>
    <x v="0"/>
  </r>
  <r>
    <d v="2021-06-21T00:00:00"/>
    <n v="14472"/>
    <x v="1610"/>
    <x v="1600"/>
    <n v="8109"/>
    <n v="82"/>
    <s v="Regular Day"/>
    <x v="0"/>
  </r>
  <r>
    <d v="2021-06-22T00:00:00"/>
    <n v="15193"/>
    <x v="1611"/>
    <x v="1601"/>
    <n v="8311"/>
    <n v="90"/>
    <s v="Regular Day"/>
    <x v="0"/>
  </r>
  <r>
    <d v="2021-06-23T00:00:00"/>
    <n v="18428"/>
    <x v="1612"/>
    <x v="1602"/>
    <n v="8988"/>
    <n v="94"/>
    <s v="Regular Day"/>
    <x v="0"/>
  </r>
  <r>
    <d v="2021-06-24T00:00:00"/>
    <n v="16562"/>
    <x v="1613"/>
    <x v="1603"/>
    <n v="8877"/>
    <n v="83"/>
    <s v="Regular Day"/>
    <x v="0"/>
  </r>
  <r>
    <d v="2021-06-25T00:00:00"/>
    <n v="14926"/>
    <x v="1614"/>
    <x v="1604"/>
    <n v="8184"/>
    <n v="84"/>
    <s v="Regular Day"/>
    <x v="0"/>
  </r>
  <r>
    <d v="2021-06-26T00:00:00"/>
    <n v="13754"/>
    <x v="1615"/>
    <x v="1605"/>
    <n v="7530"/>
    <n v="80"/>
    <s v="Regular Day"/>
    <x v="0"/>
  </r>
  <r>
    <d v="2021-06-27T00:00:00"/>
    <n v="15375"/>
    <x v="1616"/>
    <x v="1606"/>
    <n v="8396"/>
    <n v="83"/>
    <s v="Regular Day"/>
    <x v="0"/>
  </r>
  <r>
    <d v="2021-06-28T00:00:00"/>
    <n v="16073"/>
    <x v="1617"/>
    <x v="1607"/>
    <n v="8837"/>
    <n v="91"/>
    <s v="Regular Day"/>
    <x v="0"/>
  </r>
  <r>
    <d v="2021-06-29T00:00:00"/>
    <n v="14471"/>
    <x v="1618"/>
    <x v="1608"/>
    <n v="7949"/>
    <n v="85"/>
    <s v="Regular Day"/>
    <x v="0"/>
  </r>
  <r>
    <d v="2021-06-30T00:00:00"/>
    <n v="13610"/>
    <x v="1619"/>
    <x v="1609"/>
    <n v="7597"/>
    <n v="93"/>
    <s v="Regular Day"/>
    <x v="0"/>
  </r>
  <r>
    <d v="2021-07-01T00:00:00"/>
    <n v="17393"/>
    <x v="1620"/>
    <x v="1610"/>
    <n v="7920"/>
    <n v="99"/>
    <s v="Regular Day"/>
    <x v="0"/>
  </r>
  <r>
    <d v="2021-07-02T00:00:00"/>
    <n v="20503"/>
    <x v="1621"/>
    <x v="1611"/>
    <n v="8028"/>
    <n v="107"/>
    <s v="Regular Day"/>
    <x v="0"/>
  </r>
  <r>
    <d v="2021-07-03T00:00:00"/>
    <n v="15617"/>
    <x v="1622"/>
    <x v="1612"/>
    <n v="7359"/>
    <n v="88"/>
    <s v="Regular Day"/>
    <x v="0"/>
  </r>
  <r>
    <d v="2021-07-04T00:00:00"/>
    <n v="18600"/>
    <x v="1264"/>
    <x v="1613"/>
    <n v="9090"/>
    <n v="76"/>
    <s v="Regular Day"/>
    <x v="0"/>
  </r>
  <r>
    <d v="2021-07-05T00:00:00"/>
    <n v="14498"/>
    <x v="1623"/>
    <x v="1614"/>
    <n v="7506"/>
    <n v="79"/>
    <s v="Regular Day"/>
    <x v="0"/>
  </r>
  <r>
    <d v="2021-07-06T00:00:00"/>
    <n v="15966"/>
    <x v="1624"/>
    <x v="1615"/>
    <n v="7823"/>
    <n v="97"/>
    <s v="Regular Day"/>
    <x v="0"/>
  </r>
  <r>
    <d v="2021-07-07T00:00:00"/>
    <n v="14022"/>
    <x v="1625"/>
    <x v="1616"/>
    <n v="7291"/>
    <n v="97"/>
    <s v="Regular Day"/>
    <x v="0"/>
  </r>
  <r>
    <d v="2021-07-08T00:00:00"/>
    <n v="13689"/>
    <x v="1626"/>
    <x v="1617"/>
    <n v="7378"/>
    <n v="88"/>
    <s v="Regular Day"/>
    <x v="0"/>
  </r>
  <r>
    <d v="2021-07-09T00:00:00"/>
    <n v="13497"/>
    <x v="1627"/>
    <x v="1618"/>
    <n v="7353"/>
    <n v="90"/>
    <s v="Regular Day"/>
    <x v="0"/>
  </r>
  <r>
    <d v="2021-07-10T00:00:00"/>
    <n v="12577"/>
    <x v="1628"/>
    <x v="1619"/>
    <n v="6824"/>
    <n v="81"/>
    <s v="Regular Day"/>
    <x v="0"/>
  </r>
  <r>
    <d v="2021-07-11T00:00:00"/>
    <n v="12435"/>
    <x v="1629"/>
    <x v="1620"/>
    <n v="6709"/>
    <n v="92"/>
    <s v="Regular Day"/>
    <x v="0"/>
  </r>
  <r>
    <d v="2021-07-12T00:00:00"/>
    <n v="14487"/>
    <x v="1630"/>
    <x v="1621"/>
    <n v="7775"/>
    <n v="84"/>
    <s v="Regular Day"/>
    <x v="0"/>
  </r>
  <r>
    <d v="2021-07-13T00:00:00"/>
    <n v="18377"/>
    <x v="1631"/>
    <x v="1622"/>
    <n v="9281"/>
    <n v="87"/>
    <s v="Regular Day"/>
    <x v="0"/>
  </r>
  <r>
    <d v="2021-07-14T00:00:00"/>
    <n v="18062"/>
    <x v="1632"/>
    <x v="1623"/>
    <n v="9672"/>
    <n v="88"/>
    <s v="Regular Day"/>
    <x v="0"/>
  </r>
  <r>
    <d v="2021-07-15T00:00:00"/>
    <n v="17168"/>
    <x v="1633"/>
    <x v="1624"/>
    <n v="9146"/>
    <n v="84"/>
    <s v="Regular Day"/>
    <x v="0"/>
  </r>
  <r>
    <d v="2021-07-16T00:00:00"/>
    <n v="18518"/>
    <x v="1634"/>
    <x v="1625"/>
    <n v="10069"/>
    <n v="89"/>
    <s v="Regular Day"/>
    <x v="0"/>
  </r>
  <r>
    <d v="2021-07-17T00:00:00"/>
    <n v="17243"/>
    <x v="1635"/>
    <x v="1626"/>
    <n v="9244"/>
    <n v="85"/>
    <s v="Regular Day"/>
    <x v="0"/>
  </r>
  <r>
    <d v="2021-07-18T00:00:00"/>
    <n v="15484"/>
    <x v="1636"/>
    <x v="408"/>
    <n v="8385"/>
    <n v="84"/>
    <s v="Regular Day"/>
    <x v="0"/>
  </r>
  <r>
    <d v="2021-07-19T00:00:00"/>
    <n v="19044"/>
    <x v="1637"/>
    <x v="1627"/>
    <n v="9582"/>
    <n v="107"/>
    <s v="Regular Day"/>
    <x v="0"/>
  </r>
  <r>
    <d v="2021-07-20T00:00:00"/>
    <n v="18707"/>
    <x v="1638"/>
    <x v="1628"/>
    <n v="9318"/>
    <n v="105"/>
    <s v="Regular Day"/>
    <x v="0"/>
  </r>
  <r>
    <d v="2021-07-21T00:00:00"/>
    <n v="10969"/>
    <x v="1639"/>
    <x v="1629"/>
    <n v="5906"/>
    <n v="90"/>
    <s v="Regular Day"/>
    <x v="0"/>
  </r>
  <r>
    <d v="2021-07-22T00:00:00"/>
    <n v="16948"/>
    <x v="1640"/>
    <x v="1630"/>
    <n v="9340"/>
    <n v="97"/>
    <s v="Regular Day"/>
    <x v="0"/>
  </r>
  <r>
    <d v="2021-07-23T00:00:00"/>
    <n v="16681"/>
    <x v="1641"/>
    <x v="1631"/>
    <n v="9013"/>
    <n v="93"/>
    <s v="Regular Day"/>
    <x v="0"/>
  </r>
  <r>
    <d v="2021-07-24T00:00:00"/>
    <n v="14609"/>
    <x v="1642"/>
    <x v="1632"/>
    <n v="8016"/>
    <n v="87"/>
    <s v="Regular Day"/>
    <x v="0"/>
  </r>
  <r>
    <d v="2021-07-25T00:00:00"/>
    <n v="14828"/>
    <x v="1643"/>
    <x v="488"/>
    <n v="7615"/>
    <n v="88"/>
    <s v="Regular Day"/>
    <x v="0"/>
  </r>
  <r>
    <d v="2021-07-26T00:00:00"/>
    <n v="16757"/>
    <x v="1644"/>
    <x v="1633"/>
    <n v="9430"/>
    <n v="91"/>
    <s v="Regular Day"/>
    <x v="0"/>
  </r>
  <r>
    <d v="2021-07-27T00:00:00"/>
    <n v="19312"/>
    <x v="1645"/>
    <x v="1634"/>
    <n v="10882"/>
    <n v="88"/>
    <s v="Regular Day"/>
    <x v="0"/>
  </r>
  <r>
    <d v="2021-07-28T00:00:00"/>
    <n v="23775"/>
    <x v="1646"/>
    <x v="1635"/>
    <n v="12955"/>
    <n v="91"/>
    <s v="Regular Day"/>
    <x v="0"/>
  </r>
  <r>
    <d v="2021-07-29T00:00:00"/>
    <n v="21540"/>
    <x v="1647"/>
    <x v="1636"/>
    <n v="12007"/>
    <n v="89"/>
    <s v="Regular Day"/>
    <x v="0"/>
  </r>
  <r>
    <d v="2021-07-30T00:00:00"/>
    <n v="18069"/>
    <x v="1648"/>
    <x v="1637"/>
    <n v="10627"/>
    <n v="79"/>
    <s v="Regular Day"/>
    <x v="0"/>
  </r>
  <r>
    <d v="2021-07-31T00:00:00"/>
    <n v="16834"/>
    <x v="1649"/>
    <x v="1638"/>
    <n v="9925"/>
    <n v="73"/>
    <s v="Regular Day"/>
    <x v="0"/>
  </r>
  <r>
    <d v="2021-08-01T00:00:00"/>
    <n v="16418"/>
    <x v="1650"/>
    <x v="1639"/>
    <n v="9465"/>
    <n v="73"/>
    <s v="Regular Day"/>
    <x v="0"/>
  </r>
  <r>
    <d v="2021-08-02T00:00:00"/>
    <n v="16442"/>
    <x v="1651"/>
    <x v="1640"/>
    <n v="9826"/>
    <n v="72"/>
    <s v="Regular Day"/>
    <x v="0"/>
  </r>
  <r>
    <d v="2021-08-03T00:00:00"/>
    <n v="20982"/>
    <x v="1652"/>
    <x v="1641"/>
    <n v="12311"/>
    <n v="87"/>
    <s v="Regular Day"/>
    <x v="0"/>
  </r>
  <r>
    <d v="2021-08-04T00:00:00"/>
    <n v="19295"/>
    <x v="1653"/>
    <x v="1642"/>
    <n v="11220"/>
    <n v="83"/>
    <s v="Regular Day"/>
    <x v="0"/>
  </r>
  <r>
    <d v="2021-08-05T00:00:00"/>
    <n v="15833"/>
    <x v="1654"/>
    <x v="1643"/>
    <n v="8892"/>
    <n v="91"/>
    <s v="Regular Day"/>
    <x v="0"/>
  </r>
  <r>
    <d v="2021-08-06T00:00:00"/>
    <n v="14298"/>
    <x v="1655"/>
    <x v="1644"/>
    <n v="8238"/>
    <n v="88"/>
    <s v="Regular Day"/>
    <x v="0"/>
  </r>
  <r>
    <d v="2021-08-07T00:00:00"/>
    <n v="13068"/>
    <x v="1656"/>
    <x v="1645"/>
    <n v="7474"/>
    <n v="80"/>
    <s v="Regular Day"/>
    <x v="0"/>
  </r>
  <r>
    <d v="2021-08-08T00:00:00"/>
    <n v="12973"/>
    <x v="1657"/>
    <x v="1646"/>
    <n v="7241"/>
    <n v="84"/>
    <s v="Regular Day"/>
    <x v="0"/>
  </r>
  <r>
    <d v="2021-08-09T00:00:00"/>
    <n v="14215"/>
    <x v="1658"/>
    <x v="1647"/>
    <n v="7840"/>
    <n v="85"/>
    <s v="Regular Day"/>
    <x v="0"/>
  </r>
  <r>
    <d v="2021-08-10T00:00:00"/>
    <n v="13726"/>
    <x v="1659"/>
    <x v="1648"/>
    <n v="7929"/>
    <n v="87"/>
    <s v="Regular Day"/>
    <x v="0"/>
  </r>
  <r>
    <d v="2021-08-11T00:00:00"/>
    <n v="14738"/>
    <x v="1660"/>
    <x v="1649"/>
    <n v="8254"/>
    <n v="81"/>
    <s v="Regular Day"/>
    <x v="0"/>
  </r>
  <r>
    <d v="2021-08-12T00:00:00"/>
    <n v="15813"/>
    <x v="1661"/>
    <x v="1650"/>
    <n v="8795"/>
    <n v="85"/>
    <s v="Regular Day"/>
    <x v="0"/>
  </r>
  <r>
    <d v="2021-08-13T00:00:00"/>
    <n v="14781"/>
    <x v="1662"/>
    <x v="1651"/>
    <n v="8020"/>
    <n v="86"/>
    <s v="Regular Day"/>
    <x v="0"/>
  </r>
  <r>
    <d v="2021-08-14T00:00:00"/>
    <n v="14380"/>
    <x v="1663"/>
    <x v="1652"/>
    <n v="8198"/>
    <n v="74"/>
    <s v="Regular Day"/>
    <x v="0"/>
  </r>
  <r>
    <d v="2021-08-15T00:00:00"/>
    <n v="12557"/>
    <x v="1664"/>
    <x v="1653"/>
    <n v="6948"/>
    <n v="83"/>
    <s v="Regular Day"/>
    <x v="0"/>
  </r>
  <r>
    <d v="2021-08-16T00:00:00"/>
    <n v="12654"/>
    <x v="1665"/>
    <x v="1654"/>
    <n v="7255"/>
    <n v="88"/>
    <s v="Regular Day"/>
    <x v="0"/>
  </r>
  <r>
    <d v="2021-08-17T00:00:00"/>
    <n v="12971"/>
    <x v="1666"/>
    <x v="1654"/>
    <n v="7150"/>
    <n v="86"/>
    <s v="Regular Day"/>
    <x v="0"/>
  </r>
  <r>
    <d v="2021-08-18T00:00:00"/>
    <n v="14774"/>
    <x v="1667"/>
    <x v="1655"/>
    <n v="7720"/>
    <n v="94"/>
    <s v="Regular Day"/>
    <x v="0"/>
  </r>
  <r>
    <d v="2021-08-19T00:00:00"/>
    <n v="14641"/>
    <x v="1668"/>
    <x v="1656"/>
    <n v="7991"/>
    <n v="87"/>
    <s v="Regular Day"/>
    <x v="0"/>
  </r>
  <r>
    <d v="2021-08-20T00:00:00"/>
    <n v="13906"/>
    <x v="808"/>
    <x v="1657"/>
    <n v="7854"/>
    <n v="82"/>
    <s v="Regular Day"/>
    <x v="0"/>
  </r>
  <r>
    <d v="2021-08-21T00:00:00"/>
    <n v="13653"/>
    <x v="819"/>
    <x v="1658"/>
    <n v="7748"/>
    <n v="79"/>
    <s v="Regular Day"/>
    <x v="0"/>
  </r>
  <r>
    <d v="2021-08-22T00:00:00"/>
    <n v="16712"/>
    <x v="1669"/>
    <x v="1659"/>
    <n v="10137"/>
    <n v="76"/>
    <s v="Regular Day"/>
    <x v="0"/>
  </r>
  <r>
    <d v="2021-08-23T00:00:00"/>
    <n v="16409"/>
    <x v="1670"/>
    <x v="1660"/>
    <n v="9649"/>
    <n v="77"/>
    <s v="Regular Day"/>
    <x v="0"/>
  </r>
  <r>
    <d v="2021-08-24T00:00:00"/>
    <n v="16858"/>
    <x v="1671"/>
    <x v="1602"/>
    <n v="9969"/>
    <n v="78"/>
    <s v="Regular Day"/>
    <x v="0"/>
  </r>
  <r>
    <d v="2021-08-25T00:00:00"/>
    <n v="17136"/>
    <x v="1672"/>
    <x v="1661"/>
    <n v="9697"/>
    <n v="83"/>
    <s v="Regular Day"/>
    <x v="0"/>
  </r>
  <r>
    <d v="2021-08-26T00:00:00"/>
    <n v="16069"/>
    <x v="1673"/>
    <x v="1662"/>
    <n v="9582"/>
    <n v="77"/>
    <s v="Regular Day"/>
    <x v="0"/>
  </r>
  <r>
    <d v="2021-08-27T00:00:00"/>
    <n v="17614"/>
    <x v="1674"/>
    <x v="1663"/>
    <n v="11189"/>
    <n v="73"/>
    <s v="Regular Day"/>
    <x v="0"/>
  </r>
  <r>
    <d v="2021-08-28T00:00:00"/>
    <n v="17483"/>
    <x v="1675"/>
    <x v="1664"/>
    <n v="10700"/>
    <n v="73"/>
    <s v="Regular Day"/>
    <x v="0"/>
  </r>
  <r>
    <d v="2021-08-29T00:00:00"/>
    <n v="18613"/>
    <x v="1676"/>
    <x v="1665"/>
    <n v="11660"/>
    <n v="70"/>
    <s v="Regular Day"/>
    <x v="0"/>
  </r>
  <r>
    <d v="2021-08-30T00:00:00"/>
    <n v="18752"/>
    <x v="1677"/>
    <x v="1666"/>
    <n v="11196"/>
    <n v="75"/>
    <s v="Regular Day"/>
    <x v="0"/>
  </r>
  <r>
    <d v="2021-08-31T00:00:00"/>
    <n v="18262"/>
    <x v="1678"/>
    <x v="1667"/>
    <n v="11338"/>
    <n v="74"/>
    <s v="Regular Day"/>
    <x v="0"/>
  </r>
  <r>
    <d v="2021-09-01T00:00:00"/>
    <n v="17929"/>
    <x v="1679"/>
    <x v="1668"/>
    <n v="11009"/>
    <n v="71"/>
    <s v="Regular Day"/>
    <x v="0"/>
  </r>
  <r>
    <d v="2021-09-02T00:00:00"/>
    <n v="18081"/>
    <x v="1680"/>
    <x v="1669"/>
    <n v="11105"/>
    <n v="70"/>
    <s v="Regular Day"/>
    <x v="0"/>
  </r>
  <r>
    <d v="2021-09-03T00:00:00"/>
    <n v="18879"/>
    <x v="1681"/>
    <x v="1670"/>
    <n v="11649"/>
    <n v="68"/>
    <s v="Regular Day"/>
    <x v="0"/>
  </r>
  <r>
    <d v="2021-09-04T00:00:00"/>
    <n v="16036"/>
    <x v="1682"/>
    <x v="1671"/>
    <n v="9022"/>
    <n v="72"/>
    <s v="Regular Day"/>
    <x v="0"/>
  </r>
  <r>
    <d v="2021-09-05T00:00:00"/>
    <n v="16062"/>
    <x v="1683"/>
    <x v="1672"/>
    <n v="9090"/>
    <n v="75"/>
    <s v="Regular Day"/>
    <x v="0"/>
  </r>
  <r>
    <d v="2021-09-06T00:00:00"/>
    <n v="15145"/>
    <x v="1684"/>
    <x v="815"/>
    <n v="8482"/>
    <n v="74"/>
    <s v="Regular Day"/>
    <x v="0"/>
  </r>
  <r>
    <d v="2021-09-07T00:00:00"/>
    <n v="15037"/>
    <x v="1685"/>
    <x v="1673"/>
    <n v="8609"/>
    <n v="77"/>
    <s v="Regular Day"/>
    <x v="0"/>
  </r>
  <r>
    <d v="2021-09-08T00:00:00"/>
    <n v="15166"/>
    <x v="1624"/>
    <x v="1674"/>
    <n v="8638"/>
    <n v="81"/>
    <s v="Regular Day"/>
    <x v="0"/>
  </r>
  <r>
    <d v="2021-09-09T00:00:00"/>
    <n v="18827"/>
    <x v="1686"/>
    <x v="1675"/>
    <n v="9826"/>
    <n v="103"/>
    <s v="Regular Day"/>
    <x v="0"/>
  </r>
  <r>
    <d v="2021-09-10T00:00:00"/>
    <n v="19193"/>
    <x v="1687"/>
    <x v="1676"/>
    <n v="10217"/>
    <n v="86"/>
    <s v="Regular Day"/>
    <x v="0"/>
  </r>
  <r>
    <d v="2021-09-11T00:00:00"/>
    <n v="22657"/>
    <x v="1688"/>
    <x v="1535"/>
    <n v="9931"/>
    <n v="79"/>
    <s v="Regular Day"/>
    <x v="0"/>
  </r>
  <r>
    <d v="2021-09-12T00:00:00"/>
    <n v="20248"/>
    <x v="1689"/>
    <x v="1677"/>
    <n v="9835"/>
    <n v="83"/>
    <s v="Regular Day"/>
    <x v="0"/>
  </r>
  <r>
    <d v="2021-09-13T00:00:00"/>
    <n v="19666"/>
    <x v="1690"/>
    <x v="1678"/>
    <n v="11030"/>
    <n v="80"/>
    <s v="Regular Day"/>
    <x v="0"/>
  </r>
  <r>
    <d v="2021-09-14T00:00:00"/>
    <n v="16815"/>
    <x v="1691"/>
    <x v="1679"/>
    <n v="9264"/>
    <n v="84"/>
    <s v="Regular Day"/>
    <x v="0"/>
  </r>
  <r>
    <d v="2021-09-15T00:00:00"/>
    <n v="16867"/>
    <x v="1692"/>
    <x v="1680"/>
    <n v="8923"/>
    <n v="93"/>
    <s v="Regular Day"/>
    <x v="0"/>
  </r>
  <r>
    <d v="2021-09-16T00:00:00"/>
    <n v="19693"/>
    <x v="1693"/>
    <x v="1681"/>
    <n v="9596"/>
    <n v="98"/>
    <s v="Regular Day"/>
    <x v="0"/>
  </r>
  <r>
    <d v="2021-09-17T00:00:00"/>
    <n v="16678"/>
    <x v="1694"/>
    <x v="1682"/>
    <n v="8672"/>
    <n v="95"/>
    <s v="Regular Day"/>
    <x v="0"/>
  </r>
  <r>
    <d v="2021-09-18T00:00:00"/>
    <n v="14161"/>
    <x v="1695"/>
    <x v="1683"/>
    <n v="7702"/>
    <n v="90"/>
    <s v="Regular Day"/>
    <x v="0"/>
  </r>
  <r>
    <d v="2021-09-19T00:00:00"/>
    <n v="17310"/>
    <x v="1696"/>
    <x v="1684"/>
    <n v="9766"/>
    <n v="76"/>
    <s v="Regular Day"/>
    <x v="0"/>
  </r>
  <r>
    <d v="2021-09-20T00:00:00"/>
    <n v="18045"/>
    <x v="1697"/>
    <x v="1685"/>
    <n v="10087"/>
    <n v="77"/>
    <s v="Regular Day"/>
    <x v="0"/>
  </r>
  <r>
    <d v="2021-09-21T00:00:00"/>
    <n v="21301"/>
    <x v="1698"/>
    <x v="1686"/>
    <n v="10287"/>
    <n v="103"/>
    <s v="Regular Day"/>
    <x v="0"/>
  </r>
  <r>
    <d v="2021-09-22T00:00:00"/>
    <n v="19614"/>
    <x v="1699"/>
    <x v="1249"/>
    <n v="9119"/>
    <n v="90"/>
    <s v="Regular Day"/>
    <x v="0"/>
  </r>
  <r>
    <d v="2021-09-23T00:00:00"/>
    <n v="19326"/>
    <x v="1700"/>
    <x v="1590"/>
    <n v="9670"/>
    <n v="82"/>
    <s v="Regular Day"/>
    <x v="0"/>
  </r>
  <r>
    <d v="2021-09-24T00:00:00"/>
    <n v="15827"/>
    <x v="1701"/>
    <x v="1687"/>
    <n v="8611"/>
    <n v="84"/>
    <s v="Regular Day"/>
    <x v="0"/>
  </r>
  <r>
    <d v="2021-09-25T00:00:00"/>
    <n v="13583"/>
    <x v="1702"/>
    <x v="899"/>
    <n v="7718"/>
    <n v="78"/>
    <s v="Regular Day"/>
    <x v="0"/>
  </r>
  <r>
    <d v="2021-09-26T00:00:00"/>
    <n v="13471"/>
    <x v="1703"/>
    <x v="1688"/>
    <n v="7836"/>
    <n v="79"/>
    <s v="Regular Day"/>
    <x v="0"/>
  </r>
  <r>
    <d v="2021-09-27T00:00:00"/>
    <n v="14412"/>
    <x v="1704"/>
    <x v="1689"/>
    <n v="8046"/>
    <n v="87"/>
    <s v="Regular Day"/>
    <x v="0"/>
  </r>
  <r>
    <d v="2021-09-28T00:00:00"/>
    <n v="22086"/>
    <x v="1705"/>
    <x v="1690"/>
    <n v="11025"/>
    <n v="79"/>
    <s v="Regular Day"/>
    <x v="0"/>
  </r>
  <r>
    <d v="2021-09-29T00:00:00"/>
    <n v="26596"/>
    <x v="1706"/>
    <x v="1691"/>
    <n v="13914"/>
    <n v="80"/>
    <s v="Regular Day"/>
    <x v="0"/>
  </r>
  <r>
    <d v="2021-09-30T00:00:00"/>
    <n v="23019"/>
    <x v="1707"/>
    <x v="1692"/>
    <n v="13210"/>
    <n v="82"/>
    <s v="Regular Day"/>
    <x v="0"/>
  </r>
  <r>
    <d v="2021-10-01T00:00:00"/>
    <n v="16866"/>
    <x v="1708"/>
    <x v="1693"/>
    <n v="9660"/>
    <n v="81"/>
    <s v="Regular Day"/>
    <x v="0"/>
  </r>
  <r>
    <d v="2021-10-02T00:00:00"/>
    <n v="14354"/>
    <x v="1709"/>
    <x v="1694"/>
    <n v="8298"/>
    <n v="86"/>
    <s v="Regular Day"/>
    <x v="0"/>
  </r>
  <r>
    <d v="2021-10-03T00:00:00"/>
    <n v="13973"/>
    <x v="1710"/>
    <x v="1695"/>
    <n v="8213"/>
    <n v="90"/>
    <s v="Regular Day"/>
    <x v="0"/>
  </r>
  <r>
    <d v="2021-10-04T00:00:00"/>
    <n v="14434"/>
    <x v="1711"/>
    <x v="1696"/>
    <n v="8273"/>
    <n v="86"/>
    <s v="Regular Day"/>
    <x v="0"/>
  </r>
  <r>
    <d v="2021-10-05T00:00:00"/>
    <n v="17627"/>
    <x v="1712"/>
    <x v="1697"/>
    <n v="10155"/>
    <n v="86"/>
    <s v="Regular Day"/>
    <x v="0"/>
  </r>
  <r>
    <d v="2021-10-06T00:00:00"/>
    <n v="16252"/>
    <x v="1713"/>
    <x v="1698"/>
    <n v="9112"/>
    <n v="87"/>
    <s v="Regular Day"/>
    <x v="0"/>
  </r>
  <r>
    <d v="2021-10-07T00:00:00"/>
    <n v="15260"/>
    <x v="1714"/>
    <x v="1699"/>
    <n v="8516"/>
    <n v="90"/>
    <s v="Regular Day"/>
    <x v="0"/>
  </r>
  <r>
    <d v="2021-10-08T00:00:00"/>
    <n v="14434"/>
    <x v="1715"/>
    <x v="1700"/>
    <n v="8120"/>
    <n v="87"/>
    <s v="Regular Day"/>
    <x v="0"/>
  </r>
  <r>
    <d v="2021-10-09T00:00:00"/>
    <n v="12803"/>
    <x v="1716"/>
    <x v="1701"/>
    <n v="7236"/>
    <n v="84"/>
    <s v="Regular Day"/>
    <x v="0"/>
  </r>
  <r>
    <d v="2021-10-10T00:00:00"/>
    <n v="13880"/>
    <x v="1717"/>
    <x v="1702"/>
    <n v="7446"/>
    <n v="88"/>
    <s v="Regular Day"/>
    <x v="0"/>
  </r>
  <r>
    <d v="2021-10-11T00:00:00"/>
    <n v="12727"/>
    <x v="655"/>
    <x v="827"/>
    <n v="7292"/>
    <n v="96"/>
    <s v="Regular Day"/>
    <x v="0"/>
  </r>
  <r>
    <d v="2021-10-12T00:00:00"/>
    <n v="13186"/>
    <x v="1718"/>
    <x v="1155"/>
    <n v="7467"/>
    <n v="90"/>
    <s v="Regular Day"/>
    <x v="0"/>
  </r>
  <r>
    <d v="2021-10-13T00:00:00"/>
    <n v="14952"/>
    <x v="1719"/>
    <x v="1266"/>
    <n v="8083"/>
    <n v="95"/>
    <s v="Regular Day"/>
    <x v="0"/>
  </r>
  <r>
    <d v="2021-10-14T00:00:00"/>
    <n v="16416"/>
    <x v="1720"/>
    <x v="1703"/>
    <n v="8793"/>
    <n v="89"/>
    <s v="Regular Day"/>
    <x v="0"/>
  </r>
  <r>
    <d v="2021-10-15T00:00:00"/>
    <n v="16848"/>
    <x v="1721"/>
    <x v="1704"/>
    <n v="8806"/>
    <n v="84"/>
    <s v="Regular Day"/>
    <x v="0"/>
  </r>
  <r>
    <d v="2021-10-16T00:00:00"/>
    <n v="14601"/>
    <x v="1722"/>
    <x v="1705"/>
    <n v="7765"/>
    <n v="84"/>
    <s v="Regular Day"/>
    <x v="0"/>
  </r>
  <r>
    <d v="2021-10-17T00:00:00"/>
    <n v="14385"/>
    <x v="1723"/>
    <x v="1706"/>
    <n v="7662"/>
    <n v="83"/>
    <s v="Regular Day"/>
    <x v="0"/>
  </r>
  <r>
    <d v="2021-10-18T00:00:00"/>
    <n v="13828"/>
    <x v="1724"/>
    <x v="1707"/>
    <n v="7543"/>
    <n v="89"/>
    <s v="Regular Day"/>
    <x v="0"/>
  </r>
  <r>
    <d v="2021-10-19T00:00:00"/>
    <n v="13821"/>
    <x v="1725"/>
    <x v="1708"/>
    <n v="7645"/>
    <n v="91"/>
    <s v="Regular Day"/>
    <x v="0"/>
  </r>
  <r>
    <d v="2021-10-20T00:00:00"/>
    <n v="19218"/>
    <x v="1726"/>
    <x v="1709"/>
    <n v="9406"/>
    <n v="101"/>
    <s v="Regular Day"/>
    <x v="0"/>
  </r>
  <r>
    <d v="2021-10-21T00:00:00"/>
    <n v="17476"/>
    <x v="1727"/>
    <x v="1710"/>
    <n v="9075"/>
    <n v="99"/>
    <s v="Regular Day"/>
    <x v="0"/>
  </r>
  <r>
    <d v="2021-10-22T00:00:00"/>
    <n v="24507"/>
    <x v="1728"/>
    <x v="1711"/>
    <n v="11948"/>
    <n v="102"/>
    <s v="Regular Day"/>
    <x v="0"/>
  </r>
  <r>
    <d v="2021-10-23T00:00:00"/>
    <n v="24503"/>
    <x v="1729"/>
    <x v="1712"/>
    <n v="11734"/>
    <n v="84"/>
    <s v="Regular Day"/>
    <x v="0"/>
  </r>
  <r>
    <d v="2021-10-24T00:00:00"/>
    <n v="23778"/>
    <x v="1730"/>
    <x v="1713"/>
    <n v="11412"/>
    <n v="77"/>
    <s v="Regular Day"/>
    <x v="0"/>
  </r>
  <r>
    <d v="2021-10-25T00:00:00"/>
    <n v="21696"/>
    <x v="1731"/>
    <x v="1714"/>
    <n v="10853"/>
    <n v="85"/>
    <s v="Regular Day"/>
    <x v="0"/>
  </r>
  <r>
    <d v="2021-10-26T00:00:00"/>
    <n v="26671"/>
    <x v="1732"/>
    <x v="1715"/>
    <n v="12765"/>
    <n v="79"/>
    <s v="Regular Day"/>
    <x v="0"/>
  </r>
  <r>
    <d v="2021-10-27T00:00:00"/>
    <n v="23083"/>
    <x v="1733"/>
    <x v="1716"/>
    <n v="11345"/>
    <n v="76"/>
    <s v="Regular Day"/>
    <x v="0"/>
  </r>
  <r>
    <d v="2021-10-28T00:00:00"/>
    <n v="20450"/>
    <x v="1734"/>
    <x v="1717"/>
    <n v="10177"/>
    <n v="83"/>
    <s v="Regular Day"/>
    <x v="0"/>
  </r>
  <r>
    <d v="2021-10-29T00:00:00"/>
    <n v="18855"/>
    <x v="1735"/>
    <x v="1384"/>
    <n v="9457"/>
    <n v="87"/>
    <s v="Regular Day"/>
    <x v="0"/>
  </r>
  <r>
    <d v="2021-10-30T00:00:00"/>
    <n v="16660"/>
    <x v="1736"/>
    <x v="1718"/>
    <n v="8370"/>
    <n v="83"/>
    <s v="Regular Day"/>
    <x v="0"/>
  </r>
  <r>
    <d v="2021-10-31T00:00:00"/>
    <n v="14657"/>
    <x v="1737"/>
    <x v="1719"/>
    <n v="7661"/>
    <n v="84"/>
    <s v="Regular Day"/>
    <x v="0"/>
  </r>
  <r>
    <d v="2021-11-01T00:00:00"/>
    <n v="17467"/>
    <x v="1738"/>
    <x v="1720"/>
    <n v="9200"/>
    <n v="85"/>
    <s v="Regular Day"/>
    <x v="0"/>
  </r>
  <r>
    <d v="2021-11-02T00:00:00"/>
    <n v="18609"/>
    <x v="1739"/>
    <x v="1721"/>
    <n v="9663"/>
    <n v="89"/>
    <s v="Regular Day"/>
    <x v="0"/>
  </r>
  <r>
    <d v="2021-11-03T00:00:00"/>
    <n v="18498"/>
    <x v="1653"/>
    <x v="1722"/>
    <n v="9817"/>
    <n v="84"/>
    <s v="Regular Day"/>
    <x v="0"/>
  </r>
  <r>
    <d v="2021-11-04T00:00:00"/>
    <n v="21514"/>
    <x v="1740"/>
    <x v="1723"/>
    <n v="11184"/>
    <n v="79"/>
    <s v="Regular Day"/>
    <x v="0"/>
  </r>
  <r>
    <d v="2021-11-05T00:00:00"/>
    <n v="21038"/>
    <x v="1741"/>
    <x v="1724"/>
    <n v="10774"/>
    <n v="84"/>
    <s v="Regular Day"/>
    <x v="0"/>
  </r>
  <r>
    <d v="2021-11-06T00:00:00"/>
    <n v="16424"/>
    <x v="1742"/>
    <x v="1725"/>
    <n v="9218"/>
    <n v="72"/>
    <s v="Regular Day"/>
    <x v="0"/>
  </r>
  <r>
    <d v="2021-11-07T00:00:00"/>
    <n v="15679"/>
    <x v="1743"/>
    <x v="1726"/>
    <n v="8736"/>
    <n v="72"/>
    <s v="Regular Day"/>
    <x v="0"/>
  </r>
  <r>
    <d v="2021-11-08T00:00:00"/>
    <n v="17045"/>
    <x v="1744"/>
    <x v="1727"/>
    <n v="9071"/>
    <n v="91"/>
    <s v="Regular Day"/>
    <x v="0"/>
  </r>
  <r>
    <d v="2021-11-09T00:00:00"/>
    <n v="21813"/>
    <x v="1745"/>
    <x v="1728"/>
    <n v="10755"/>
    <n v="141"/>
    <s v="Regular Day"/>
    <x v="0"/>
  </r>
  <r>
    <d v="2021-11-10T00:00:00"/>
    <n v="20062"/>
    <x v="1746"/>
    <x v="1729"/>
    <n v="10395"/>
    <n v="111"/>
    <s v="Regular Day"/>
    <x v="0"/>
  </r>
  <r>
    <d v="2021-11-11T00:00:00"/>
    <n v="19411"/>
    <x v="1747"/>
    <x v="1730"/>
    <n v="10461"/>
    <n v="92"/>
    <s v="Regular Day"/>
    <x v="0"/>
  </r>
  <r>
    <d v="2021-11-12T00:00:00"/>
    <n v="21058"/>
    <x v="1748"/>
    <x v="1731"/>
    <n v="11537"/>
    <n v="83"/>
    <s v="Regular Day"/>
    <x v="0"/>
  </r>
  <r>
    <d v="2021-11-13T00:00:00"/>
    <n v="19256"/>
    <x v="1749"/>
    <x v="1732"/>
    <n v="10074"/>
    <n v="87"/>
    <s v="Regular Day"/>
    <x v="0"/>
  </r>
  <r>
    <d v="2021-11-14T00:00:00"/>
    <n v="19955"/>
    <x v="1750"/>
    <x v="1733"/>
    <n v="10502"/>
    <n v="81"/>
    <s v="Regular Day"/>
    <x v="0"/>
  </r>
  <r>
    <d v="2021-11-15T00:00:00"/>
    <n v="19645"/>
    <x v="1751"/>
    <x v="1734"/>
    <n v="10730"/>
    <n v="82"/>
    <s v="Regular Day"/>
    <x v="0"/>
  </r>
  <r>
    <d v="2021-11-16T00:00:00"/>
    <n v="20371"/>
    <x v="1752"/>
    <x v="1735"/>
    <n v="10951"/>
    <n v="77"/>
    <s v="Regular Day"/>
    <x v="0"/>
  </r>
  <r>
    <d v="2021-11-17T00:00:00"/>
    <n v="21128"/>
    <x v="1753"/>
    <x v="1736"/>
    <n v="11590"/>
    <n v="79"/>
    <s v="Regular Day"/>
    <x v="0"/>
  </r>
  <r>
    <d v="2021-11-18T00:00:00"/>
    <n v="29453"/>
    <x v="1754"/>
    <x v="1737"/>
    <n v="16662"/>
    <n v="74"/>
    <s v="Regular Day"/>
    <x v="0"/>
  </r>
  <r>
    <d v="2021-11-19T00:00:00"/>
    <n v="23814"/>
    <x v="1755"/>
    <x v="1738"/>
    <n v="13743"/>
    <n v="79"/>
    <s v="Regular Day"/>
    <x v="0"/>
  </r>
  <r>
    <d v="2021-11-20T00:00:00"/>
    <n v="19383"/>
    <x v="1756"/>
    <x v="1739"/>
    <n v="11084"/>
    <n v="75"/>
    <s v="Regular Day"/>
    <x v="0"/>
  </r>
  <r>
    <d v="2021-11-21T00:00:00"/>
    <n v="26549"/>
    <x v="1757"/>
    <x v="1740"/>
    <n v="14586"/>
    <n v="71"/>
    <s v="Regular Day"/>
    <x v="0"/>
  </r>
  <r>
    <d v="2021-11-22T00:00:00"/>
    <n v="48798"/>
    <x v="1758"/>
    <x v="1741"/>
    <n v="22185"/>
    <n v="78"/>
    <s v="Grammy Awards"/>
    <x v="0"/>
  </r>
  <r>
    <d v="2021-11-23T00:00:00"/>
    <n v="1003504"/>
    <x v="1759"/>
    <x v="1742"/>
    <n v="336053"/>
    <n v="147"/>
    <s v="Regular Day"/>
    <x v="0"/>
  </r>
  <r>
    <d v="2021-11-24T00:00:00"/>
    <n v="414730"/>
    <x v="1760"/>
    <x v="1743"/>
    <n v="183627"/>
    <n v="128"/>
    <s v="Regular Day"/>
    <x v="0"/>
  </r>
  <r>
    <d v="2021-11-25T00:00:00"/>
    <n v="144668"/>
    <x v="1761"/>
    <x v="1744"/>
    <n v="70930"/>
    <n v="121"/>
    <s v="Regular Day"/>
    <x v="0"/>
  </r>
  <r>
    <d v="2021-11-26T00:00:00"/>
    <n v="99395"/>
    <x v="1762"/>
    <x v="1745"/>
    <n v="47608"/>
    <n v="116"/>
    <s v="Regular Day"/>
    <x v="0"/>
  </r>
  <r>
    <d v="2021-11-27T00:00:00"/>
    <n v="75306"/>
    <x v="1763"/>
    <x v="1746"/>
    <n v="36374"/>
    <n v="120"/>
    <s v="Regular Day"/>
    <x v="0"/>
  </r>
  <r>
    <d v="2021-11-28T00:00:00"/>
    <n v="66848"/>
    <x v="1764"/>
    <x v="1747"/>
    <n v="31628"/>
    <n v="118"/>
    <s v="Regular Day"/>
    <x v="0"/>
  </r>
  <r>
    <d v="2021-11-29T00:00:00"/>
    <n v="58110"/>
    <x v="1765"/>
    <x v="1748"/>
    <n v="27362"/>
    <n v="123"/>
    <s v="Regular Day"/>
    <x v="0"/>
  </r>
  <r>
    <d v="2021-11-30T00:00:00"/>
    <n v="48440"/>
    <x v="1766"/>
    <x v="1749"/>
    <n v="24013"/>
    <n v="118"/>
    <s v="Regular Day"/>
    <x v="0"/>
  </r>
  <r>
    <d v="2021-12-01T00:00:00"/>
    <n v="45485"/>
    <x v="1767"/>
    <x v="1750"/>
    <n v="22908"/>
    <n v="110"/>
    <s v="Regular Day"/>
    <x v="0"/>
  </r>
  <r>
    <d v="2021-12-02T00:00:00"/>
    <n v="39226"/>
    <x v="1768"/>
    <x v="1751"/>
    <n v="20538"/>
    <n v="103"/>
    <s v="Regular Day"/>
    <x v="0"/>
  </r>
  <r>
    <d v="2021-12-03T00:00:00"/>
    <n v="34250"/>
    <x v="1769"/>
    <x v="1752"/>
    <n v="18342"/>
    <n v="106"/>
    <s v="Regular Day"/>
    <x v="0"/>
  </r>
  <r>
    <d v="2021-12-04T00:00:00"/>
    <n v="31242"/>
    <x v="1770"/>
    <x v="1753"/>
    <n v="16479"/>
    <n v="106"/>
    <s v="Regular Day"/>
    <x v="0"/>
  </r>
  <r>
    <d v="2021-12-05T00:00:00"/>
    <n v="32553"/>
    <x v="1771"/>
    <x v="1754"/>
    <n v="17556"/>
    <n v="107"/>
    <s v="Regular Day"/>
    <x v="0"/>
  </r>
  <r>
    <d v="2021-12-06T00:00:00"/>
    <n v="43623"/>
    <x v="1772"/>
    <x v="1755"/>
    <n v="22262"/>
    <n v="105"/>
    <s v="Regular Day"/>
    <x v="0"/>
  </r>
  <r>
    <d v="2021-12-07T00:00:00"/>
    <n v="42044"/>
    <x v="1773"/>
    <x v="1756"/>
    <n v="21418"/>
    <n v="104"/>
    <s v="Regular Day"/>
    <x v="0"/>
  </r>
  <r>
    <d v="2021-12-08T00:00:00"/>
    <n v="32332"/>
    <x v="1774"/>
    <x v="1757"/>
    <n v="16685"/>
    <n v="116"/>
    <s v="Regular Day"/>
    <x v="0"/>
  </r>
  <r>
    <d v="2021-12-09T00:00:00"/>
    <n v="28173"/>
    <x v="1775"/>
    <x v="1758"/>
    <n v="14609"/>
    <n v="106"/>
    <s v="Regular Day"/>
    <x v="0"/>
  </r>
  <r>
    <d v="2021-12-10T00:00:00"/>
    <n v="28200"/>
    <x v="1776"/>
    <x v="1759"/>
    <n v="14486"/>
    <n v="100"/>
    <s v="Regular Day"/>
    <x v="0"/>
  </r>
  <r>
    <d v="2021-12-11T00:00:00"/>
    <n v="25699"/>
    <x v="1320"/>
    <x v="1760"/>
    <n v="13658"/>
    <n v="98"/>
    <s v="Regular Day"/>
    <x v="0"/>
  </r>
  <r>
    <d v="2021-12-12T00:00:00"/>
    <n v="26464"/>
    <x v="726"/>
    <x v="1761"/>
    <n v="14639"/>
    <n v="97"/>
    <s v="Regular Day"/>
    <x v="0"/>
  </r>
  <r>
    <d v="2021-12-13T00:00:00"/>
    <n v="25485"/>
    <x v="1777"/>
    <x v="1762"/>
    <n v="13859"/>
    <n v="103"/>
    <s v="Regular Day"/>
    <x v="0"/>
  </r>
  <r>
    <d v="2021-12-14T00:00:00"/>
    <n v="24091"/>
    <x v="1778"/>
    <x v="1763"/>
    <n v="13029"/>
    <n v="97"/>
    <s v="Regular Day"/>
    <x v="0"/>
  </r>
  <r>
    <d v="2021-12-15T00:00:00"/>
    <n v="21457"/>
    <x v="1779"/>
    <x v="1764"/>
    <n v="11976"/>
    <n v="96"/>
    <s v="Regular Day"/>
    <x v="0"/>
  </r>
  <r>
    <d v="2021-12-16T00:00:00"/>
    <n v="21360"/>
    <x v="1780"/>
    <x v="1765"/>
    <n v="11801"/>
    <n v="100"/>
    <s v="Regular Day"/>
    <x v="0"/>
  </r>
  <r>
    <d v="2021-12-17T00:00:00"/>
    <n v="19782"/>
    <x v="1781"/>
    <x v="1766"/>
    <n v="10963"/>
    <n v="97"/>
    <s v="Regular Day"/>
    <x v="0"/>
  </r>
  <r>
    <d v="2021-12-18T00:00:00"/>
    <n v="19568"/>
    <x v="1782"/>
    <x v="1767"/>
    <n v="10905"/>
    <n v="99"/>
    <s v="Regular Day"/>
    <x v="0"/>
  </r>
  <r>
    <d v="2021-12-19T00:00:00"/>
    <n v="19727"/>
    <x v="1783"/>
    <x v="1768"/>
    <n v="10843"/>
    <n v="101"/>
    <s v="Regular Day"/>
    <x v="0"/>
  </r>
  <r>
    <d v="2021-12-20T00:00:00"/>
    <n v="18962"/>
    <x v="1784"/>
    <x v="1769"/>
    <n v="10386"/>
    <n v="102"/>
    <s v="Regular Day"/>
    <x v="0"/>
  </r>
  <r>
    <d v="2021-12-21T00:00:00"/>
    <n v="19503"/>
    <x v="1785"/>
    <x v="1770"/>
    <n v="10660"/>
    <n v="99"/>
    <s v="Regular Day"/>
    <x v="0"/>
  </r>
  <r>
    <d v="2021-12-22T00:00:00"/>
    <n v="18941"/>
    <x v="1786"/>
    <x v="1771"/>
    <n v="10788"/>
    <n v="99"/>
    <s v="Regular Day"/>
    <x v="0"/>
  </r>
  <r>
    <d v="2021-12-23T00:00:00"/>
    <n v="18618"/>
    <x v="1787"/>
    <x v="1772"/>
    <n v="10441"/>
    <n v="97"/>
    <s v="Regular Day"/>
    <x v="0"/>
  </r>
  <r>
    <d v="2021-12-24T00:00:00"/>
    <n v="17222"/>
    <x v="1788"/>
    <x v="1773"/>
    <n v="9735"/>
    <n v="96"/>
    <s v="Regular Day"/>
    <x v="0"/>
  </r>
  <r>
    <d v="2021-12-25T00:00:00"/>
    <n v="16779"/>
    <x v="1789"/>
    <x v="1774"/>
    <n v="9385"/>
    <n v="95"/>
    <s v="Regular Day"/>
    <x v="0"/>
  </r>
  <r>
    <d v="2021-12-26T00:00:00"/>
    <n v="19561"/>
    <x v="1790"/>
    <x v="1775"/>
    <n v="10643"/>
    <n v="108"/>
    <s v="Regular Day"/>
    <x v="0"/>
  </r>
  <r>
    <d v="2021-12-27T00:00:00"/>
    <n v="19361"/>
    <x v="1791"/>
    <x v="1776"/>
    <n v="10495"/>
    <n v="106"/>
    <s v="Regular Day"/>
    <x v="0"/>
  </r>
  <r>
    <d v="2021-12-28T00:00:00"/>
    <n v="21521"/>
    <x v="1792"/>
    <x v="1777"/>
    <n v="11243"/>
    <n v="112"/>
    <s v="Regular Day"/>
    <x v="0"/>
  </r>
  <r>
    <d v="2021-12-29T00:00:00"/>
    <n v="21924"/>
    <x v="1793"/>
    <x v="1778"/>
    <n v="11670"/>
    <n v="110"/>
    <s v="Regular Day"/>
    <x v="0"/>
  </r>
  <r>
    <d v="2021-12-30T00:00:00"/>
    <n v="23859"/>
    <x v="1794"/>
    <x v="1779"/>
    <n v="11833"/>
    <n v="109"/>
    <s v="Regular Day"/>
    <x v="0"/>
  </r>
  <r>
    <d v="2021-12-31T00:00:00"/>
    <n v="35922"/>
    <x v="1795"/>
    <x v="1780"/>
    <n v="15883"/>
    <n v="94"/>
    <s v="Regular Day"/>
    <x v="0"/>
  </r>
  <r>
    <d v="2022-01-01T00:00:00"/>
    <n v="27103"/>
    <x v="1796"/>
    <x v="1781"/>
    <n v="13150"/>
    <n v="101"/>
    <s v="Regular Day"/>
    <x v="0"/>
  </r>
  <r>
    <d v="2022-01-02T00:00:00"/>
    <n v="25403"/>
    <x v="1797"/>
    <x v="1782"/>
    <n v="12640"/>
    <n v="110"/>
    <s v="Regular Day"/>
    <x v="0"/>
  </r>
  <r>
    <d v="2022-01-03T00:00:00"/>
    <n v="26678"/>
    <x v="1798"/>
    <x v="1783"/>
    <n v="13234"/>
    <n v="107"/>
    <s v="Regular Day"/>
    <x v="0"/>
  </r>
  <r>
    <d v="2022-01-04T00:00:00"/>
    <n v="32722"/>
    <x v="1799"/>
    <x v="1784"/>
    <n v="15457"/>
    <n v="114"/>
    <s v="Regular Day"/>
    <x v="0"/>
  </r>
  <r>
    <d v="2022-01-05T00:00:00"/>
    <n v="55461"/>
    <x v="1800"/>
    <x v="1785"/>
    <n v="23119"/>
    <n v="88"/>
    <s v="Regular Day"/>
    <x v="0"/>
  </r>
  <r>
    <d v="2022-01-06T00:00:00"/>
    <n v="45882"/>
    <x v="1801"/>
    <x v="1786"/>
    <n v="24641"/>
    <n v="77"/>
    <s v="Regular Day"/>
    <x v="0"/>
  </r>
  <r>
    <d v="2022-01-07T00:00:00"/>
    <n v="29218"/>
    <x v="1802"/>
    <x v="1787"/>
    <n v="13828"/>
    <n v="95"/>
    <s v="Regular Day"/>
    <x v="0"/>
  </r>
  <r>
    <d v="2022-01-08T00:00:00"/>
    <n v="25857"/>
    <x v="1803"/>
    <x v="1788"/>
    <n v="12429"/>
    <n v="99"/>
    <s v="Regular Day"/>
    <x v="0"/>
  </r>
  <r>
    <d v="2022-01-09T00:00:00"/>
    <n v="24280"/>
    <x v="1804"/>
    <x v="1789"/>
    <n v="12498"/>
    <n v="99"/>
    <s v="Regular Day"/>
    <x v="0"/>
  </r>
  <r>
    <d v="2022-01-10T00:00:00"/>
    <n v="25051"/>
    <x v="1805"/>
    <x v="1790"/>
    <n v="12786"/>
    <n v="94"/>
    <s v="Regular Day"/>
    <x v="0"/>
  </r>
  <r>
    <d v="2022-01-11T00:00:00"/>
    <n v="23817"/>
    <x v="1806"/>
    <x v="1791"/>
    <n v="12387"/>
    <n v="104"/>
    <s v="Regular Day"/>
    <x v="0"/>
  </r>
  <r>
    <d v="2022-01-12T00:00:00"/>
    <n v="24678"/>
    <x v="1807"/>
    <x v="1792"/>
    <n v="12672"/>
    <n v="107"/>
    <s v="Regular Day"/>
    <x v="0"/>
  </r>
  <r>
    <d v="2022-01-13T00:00:00"/>
    <n v="21036"/>
    <x v="1808"/>
    <x v="1793"/>
    <n v="11168"/>
    <n v="99"/>
    <s v="Regular Day"/>
    <x v="0"/>
  </r>
  <r>
    <d v="2022-01-14T00:00:00"/>
    <n v="20509"/>
    <x v="1809"/>
    <x v="1794"/>
    <n v="10989"/>
    <n v="95"/>
    <s v="Regular Day"/>
    <x v="0"/>
  </r>
  <r>
    <d v="2022-01-15T00:00:00"/>
    <n v="20504"/>
    <x v="1810"/>
    <x v="1795"/>
    <n v="11749"/>
    <n v="88"/>
    <s v="Regular Day"/>
    <x v="0"/>
  </r>
  <r>
    <d v="2022-01-16T00:00:00"/>
    <n v="20630"/>
    <x v="1811"/>
    <x v="1796"/>
    <n v="11283"/>
    <n v="95"/>
    <s v="Regular Day"/>
    <x v="0"/>
  </r>
  <r>
    <d v="2022-01-17T00:00:00"/>
    <n v="27402"/>
    <x v="1812"/>
    <x v="1797"/>
    <n v="14323"/>
    <n v="127"/>
    <s v="Regular Day"/>
    <x v="0"/>
  </r>
  <r>
    <d v="2022-01-18T00:00:00"/>
    <n v="30324"/>
    <x v="1813"/>
    <x v="1798"/>
    <n v="14619"/>
    <n v="110"/>
    <s v="Regular Day"/>
    <x v="0"/>
  </r>
  <r>
    <d v="2022-01-19T00:00:00"/>
    <n v="27005"/>
    <x v="1814"/>
    <x v="1799"/>
    <n v="13041"/>
    <n v="103"/>
    <s v="Regular Day"/>
    <x v="0"/>
  </r>
  <r>
    <d v="2022-01-20T00:00:00"/>
    <n v="29376"/>
    <x v="1815"/>
    <x v="1800"/>
    <n v="12409"/>
    <n v="109"/>
    <s v="Regular Day"/>
    <x v="0"/>
  </r>
  <r>
    <d v="2022-01-21T00:00:00"/>
    <n v="27532"/>
    <x v="1816"/>
    <x v="1801"/>
    <n v="13039"/>
    <n v="104"/>
    <s v="Regular Day"/>
    <x v="0"/>
  </r>
  <r>
    <d v="2022-01-22T00:00:00"/>
    <n v="25187"/>
    <x v="1817"/>
    <x v="1802"/>
    <n v="11592"/>
    <n v="107"/>
    <s v="Regular Day"/>
    <x v="0"/>
  </r>
  <r>
    <d v="2022-01-23T00:00:00"/>
    <n v="24506"/>
    <x v="1818"/>
    <x v="1803"/>
    <n v="11400"/>
    <n v="106"/>
    <s v="Regular Day"/>
    <x v="0"/>
  </r>
  <r>
    <d v="2022-01-24T00:00:00"/>
    <n v="24248"/>
    <x v="1819"/>
    <x v="1804"/>
    <n v="11519"/>
    <n v="102"/>
    <s v="Regular Day"/>
    <x v="0"/>
  </r>
  <r>
    <d v="2022-01-25T00:00:00"/>
    <n v="25663"/>
    <x v="1820"/>
    <x v="1805"/>
    <n v="11923"/>
    <n v="102"/>
    <s v="Regular Day"/>
    <x v="0"/>
  </r>
  <r>
    <d v="2022-01-26T00:00:00"/>
    <n v="20306"/>
    <x v="1821"/>
    <x v="1806"/>
    <n v="9247"/>
    <n v="118"/>
    <s v="Regular Day"/>
    <x v="0"/>
  </r>
  <r>
    <d v="2022-01-27T00:00:00"/>
    <n v="2"/>
    <x v="1822"/>
    <x v="1807"/>
    <n v="2"/>
    <n v="0"/>
    <s v="Regular Day"/>
    <x v="0"/>
  </r>
  <r>
    <d v="2022-01-28T00:00:00"/>
    <n v="32986"/>
    <x v="1823"/>
    <x v="1808"/>
    <n v="20268"/>
    <n v="83"/>
    <s v="Regular Day"/>
    <x v="0"/>
  </r>
  <r>
    <d v="2022-01-29T00:00:00"/>
    <n v="37899"/>
    <x v="1824"/>
    <x v="1809"/>
    <n v="25316"/>
    <n v="63"/>
    <s v="Regular Day"/>
    <x v="0"/>
  </r>
  <r>
    <d v="2022-01-30T00:00:00"/>
    <n v="39931"/>
    <x v="1825"/>
    <x v="1810"/>
    <n v="26636"/>
    <n v="61"/>
    <s v="Regular Day"/>
    <x v="0"/>
  </r>
  <r>
    <d v="2022-01-31T00:00:00"/>
    <n v="38221"/>
    <x v="1826"/>
    <x v="1811"/>
    <n v="21747"/>
    <n v="67"/>
    <s v="Regular Day"/>
    <x v="0"/>
  </r>
  <r>
    <d v="2022-02-01T00:00:00"/>
    <n v="33209"/>
    <x v="1827"/>
    <x v="381"/>
    <n v="13070"/>
    <n v="69"/>
    <s v="Regular Day"/>
    <x v="1"/>
  </r>
  <r>
    <d v="2022-02-02T00:00:00"/>
    <n v="30511"/>
    <x v="1828"/>
    <x v="1812"/>
    <n v="11814"/>
    <n v="85"/>
    <s v="Regular Day"/>
    <x v="1"/>
  </r>
  <r>
    <d v="2022-02-03T00:00:00"/>
    <n v="31502"/>
    <x v="1829"/>
    <x v="1813"/>
    <n v="12015"/>
    <n v="90"/>
    <s v="Regular Day"/>
    <x v="1"/>
  </r>
  <r>
    <d v="2022-02-04T00:00:00"/>
    <n v="26863"/>
    <x v="1552"/>
    <x v="1325"/>
    <n v="10731"/>
    <n v="85"/>
    <s v="Regular Day"/>
    <x v="1"/>
  </r>
  <r>
    <d v="2022-02-05T00:00:00"/>
    <n v="18014"/>
    <x v="1830"/>
    <x v="1814"/>
    <n v="9604"/>
    <n v="75"/>
    <s v="Regular Day"/>
    <x v="1"/>
  </r>
  <r>
    <d v="2022-02-06T00:00:00"/>
    <n v="18287"/>
    <x v="1831"/>
    <x v="1815"/>
    <n v="10186"/>
    <n v="80"/>
    <s v="Regular Day"/>
    <x v="1"/>
  </r>
  <r>
    <d v="2022-02-07T00:00:00"/>
    <n v="19907"/>
    <x v="1832"/>
    <x v="1816"/>
    <n v="10715"/>
    <n v="86"/>
    <s v="Regular Day"/>
    <x v="1"/>
  </r>
  <r>
    <d v="2022-02-08T00:00:00"/>
    <n v="30850"/>
    <x v="1833"/>
    <x v="1817"/>
    <n v="15702"/>
    <n v="83"/>
    <s v="Regular Day"/>
    <x v="1"/>
  </r>
  <r>
    <d v="2022-02-09T00:00:00"/>
    <n v="26454"/>
    <x v="1834"/>
    <x v="1818"/>
    <n v="12739"/>
    <n v="88"/>
    <s v="Regular Day"/>
    <x v="1"/>
  </r>
  <r>
    <d v="2022-02-10T00:00:00"/>
    <n v="23368"/>
    <x v="1775"/>
    <x v="1819"/>
    <n v="11544"/>
    <n v="85"/>
    <s v="Regular Day"/>
    <x v="1"/>
  </r>
  <r>
    <d v="2022-02-11T00:00:00"/>
    <n v="23197"/>
    <x v="1835"/>
    <x v="1820"/>
    <n v="10819"/>
    <n v="82"/>
    <s v="Regular Day"/>
    <x v="1"/>
  </r>
  <r>
    <d v="2022-02-12T00:00:00"/>
    <n v="19978"/>
    <x v="1836"/>
    <x v="1821"/>
    <n v="9940"/>
    <n v="79"/>
    <s v="Regular Day"/>
    <x v="1"/>
  </r>
  <r>
    <d v="2022-02-13T00:00:00"/>
    <n v="22796"/>
    <x v="1837"/>
    <x v="1822"/>
    <n v="12039"/>
    <n v="74"/>
    <s v="Regular Day"/>
    <x v="1"/>
  </r>
  <r>
    <d v="2022-02-14T00:00:00"/>
    <n v="16559"/>
    <x v="1838"/>
    <x v="1823"/>
    <n v="7100"/>
    <n v="78"/>
    <s v="Regular Day"/>
    <x v="1"/>
  </r>
  <r>
    <d v="2022-02-15T00:00:00"/>
    <n v="17184"/>
    <x v="1839"/>
    <x v="1824"/>
    <n v="7135"/>
    <n v="81"/>
    <s v="Regular Day"/>
    <x v="1"/>
  </r>
  <r>
    <d v="2022-02-16T00:00:00"/>
    <n v="19998"/>
    <x v="1840"/>
    <x v="1825"/>
    <n v="10738"/>
    <n v="80"/>
    <s v="Regular Day"/>
    <x v="1"/>
  </r>
  <r>
    <d v="2022-02-17T00:00:00"/>
    <n v="17966"/>
    <x v="1841"/>
    <x v="1826"/>
    <n v="6989"/>
    <n v="84"/>
    <s v="Regular Day"/>
    <x v="1"/>
  </r>
  <r>
    <d v="2022-02-18T00:00:00"/>
    <n v="14732"/>
    <x v="1842"/>
    <x v="1827"/>
    <n v="5179"/>
    <n v="83"/>
    <s v="Regular Day"/>
    <x v="1"/>
  </r>
  <r>
    <d v="2022-02-19T00:00:00"/>
    <n v="13174"/>
    <x v="1843"/>
    <x v="1828"/>
    <n v="4382"/>
    <n v="72"/>
    <s v="Regular Day"/>
    <x v="1"/>
  </r>
  <r>
    <d v="2022-02-20T00:00:00"/>
    <n v="14536"/>
    <x v="1844"/>
    <x v="1829"/>
    <n v="4916"/>
    <n v="73"/>
    <s v="Regular Day"/>
    <x v="1"/>
  </r>
  <r>
    <d v="2022-02-21T00:00:00"/>
    <n v="14081"/>
    <x v="1845"/>
    <x v="1830"/>
    <n v="4925"/>
    <n v="72"/>
    <s v="Regular Day"/>
    <x v="1"/>
  </r>
  <r>
    <d v="2022-02-22T00:00:00"/>
    <n v="16266"/>
    <x v="1846"/>
    <x v="1831"/>
    <n v="5805"/>
    <n v="72"/>
    <s v="Regular Day"/>
    <x v="1"/>
  </r>
  <r>
    <d v="2022-02-23T00:00:00"/>
    <n v="16775"/>
    <x v="1847"/>
    <x v="1832"/>
    <n v="5800"/>
    <n v="75"/>
    <s v="Regular Day"/>
    <x v="1"/>
  </r>
  <r>
    <d v="2022-02-24T00:00:00"/>
    <n v="13671"/>
    <x v="1848"/>
    <x v="1833"/>
    <n v="4921"/>
    <n v="78"/>
    <s v="Regular Day"/>
    <x v="1"/>
  </r>
  <r>
    <d v="2022-02-25T00:00:00"/>
    <n v="20104"/>
    <x v="1849"/>
    <x v="1834"/>
    <n v="6079"/>
    <n v="78"/>
    <s v="Regular Day"/>
    <x v="1"/>
  </r>
  <r>
    <d v="2022-02-26T00:00:00"/>
    <n v="15521"/>
    <x v="1850"/>
    <x v="1835"/>
    <n v="4997"/>
    <n v="78"/>
    <s v="Regular Day"/>
    <x v="1"/>
  </r>
  <r>
    <d v="2022-02-27T00:00:00"/>
    <n v="14265"/>
    <x v="1851"/>
    <x v="1836"/>
    <n v="4823"/>
    <n v="75"/>
    <s v="Regular Day"/>
    <x v="1"/>
  </r>
  <r>
    <d v="2022-02-28T00:00:00"/>
    <n v="14589"/>
    <x v="1852"/>
    <x v="253"/>
    <n v="5284"/>
    <n v="79"/>
    <s v="Regular Day"/>
    <x v="1"/>
  </r>
  <r>
    <d v="2022-03-01T00:00:00"/>
    <n v="12707"/>
    <x v="1853"/>
    <x v="1837"/>
    <n v="4946"/>
    <n v="74"/>
    <s v="Regular Day"/>
    <x v="1"/>
  </r>
  <r>
    <d v="2022-03-02T00:00:00"/>
    <n v="13615"/>
    <x v="1854"/>
    <x v="1838"/>
    <n v="5095"/>
    <n v="75"/>
    <s v="Regular Day"/>
    <x v="1"/>
  </r>
  <r>
    <d v="2022-03-03T00:00:00"/>
    <n v="15084"/>
    <x v="1855"/>
    <x v="1839"/>
    <n v="5573"/>
    <n v="78"/>
    <s v="Regular Day"/>
    <x v="1"/>
  </r>
  <r>
    <d v="2022-03-04T00:00:00"/>
    <n v="16010"/>
    <x v="1856"/>
    <x v="1840"/>
    <n v="6858"/>
    <n v="67"/>
    <s v="Regular Day"/>
    <x v="1"/>
  </r>
  <r>
    <d v="2022-03-05T00:00:00"/>
    <n v="14263"/>
    <x v="1857"/>
    <x v="1841"/>
    <n v="5441"/>
    <n v="66"/>
    <s v="Regular Day"/>
    <x v="1"/>
  </r>
  <r>
    <d v="2022-03-06T00:00:00"/>
    <n v="13775"/>
    <x v="1858"/>
    <x v="1842"/>
    <n v="4762"/>
    <n v="79"/>
    <s v="Regular Day"/>
    <x v="1"/>
  </r>
  <r>
    <d v="2022-03-07T00:00:00"/>
    <n v="15400"/>
    <x v="1859"/>
    <x v="1843"/>
    <n v="6098"/>
    <n v="77"/>
    <s v="Regular Day"/>
    <x v="1"/>
  </r>
  <r>
    <d v="2022-03-08T00:00:00"/>
    <n v="14808"/>
    <x v="1860"/>
    <x v="1844"/>
    <n v="5559"/>
    <n v="80"/>
    <s v="Regular Day"/>
    <x v="1"/>
  </r>
  <r>
    <d v="2022-03-09T00:00:00"/>
    <n v="14241"/>
    <x v="1861"/>
    <x v="1845"/>
    <n v="5118"/>
    <n v="77"/>
    <s v="Regular Day"/>
    <x v="1"/>
  </r>
  <r>
    <d v="2022-03-10T00:00:00"/>
    <n v="14840"/>
    <x v="1862"/>
    <x v="1846"/>
    <n v="5635"/>
    <n v="83"/>
    <s v="Regular Day"/>
    <x v="1"/>
  </r>
  <r>
    <d v="2022-03-11T00:00:00"/>
    <n v="14701"/>
    <x v="1863"/>
    <x v="1847"/>
    <n v="5928"/>
    <n v="81"/>
    <s v="Regular Day"/>
    <x v="1"/>
  </r>
  <r>
    <d v="2022-03-12T00:00:00"/>
    <n v="14572"/>
    <x v="1864"/>
    <x v="1848"/>
    <n v="6013"/>
    <n v="69"/>
    <s v="Regular Day"/>
    <x v="1"/>
  </r>
  <r>
    <d v="2022-03-13T00:00:00"/>
    <n v="18949"/>
    <x v="1865"/>
    <x v="1849"/>
    <n v="6822"/>
    <n v="63"/>
    <s v="Regular Day"/>
    <x v="1"/>
  </r>
  <r>
    <d v="2022-03-14T00:00:00"/>
    <n v="26073"/>
    <x v="1866"/>
    <x v="1850"/>
    <n v="10434"/>
    <n v="66"/>
    <s v="Regular Day"/>
    <x v="1"/>
  </r>
  <r>
    <d v="2022-03-15T00:00:00"/>
    <n v="48971"/>
    <x v="1867"/>
    <x v="1851"/>
    <n v="21794"/>
    <n v="64"/>
    <s v="Regular Day"/>
    <x v="1"/>
  </r>
  <r>
    <d v="2022-03-16T00:00:00"/>
    <n v="26864"/>
    <x v="1868"/>
    <x v="1852"/>
    <n v="11757"/>
    <n v="75"/>
    <s v="Regular Day"/>
    <x v="1"/>
  </r>
  <r>
    <d v="2022-03-17T00:00:00"/>
    <n v="23775"/>
    <x v="1869"/>
    <x v="1853"/>
    <n v="10913"/>
    <n v="86"/>
    <s v="Regular Day"/>
    <x v="1"/>
  </r>
  <r>
    <d v="2022-03-18T00:00:00"/>
    <n v="26065"/>
    <x v="1870"/>
    <x v="1854"/>
    <n v="13213"/>
    <n v="87"/>
    <s v="Regular Day"/>
    <x v="1"/>
  </r>
  <r>
    <d v="2022-03-19T00:00:00"/>
    <n v="31396"/>
    <x v="1871"/>
    <x v="1855"/>
    <n v="15915"/>
    <n v="77"/>
    <s v="Regular Day"/>
    <x v="1"/>
  </r>
  <r>
    <d v="2022-03-20T00:00:00"/>
    <n v="33350"/>
    <x v="1872"/>
    <x v="1856"/>
    <n v="16277"/>
    <n v="80"/>
    <s v="Regular Day"/>
    <x v="1"/>
  </r>
  <r>
    <d v="2022-03-21T00:00:00"/>
    <n v="32206"/>
    <x v="1873"/>
    <x v="1857"/>
    <n v="15786"/>
    <n v="90"/>
    <s v="Regular Day"/>
    <x v="1"/>
  </r>
  <r>
    <d v="2022-03-22T00:00:00"/>
    <n v="37508"/>
    <x v="1874"/>
    <x v="1858"/>
    <n v="18366"/>
    <n v="91"/>
    <s v="Regular Day"/>
    <x v="1"/>
  </r>
  <r>
    <d v="2022-03-23T00:00:00"/>
    <n v="34953"/>
    <x v="1875"/>
    <x v="1859"/>
    <n v="17187"/>
    <n v="101"/>
    <s v="Regular Day"/>
    <x v="1"/>
  </r>
  <r>
    <d v="2022-03-24T00:00:00"/>
    <n v="33743"/>
    <x v="1876"/>
    <x v="1860"/>
    <n v="16696"/>
    <n v="99"/>
    <s v="Regular Day"/>
    <x v="1"/>
  </r>
  <r>
    <d v="2022-03-25T00:00:00"/>
    <n v="35229"/>
    <x v="1877"/>
    <x v="1861"/>
    <n v="17572"/>
    <n v="90"/>
    <s v="Regular Day"/>
    <x v="1"/>
  </r>
  <r>
    <d v="2022-03-26T00:00:00"/>
    <n v="39481"/>
    <x v="1878"/>
    <x v="1862"/>
    <n v="21337"/>
    <n v="84"/>
    <s v="Regular Day"/>
    <x v="1"/>
  </r>
  <r>
    <d v="2022-03-27T00:00:00"/>
    <n v="81975"/>
    <x v="1879"/>
    <x v="1863"/>
    <n v="35894"/>
    <n v="90"/>
    <s v="Regular Day"/>
    <x v="1"/>
  </r>
  <r>
    <d v="2022-03-28T00:00:00"/>
    <n v="95370"/>
    <x v="1880"/>
    <x v="1864"/>
    <n v="42961"/>
    <n v="93"/>
    <s v="Regular Day"/>
    <x v="1"/>
  </r>
  <r>
    <d v="2022-03-29T00:00:00"/>
    <n v="92539"/>
    <x v="1881"/>
    <x v="1865"/>
    <n v="40583"/>
    <n v="102"/>
    <s v="Regular Day"/>
    <x v="1"/>
  </r>
  <r>
    <d v="2022-03-30T00:00:00"/>
    <n v="98317"/>
    <x v="1882"/>
    <x v="1866"/>
    <n v="46998"/>
    <n v="105"/>
    <s v="Regular Day"/>
    <x v="1"/>
  </r>
  <r>
    <d v="2022-03-31T00:00:00"/>
    <n v="82932"/>
    <x v="1883"/>
    <x v="1867"/>
    <n v="41371"/>
    <n v="102"/>
    <s v="Regular Day"/>
    <x v="1"/>
  </r>
  <r>
    <d v="2022-04-01T00:00:00"/>
    <n v="111046"/>
    <x v="1884"/>
    <x v="1868"/>
    <n v="55073"/>
    <n v="95"/>
    <s v="Regular Day"/>
    <x v="1"/>
  </r>
  <r>
    <d v="2022-04-02T00:00:00"/>
    <n v="219761"/>
    <x v="1885"/>
    <x v="1869"/>
    <n v="111753"/>
    <n v="89"/>
    <s v="Regular Day"/>
    <x v="1"/>
  </r>
  <r>
    <d v="2022-04-03T00:00:00"/>
    <n v="2232007"/>
    <x v="1886"/>
    <x v="1870"/>
    <n v="1300402"/>
    <n v="130"/>
    <s v="Grammy Awards"/>
    <x v="1"/>
  </r>
  <r>
    <d v="2022-04-04T00:00:00"/>
    <n v="798488"/>
    <x v="1887"/>
    <x v="1871"/>
    <n v="413494"/>
    <n v="80"/>
    <s v="Regular Day"/>
    <x v="1"/>
  </r>
  <r>
    <d v="2022-04-05T00:00:00"/>
    <n v="226589"/>
    <x v="1888"/>
    <x v="1872"/>
    <n v="116914"/>
    <n v="85"/>
    <s v="Regular Day"/>
    <x v="1"/>
  </r>
  <r>
    <d v="2022-04-06T00:00:00"/>
    <n v="129318"/>
    <x v="1889"/>
    <x v="1873"/>
    <n v="65183"/>
    <n v="86"/>
    <s v="Regular Day"/>
    <x v="1"/>
  </r>
  <r>
    <d v="2022-04-07T00:00:00"/>
    <n v="95852"/>
    <x v="1890"/>
    <x v="1874"/>
    <n v="48017"/>
    <n v="88"/>
    <s v="Regular Day"/>
    <x v="1"/>
  </r>
  <r>
    <d v="2022-04-08T00:00:00"/>
    <n v="79275"/>
    <x v="1891"/>
    <x v="1875"/>
    <n v="40593"/>
    <n v="86"/>
    <s v="Regular Day"/>
    <x v="1"/>
  </r>
  <r>
    <d v="2022-04-09T00:00:00"/>
    <n v="67699"/>
    <x v="1892"/>
    <x v="1876"/>
    <n v="35351"/>
    <n v="81"/>
    <s v="Regular Day"/>
    <x v="1"/>
  </r>
  <r>
    <d v="2022-04-10T00:00:00"/>
    <n v="56971"/>
    <x v="1893"/>
    <x v="1877"/>
    <n v="30276"/>
    <n v="80"/>
    <s v="Regular Day"/>
    <x v="1"/>
  </r>
  <r>
    <d v="2022-04-11T00:00:00"/>
    <n v="47764"/>
    <x v="1894"/>
    <x v="1878"/>
    <n v="25918"/>
    <n v="86"/>
    <s v="Regular Day"/>
    <x v="1"/>
  </r>
  <r>
    <d v="2022-04-12T00:00:00"/>
    <n v="40892"/>
    <x v="1895"/>
    <x v="1879"/>
    <n v="22621"/>
    <n v="87"/>
    <s v="Regular Day"/>
    <x v="1"/>
  </r>
  <r>
    <d v="2022-04-13T00:00:00"/>
    <n v="36954"/>
    <x v="1896"/>
    <x v="1880"/>
    <n v="20807"/>
    <n v="88"/>
    <s v="Regular Day"/>
    <x v="1"/>
  </r>
  <r>
    <d v="2022-04-14T00:00:00"/>
    <n v="32305"/>
    <x v="1897"/>
    <x v="1881"/>
    <n v="17446"/>
    <n v="89"/>
    <s v="Regular Day"/>
    <x v="1"/>
  </r>
  <r>
    <d v="2022-04-15T00:00:00"/>
    <n v="30018"/>
    <x v="1898"/>
    <x v="1882"/>
    <n v="15494"/>
    <n v="85"/>
    <s v="Regular Day"/>
    <x v="1"/>
  </r>
  <r>
    <d v="2022-04-16T00:00:00"/>
    <n v="28244"/>
    <x v="1899"/>
    <x v="1883"/>
    <n v="14519"/>
    <n v="81"/>
    <s v="Regular Day"/>
    <x v="1"/>
  </r>
  <r>
    <d v="2022-04-17T00:00:00"/>
    <n v="27885"/>
    <x v="1900"/>
    <x v="1884"/>
    <n v="14416"/>
    <n v="84"/>
    <s v="Regular Day"/>
    <x v="1"/>
  </r>
  <r>
    <d v="2022-04-18T00:00:00"/>
    <n v="27322"/>
    <x v="1901"/>
    <x v="1885"/>
    <n v="14553"/>
    <n v="96"/>
    <s v="Regular Day"/>
    <x v="1"/>
  </r>
  <r>
    <d v="2022-04-19T00:00:00"/>
    <n v="25837"/>
    <x v="1902"/>
    <x v="1886"/>
    <n v="13804"/>
    <n v="97"/>
    <s v="Regular Day"/>
    <x v="1"/>
  </r>
  <r>
    <d v="2022-04-20T00:00:00"/>
    <n v="23687"/>
    <x v="1903"/>
    <x v="1887"/>
    <n v="10579"/>
    <n v="90"/>
    <s v="Regular Day"/>
    <x v="1"/>
  </r>
  <r>
    <d v="2022-04-21T00:00:00"/>
    <n v="26941"/>
    <x v="1904"/>
    <x v="1888"/>
    <n v="11945"/>
    <n v="86"/>
    <s v="Regular Day"/>
    <x v="1"/>
  </r>
  <r>
    <d v="2022-04-22T00:00:00"/>
    <n v="25546"/>
    <x v="1905"/>
    <x v="1889"/>
    <n v="15410"/>
    <n v="73"/>
    <s v="Regular Day"/>
    <x v="1"/>
  </r>
  <r>
    <d v="2022-04-23T00:00:00"/>
    <n v="22712"/>
    <x v="1906"/>
    <x v="1890"/>
    <n v="13024"/>
    <n v="69"/>
    <s v="Regular Day"/>
    <x v="1"/>
  </r>
  <r>
    <d v="2022-04-24T00:00:00"/>
    <n v="22428"/>
    <x v="1907"/>
    <x v="1891"/>
    <n v="12701"/>
    <n v="82"/>
    <s v="Regular Day"/>
    <x v="1"/>
  </r>
  <r>
    <d v="2022-04-25T00:00:00"/>
    <n v="21356"/>
    <x v="1908"/>
    <x v="1892"/>
    <n v="12157"/>
    <n v="93"/>
    <s v="Regular Day"/>
    <x v="1"/>
  </r>
  <r>
    <d v="2022-04-26T00:00:00"/>
    <n v="21257"/>
    <x v="1909"/>
    <x v="1893"/>
    <n v="11979"/>
    <n v="95"/>
    <s v="Regular Day"/>
    <x v="1"/>
  </r>
  <r>
    <d v="2022-04-27T00:00:00"/>
    <n v="20075"/>
    <x v="1910"/>
    <x v="1055"/>
    <n v="11485"/>
    <n v="91"/>
    <s v="Regular Day"/>
    <x v="1"/>
  </r>
  <r>
    <d v="2022-04-28T00:00:00"/>
    <n v="20883"/>
    <x v="1911"/>
    <x v="1894"/>
    <n v="11376"/>
    <n v="86"/>
    <s v="Regular Day"/>
    <x v="1"/>
  </r>
  <r>
    <d v="2022-04-29T00:00:00"/>
    <n v="20039"/>
    <x v="1912"/>
    <x v="1895"/>
    <n v="11437"/>
    <n v="87"/>
    <s v="Regular Day"/>
    <x v="1"/>
  </r>
  <r>
    <d v="2022-04-30T00:00:00"/>
    <n v="18375"/>
    <x v="1913"/>
    <x v="1896"/>
    <n v="10302"/>
    <n v="73"/>
    <s v="Regular Day"/>
    <x v="1"/>
  </r>
  <r>
    <d v="2022-05-01T00:00:00"/>
    <n v="18836"/>
    <x v="1914"/>
    <x v="1897"/>
    <n v="10651"/>
    <n v="75"/>
    <s v="Regular Day"/>
    <x v="1"/>
  </r>
  <r>
    <d v="2022-05-02T00:00:00"/>
    <n v="19433"/>
    <x v="1915"/>
    <x v="1898"/>
    <n v="11447"/>
    <n v="85"/>
    <s v="Regular Day"/>
    <x v="1"/>
  </r>
  <r>
    <d v="2022-05-03T00:00:00"/>
    <n v="19978"/>
    <x v="1916"/>
    <x v="1899"/>
    <n v="11769"/>
    <n v="88"/>
    <s v="Regular Day"/>
    <x v="1"/>
  </r>
  <r>
    <d v="2022-05-04T00:00:00"/>
    <n v="19977"/>
    <x v="1917"/>
    <x v="1900"/>
    <n v="11815"/>
    <n v="86"/>
    <s v="Regular Day"/>
    <x v="1"/>
  </r>
  <r>
    <d v="2022-05-05T00:00:00"/>
    <n v="17547"/>
    <x v="1918"/>
    <x v="1901"/>
    <n v="10249"/>
    <n v="85"/>
    <s v="Regular Day"/>
    <x v="1"/>
  </r>
  <r>
    <d v="2022-05-06T00:00:00"/>
    <n v="17715"/>
    <x v="1919"/>
    <x v="1902"/>
    <n v="10997"/>
    <n v="80"/>
    <s v="Regular Day"/>
    <x v="1"/>
  </r>
  <r>
    <d v="2022-05-07T00:00:00"/>
    <n v="16185"/>
    <x v="1920"/>
    <x v="1903"/>
    <n v="9701"/>
    <n v="78"/>
    <s v="Regular Day"/>
    <x v="1"/>
  </r>
  <r>
    <d v="2022-05-08T00:00:00"/>
    <n v="16968"/>
    <x v="1921"/>
    <x v="1904"/>
    <n v="10506"/>
    <n v="77"/>
    <s v="Regular Day"/>
    <x v="1"/>
  </r>
  <r>
    <d v="2022-05-09T00:00:00"/>
    <n v="17829"/>
    <x v="1922"/>
    <x v="1905"/>
    <n v="10971"/>
    <n v="87"/>
    <s v="Regular Day"/>
    <x v="1"/>
  </r>
  <r>
    <d v="2022-05-10T00:00:00"/>
    <n v="16427"/>
    <x v="1923"/>
    <x v="1906"/>
    <n v="10465"/>
    <n v="87"/>
    <s v="Regular Day"/>
    <x v="1"/>
  </r>
  <r>
    <d v="2022-05-11T00:00:00"/>
    <n v="16426"/>
    <x v="1924"/>
    <x v="1907"/>
    <n v="10373"/>
    <n v="84"/>
    <s v="Regular Day"/>
    <x v="1"/>
  </r>
  <r>
    <d v="2022-05-12T00:00:00"/>
    <n v="17904"/>
    <x v="1925"/>
    <x v="1908"/>
    <n v="10791"/>
    <n v="84"/>
    <s v="Regular Day"/>
    <x v="1"/>
  </r>
  <r>
    <d v="2022-05-13T00:00:00"/>
    <n v="18736"/>
    <x v="1926"/>
    <x v="1909"/>
    <n v="11319"/>
    <n v="81"/>
    <s v="Regular Day"/>
    <x v="1"/>
  </r>
  <r>
    <d v="2022-05-14T00:00:00"/>
    <n v="17024"/>
    <x v="1927"/>
    <x v="1910"/>
    <n v="10312"/>
    <n v="73"/>
    <s v="Regular Day"/>
    <x v="1"/>
  </r>
  <r>
    <d v="2022-05-15T00:00:00"/>
    <n v="17735"/>
    <x v="1928"/>
    <x v="1911"/>
    <n v="10764"/>
    <n v="79"/>
    <s v="Regular Day"/>
    <x v="1"/>
  </r>
  <r>
    <d v="2022-05-16T00:00:00"/>
    <n v="18330"/>
    <x v="1929"/>
    <x v="1912"/>
    <n v="11169"/>
    <n v="86"/>
    <s v="Regular Day"/>
    <x v="1"/>
  </r>
  <r>
    <d v="2022-05-17T00:00:00"/>
    <n v="16759"/>
    <x v="1930"/>
    <x v="1913"/>
    <n v="10218"/>
    <n v="91"/>
    <s v="Regular Day"/>
    <x v="1"/>
  </r>
  <r>
    <d v="2022-05-18T00:00:00"/>
    <n v="16373"/>
    <x v="1931"/>
    <x v="1914"/>
    <n v="10215"/>
    <n v="96"/>
    <s v="Regular Day"/>
    <x v="1"/>
  </r>
  <r>
    <d v="2022-05-19T00:00:00"/>
    <n v="20000"/>
    <x v="1932"/>
    <x v="1915"/>
    <n v="13417"/>
    <n v="79"/>
    <s v="Regular Day"/>
    <x v="1"/>
  </r>
  <r>
    <d v="2022-05-20T00:00:00"/>
    <n v="17920"/>
    <x v="1933"/>
    <x v="1916"/>
    <n v="11017"/>
    <n v="87"/>
    <s v="Regular Day"/>
    <x v="1"/>
  </r>
  <r>
    <d v="2022-05-21T00:00:00"/>
    <n v="15453"/>
    <x v="1934"/>
    <x v="1917"/>
    <n v="9363"/>
    <n v="74"/>
    <s v="Regular Day"/>
    <x v="1"/>
  </r>
  <r>
    <d v="2022-05-22T00:00:00"/>
    <n v="16225"/>
    <x v="1935"/>
    <x v="1918"/>
    <n v="9707"/>
    <n v="77"/>
    <s v="Regular Day"/>
    <x v="1"/>
  </r>
  <r>
    <d v="2022-05-23T00:00:00"/>
    <n v="16740"/>
    <x v="1936"/>
    <x v="1919"/>
    <n v="10764"/>
    <n v="83"/>
    <s v="Regular Day"/>
    <x v="1"/>
  </r>
  <r>
    <d v="2022-05-24T00:00:00"/>
    <n v="16516"/>
    <x v="1937"/>
    <x v="1920"/>
    <n v="10378"/>
    <n v="89"/>
    <s v="Regular Day"/>
    <x v="1"/>
  </r>
  <r>
    <d v="2022-05-25T00:00:00"/>
    <n v="16286"/>
    <x v="1938"/>
    <x v="1921"/>
    <n v="9556"/>
    <n v="88"/>
    <s v="Regular Day"/>
    <x v="1"/>
  </r>
  <r>
    <d v="2022-05-26T00:00:00"/>
    <n v="16047"/>
    <x v="1939"/>
    <x v="1922"/>
    <n v="9793"/>
    <n v="90"/>
    <s v="Regular Day"/>
    <x v="1"/>
  </r>
  <r>
    <d v="2022-05-27T00:00:00"/>
    <n v="19071"/>
    <x v="1940"/>
    <x v="1923"/>
    <n v="15287"/>
    <n v="70"/>
    <s v="Regular Day"/>
    <x v="1"/>
  </r>
  <r>
    <d v="2022-05-28T00:00:00"/>
    <n v="13187"/>
    <x v="1941"/>
    <x v="1924"/>
    <n v="8591"/>
    <n v="77"/>
    <s v="Regular Day"/>
    <x v="1"/>
  </r>
  <r>
    <d v="2022-05-29T00:00:00"/>
    <n v="13145"/>
    <x v="1942"/>
    <x v="1925"/>
    <n v="8145"/>
    <n v="80"/>
    <s v="Regular Day"/>
    <x v="1"/>
  </r>
  <r>
    <d v="2022-05-30T00:00:00"/>
    <n v="14439"/>
    <x v="1943"/>
    <x v="1926"/>
    <n v="9525"/>
    <n v="75"/>
    <s v="Regular Day"/>
    <x v="1"/>
  </r>
  <r>
    <d v="2022-05-31T00:00:00"/>
    <n v="13836"/>
    <x v="1944"/>
    <x v="1927"/>
    <n v="8602"/>
    <n v="86"/>
    <s v="Regular Day"/>
    <x v="1"/>
  </r>
  <r>
    <d v="2022-06-01T00:00:00"/>
    <n v="14341"/>
    <x v="1945"/>
    <x v="1928"/>
    <n v="8778"/>
    <n v="85"/>
    <s v="Regular Day"/>
    <x v="1"/>
  </r>
  <r>
    <d v="2022-06-02T00:00:00"/>
    <n v="14193"/>
    <x v="1946"/>
    <x v="1929"/>
    <n v="8755"/>
    <n v="84"/>
    <s v="Regular Day"/>
    <x v="1"/>
  </r>
  <r>
    <d v="2022-06-03T00:00:00"/>
    <n v="13029"/>
    <x v="1947"/>
    <x v="1930"/>
    <n v="8205"/>
    <n v="78"/>
    <s v="Regular Day"/>
    <x v="1"/>
  </r>
  <r>
    <d v="2022-06-04T00:00:00"/>
    <n v="11962"/>
    <x v="1948"/>
    <x v="1931"/>
    <n v="6945"/>
    <n v="83"/>
    <s v="Regular Day"/>
    <x v="1"/>
  </r>
  <r>
    <d v="2022-06-05T00:00:00"/>
    <n v="12620"/>
    <x v="1949"/>
    <x v="1932"/>
    <n v="7629"/>
    <n v="85"/>
    <s v="Regular Day"/>
    <x v="1"/>
  </r>
  <r>
    <d v="2022-06-06T00:00:00"/>
    <n v="12713"/>
    <x v="1950"/>
    <x v="1933"/>
    <n v="7616"/>
    <n v="87"/>
    <s v="Regular Day"/>
    <x v="1"/>
  </r>
  <r>
    <d v="2022-06-07T00:00:00"/>
    <n v="12716"/>
    <x v="1951"/>
    <x v="1934"/>
    <n v="7528"/>
    <n v="86"/>
    <s v="Regular Day"/>
    <x v="1"/>
  </r>
  <r>
    <d v="2022-06-08T00:00:00"/>
    <n v="18533"/>
    <x v="1952"/>
    <x v="1935"/>
    <n v="10258"/>
    <n v="86"/>
    <s v="Regular Day"/>
    <x v="1"/>
  </r>
  <r>
    <d v="2022-06-09T00:00:00"/>
    <n v="26238"/>
    <x v="1953"/>
    <x v="1936"/>
    <n v="15956"/>
    <n v="70"/>
    <s v="Regular Day"/>
    <x v="1"/>
  </r>
  <r>
    <d v="2022-06-10T00:00:00"/>
    <n v="45469"/>
    <x v="1954"/>
    <x v="1937"/>
    <n v="31731"/>
    <n v="64"/>
    <s v="Regular Day"/>
    <x v="1"/>
  </r>
  <r>
    <d v="2022-06-11T00:00:00"/>
    <n v="37018"/>
    <x v="1955"/>
    <x v="1938"/>
    <n v="26888"/>
    <n v="62"/>
    <s v="Regular Day"/>
    <x v="1"/>
  </r>
  <r>
    <d v="2022-06-12T00:00:00"/>
    <n v="17783"/>
    <x v="1956"/>
    <x v="1939"/>
    <n v="10157"/>
    <n v="79"/>
    <s v="Regular Day"/>
    <x v="1"/>
  </r>
  <r>
    <d v="2022-06-13T00:00:00"/>
    <n v="16613"/>
    <x v="1957"/>
    <x v="1211"/>
    <n v="10023"/>
    <n v="85"/>
    <s v="Regular Day"/>
    <x v="1"/>
  </r>
  <r>
    <d v="2022-06-14T00:00:00"/>
    <n v="17487"/>
    <x v="1561"/>
    <x v="1940"/>
    <n v="10736"/>
    <n v="78"/>
    <s v="Regular Day"/>
    <x v="1"/>
  </r>
  <r>
    <d v="2022-06-15T00:00:00"/>
    <n v="15027"/>
    <x v="1958"/>
    <x v="1941"/>
    <n v="9241"/>
    <n v="82"/>
    <s v="Regular Day"/>
    <x v="1"/>
  </r>
  <r>
    <d v="2022-06-16T00:00:00"/>
    <n v="17098"/>
    <x v="1959"/>
    <x v="362"/>
    <n v="10109"/>
    <n v="75"/>
    <s v="Regular Day"/>
    <x v="1"/>
  </r>
  <r>
    <d v="2022-06-17T00:00:00"/>
    <n v="16714"/>
    <x v="1960"/>
    <x v="1942"/>
    <n v="9778"/>
    <n v="76"/>
    <s v="Regular Day"/>
    <x v="1"/>
  </r>
  <r>
    <d v="2022-06-18T00:00:00"/>
    <n v="13139"/>
    <x v="1961"/>
    <x v="1943"/>
    <n v="7265"/>
    <n v="85"/>
    <s v="Regular Day"/>
    <x v="1"/>
  </r>
  <r>
    <d v="2022-06-19T00:00:00"/>
    <n v="13386"/>
    <x v="1962"/>
    <x v="1944"/>
    <n v="7582"/>
    <n v="74"/>
    <s v="Regular Day"/>
    <x v="1"/>
  </r>
  <r>
    <d v="2022-06-20T00:00:00"/>
    <n v="14666"/>
    <x v="1963"/>
    <x v="1945"/>
    <n v="8114"/>
    <n v="81"/>
    <s v="Regular Day"/>
    <x v="1"/>
  </r>
  <r>
    <d v="2022-06-21T00:00:00"/>
    <n v="13925"/>
    <x v="1964"/>
    <x v="1946"/>
    <n v="8366"/>
    <n v="88"/>
    <s v="Regular Day"/>
    <x v="1"/>
  </r>
  <r>
    <d v="2022-06-22T00:00:00"/>
    <n v="13454"/>
    <x v="1965"/>
    <x v="1947"/>
    <n v="8122"/>
    <n v="90"/>
    <s v="Regular Day"/>
    <x v="1"/>
  </r>
  <r>
    <d v="2022-06-23T00:00:00"/>
    <n v="12772"/>
    <x v="1966"/>
    <x v="1948"/>
    <n v="7763"/>
    <n v="90"/>
    <s v="Regular Day"/>
    <x v="1"/>
  </r>
  <r>
    <d v="2022-06-24T00:00:00"/>
    <n v="11694"/>
    <x v="1967"/>
    <x v="1949"/>
    <n v="6786"/>
    <n v="87"/>
    <s v="Regular Day"/>
    <x v="1"/>
  </r>
  <r>
    <d v="2022-06-25T00:00:00"/>
    <n v="10238"/>
    <x v="1968"/>
    <x v="1950"/>
    <n v="5971"/>
    <n v="86"/>
    <s v="Regular Day"/>
    <x v="1"/>
  </r>
  <r>
    <d v="2022-06-26T00:00:00"/>
    <n v="11475"/>
    <x v="1969"/>
    <x v="653"/>
    <n v="6599"/>
    <n v="80"/>
    <s v="Regular Day"/>
    <x v="1"/>
  </r>
  <r>
    <d v="2022-06-27T00:00:00"/>
    <n v="12283"/>
    <x v="1970"/>
    <x v="1951"/>
    <n v="7243"/>
    <n v="85"/>
    <s v="Regular Day"/>
    <x v="1"/>
  </r>
  <r>
    <d v="2022-06-28T00:00:00"/>
    <n v="11902"/>
    <x v="1971"/>
    <x v="1952"/>
    <n v="7066"/>
    <n v="92"/>
    <s v="Regular Day"/>
    <x v="1"/>
  </r>
  <r>
    <d v="2022-06-29T00:00:00"/>
    <n v="26488"/>
    <x v="1972"/>
    <x v="1953"/>
    <n v="13512"/>
    <n v="125"/>
    <s v="Regular Day"/>
    <x v="1"/>
  </r>
  <r>
    <d v="2022-06-30T00:00:00"/>
    <n v="16166"/>
    <x v="1973"/>
    <x v="1954"/>
    <n v="9323"/>
    <n v="96"/>
    <s v="Regular Day"/>
    <x v="1"/>
  </r>
  <r>
    <d v="2022-07-01T00:00:00"/>
    <n v="13709"/>
    <x v="1974"/>
    <x v="1955"/>
    <n v="7580"/>
    <n v="88"/>
    <s v="Regular Day"/>
    <x v="1"/>
  </r>
  <r>
    <d v="2022-07-02T00:00:00"/>
    <n v="14755"/>
    <x v="1975"/>
    <x v="1956"/>
    <n v="8469"/>
    <n v="84"/>
    <s v="Regular Day"/>
    <x v="1"/>
  </r>
  <r>
    <d v="2022-07-03T00:00:00"/>
    <n v="13397"/>
    <x v="1976"/>
    <x v="1957"/>
    <n v="7371"/>
    <n v="81"/>
    <s v="Regular Day"/>
    <x v="1"/>
  </r>
  <r>
    <d v="2022-07-04T00:00:00"/>
    <n v="12725"/>
    <x v="1977"/>
    <x v="1958"/>
    <n v="7078"/>
    <n v="77"/>
    <s v="Regular Day"/>
    <x v="1"/>
  </r>
  <r>
    <d v="2022-07-05T00:00:00"/>
    <n v="16349"/>
    <x v="1978"/>
    <x v="1959"/>
    <n v="9194"/>
    <n v="89"/>
    <s v="Regular Day"/>
    <x v="1"/>
  </r>
  <r>
    <d v="2022-07-06T00:00:00"/>
    <n v="15172"/>
    <x v="1979"/>
    <x v="1960"/>
    <n v="8373"/>
    <n v="85"/>
    <s v="Regular Day"/>
    <x v="1"/>
  </r>
  <r>
    <d v="2022-07-07T00:00:00"/>
    <n v="14743"/>
    <x v="1840"/>
    <x v="1961"/>
    <n v="7614"/>
    <n v="90"/>
    <s v="Regular Day"/>
    <x v="1"/>
  </r>
  <r>
    <d v="2022-07-08T00:00:00"/>
    <n v="13523"/>
    <x v="1980"/>
    <x v="652"/>
    <n v="7288"/>
    <n v="85"/>
    <s v="Regular Day"/>
    <x v="1"/>
  </r>
  <r>
    <d v="2022-07-09T00:00:00"/>
    <n v="11128"/>
    <x v="1981"/>
    <x v="5"/>
    <n v="6276"/>
    <n v="83"/>
    <s v="Regular Day"/>
    <x v="1"/>
  </r>
  <r>
    <d v="2022-07-10T00:00:00"/>
    <n v="10700"/>
    <x v="1982"/>
    <x v="1962"/>
    <n v="6083"/>
    <n v="83"/>
    <s v="Regular Day"/>
    <x v="1"/>
  </r>
  <r>
    <d v="2022-07-11T00:00:00"/>
    <n v="14960"/>
    <x v="1983"/>
    <x v="1963"/>
    <n v="7822"/>
    <n v="106"/>
    <s v="Regular Day"/>
    <x v="1"/>
  </r>
  <r>
    <d v="2022-07-12T00:00:00"/>
    <n v="15789"/>
    <x v="1984"/>
    <x v="1964"/>
    <n v="8371"/>
    <n v="95"/>
    <s v="Regular Day"/>
    <x v="1"/>
  </r>
  <r>
    <d v="2022-07-13T00:00:00"/>
    <n v="14306"/>
    <x v="1985"/>
    <x v="1965"/>
    <n v="7688"/>
    <n v="95"/>
    <s v="Regular Day"/>
    <x v="1"/>
  </r>
  <r>
    <d v="2022-07-14T00:00:00"/>
    <n v="15147"/>
    <x v="1986"/>
    <x v="1966"/>
    <n v="8411"/>
    <n v="87"/>
    <s v="Regular Day"/>
    <x v="1"/>
  </r>
  <r>
    <d v="2022-07-15T00:00:00"/>
    <n v="21402"/>
    <x v="1987"/>
    <x v="1967"/>
    <n v="13358"/>
    <n v="80"/>
    <s v="Regular Day"/>
    <x v="1"/>
  </r>
  <r>
    <d v="2022-07-16T00:00:00"/>
    <n v="19870"/>
    <x v="1988"/>
    <x v="1968"/>
    <n v="13019"/>
    <n v="67"/>
    <s v="Regular Day"/>
    <x v="1"/>
  </r>
  <r>
    <d v="2022-07-17T00:00:00"/>
    <n v="15648"/>
    <x v="1989"/>
    <x v="1969"/>
    <n v="8512"/>
    <n v="84"/>
    <s v="Regular Day"/>
    <x v="1"/>
  </r>
  <r>
    <d v="2022-07-18T00:00:00"/>
    <n v="12023"/>
    <x v="1990"/>
    <x v="1970"/>
    <n v="7363"/>
    <n v="80"/>
    <s v="Regular Day"/>
    <x v="1"/>
  </r>
  <r>
    <d v="2022-07-19T00:00:00"/>
    <n v="7554"/>
    <x v="1991"/>
    <x v="1971"/>
    <n v="5262"/>
    <n v="86"/>
    <s v="Regular Day"/>
    <x v="1"/>
  </r>
  <r>
    <d v="2022-07-20T00:00:00"/>
    <n v="7749"/>
    <x v="1992"/>
    <x v="1972"/>
    <n v="5499"/>
    <n v="92"/>
    <s v="Regular Day"/>
    <x v="1"/>
  </r>
  <r>
    <d v="2022-07-21T00:00:00"/>
    <n v="10785"/>
    <x v="1993"/>
    <x v="1973"/>
    <n v="6518"/>
    <n v="86"/>
    <s v="Regular Day"/>
    <x v="1"/>
  </r>
  <r>
    <d v="2022-07-22T00:00:00"/>
    <n v="13596"/>
    <x v="1994"/>
    <x v="1974"/>
    <n v="7745"/>
    <n v="90"/>
    <s v="Regular Day"/>
    <x v="1"/>
  </r>
  <r>
    <d v="2022-07-23T00:00:00"/>
    <n v="12225"/>
    <x v="1995"/>
    <x v="1975"/>
    <n v="6827"/>
    <n v="78"/>
    <s v="Regular Day"/>
    <x v="1"/>
  </r>
  <r>
    <d v="2022-07-24T00:00:00"/>
    <n v="11431"/>
    <x v="1996"/>
    <x v="66"/>
    <n v="6149"/>
    <n v="84"/>
    <s v="Regular Day"/>
    <x v="1"/>
  </r>
  <r>
    <d v="2022-07-25T00:00:00"/>
    <n v="11959"/>
    <x v="1997"/>
    <x v="1976"/>
    <n v="6859"/>
    <n v="84"/>
    <s v="Regular Day"/>
    <x v="1"/>
  </r>
  <r>
    <d v="2022-07-26T00:00:00"/>
    <n v="12474"/>
    <x v="1998"/>
    <x v="1977"/>
    <n v="7035"/>
    <n v="84"/>
    <s v="Regular Day"/>
    <x v="1"/>
  </r>
  <r>
    <d v="2022-07-27T00:00:00"/>
    <n v="21822"/>
    <x v="1999"/>
    <x v="1978"/>
    <n v="8122"/>
    <n v="85"/>
    <s v="Regular Day"/>
    <x v="1"/>
  </r>
  <r>
    <d v="2022-07-28T00:00:00"/>
    <n v="19871"/>
    <x v="2000"/>
    <x v="1578"/>
    <n v="8391"/>
    <n v="84"/>
    <s v="Regular Day"/>
    <x v="1"/>
  </r>
  <r>
    <d v="2022-07-29T00:00:00"/>
    <n v="13088"/>
    <x v="2001"/>
    <x v="1979"/>
    <n v="7102"/>
    <n v="83"/>
    <s v="Regular Day"/>
    <x v="1"/>
  </r>
  <r>
    <d v="2022-07-30T00:00:00"/>
    <n v="11719"/>
    <x v="2002"/>
    <x v="1980"/>
    <n v="6336"/>
    <n v="76"/>
    <s v="Regular Day"/>
    <x v="1"/>
  </r>
  <r>
    <d v="2022-07-31T00:00:00"/>
    <n v="12228"/>
    <x v="2003"/>
    <x v="1981"/>
    <n v="6546"/>
    <n v="82"/>
    <s v="Regular Day"/>
    <x v="1"/>
  </r>
  <r>
    <d v="2022-08-01T00:00:00"/>
    <n v="12316"/>
    <x v="2004"/>
    <x v="1982"/>
    <n v="6698"/>
    <n v="83"/>
    <s v="Regular Day"/>
    <x v="1"/>
  </r>
  <r>
    <d v="2022-08-02T00:00:00"/>
    <n v="12952"/>
    <x v="2005"/>
    <x v="1983"/>
    <n v="7211"/>
    <n v="86"/>
    <s v="Regular Day"/>
    <x v="1"/>
  </r>
  <r>
    <d v="2022-08-03T00:00:00"/>
    <n v="13172"/>
    <x v="2006"/>
    <x v="1984"/>
    <n v="7455"/>
    <n v="87"/>
    <s v="Regular Day"/>
    <x v="1"/>
  </r>
  <r>
    <d v="2022-08-04T00:00:00"/>
    <n v="13603"/>
    <x v="2007"/>
    <x v="1985"/>
    <n v="7655"/>
    <n v="77"/>
    <s v="Regular Day"/>
    <x v="1"/>
  </r>
  <r>
    <d v="2022-08-05T00:00:00"/>
    <n v="13386"/>
    <x v="2008"/>
    <x v="1986"/>
    <n v="7418"/>
    <n v="81"/>
    <s v="Regular Day"/>
    <x v="1"/>
  </r>
  <r>
    <d v="2022-08-06T00:00:00"/>
    <n v="12694"/>
    <x v="2009"/>
    <x v="1987"/>
    <n v="6972"/>
    <n v="81"/>
    <s v="Regular Day"/>
    <x v="1"/>
  </r>
  <r>
    <d v="2022-08-07T00:00:00"/>
    <n v="14196"/>
    <x v="2010"/>
    <x v="1988"/>
    <n v="7155"/>
    <n v="75"/>
    <s v="Regular Day"/>
    <x v="1"/>
  </r>
  <r>
    <d v="2022-08-08T00:00:00"/>
    <n v="15694"/>
    <x v="2011"/>
    <x v="1989"/>
    <n v="8050"/>
    <n v="81"/>
    <s v="Regular Day"/>
    <x v="1"/>
  </r>
  <r>
    <d v="2022-08-09T00:00:00"/>
    <n v="15516"/>
    <x v="2012"/>
    <x v="1990"/>
    <n v="8497"/>
    <n v="83"/>
    <s v="Regular Day"/>
    <x v="1"/>
  </r>
  <r>
    <d v="2022-08-10T00:00:00"/>
    <n v="12616"/>
    <x v="2013"/>
    <x v="1991"/>
    <n v="7135"/>
    <n v="91"/>
    <s v="Regular Day"/>
    <x v="1"/>
  </r>
  <r>
    <d v="2022-08-11T00:00:00"/>
    <n v="13488"/>
    <x v="2014"/>
    <x v="1992"/>
    <n v="7655"/>
    <n v="90"/>
    <s v="Regular Day"/>
    <x v="1"/>
  </r>
  <r>
    <d v="2022-08-12T00:00:00"/>
    <n v="16914"/>
    <x v="2015"/>
    <x v="1993"/>
    <n v="9415"/>
    <n v="85"/>
    <s v="Regular Day"/>
    <x v="1"/>
  </r>
  <r>
    <d v="2022-08-13T00:00:00"/>
    <n v="14944"/>
    <x v="2016"/>
    <x v="1994"/>
    <n v="8094"/>
    <n v="84"/>
    <s v="Regular Day"/>
    <x v="1"/>
  </r>
  <r>
    <d v="2022-08-14T00:00:00"/>
    <n v="13311"/>
    <x v="2017"/>
    <x v="1995"/>
    <n v="7278"/>
    <n v="74"/>
    <s v="Regular Day"/>
    <x v="1"/>
  </r>
  <r>
    <d v="2022-08-15T00:00:00"/>
    <n v="19371"/>
    <x v="2018"/>
    <x v="1996"/>
    <n v="9735"/>
    <n v="101"/>
    <s v="Regular Day"/>
    <x v="1"/>
  </r>
  <r>
    <d v="2022-08-16T00:00:00"/>
    <n v="15829"/>
    <x v="2019"/>
    <x v="1997"/>
    <n v="8584"/>
    <n v="94"/>
    <s v="Regular Day"/>
    <x v="1"/>
  </r>
  <r>
    <d v="2022-08-17T00:00:00"/>
    <n v="14771"/>
    <x v="2020"/>
    <x v="1998"/>
    <n v="8381"/>
    <n v="91"/>
    <s v="Regular Day"/>
    <x v="1"/>
  </r>
  <r>
    <d v="2022-08-18T00:00:00"/>
    <n v="14224"/>
    <x v="2021"/>
    <x v="1655"/>
    <n v="8194"/>
    <n v="85"/>
    <s v="Regular Day"/>
    <x v="1"/>
  </r>
  <r>
    <d v="2022-08-19T00:00:00"/>
    <n v="15151"/>
    <x v="2022"/>
    <x v="1999"/>
    <n v="8538"/>
    <n v="80"/>
    <s v="Regular Day"/>
    <x v="1"/>
  </r>
  <r>
    <d v="2022-08-20T00:00:00"/>
    <n v="13505"/>
    <x v="2023"/>
    <x v="2000"/>
    <n v="7514"/>
    <n v="73"/>
    <s v="Regular Day"/>
    <x v="1"/>
  </r>
  <r>
    <d v="2022-08-21T00:00:00"/>
    <n v="12725"/>
    <x v="2024"/>
    <x v="2001"/>
    <n v="7123"/>
    <n v="79"/>
    <s v="Regular Day"/>
    <x v="1"/>
  </r>
  <r>
    <d v="2022-08-22T00:00:00"/>
    <n v="14104"/>
    <x v="2025"/>
    <x v="2002"/>
    <n v="7605"/>
    <n v="91"/>
    <s v="Regular Day"/>
    <x v="1"/>
  </r>
  <r>
    <d v="2022-08-23T00:00:00"/>
    <n v="14076"/>
    <x v="2026"/>
    <x v="2003"/>
    <n v="9430"/>
    <n v="88"/>
    <s v="Regular Day"/>
    <x v="1"/>
  </r>
  <r>
    <d v="2022-08-24T00:00:00"/>
    <n v="23193"/>
    <x v="2027"/>
    <x v="2004"/>
    <n v="12896"/>
    <n v="121"/>
    <s v="Regular Day"/>
    <x v="1"/>
  </r>
  <r>
    <d v="2022-08-25T00:00:00"/>
    <n v="19653"/>
    <x v="2028"/>
    <x v="2005"/>
    <n v="11180"/>
    <n v="98"/>
    <s v="Regular Day"/>
    <x v="1"/>
  </r>
  <r>
    <d v="2022-08-26T00:00:00"/>
    <n v="18555"/>
    <x v="2029"/>
    <x v="2006"/>
    <n v="10375"/>
    <n v="98"/>
    <s v="Regular Day"/>
    <x v="1"/>
  </r>
  <r>
    <d v="2022-08-27T00:00:00"/>
    <n v="16368"/>
    <x v="2030"/>
    <x v="2007"/>
    <n v="9182"/>
    <n v="81"/>
    <s v="Regular Day"/>
    <x v="1"/>
  </r>
  <r>
    <d v="2022-08-28T00:00:00"/>
    <n v="18079"/>
    <x v="1395"/>
    <x v="2008"/>
    <n v="9655"/>
    <n v="77"/>
    <s v="Regular Day"/>
    <x v="1"/>
  </r>
  <r>
    <d v="2022-08-29T00:00:00"/>
    <n v="19023"/>
    <x v="2031"/>
    <x v="1681"/>
    <n v="10062"/>
    <n v="85"/>
    <s v="Regular Day"/>
    <x v="1"/>
  </r>
  <r>
    <d v="2022-08-30T00:00:00"/>
    <n v="16726"/>
    <x v="2032"/>
    <x v="2009"/>
    <n v="9158"/>
    <n v="92"/>
    <s v="Regular Day"/>
    <x v="1"/>
  </r>
  <r>
    <d v="2022-08-31T00:00:00"/>
    <n v="15906"/>
    <x v="2033"/>
    <x v="2010"/>
    <n v="8849"/>
    <n v="86"/>
    <s v="Regular Day"/>
    <x v="1"/>
  </r>
  <r>
    <d v="2022-09-01T00:00:00"/>
    <n v="14717"/>
    <x v="2034"/>
    <x v="2011"/>
    <n v="8348"/>
    <n v="84"/>
    <s v="Regular Day"/>
    <x v="1"/>
  </r>
  <r>
    <d v="2022-09-02T00:00:00"/>
    <n v="13537"/>
    <x v="2035"/>
    <x v="2012"/>
    <n v="7489"/>
    <n v="85"/>
    <s v="Regular Day"/>
    <x v="1"/>
  </r>
  <r>
    <d v="2022-09-03T00:00:00"/>
    <n v="12640"/>
    <x v="2036"/>
    <x v="2013"/>
    <n v="6712"/>
    <n v="84"/>
    <s v="Regular Day"/>
    <x v="1"/>
  </r>
  <r>
    <d v="2022-09-04T00:00:00"/>
    <n v="16173"/>
    <x v="2037"/>
    <x v="1237"/>
    <n v="7762"/>
    <n v="80"/>
    <s v="Regular Day"/>
    <x v="1"/>
  </r>
  <r>
    <d v="2022-09-05T00:00:00"/>
    <n v="14463"/>
    <x v="2038"/>
    <x v="2014"/>
    <n v="7609"/>
    <n v="88"/>
    <s v="Regular Day"/>
    <x v="1"/>
  </r>
  <r>
    <d v="2022-09-06T00:00:00"/>
    <n v="14006"/>
    <x v="2039"/>
    <x v="2015"/>
    <n v="7916"/>
    <n v="90"/>
    <s v="Regular Day"/>
    <x v="1"/>
  </r>
  <r>
    <d v="2022-09-07T00:00:00"/>
    <n v="13985"/>
    <x v="2040"/>
    <x v="1375"/>
    <n v="7972"/>
    <n v="84"/>
    <s v="Regular Day"/>
    <x v="1"/>
  </r>
  <r>
    <d v="2022-09-08T00:00:00"/>
    <n v="12302"/>
    <x v="2041"/>
    <x v="2016"/>
    <n v="7470"/>
    <n v="85"/>
    <s v="Regular Day"/>
    <x v="1"/>
  </r>
  <r>
    <d v="2022-09-09T00:00:00"/>
    <n v="13770"/>
    <x v="2042"/>
    <x v="2017"/>
    <n v="7837"/>
    <n v="86"/>
    <s v="Regular Day"/>
    <x v="1"/>
  </r>
  <r>
    <d v="2022-09-10T00:00:00"/>
    <n v="12699"/>
    <x v="2043"/>
    <x v="2018"/>
    <n v="6981"/>
    <n v="95"/>
    <s v="Regular Day"/>
    <x v="1"/>
  </r>
  <r>
    <d v="2022-09-11T00:00:00"/>
    <n v="12298"/>
    <x v="2044"/>
    <x v="2019"/>
    <n v="6531"/>
    <n v="94"/>
    <s v="Regular Day"/>
    <x v="1"/>
  </r>
  <r>
    <d v="2022-09-12T00:00:00"/>
    <n v="15940"/>
    <x v="2045"/>
    <x v="2020"/>
    <n v="9084"/>
    <n v="78"/>
    <s v="Regular Day"/>
    <x v="1"/>
  </r>
  <r>
    <d v="2022-09-13T00:00:00"/>
    <n v="17884"/>
    <x v="2046"/>
    <x v="2021"/>
    <n v="9860"/>
    <n v="75"/>
    <s v="Regular Day"/>
    <x v="1"/>
  </r>
  <r>
    <d v="2022-09-14T00:00:00"/>
    <n v="14750"/>
    <x v="2047"/>
    <x v="2022"/>
    <n v="8398"/>
    <n v="86"/>
    <s v="Regular Day"/>
    <x v="1"/>
  </r>
  <r>
    <d v="2022-09-15T00:00:00"/>
    <n v="15206"/>
    <x v="2048"/>
    <x v="2023"/>
    <n v="9075"/>
    <n v="86"/>
    <s v="Regular Day"/>
    <x v="1"/>
  </r>
  <r>
    <d v="2022-09-16T00:00:00"/>
    <n v="14188"/>
    <x v="2049"/>
    <x v="2024"/>
    <n v="8259"/>
    <n v="79"/>
    <s v="Regular Day"/>
    <x v="1"/>
  </r>
  <r>
    <d v="2022-09-17T00:00:00"/>
    <n v="13156"/>
    <x v="1194"/>
    <x v="2025"/>
    <n v="7005"/>
    <n v="82"/>
    <s v="Regular Day"/>
    <x v="1"/>
  </r>
  <r>
    <d v="2022-09-18T00:00:00"/>
    <n v="12928"/>
    <x v="2050"/>
    <x v="2026"/>
    <n v="6832"/>
    <n v="75"/>
    <s v="Regular Day"/>
    <x v="1"/>
  </r>
  <r>
    <d v="2022-09-19T00:00:00"/>
    <n v="15726"/>
    <x v="2051"/>
    <x v="2027"/>
    <n v="8664"/>
    <n v="83"/>
    <s v="Regular Day"/>
    <x v="1"/>
  </r>
  <r>
    <d v="2022-09-20T00:00:00"/>
    <n v="28219"/>
    <x v="2052"/>
    <x v="2028"/>
    <n v="12952"/>
    <n v="87"/>
    <s v="Regular Day"/>
    <x v="1"/>
  </r>
  <r>
    <d v="2022-09-21T00:00:00"/>
    <n v="22555"/>
    <x v="2053"/>
    <x v="2029"/>
    <n v="11445"/>
    <n v="87"/>
    <s v="Regular Day"/>
    <x v="1"/>
  </r>
  <r>
    <d v="2022-09-22T00:00:00"/>
    <n v="17196"/>
    <x v="2054"/>
    <x v="2030"/>
    <n v="9181"/>
    <n v="87"/>
    <s v="Regular Day"/>
    <x v="1"/>
  </r>
  <r>
    <d v="2022-09-23T00:00:00"/>
    <n v="15413"/>
    <x v="2055"/>
    <x v="2031"/>
    <n v="8473"/>
    <n v="99"/>
    <s v="Regular Day"/>
    <x v="1"/>
  </r>
  <r>
    <d v="2022-09-24T00:00:00"/>
    <n v="20170"/>
    <x v="2056"/>
    <x v="2032"/>
    <n v="9829"/>
    <n v="90"/>
    <s v="Regular Day"/>
    <x v="1"/>
  </r>
  <r>
    <d v="2022-09-25T00:00:00"/>
    <n v="23476"/>
    <x v="2057"/>
    <x v="2033"/>
    <n v="11604"/>
    <n v="91"/>
    <s v="Regular Day"/>
    <x v="1"/>
  </r>
  <r>
    <d v="2022-09-26T00:00:00"/>
    <n v="23366"/>
    <x v="2058"/>
    <x v="2034"/>
    <n v="12894"/>
    <n v="91"/>
    <s v="Regular Day"/>
    <x v="1"/>
  </r>
  <r>
    <d v="2022-09-27T00:00:00"/>
    <n v="19241"/>
    <x v="2059"/>
    <x v="2035"/>
    <n v="11018"/>
    <n v="91"/>
    <s v="Regular Day"/>
    <x v="1"/>
  </r>
  <r>
    <d v="2022-09-28T00:00:00"/>
    <n v="17284"/>
    <x v="2060"/>
    <x v="2036"/>
    <n v="10014"/>
    <n v="88"/>
    <s v="Regular Day"/>
    <x v="1"/>
  </r>
  <r>
    <d v="2022-09-29T00:00:00"/>
    <n v="16730"/>
    <x v="2061"/>
    <x v="2037"/>
    <n v="9769"/>
    <n v="86"/>
    <s v="Regular Day"/>
    <x v="1"/>
  </r>
  <r>
    <d v="2022-09-30T00:00:00"/>
    <n v="15226"/>
    <x v="2062"/>
    <x v="2038"/>
    <n v="8766"/>
    <n v="87"/>
    <s v="Regular Day"/>
    <x v="1"/>
  </r>
  <r>
    <d v="2022-10-01T00:00:00"/>
    <n v="13580"/>
    <x v="2063"/>
    <x v="2039"/>
    <n v="7458"/>
    <n v="74"/>
    <s v="Regular Day"/>
    <x v="1"/>
  </r>
  <r>
    <d v="2022-10-02T00:00:00"/>
    <n v="15936"/>
    <x v="2064"/>
    <x v="2040"/>
    <n v="8779"/>
    <n v="75"/>
    <s v="Regular Day"/>
    <x v="1"/>
  </r>
  <r>
    <d v="2022-10-03T00:00:00"/>
    <n v="15386"/>
    <x v="2065"/>
    <x v="2041"/>
    <n v="8520"/>
    <n v="88"/>
    <s v="Regular Day"/>
    <x v="1"/>
  </r>
  <r>
    <d v="2022-10-04T00:00:00"/>
    <n v="16843"/>
    <x v="2066"/>
    <x v="2042"/>
    <n v="9781"/>
    <n v="95"/>
    <s v="Regular Day"/>
    <x v="1"/>
  </r>
  <r>
    <d v="2022-10-05T00:00:00"/>
    <n v="16405"/>
    <x v="2067"/>
    <x v="1774"/>
    <n v="9098"/>
    <n v="94"/>
    <s v="Regular Day"/>
    <x v="1"/>
  </r>
  <r>
    <d v="2022-10-06T00:00:00"/>
    <n v="24494"/>
    <x v="2068"/>
    <x v="2043"/>
    <n v="14246"/>
    <n v="118"/>
    <s v="Regular Day"/>
    <x v="1"/>
  </r>
  <r>
    <d v="2022-10-07T00:00:00"/>
    <n v="20492"/>
    <x v="2069"/>
    <x v="2044"/>
    <n v="11903"/>
    <n v="107"/>
    <s v="Regular Day"/>
    <x v="1"/>
  </r>
  <r>
    <d v="2022-10-08T00:00:00"/>
    <n v="17795"/>
    <x v="2070"/>
    <x v="2045"/>
    <n v="9868"/>
    <n v="100"/>
    <s v="Regular Day"/>
    <x v="1"/>
  </r>
  <r>
    <d v="2022-10-09T00:00:00"/>
    <n v="18533"/>
    <x v="2071"/>
    <x v="2046"/>
    <n v="10493"/>
    <n v="102"/>
    <s v="Regular Day"/>
    <x v="1"/>
  </r>
  <r>
    <d v="2022-10-10T00:00:00"/>
    <n v="19853"/>
    <x v="2072"/>
    <x v="2047"/>
    <n v="10887"/>
    <n v="110"/>
    <s v="Regular Day"/>
    <x v="1"/>
  </r>
  <r>
    <d v="2022-10-11T00:00:00"/>
    <n v="35630"/>
    <x v="2073"/>
    <x v="2048"/>
    <n v="19267"/>
    <n v="133"/>
    <s v="Regular Day"/>
    <x v="1"/>
  </r>
  <r>
    <d v="2022-10-12T00:00:00"/>
    <n v="24908"/>
    <x v="2074"/>
    <x v="2049"/>
    <n v="13931"/>
    <n v="124"/>
    <s v="Regular Day"/>
    <x v="1"/>
  </r>
  <r>
    <d v="2022-10-13T00:00:00"/>
    <n v="51723"/>
    <x v="2075"/>
    <x v="2050"/>
    <n v="21991"/>
    <n v="114"/>
    <s v="Regular Day"/>
    <x v="1"/>
  </r>
  <r>
    <d v="2022-10-14T00:00:00"/>
    <n v="48989"/>
    <x v="2076"/>
    <x v="2051"/>
    <n v="19320"/>
    <n v="94"/>
    <s v="Regular Day"/>
    <x v="1"/>
  </r>
  <r>
    <d v="2022-10-15T00:00:00"/>
    <n v="23796"/>
    <x v="2077"/>
    <x v="2052"/>
    <n v="9876"/>
    <n v="66"/>
    <s v="Regular Day"/>
    <x v="1"/>
  </r>
  <r>
    <d v="2022-10-16T00:00:00"/>
    <n v="19642"/>
    <x v="2078"/>
    <x v="2053"/>
    <n v="8401"/>
    <n v="69"/>
    <s v="Regular Day"/>
    <x v="1"/>
  </r>
  <r>
    <d v="2022-10-17T00:00:00"/>
    <n v="21736"/>
    <x v="2079"/>
    <x v="2054"/>
    <n v="9341"/>
    <n v="71"/>
    <s v="Regular Day"/>
    <x v="1"/>
  </r>
  <r>
    <d v="2022-10-18T00:00:00"/>
    <n v="20802"/>
    <x v="2080"/>
    <x v="2055"/>
    <n v="9235"/>
    <n v="70"/>
    <s v="Regular Day"/>
    <x v="1"/>
  </r>
  <r>
    <d v="2022-10-19T00:00:00"/>
    <n v="20397"/>
    <x v="2081"/>
    <x v="2056"/>
    <n v="9216"/>
    <n v="69"/>
    <s v="Regular Day"/>
    <x v="1"/>
  </r>
  <r>
    <d v="2022-10-20T00:00:00"/>
    <n v="19405"/>
    <x v="2082"/>
    <x v="2057"/>
    <n v="9022"/>
    <n v="66"/>
    <s v="Regular Day"/>
    <x v="1"/>
  </r>
  <r>
    <d v="2022-10-21T00:00:00"/>
    <n v="19220"/>
    <x v="2083"/>
    <x v="2058"/>
    <n v="9002"/>
    <n v="70"/>
    <s v="Regular Day"/>
    <x v="1"/>
  </r>
  <r>
    <d v="2022-10-22T00:00:00"/>
    <n v="18182"/>
    <x v="2084"/>
    <x v="2059"/>
    <n v="8029"/>
    <n v="67"/>
    <s v="Regular Day"/>
    <x v="1"/>
  </r>
  <r>
    <d v="2022-10-23T00:00:00"/>
    <n v="20169"/>
    <x v="2085"/>
    <x v="2060"/>
    <n v="8468"/>
    <n v="68"/>
    <s v="Regular Day"/>
    <x v="1"/>
  </r>
  <r>
    <d v="2022-10-24T00:00:00"/>
    <n v="19076"/>
    <x v="2086"/>
    <x v="2061"/>
    <n v="9287"/>
    <n v="76"/>
    <s v="Regular Day"/>
    <x v="1"/>
  </r>
  <r>
    <d v="2022-10-25T00:00:00"/>
    <n v="20894"/>
    <x v="2087"/>
    <x v="2062"/>
    <n v="10489"/>
    <n v="93"/>
    <s v="Regular Day"/>
    <x v="1"/>
  </r>
  <r>
    <d v="2022-10-26T00:00:00"/>
    <n v="19227"/>
    <x v="2088"/>
    <x v="2063"/>
    <n v="9923"/>
    <n v="82"/>
    <s v="Regular Day"/>
    <x v="1"/>
  </r>
  <r>
    <d v="2022-10-27T00:00:00"/>
    <n v="19672"/>
    <x v="2089"/>
    <x v="2064"/>
    <n v="9312"/>
    <n v="72"/>
    <s v="Regular Day"/>
    <x v="1"/>
  </r>
  <r>
    <d v="2022-10-28T00:00:00"/>
    <n v="16749"/>
    <x v="714"/>
    <x v="2065"/>
    <n v="8640"/>
    <n v="68"/>
    <s v="Regular Day"/>
    <x v="1"/>
  </r>
  <r>
    <d v="2022-10-29T00:00:00"/>
    <n v="13558"/>
    <x v="2090"/>
    <x v="2066"/>
    <n v="7050"/>
    <n v="66"/>
    <s v="Regular Day"/>
    <x v="1"/>
  </r>
  <r>
    <d v="2022-10-30T00:00:00"/>
    <n v="13081"/>
    <x v="2091"/>
    <x v="2067"/>
    <n v="6802"/>
    <n v="72"/>
    <s v="Regular Day"/>
    <x v="1"/>
  </r>
  <r>
    <d v="2022-10-31T00:00:00"/>
    <n v="13678"/>
    <x v="2092"/>
    <x v="2068"/>
    <n v="7168"/>
    <n v="73"/>
    <s v="Regular Day"/>
    <x v="1"/>
  </r>
  <r>
    <d v="2022-11-01T00:00:00"/>
    <n v="18129"/>
    <x v="1546"/>
    <x v="2069"/>
    <n v="9636"/>
    <n v="81"/>
    <s v="Regular Day"/>
    <x v="1"/>
  </r>
  <r>
    <d v="2022-11-02T00:00:00"/>
    <n v="19340"/>
    <x v="2093"/>
    <x v="2070"/>
    <n v="10249"/>
    <n v="80"/>
    <s v="Regular Day"/>
    <x v="1"/>
  </r>
  <r>
    <d v="2022-11-03T00:00:00"/>
    <n v="17165"/>
    <x v="2094"/>
    <x v="2071"/>
    <n v="8977"/>
    <n v="79"/>
    <s v="Regular Day"/>
    <x v="1"/>
  </r>
  <r>
    <d v="2022-11-04T00:00:00"/>
    <n v="21757"/>
    <x v="2095"/>
    <x v="2072"/>
    <n v="10309"/>
    <n v="66"/>
    <s v="Regular Day"/>
    <x v="1"/>
  </r>
  <r>
    <d v="2022-11-05T00:00:00"/>
    <n v="20072"/>
    <x v="2096"/>
    <x v="2073"/>
    <n v="10687"/>
    <n v="64"/>
    <s v="Regular Day"/>
    <x v="1"/>
  </r>
  <r>
    <d v="2022-11-06T00:00:00"/>
    <n v="16032"/>
    <x v="2097"/>
    <x v="2074"/>
    <n v="8249"/>
    <n v="70"/>
    <s v="Regular Day"/>
    <x v="1"/>
  </r>
  <r>
    <d v="2022-11-07T00:00:00"/>
    <n v="16675"/>
    <x v="2098"/>
    <x v="2075"/>
    <n v="8846"/>
    <n v="72"/>
    <s v="Regular Day"/>
    <x v="1"/>
  </r>
  <r>
    <d v="2022-11-08T00:00:00"/>
    <n v="17985"/>
    <x v="2099"/>
    <x v="2076"/>
    <n v="9280"/>
    <n v="75"/>
    <s v="Regular Day"/>
    <x v="1"/>
  </r>
  <r>
    <d v="2022-11-09T00:00:00"/>
    <n v="19475"/>
    <x v="2100"/>
    <x v="2077"/>
    <n v="9733"/>
    <n v="78"/>
    <s v="Regular Day"/>
    <x v="1"/>
  </r>
  <r>
    <d v="2022-11-10T00:00:00"/>
    <n v="21297"/>
    <x v="2101"/>
    <x v="2078"/>
    <n v="11889"/>
    <n v="65"/>
    <s v="Regular Day"/>
    <x v="1"/>
  </r>
  <r>
    <d v="2022-11-11T00:00:00"/>
    <n v="18887"/>
    <x v="1549"/>
    <x v="2079"/>
    <n v="10244"/>
    <n v="69"/>
    <s v="Regular Day"/>
    <x v="1"/>
  </r>
  <r>
    <d v="2022-11-12T00:00:00"/>
    <n v="17205"/>
    <x v="2102"/>
    <x v="2080"/>
    <n v="8139"/>
    <n v="67"/>
    <s v="Regular Day"/>
    <x v="1"/>
  </r>
  <r>
    <d v="2022-11-13T00:00:00"/>
    <n v="18219"/>
    <x v="2103"/>
    <x v="2081"/>
    <n v="9056"/>
    <n v="71"/>
    <s v="Regular Day"/>
    <x v="1"/>
  </r>
  <r>
    <d v="2022-11-14T00:00:00"/>
    <n v="31150"/>
    <x v="2104"/>
    <x v="2082"/>
    <n v="17593"/>
    <n v="69"/>
    <s v="Regular Day"/>
    <x v="1"/>
  </r>
  <r>
    <d v="2022-11-15T00:00:00"/>
    <n v="700437"/>
    <x v="2105"/>
    <x v="2083"/>
    <n v="321411"/>
    <n v="94"/>
    <s v="Grammy Awards"/>
    <x v="1"/>
  </r>
  <r>
    <d v="2022-11-16T00:00:00"/>
    <n v="306464"/>
    <x v="2106"/>
    <x v="2084"/>
    <n v="141632"/>
    <n v="79"/>
    <s v="Regular Day"/>
    <x v="1"/>
  </r>
  <r>
    <d v="2022-11-17T00:00:00"/>
    <n v="187301"/>
    <x v="2107"/>
    <x v="2085"/>
    <n v="92789"/>
    <n v="72"/>
    <s v="Regular Day"/>
    <x v="1"/>
  </r>
  <r>
    <d v="2022-11-18T00:00:00"/>
    <n v="147950"/>
    <x v="2108"/>
    <x v="2086"/>
    <n v="82926"/>
    <n v="60"/>
    <s v="Regular Day"/>
    <x v="1"/>
  </r>
  <r>
    <d v="2022-11-19T00:00:00"/>
    <n v="82284"/>
    <x v="2109"/>
    <x v="2087"/>
    <n v="35199"/>
    <n v="76"/>
    <s v="Regular Day"/>
    <x v="1"/>
  </r>
  <r>
    <d v="2022-11-20T00:00:00"/>
    <n v="68258"/>
    <x v="2110"/>
    <x v="2088"/>
    <n v="29622"/>
    <n v="78"/>
    <s v="Regular Day"/>
    <x v="1"/>
  </r>
  <r>
    <d v="2022-11-21T00:00:00"/>
    <n v="56746"/>
    <x v="2111"/>
    <x v="2089"/>
    <n v="25717"/>
    <n v="77"/>
    <s v="Regular Day"/>
    <x v="1"/>
  </r>
  <r>
    <d v="2022-11-22T00:00:00"/>
    <n v="40264"/>
    <x v="2112"/>
    <x v="2090"/>
    <n v="18575"/>
    <n v="79"/>
    <s v="Regular Day"/>
    <x v="1"/>
  </r>
  <r>
    <d v="2022-11-23T00:00:00"/>
    <n v="31859"/>
    <x v="2113"/>
    <x v="2091"/>
    <n v="14398"/>
    <n v="78"/>
    <s v="Regular Day"/>
    <x v="1"/>
  </r>
  <r>
    <d v="2022-11-24T00:00:00"/>
    <n v="27771"/>
    <x v="2114"/>
    <x v="2092"/>
    <n v="12383"/>
    <n v="72"/>
    <s v="Regular Day"/>
    <x v="1"/>
  </r>
  <r>
    <d v="2022-11-25T00:00:00"/>
    <n v="24089"/>
    <x v="2115"/>
    <x v="2093"/>
    <n v="11235"/>
    <n v="75"/>
    <s v="Regular Day"/>
    <x v="1"/>
  </r>
  <r>
    <d v="2022-11-26T00:00:00"/>
    <n v="23458"/>
    <x v="2116"/>
    <x v="2094"/>
    <n v="10609"/>
    <n v="79"/>
    <s v="Regular Day"/>
    <x v="1"/>
  </r>
  <r>
    <d v="2022-11-27T00:00:00"/>
    <n v="23161"/>
    <x v="2117"/>
    <x v="2095"/>
    <n v="10848"/>
    <n v="79"/>
    <s v="Regular Day"/>
    <x v="1"/>
  </r>
  <r>
    <d v="2022-11-28T00:00:00"/>
    <n v="22893"/>
    <x v="2118"/>
    <x v="2096"/>
    <n v="11192"/>
    <n v="80"/>
    <s v="Regular Day"/>
    <x v="1"/>
  </r>
  <r>
    <d v="2022-11-29T00:00:00"/>
    <n v="21623"/>
    <x v="2119"/>
    <x v="2097"/>
    <n v="10808"/>
    <n v="81"/>
    <s v="Regular Day"/>
    <x v="1"/>
  </r>
  <r>
    <d v="2022-11-30T00:00:00"/>
    <n v="24260"/>
    <x v="2120"/>
    <x v="2098"/>
    <n v="11398"/>
    <n v="75"/>
    <s v="Regular Day"/>
    <x v="1"/>
  </r>
  <r>
    <d v="2022-12-01T00:00:00"/>
    <n v="22518"/>
    <x v="2121"/>
    <x v="2099"/>
    <n v="10816"/>
    <n v="76"/>
    <s v="Regular Day"/>
    <x v="1"/>
  </r>
  <r>
    <d v="2022-12-02T00:00:00"/>
    <n v="23940"/>
    <x v="2122"/>
    <x v="2100"/>
    <n v="11739"/>
    <n v="84"/>
    <s v="Regular Day"/>
    <x v="1"/>
  </r>
  <r>
    <d v="2022-12-03T00:00:00"/>
    <n v="21070"/>
    <x v="2123"/>
    <x v="2101"/>
    <n v="9933"/>
    <n v="78"/>
    <s v="Regular Day"/>
    <x v="1"/>
  </r>
  <r>
    <d v="2022-12-04T00:00:00"/>
    <n v="21313"/>
    <x v="2124"/>
    <x v="2102"/>
    <n v="11183"/>
    <n v="68"/>
    <s v="Regular Day"/>
    <x v="1"/>
  </r>
  <r>
    <d v="2022-12-05T00:00:00"/>
    <n v="23651"/>
    <x v="2125"/>
    <x v="2103"/>
    <n v="13765"/>
    <n v="68"/>
    <s v="Regular Day"/>
    <x v="1"/>
  </r>
  <r>
    <d v="2022-12-06T00:00:00"/>
    <n v="22911"/>
    <x v="2126"/>
    <x v="2104"/>
    <n v="12776"/>
    <n v="66"/>
    <s v="Regular Day"/>
    <x v="1"/>
  </r>
  <r>
    <d v="2022-12-07T00:00:00"/>
    <n v="21158"/>
    <x v="2127"/>
    <x v="2105"/>
    <n v="9579"/>
    <n v="72"/>
    <s v="Regular Day"/>
    <x v="1"/>
  </r>
  <r>
    <d v="2022-12-08T00:00:00"/>
    <n v="21222"/>
    <x v="2128"/>
    <x v="2106"/>
    <n v="8760"/>
    <n v="72"/>
    <s v="Regular Day"/>
    <x v="1"/>
  </r>
  <r>
    <d v="2022-12-09T00:00:00"/>
    <n v="19116"/>
    <x v="2129"/>
    <x v="2107"/>
    <n v="8956"/>
    <n v="72"/>
    <s v="Regular Day"/>
    <x v="1"/>
  </r>
  <r>
    <d v="2022-12-10T00:00:00"/>
    <n v="18114"/>
    <x v="2130"/>
    <x v="2108"/>
    <n v="8703"/>
    <n v="79"/>
    <s v="Regular Day"/>
    <x v="1"/>
  </r>
  <r>
    <d v="2022-12-11T00:00:00"/>
    <n v="17517"/>
    <x v="2131"/>
    <x v="2109"/>
    <n v="8802"/>
    <n v="73"/>
    <s v="Regular Day"/>
    <x v="1"/>
  </r>
  <r>
    <d v="2022-12-12T00:00:00"/>
    <n v="19425"/>
    <x v="2132"/>
    <x v="2110"/>
    <n v="9972"/>
    <n v="76"/>
    <s v="Regular Day"/>
    <x v="1"/>
  </r>
  <r>
    <d v="2022-12-13T00:00:00"/>
    <n v="19116"/>
    <x v="2133"/>
    <x v="2111"/>
    <n v="9507"/>
    <n v="78"/>
    <s v="Regular Day"/>
    <x v="1"/>
  </r>
  <r>
    <d v="2022-12-14T00:00:00"/>
    <n v="20520"/>
    <x v="2134"/>
    <x v="2112"/>
    <n v="11664"/>
    <n v="71"/>
    <s v="Regular Day"/>
    <x v="1"/>
  </r>
  <r>
    <d v="2022-12-15T00:00:00"/>
    <n v="19881"/>
    <x v="2135"/>
    <x v="1583"/>
    <n v="10315"/>
    <n v="73"/>
    <s v="Regular Day"/>
    <x v="1"/>
  </r>
  <r>
    <d v="2022-12-16T00:00:00"/>
    <n v="18308"/>
    <x v="2136"/>
    <x v="1639"/>
    <n v="9150"/>
    <n v="76"/>
    <s v="Regular Day"/>
    <x v="1"/>
  </r>
  <r>
    <d v="2022-12-17T00:00:00"/>
    <n v="16285"/>
    <x v="2137"/>
    <x v="2113"/>
    <n v="7877"/>
    <n v="72"/>
    <s v="Regular Day"/>
    <x v="1"/>
  </r>
  <r>
    <d v="2022-12-18T00:00:00"/>
    <n v="16882"/>
    <x v="2138"/>
    <x v="2114"/>
    <n v="8280"/>
    <n v="76"/>
    <s v="Regular Day"/>
    <x v="1"/>
  </r>
  <r>
    <d v="2022-12-19T00:00:00"/>
    <n v="16884"/>
    <x v="2139"/>
    <x v="2115"/>
    <n v="8216"/>
    <n v="79"/>
    <s v="Regular Day"/>
    <x v="1"/>
  </r>
  <r>
    <d v="2022-12-20T00:00:00"/>
    <n v="17975"/>
    <x v="2140"/>
    <x v="2116"/>
    <n v="8889"/>
    <n v="77"/>
    <s v="Regular Day"/>
    <x v="1"/>
  </r>
  <r>
    <d v="2022-12-21T00:00:00"/>
    <n v="34234"/>
    <x v="2141"/>
    <x v="2117"/>
    <n v="14409"/>
    <n v="100"/>
    <s v="Regular Day"/>
    <x v="1"/>
  </r>
  <r>
    <d v="2022-12-22T00:00:00"/>
    <n v="26118"/>
    <x v="2142"/>
    <x v="2118"/>
    <n v="12236"/>
    <n v="83"/>
    <s v="Regular Day"/>
    <x v="1"/>
  </r>
  <r>
    <d v="2022-12-23T00:00:00"/>
    <n v="20065"/>
    <x v="2143"/>
    <x v="289"/>
    <n v="10788"/>
    <n v="71"/>
    <s v="Regular Day"/>
    <x v="1"/>
  </r>
  <r>
    <d v="2022-12-24T00:00:00"/>
    <n v="16347"/>
    <x v="717"/>
    <x v="2119"/>
    <n v="8104"/>
    <n v="71"/>
    <s v="Regular Day"/>
    <x v="1"/>
  </r>
  <r>
    <d v="2022-12-25T00:00:00"/>
    <n v="15042"/>
    <x v="2144"/>
    <x v="2120"/>
    <n v="7371"/>
    <n v="73"/>
    <s v="Regular Day"/>
    <x v="1"/>
  </r>
  <r>
    <d v="2022-12-26T00:00:00"/>
    <n v="16458"/>
    <x v="2145"/>
    <x v="2121"/>
    <n v="7893"/>
    <n v="78"/>
    <s v="Regular Day"/>
    <x v="1"/>
  </r>
  <r>
    <d v="2022-12-27T00:00:00"/>
    <n v="16794"/>
    <x v="2146"/>
    <x v="2122"/>
    <n v="7997"/>
    <n v="81"/>
    <s v="Regular Day"/>
    <x v="1"/>
  </r>
  <r>
    <d v="2022-12-28T00:00:00"/>
    <n v="21087"/>
    <x v="2147"/>
    <x v="2123"/>
    <n v="10270"/>
    <n v="76"/>
    <s v="Regular Day"/>
    <x v="1"/>
  </r>
  <r>
    <d v="2022-12-29T00:00:00"/>
    <n v="19914"/>
    <x v="2148"/>
    <x v="2124"/>
    <n v="9872"/>
    <n v="74"/>
    <s v="Regular Day"/>
    <x v="1"/>
  </r>
  <r>
    <d v="2022-12-30T00:00:00"/>
    <n v="19732"/>
    <x v="2149"/>
    <x v="2125"/>
    <n v="9207"/>
    <n v="76"/>
    <s v="Regular Day"/>
    <x v="1"/>
  </r>
  <r>
    <d v="2022-12-31T00:00:00"/>
    <n v="27350"/>
    <x v="2150"/>
    <x v="2126"/>
    <n v="11796"/>
    <n v="64"/>
    <s v="Regular Day"/>
    <x v="1"/>
  </r>
  <r>
    <d v="2023-01-01T00:00:00"/>
    <n v="23236"/>
    <x v="2151"/>
    <x v="2127"/>
    <n v="11066"/>
    <n v="75"/>
    <s v="Regular Day"/>
    <x v="1"/>
  </r>
  <r>
    <d v="2023-01-02T00:00:00"/>
    <n v="21469"/>
    <x v="2152"/>
    <x v="2128"/>
    <n v="10036"/>
    <n v="81"/>
    <s v="Regular Day"/>
    <x v="1"/>
  </r>
  <r>
    <d v="2023-01-03T00:00:00"/>
    <n v="23516"/>
    <x v="2153"/>
    <x v="2129"/>
    <n v="10803"/>
    <n v="78"/>
    <s v="Regular Day"/>
    <x v="1"/>
  </r>
  <r>
    <d v="2023-01-04T00:00:00"/>
    <n v="26984"/>
    <x v="2154"/>
    <x v="2130"/>
    <n v="12314"/>
    <n v="82"/>
    <s v="Regular Day"/>
    <x v="1"/>
  </r>
  <r>
    <d v="2023-01-05T00:00:00"/>
    <n v="34723"/>
    <x v="2155"/>
    <x v="2131"/>
    <n v="17042"/>
    <n v="72"/>
    <s v="Regular Day"/>
    <x v="1"/>
  </r>
  <r>
    <d v="2023-01-06T00:00:00"/>
    <n v="25792"/>
    <x v="2156"/>
    <x v="2132"/>
    <n v="13265"/>
    <n v="78"/>
    <s v="Regular Day"/>
    <x v="1"/>
  </r>
  <r>
    <d v="2023-01-07T00:00:00"/>
    <n v="22199"/>
    <x v="2157"/>
    <x v="2133"/>
    <n v="10777"/>
    <n v="72"/>
    <s v="Regular Day"/>
    <x v="1"/>
  </r>
  <r>
    <d v="2023-01-08T00:00:00"/>
    <n v="24901"/>
    <x v="2158"/>
    <x v="2134"/>
    <n v="11672"/>
    <n v="80"/>
    <s v="Regular Day"/>
    <x v="1"/>
  </r>
  <r>
    <d v="2023-01-09T00:00:00"/>
    <n v="24156"/>
    <x v="2159"/>
    <x v="2135"/>
    <n v="11869"/>
    <n v="81"/>
    <s v="Regular Day"/>
    <x v="1"/>
  </r>
  <r>
    <d v="2023-01-10T00:00:00"/>
    <n v="29935"/>
    <x v="2160"/>
    <x v="2136"/>
    <n v="13913"/>
    <n v="82"/>
    <s v="Regular Day"/>
    <x v="1"/>
  </r>
  <r>
    <d v="2023-01-11T00:00:00"/>
    <n v="32371"/>
    <x v="2161"/>
    <x v="2137"/>
    <n v="15303"/>
    <n v="83"/>
    <s v="Regular Day"/>
    <x v="1"/>
  </r>
  <r>
    <d v="2023-01-12T00:00:00"/>
    <n v="29192"/>
    <x v="2162"/>
    <x v="2138"/>
    <n v="13976"/>
    <n v="87"/>
    <s v="Regular Day"/>
    <x v="1"/>
  </r>
  <r>
    <d v="2023-01-13T00:00:00"/>
    <n v="26645"/>
    <x v="2163"/>
    <x v="2139"/>
    <n v="13299"/>
    <n v="81"/>
    <s v="Regular Day"/>
    <x v="1"/>
  </r>
  <r>
    <d v="2023-01-14T00:00:00"/>
    <n v="24105"/>
    <x v="2164"/>
    <x v="2140"/>
    <n v="11395"/>
    <n v="76"/>
    <s v="Regular Day"/>
    <x v="1"/>
  </r>
  <r>
    <d v="2023-01-15T00:00:00"/>
    <n v="26010"/>
    <x v="2165"/>
    <x v="2141"/>
    <n v="11787"/>
    <n v="81"/>
    <s v="Regular Day"/>
    <x v="1"/>
  </r>
  <r>
    <d v="2023-01-16T00:00:00"/>
    <n v="23335"/>
    <x v="2166"/>
    <x v="2142"/>
    <n v="10420"/>
    <n v="87"/>
    <s v="Regular Day"/>
    <x v="1"/>
  </r>
  <r>
    <d v="2023-01-17T00:00:00"/>
    <n v="23291"/>
    <x v="2167"/>
    <x v="2143"/>
    <n v="5587"/>
    <n v="113"/>
    <s v="Regular Day"/>
    <x v="1"/>
  </r>
  <r>
    <d v="2023-01-18T00:00:00"/>
    <n v="25933"/>
    <x v="2168"/>
    <x v="2144"/>
    <n v="4602"/>
    <n v="137"/>
    <s v="Regular Day"/>
    <x v="1"/>
  </r>
  <r>
    <d v="2023-01-19T00:00:00"/>
    <n v="27785"/>
    <x v="2169"/>
    <x v="2145"/>
    <n v="4105"/>
    <n v="117"/>
    <s v="Regular Day"/>
    <x v="1"/>
  </r>
  <r>
    <d v="2023-01-20T00:00:00"/>
    <n v="26096"/>
    <x v="2170"/>
    <x v="2146"/>
    <n v="5146"/>
    <n v="103"/>
    <s v="Regular Day"/>
    <x v="1"/>
  </r>
  <r>
    <d v="2023-01-21T00:00:00"/>
    <n v="24615"/>
    <x v="2171"/>
    <x v="2147"/>
    <n v="6531"/>
    <n v="84"/>
    <s v="Regular Day"/>
    <x v="1"/>
  </r>
  <r>
    <d v="2023-01-22T00:00:00"/>
    <n v="39303"/>
    <x v="2172"/>
    <x v="2148"/>
    <n v="10022"/>
    <n v="84"/>
    <s v="Regular Day"/>
    <x v="1"/>
  </r>
  <r>
    <d v="2023-01-23T00:00:00"/>
    <n v="31024"/>
    <x v="2173"/>
    <x v="2149"/>
    <n v="8420"/>
    <n v="90"/>
    <s v="Regular Day"/>
    <x v="1"/>
  </r>
  <r>
    <d v="2023-01-24T00:00:00"/>
    <n v="43446"/>
    <x v="2174"/>
    <x v="2150"/>
    <n v="11770"/>
    <n v="90"/>
    <s v="Regular Day"/>
    <x v="1"/>
  </r>
  <r>
    <d v="2023-01-25T00:00:00"/>
    <n v="52127"/>
    <x v="2175"/>
    <x v="2151"/>
    <n v="11842"/>
    <n v="118"/>
    <s v="Regular Day"/>
    <x v="1"/>
  </r>
  <r>
    <d v="2023-01-26T00:00:00"/>
    <n v="48124"/>
    <x v="2176"/>
    <x v="2152"/>
    <n v="16956"/>
    <n v="101"/>
    <s v="Regular Day"/>
    <x v="1"/>
  </r>
  <r>
    <d v="2023-01-27T00:00:00"/>
    <n v="45990"/>
    <x v="2177"/>
    <x v="2153"/>
    <n v="21176"/>
    <n v="90"/>
    <s v="Regular Day"/>
    <x v="1"/>
  </r>
  <r>
    <d v="2023-01-28T00:00:00"/>
    <n v="42476"/>
    <x v="2178"/>
    <x v="2154"/>
    <n v="17463"/>
    <n v="85"/>
    <s v="Regular Day"/>
    <x v="1"/>
  </r>
  <r>
    <d v="2023-01-29T00:00:00"/>
    <n v="75403"/>
    <x v="2179"/>
    <x v="2155"/>
    <n v="22754"/>
    <n v="86"/>
    <s v="Regular Day"/>
    <x v="1"/>
  </r>
  <r>
    <d v="2023-01-30T00:00:00"/>
    <n v="65228"/>
    <x v="2180"/>
    <x v="2156"/>
    <n v="22932"/>
    <n v="90"/>
    <s v="Regular Day"/>
    <x v="1"/>
  </r>
  <r>
    <d v="2023-01-31T00:00:00"/>
    <n v="64084"/>
    <x v="2181"/>
    <x v="2157"/>
    <n v="26722"/>
    <n v="96"/>
    <s v="Regular Day"/>
    <x v="1"/>
  </r>
  <r>
    <d v="2023-02-01T00:00:00"/>
    <n v="77233"/>
    <x v="2182"/>
    <x v="2158"/>
    <n v="32382"/>
    <n v="95"/>
    <s v="Regular Day"/>
    <x v="1"/>
  </r>
  <r>
    <d v="2023-02-02T00:00:00"/>
    <n v="88913"/>
    <x v="2183"/>
    <x v="2159"/>
    <n v="37708"/>
    <n v="92"/>
    <s v="Regular Day"/>
    <x v="1"/>
  </r>
  <r>
    <d v="2023-02-03T00:00:00"/>
    <n v="123104"/>
    <x v="2184"/>
    <x v="2160"/>
    <n v="46639"/>
    <n v="92"/>
    <s v="Regular Day"/>
    <x v="1"/>
  </r>
  <r>
    <d v="2023-02-04T00:00:00"/>
    <n v="198665"/>
    <x v="2185"/>
    <x v="2161"/>
    <n v="68090"/>
    <n v="94"/>
    <s v="Regular Day"/>
    <x v="1"/>
  </r>
  <r>
    <d v="2023-02-05T00:00:00"/>
    <n v="2824595"/>
    <x v="2186"/>
    <x v="2162"/>
    <n v="841244"/>
    <n v="284"/>
    <s v="Grammy Awards"/>
    <x v="1"/>
  </r>
  <r>
    <d v="2023-02-06T00:00:00"/>
    <n v="1441282"/>
    <x v="2187"/>
    <x v="2163"/>
    <n v="548615"/>
    <n v="97"/>
    <s v="Regular Day"/>
    <x v="1"/>
  </r>
  <r>
    <d v="2023-02-07T00:00:00"/>
    <n v="367787"/>
    <x v="2188"/>
    <x v="2164"/>
    <n v="144120"/>
    <n v="107"/>
    <s v="Regular Day"/>
    <x v="1"/>
  </r>
  <r>
    <d v="2023-02-08T00:00:00"/>
    <n v="209378"/>
    <x v="2189"/>
    <x v="2165"/>
    <n v="72222"/>
    <n v="110"/>
    <s v="Regular Day"/>
    <x v="1"/>
  </r>
  <r>
    <d v="2023-02-09T00:00:00"/>
    <n v="151241"/>
    <x v="2190"/>
    <x v="2166"/>
    <n v="51737"/>
    <n v="102"/>
    <s v="Regular Day"/>
    <x v="1"/>
  </r>
  <r>
    <d v="2023-02-10T00:00:00"/>
    <n v="122553"/>
    <x v="2191"/>
    <x v="2167"/>
    <n v="43140"/>
    <n v="108"/>
    <s v="Regular Day"/>
    <x v="1"/>
  </r>
  <r>
    <d v="2023-02-11T00:00:00"/>
    <n v="122153"/>
    <x v="2192"/>
    <x v="2168"/>
    <n v="38302"/>
    <n v="109"/>
    <s v="Regular Day"/>
    <x v="1"/>
  </r>
  <r>
    <d v="2023-02-12T00:00:00"/>
    <n v="126021"/>
    <x v="2193"/>
    <x v="2169"/>
    <n v="34682"/>
    <n v="111"/>
    <s v="Regular Day"/>
    <x v="1"/>
  </r>
  <r>
    <d v="2023-02-13T00:00:00"/>
    <n v="81844"/>
    <x v="2194"/>
    <x v="2170"/>
    <n v="24139"/>
    <n v="111"/>
    <s v="Regular Day"/>
    <x v="1"/>
  </r>
  <r>
    <d v="2023-02-14T00:00:00"/>
    <n v="55874"/>
    <x v="2195"/>
    <x v="2171"/>
    <n v="19415"/>
    <n v="102"/>
    <s v="Regular Day"/>
    <x v="1"/>
  </r>
  <r>
    <d v="2023-02-15T00:00:00"/>
    <n v="48658"/>
    <x v="2196"/>
    <x v="2172"/>
    <n v="18492"/>
    <n v="101"/>
    <s v="Regular Day"/>
    <x v="1"/>
  </r>
  <r>
    <d v="2023-02-16T00:00:00"/>
    <n v="43914"/>
    <x v="2197"/>
    <x v="2173"/>
    <n v="17863"/>
    <n v="97"/>
    <s v="Regular Day"/>
    <x v="1"/>
  </r>
  <r>
    <d v="2023-02-17T00:00:00"/>
    <n v="42247"/>
    <x v="2198"/>
    <x v="2174"/>
    <n v="16931"/>
    <n v="99"/>
    <s v="Regular Day"/>
    <x v="1"/>
  </r>
  <r>
    <d v="2023-02-18T00:00:00"/>
    <n v="37337"/>
    <x v="2199"/>
    <x v="2175"/>
    <n v="14611"/>
    <n v="95"/>
    <s v="Regular Day"/>
    <x v="1"/>
  </r>
  <r>
    <d v="2023-02-19T00:00:00"/>
    <n v="34338"/>
    <x v="2200"/>
    <x v="2176"/>
    <n v="14118"/>
    <n v="92"/>
    <s v="Regular Day"/>
    <x v="1"/>
  </r>
  <r>
    <d v="2023-02-20T00:00:00"/>
    <n v="29949"/>
    <x v="2201"/>
    <x v="2177"/>
    <n v="12966"/>
    <n v="87"/>
    <s v="Regular Day"/>
    <x v="1"/>
  </r>
  <r>
    <d v="2023-02-21T00:00:00"/>
    <n v="27896"/>
    <x v="2202"/>
    <x v="2178"/>
    <n v="12726"/>
    <n v="90"/>
    <s v="Regular Day"/>
    <x v="1"/>
  </r>
  <r>
    <d v="2023-02-22T00:00:00"/>
    <n v="26660"/>
    <x v="2203"/>
    <x v="2179"/>
    <n v="13005"/>
    <n v="91"/>
    <s v="Regular Day"/>
    <x v="1"/>
  </r>
  <r>
    <d v="2023-02-23T00:00:00"/>
    <n v="26618"/>
    <x v="2204"/>
    <x v="2180"/>
    <n v="13164"/>
    <n v="88"/>
    <s v="Regular Day"/>
    <x v="1"/>
  </r>
  <r>
    <d v="2023-02-24T00:00:00"/>
    <n v="27396"/>
    <x v="2205"/>
    <x v="2181"/>
    <n v="13648"/>
    <n v="84"/>
    <s v="Regular Day"/>
    <x v="1"/>
  </r>
  <r>
    <d v="2023-02-25T00:00:00"/>
    <n v="24847"/>
    <x v="2206"/>
    <x v="2182"/>
    <n v="12357"/>
    <n v="83"/>
    <s v="Regular Day"/>
    <x v="1"/>
  </r>
  <r>
    <d v="2023-02-26T00:00:00"/>
    <n v="21871"/>
    <x v="2207"/>
    <x v="2183"/>
    <n v="11242"/>
    <n v="87"/>
    <s v="Regular Day"/>
    <x v="1"/>
  </r>
  <r>
    <d v="2023-02-27T00:00:00"/>
    <n v="21367"/>
    <x v="2208"/>
    <x v="2184"/>
    <n v="11280"/>
    <n v="77"/>
    <s v="Regular Day"/>
    <x v="1"/>
  </r>
  <r>
    <d v="2023-02-28T00:00:00"/>
    <n v="20536"/>
    <x v="2209"/>
    <x v="2185"/>
    <n v="10818"/>
    <n v="76"/>
    <s v="Regular Day"/>
    <x v="1"/>
  </r>
  <r>
    <d v="2023-03-01T00:00:00"/>
    <n v="20487"/>
    <x v="2210"/>
    <x v="2186"/>
    <n v="10762"/>
    <n v="80"/>
    <s v="Regular Day"/>
    <x v="1"/>
  </r>
  <r>
    <d v="2023-03-02T00:00:00"/>
    <n v="20803"/>
    <x v="2211"/>
    <x v="2187"/>
    <n v="11046"/>
    <n v="80"/>
    <s v="Regular Day"/>
    <x v="1"/>
  </r>
  <r>
    <d v="2023-03-03T00:00:00"/>
    <n v="19518"/>
    <x v="2212"/>
    <x v="2188"/>
    <n v="10280"/>
    <n v="76"/>
    <s v="Regular Day"/>
    <x v="1"/>
  </r>
  <r>
    <d v="2023-03-04T00:00:00"/>
    <n v="18295"/>
    <x v="2213"/>
    <x v="2189"/>
    <n v="9306"/>
    <n v="79"/>
    <s v="Regular Day"/>
    <x v="1"/>
  </r>
  <r>
    <d v="2023-03-05T00:00:00"/>
    <n v="18840"/>
    <x v="2214"/>
    <x v="2190"/>
    <n v="9774"/>
    <n v="78"/>
    <s v="Regular Day"/>
    <x v="1"/>
  </r>
  <r>
    <d v="2023-03-06T00:00:00"/>
    <n v="18650"/>
    <x v="2215"/>
    <x v="2191"/>
    <n v="9891"/>
    <n v="82"/>
    <s v="Regular Day"/>
    <x v="1"/>
  </r>
  <r>
    <d v="2023-03-07T00:00:00"/>
    <n v="18921"/>
    <x v="2216"/>
    <x v="2192"/>
    <n v="10347"/>
    <n v="81"/>
    <s v="Regular Day"/>
    <x v="1"/>
  </r>
  <r>
    <d v="2023-03-08T00:00:00"/>
    <n v="18656"/>
    <x v="2217"/>
    <x v="2193"/>
    <n v="10348"/>
    <n v="84"/>
    <s v="Regular Day"/>
    <x v="1"/>
  </r>
  <r>
    <d v="2023-03-09T00:00:00"/>
    <n v="17114"/>
    <x v="2218"/>
    <x v="2194"/>
    <n v="9461"/>
    <n v="81"/>
    <s v="Regular Day"/>
    <x v="1"/>
  </r>
  <r>
    <d v="2023-03-10T00:00:00"/>
    <n v="19174"/>
    <x v="2219"/>
    <x v="2195"/>
    <n v="10578"/>
    <n v="73"/>
    <s v="Regular Day"/>
    <x v="1"/>
  </r>
  <r>
    <d v="2023-03-11T00:00:00"/>
    <n v="18801"/>
    <x v="2220"/>
    <x v="2196"/>
    <n v="10087"/>
    <n v="68"/>
    <s v="Regular Day"/>
    <x v="1"/>
  </r>
  <r>
    <d v="2023-03-12T00:00:00"/>
    <n v="37150"/>
    <x v="2221"/>
    <x v="2197"/>
    <n v="17828"/>
    <n v="65"/>
    <s v="Regular Day"/>
    <x v="1"/>
  </r>
  <r>
    <d v="2023-03-13T00:00:00"/>
    <n v="36086"/>
    <x v="2222"/>
    <x v="2198"/>
    <n v="17197"/>
    <n v="64"/>
    <s v="Regular Day"/>
    <x v="1"/>
  </r>
  <r>
    <d v="2023-03-14T00:00:00"/>
    <n v="21167"/>
    <x v="2223"/>
    <x v="2199"/>
    <n v="11330"/>
    <n v="73"/>
    <s v="Regular Day"/>
    <x v="1"/>
  </r>
  <r>
    <d v="2023-03-15T00:00:00"/>
    <n v="18476"/>
    <x v="2224"/>
    <x v="1320"/>
    <n v="9967"/>
    <n v="77"/>
    <s v="Regular Day"/>
    <x v="1"/>
  </r>
  <r>
    <d v="2023-03-16T00:00:00"/>
    <n v="18763"/>
    <x v="2225"/>
    <x v="2200"/>
    <n v="10334"/>
    <n v="76"/>
    <s v="Regular Day"/>
    <x v="1"/>
  </r>
  <r>
    <d v="2023-03-17T00:00:00"/>
    <n v="18023"/>
    <x v="2226"/>
    <x v="2201"/>
    <n v="9672"/>
    <n v="72"/>
    <s v="Regular Day"/>
    <x v="1"/>
  </r>
  <r>
    <d v="2023-03-18T00:00:00"/>
    <n v="27380"/>
    <x v="2227"/>
    <x v="2202"/>
    <n v="14817"/>
    <n v="76"/>
    <s v="Regular Day"/>
    <x v="1"/>
  </r>
  <r>
    <d v="2023-03-19T00:00:00"/>
    <n v="20211"/>
    <x v="2228"/>
    <x v="358"/>
    <n v="10363"/>
    <n v="68"/>
    <s v="Regular Day"/>
    <x v="1"/>
  </r>
  <r>
    <d v="2023-03-20T00:00:00"/>
    <n v="18764"/>
    <x v="2229"/>
    <x v="2203"/>
    <n v="10724"/>
    <n v="72"/>
    <s v="Regular Day"/>
    <x v="1"/>
  </r>
  <r>
    <d v="2023-03-21T00:00:00"/>
    <n v="17787"/>
    <x v="2230"/>
    <x v="2204"/>
    <n v="10326"/>
    <n v="71"/>
    <s v="Regular Day"/>
    <x v="1"/>
  </r>
  <r>
    <d v="2023-03-22T00:00:00"/>
    <n v="17157"/>
    <x v="2231"/>
    <x v="2205"/>
    <n v="9942"/>
    <n v="73"/>
    <s v="Regular Day"/>
    <x v="1"/>
  </r>
  <r>
    <d v="2023-03-23T00:00:00"/>
    <n v="16723"/>
    <x v="2232"/>
    <x v="2206"/>
    <n v="9426"/>
    <n v="74"/>
    <s v="Regular Day"/>
    <x v="1"/>
  </r>
  <r>
    <d v="2023-03-24T00:00:00"/>
    <n v="20952"/>
    <x v="2233"/>
    <x v="2207"/>
    <n v="11100"/>
    <n v="80"/>
    <s v="Regular Day"/>
    <x v="1"/>
  </r>
  <r>
    <d v="2023-03-25T00:00:00"/>
    <n v="18056"/>
    <x v="2234"/>
    <x v="2208"/>
    <n v="9346"/>
    <n v="76"/>
    <s v="Regular Day"/>
    <x v="1"/>
  </r>
  <r>
    <d v="2023-03-26T00:00:00"/>
    <n v="16435"/>
    <x v="2235"/>
    <x v="2209"/>
    <n v="8923"/>
    <n v="80"/>
    <s v="Regular Day"/>
    <x v="1"/>
  </r>
  <r>
    <d v="2023-03-27T00:00:00"/>
    <n v="17009"/>
    <x v="2236"/>
    <x v="1631"/>
    <n v="9333"/>
    <n v="79"/>
    <s v="Regular Day"/>
    <x v="1"/>
  </r>
  <r>
    <d v="2023-03-28T00:00:00"/>
    <n v="16828"/>
    <x v="2237"/>
    <x v="2210"/>
    <n v="9281"/>
    <n v="77"/>
    <s v="Regular Day"/>
    <x v="1"/>
  </r>
  <r>
    <d v="2023-03-29T00:00:00"/>
    <n v="18432"/>
    <x v="2238"/>
    <x v="2211"/>
    <n v="10165"/>
    <n v="78"/>
    <s v="Regular Day"/>
    <x v="1"/>
  </r>
  <r>
    <d v="2023-03-30T00:00:00"/>
    <n v="16727"/>
    <x v="2239"/>
    <x v="2212"/>
    <n v="9561"/>
    <n v="78"/>
    <s v="Regular Day"/>
    <x v="1"/>
  </r>
  <r>
    <d v="2023-03-31T00:00:00"/>
    <n v="17114"/>
    <x v="2240"/>
    <x v="2213"/>
    <n v="9612"/>
    <n v="77"/>
    <s v="Regular Day"/>
    <x v="1"/>
  </r>
  <r>
    <d v="2023-04-01T00:00:00"/>
    <n v="14697"/>
    <x v="2241"/>
    <x v="2214"/>
    <n v="8081"/>
    <n v="75"/>
    <s v="Regular Day"/>
    <x v="1"/>
  </r>
  <r>
    <d v="2023-04-02T00:00:00"/>
    <n v="15613"/>
    <x v="2242"/>
    <x v="2215"/>
    <n v="8551"/>
    <n v="72"/>
    <s v="Regular Day"/>
    <x v="1"/>
  </r>
  <r>
    <d v="2023-04-03T00:00:00"/>
    <n v="18315"/>
    <x v="2243"/>
    <x v="2216"/>
    <n v="10043"/>
    <n v="81"/>
    <s v="Regular Day"/>
    <x v="1"/>
  </r>
  <r>
    <d v="2023-04-04T00:00:00"/>
    <n v="18358"/>
    <x v="2244"/>
    <x v="2217"/>
    <n v="10019"/>
    <n v="86"/>
    <s v="Regular Day"/>
    <x v="1"/>
  </r>
  <r>
    <d v="2023-04-05T00:00:00"/>
    <n v="16876"/>
    <x v="2245"/>
    <x v="2218"/>
    <n v="9533"/>
    <n v="82"/>
    <s v="Regular Day"/>
    <x v="1"/>
  </r>
  <r>
    <d v="2023-04-06T00:00:00"/>
    <n v="17771"/>
    <x v="2246"/>
    <x v="2219"/>
    <n v="9906"/>
    <n v="77"/>
    <s v="Regular Day"/>
    <x v="1"/>
  </r>
  <r>
    <d v="2023-04-07T00:00:00"/>
    <n v="15930"/>
    <x v="2247"/>
    <x v="2220"/>
    <n v="9019"/>
    <n v="80"/>
    <s v="Regular Day"/>
    <x v="1"/>
  </r>
  <r>
    <d v="2023-04-08T00:00:00"/>
    <n v="17143"/>
    <x v="2248"/>
    <x v="2221"/>
    <n v="9419"/>
    <n v="73"/>
    <s v="Regular Day"/>
    <x v="1"/>
  </r>
  <r>
    <d v="2023-04-09T00:00:00"/>
    <n v="35841"/>
    <x v="2249"/>
    <x v="2222"/>
    <n v="14243"/>
    <n v="95"/>
    <s v="Regular Day"/>
    <x v="1"/>
  </r>
  <r>
    <d v="2023-04-10T00:00:00"/>
    <n v="22844"/>
    <x v="2250"/>
    <x v="1240"/>
    <n v="10707"/>
    <n v="76"/>
    <s v="Regular Day"/>
    <x v="1"/>
  </r>
  <r>
    <d v="2023-04-11T00:00:00"/>
    <n v="17192"/>
    <x v="2251"/>
    <x v="2223"/>
    <n v="9163"/>
    <n v="76"/>
    <s v="Regular Day"/>
    <x v="1"/>
  </r>
  <r>
    <d v="2023-04-12T00:00:00"/>
    <n v="16241"/>
    <x v="2252"/>
    <x v="2224"/>
    <n v="8872"/>
    <n v="84"/>
    <s v="Regular Day"/>
    <x v="1"/>
  </r>
  <r>
    <d v="2023-04-13T00:00:00"/>
    <n v="16256"/>
    <x v="2253"/>
    <x v="2020"/>
    <n v="9121"/>
    <n v="77"/>
    <s v="Regular Day"/>
    <x v="1"/>
  </r>
  <r>
    <d v="2023-04-14T00:00:00"/>
    <n v="16682"/>
    <x v="2254"/>
    <x v="1326"/>
    <n v="9363"/>
    <n v="75"/>
    <s v="Regular Day"/>
    <x v="1"/>
  </r>
  <r>
    <d v="2023-04-15T00:00:00"/>
    <n v="15644"/>
    <x v="2255"/>
    <x v="2225"/>
    <n v="8411"/>
    <n v="77"/>
    <s v="Regular Day"/>
    <x v="1"/>
  </r>
  <r>
    <d v="2023-04-16T00:00:00"/>
    <n v="15983"/>
    <x v="2256"/>
    <x v="2226"/>
    <n v="8762"/>
    <n v="71"/>
    <s v="Regular Day"/>
    <x v="1"/>
  </r>
  <r>
    <d v="2023-04-17T00:00:00"/>
    <n v="16776"/>
    <x v="2257"/>
    <x v="2227"/>
    <n v="9595"/>
    <n v="74"/>
    <s v="Regular Day"/>
    <x v="1"/>
  </r>
  <r>
    <d v="2023-04-18T00:00:00"/>
    <n v="15899"/>
    <x v="2258"/>
    <x v="2228"/>
    <n v="8847"/>
    <n v="82"/>
    <s v="Regular Day"/>
    <x v="1"/>
  </r>
  <r>
    <d v="2023-04-19T00:00:00"/>
    <n v="18310"/>
    <x v="2259"/>
    <x v="2229"/>
    <n v="10059"/>
    <n v="76"/>
    <s v="Regular Day"/>
    <x v="1"/>
  </r>
  <r>
    <d v="2023-04-20T00:00:00"/>
    <n v="18790"/>
    <x v="2260"/>
    <x v="2230"/>
    <n v="10274"/>
    <n v="73"/>
    <s v="Regular Day"/>
    <x v="1"/>
  </r>
  <r>
    <d v="2023-04-21T00:00:00"/>
    <n v="18368"/>
    <x v="2261"/>
    <x v="2231"/>
    <n v="9864"/>
    <n v="73"/>
    <s v="Regular Day"/>
    <x v="1"/>
  </r>
  <r>
    <d v="2023-04-22T00:00:00"/>
    <n v="16403"/>
    <x v="2262"/>
    <x v="2232"/>
    <n v="8812"/>
    <n v="67"/>
    <s v="Regular Day"/>
    <x v="1"/>
  </r>
  <r>
    <d v="2023-04-23T00:00:00"/>
    <n v="16362"/>
    <x v="2263"/>
    <x v="2233"/>
    <n v="8553"/>
    <n v="76"/>
    <s v="Regular Day"/>
    <x v="1"/>
  </r>
  <r>
    <d v="2023-04-24T00:00:00"/>
    <n v="17541"/>
    <x v="2264"/>
    <x v="2234"/>
    <n v="9668"/>
    <n v="72"/>
    <s v="Regular Day"/>
    <x v="1"/>
  </r>
  <r>
    <d v="2023-04-25T00:00:00"/>
    <n v="18262"/>
    <x v="2265"/>
    <x v="2235"/>
    <n v="10387"/>
    <n v="73"/>
    <s v="Regular Day"/>
    <x v="1"/>
  </r>
  <r>
    <d v="2023-04-26T00:00:00"/>
    <n v="15660"/>
    <x v="2266"/>
    <x v="2236"/>
    <n v="8868"/>
    <n v="76"/>
    <s v="Regular Day"/>
    <x v="1"/>
  </r>
  <r>
    <d v="2023-04-27T00:00:00"/>
    <n v="14039"/>
    <x v="2267"/>
    <x v="448"/>
    <n v="8040"/>
    <n v="77"/>
    <s v="Regular Day"/>
    <x v="1"/>
  </r>
  <r>
    <d v="2023-04-28T00:00:00"/>
    <n v="13947"/>
    <x v="2268"/>
    <x v="2237"/>
    <n v="7828"/>
    <n v="74"/>
    <s v="Regular Day"/>
    <x v="1"/>
  </r>
  <r>
    <d v="2023-04-29T00:00:00"/>
    <n v="13127"/>
    <x v="2269"/>
    <x v="2238"/>
    <n v="7083"/>
    <n v="73"/>
    <s v="Regular Day"/>
    <x v="1"/>
  </r>
  <r>
    <d v="2023-04-30T00:00:00"/>
    <n v="13662"/>
    <x v="2270"/>
    <x v="2239"/>
    <n v="7536"/>
    <n v="71"/>
    <s v="Regular Day"/>
    <x v="1"/>
  </r>
  <r>
    <d v="2023-05-01T00:00:00"/>
    <n v="16266"/>
    <x v="2271"/>
    <x v="2240"/>
    <n v="9097"/>
    <n v="71"/>
    <s v="Regular Day"/>
    <x v="1"/>
  </r>
  <r>
    <d v="2023-05-02T00:00:00"/>
    <n v="18538"/>
    <x v="2272"/>
    <x v="2241"/>
    <n v="10524"/>
    <n v="77"/>
    <s v="Regular Day"/>
    <x v="1"/>
  </r>
  <r>
    <d v="2023-05-03T00:00:00"/>
    <n v="18070"/>
    <x v="2273"/>
    <x v="2242"/>
    <n v="10325"/>
    <n v="73"/>
    <s v="Regular Day"/>
    <x v="1"/>
  </r>
  <r>
    <d v="2023-05-04T00:00:00"/>
    <n v="17018"/>
    <x v="2274"/>
    <x v="2243"/>
    <n v="10084"/>
    <n v="69"/>
    <s v="Regular Day"/>
    <x v="1"/>
  </r>
  <r>
    <d v="2023-05-05T00:00:00"/>
    <n v="13993"/>
    <x v="2275"/>
    <x v="2244"/>
    <n v="7917"/>
    <n v="79"/>
    <s v="Regular Day"/>
    <x v="1"/>
  </r>
  <r>
    <d v="2023-05-06T00:00:00"/>
    <n v="12198"/>
    <x v="2276"/>
    <x v="2245"/>
    <n v="6679"/>
    <n v="73"/>
    <s v="Regular Day"/>
    <x v="1"/>
  </r>
  <r>
    <d v="2023-05-07T00:00:00"/>
    <n v="12689"/>
    <x v="2277"/>
    <x v="2246"/>
    <n v="7212"/>
    <n v="72"/>
    <s v="Regular Day"/>
    <x v="1"/>
  </r>
  <r>
    <d v="2023-05-08T00:00:00"/>
    <n v="25026"/>
    <x v="2278"/>
    <x v="2247"/>
    <n v="14101"/>
    <n v="66"/>
    <s v="Regular Day"/>
    <x v="1"/>
  </r>
  <r>
    <d v="2023-05-09T00:00:00"/>
    <n v="22255"/>
    <x v="2279"/>
    <x v="2248"/>
    <n v="13052"/>
    <n v="72"/>
    <s v="Regular Day"/>
    <x v="1"/>
  </r>
  <r>
    <d v="2023-05-10T00:00:00"/>
    <n v="25566"/>
    <x v="2280"/>
    <x v="2249"/>
    <n v="14356"/>
    <n v="97"/>
    <s v="Regular Day"/>
    <x v="1"/>
  </r>
  <r>
    <d v="2023-05-11T00:00:00"/>
    <n v="20696"/>
    <x v="2281"/>
    <x v="2250"/>
    <n v="11643"/>
    <n v="80"/>
    <s v="Regular Day"/>
    <x v="1"/>
  </r>
  <r>
    <d v="2023-05-12T00:00:00"/>
    <n v="16972"/>
    <x v="2282"/>
    <x v="2251"/>
    <n v="9717"/>
    <n v="78"/>
    <s v="Regular Day"/>
    <x v="1"/>
  </r>
  <r>
    <d v="2023-05-13T00:00:00"/>
    <n v="14081"/>
    <x v="2283"/>
    <x v="2252"/>
    <n v="8128"/>
    <n v="72"/>
    <s v="Regular Day"/>
    <x v="1"/>
  </r>
  <r>
    <d v="2023-05-14T00:00:00"/>
    <n v="17400"/>
    <x v="2284"/>
    <x v="1622"/>
    <n v="9907"/>
    <n v="66"/>
    <s v="Regular Day"/>
    <x v="1"/>
  </r>
  <r>
    <d v="2023-05-15T00:00:00"/>
    <n v="15662"/>
    <x v="2285"/>
    <x v="2253"/>
    <n v="8966"/>
    <n v="86"/>
    <s v="Regular Day"/>
    <x v="1"/>
  </r>
  <r>
    <d v="2023-05-16T00:00:00"/>
    <n v="13441"/>
    <x v="2286"/>
    <x v="2254"/>
    <n v="7802"/>
    <n v="81"/>
    <s v="Regular Day"/>
    <x v="1"/>
  </r>
  <r>
    <d v="2023-05-17T00:00:00"/>
    <n v="14293"/>
    <x v="2287"/>
    <x v="2255"/>
    <n v="8206"/>
    <n v="78"/>
    <s v="Regular Day"/>
    <x v="1"/>
  </r>
  <r>
    <d v="2023-05-18T00:00:00"/>
    <n v="13468"/>
    <x v="2288"/>
    <x v="2256"/>
    <n v="7459"/>
    <n v="83"/>
    <s v="Regular Day"/>
    <x v="1"/>
  </r>
  <r>
    <d v="2023-05-19T00:00:00"/>
    <n v="17532"/>
    <x v="2289"/>
    <x v="2257"/>
    <n v="9198"/>
    <n v="84"/>
    <s v="Regular Day"/>
    <x v="1"/>
  </r>
  <r>
    <d v="2023-05-20T00:00:00"/>
    <n v="17796"/>
    <x v="2290"/>
    <x v="2258"/>
    <n v="9166"/>
    <n v="75"/>
    <s v="Regular Day"/>
    <x v="1"/>
  </r>
  <r>
    <d v="2023-05-21T00:00:00"/>
    <n v="16294"/>
    <x v="2291"/>
    <x v="2259"/>
    <n v="9248"/>
    <n v="71"/>
    <s v="Regular Day"/>
    <x v="1"/>
  </r>
  <r>
    <d v="2023-05-22T00:00:00"/>
    <n v="15471"/>
    <x v="2292"/>
    <x v="2260"/>
    <n v="7157"/>
    <n v="73"/>
    <s v="Regular Day"/>
    <x v="1"/>
  </r>
  <r>
    <d v="2023-05-23T00:00:00"/>
    <n v="17691"/>
    <x v="2293"/>
    <x v="2261"/>
    <n v="6916"/>
    <n v="77"/>
    <s v="Regular Day"/>
    <x v="1"/>
  </r>
  <r>
    <d v="2023-05-24T00:00:00"/>
    <n v="19607"/>
    <x v="2294"/>
    <x v="2262"/>
    <n v="7918"/>
    <n v="83"/>
    <s v="Regular Day"/>
    <x v="1"/>
  </r>
  <r>
    <d v="2023-05-25T00:00:00"/>
    <n v="21680"/>
    <x v="2295"/>
    <x v="2263"/>
    <n v="8353"/>
    <n v="80"/>
    <s v="Regular Day"/>
    <x v="1"/>
  </r>
  <r>
    <d v="2023-05-26T00:00:00"/>
    <n v="17211"/>
    <x v="2296"/>
    <x v="2264"/>
    <n v="6417"/>
    <n v="74"/>
    <s v="Regular Day"/>
    <x v="1"/>
  </r>
  <r>
    <d v="2023-05-27T00:00:00"/>
    <n v="14332"/>
    <x v="2297"/>
    <x v="2265"/>
    <n v="5424"/>
    <n v="75"/>
    <s v="Regular Day"/>
    <x v="1"/>
  </r>
  <r>
    <d v="2023-05-28T00:00:00"/>
    <n v="13798"/>
    <x v="2298"/>
    <x v="2266"/>
    <n v="5509"/>
    <n v="73"/>
    <s v="Regular Day"/>
    <x v="1"/>
  </r>
  <r>
    <d v="2023-05-29T00:00:00"/>
    <n v="20563"/>
    <x v="2299"/>
    <x v="2267"/>
    <n v="7005"/>
    <n v="92"/>
    <s v="Regular Day"/>
    <x v="1"/>
  </r>
  <r>
    <d v="2023-05-30T00:00:00"/>
    <n v="16105"/>
    <x v="2300"/>
    <x v="2268"/>
    <n v="6452"/>
    <n v="87"/>
    <s v="Regular Day"/>
    <x v="1"/>
  </r>
  <r>
    <d v="2023-05-31T00:00:00"/>
    <n v="31253"/>
    <x v="2301"/>
    <x v="2269"/>
    <n v="8200"/>
    <n v="106"/>
    <s v="Regular Day"/>
    <x v="1"/>
  </r>
  <r>
    <m/>
    <m/>
    <x v="2302"/>
    <x v="2270"/>
    <m/>
    <m/>
    <m/>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96">
  <r>
    <x v="0"/>
    <x v="0"/>
    <n v="0"/>
  </r>
  <r>
    <x v="0"/>
    <x v="0"/>
    <n v="0"/>
  </r>
  <r>
    <x v="1"/>
    <x v="1"/>
    <n v="0"/>
  </r>
  <r>
    <x v="0"/>
    <x v="0"/>
    <n v="0"/>
  </r>
  <r>
    <x v="0"/>
    <x v="0"/>
    <n v="0"/>
  </r>
  <r>
    <x v="0"/>
    <x v="0"/>
    <n v="0"/>
  </r>
  <r>
    <x v="0"/>
    <x v="0"/>
    <n v="0"/>
  </r>
  <r>
    <x v="1"/>
    <x v="1"/>
    <n v="0"/>
  </r>
  <r>
    <x v="0"/>
    <x v="0"/>
    <n v="0"/>
  </r>
  <r>
    <x v="0"/>
    <x v="0"/>
    <n v="0"/>
  </r>
  <r>
    <x v="0"/>
    <x v="0"/>
    <n v="0"/>
  </r>
  <r>
    <x v="1"/>
    <x v="1"/>
    <n v="0"/>
  </r>
  <r>
    <x v="1"/>
    <x v="1"/>
    <n v="0"/>
  </r>
  <r>
    <x v="1"/>
    <x v="1"/>
    <n v="0"/>
  </r>
  <r>
    <x v="0"/>
    <x v="0"/>
    <n v="0"/>
  </r>
  <r>
    <x v="0"/>
    <x v="0"/>
    <n v="0"/>
  </r>
  <r>
    <x v="1"/>
    <x v="1"/>
    <n v="0"/>
  </r>
  <r>
    <x v="0"/>
    <x v="0"/>
    <n v="0"/>
  </r>
  <r>
    <x v="1"/>
    <x v="1"/>
    <n v="0"/>
  </r>
  <r>
    <x v="1"/>
    <x v="1"/>
    <n v="0"/>
  </r>
  <r>
    <x v="0"/>
    <x v="0"/>
    <n v="1"/>
  </r>
  <r>
    <x v="0"/>
    <x v="0"/>
    <n v="0"/>
  </r>
  <r>
    <x v="0"/>
    <x v="0"/>
    <n v="0"/>
  </r>
  <r>
    <x v="1"/>
    <x v="1"/>
    <n v="0"/>
  </r>
  <r>
    <x v="0"/>
    <x v="0"/>
    <n v="0"/>
  </r>
  <r>
    <x v="0"/>
    <x v="0"/>
    <n v="0"/>
  </r>
  <r>
    <x v="1"/>
    <x v="1"/>
    <n v="0"/>
  </r>
  <r>
    <x v="1"/>
    <x v="1"/>
    <n v="0"/>
  </r>
  <r>
    <x v="0"/>
    <x v="0"/>
    <n v="0"/>
  </r>
  <r>
    <x v="0"/>
    <x v="0"/>
    <n v="0"/>
  </r>
  <r>
    <x v="0"/>
    <x v="0"/>
    <n v="0"/>
  </r>
  <r>
    <x v="0"/>
    <x v="0"/>
    <n v="0"/>
  </r>
  <r>
    <x v="0"/>
    <x v="0"/>
    <n v="0"/>
  </r>
  <r>
    <x v="1"/>
    <x v="1"/>
    <n v="0"/>
  </r>
  <r>
    <x v="1"/>
    <x v="1"/>
    <n v="0"/>
  </r>
  <r>
    <x v="0"/>
    <x v="0"/>
    <n v="0"/>
  </r>
  <r>
    <x v="0"/>
    <x v="0"/>
    <n v="0"/>
  </r>
  <r>
    <x v="0"/>
    <x v="0"/>
    <n v="0"/>
  </r>
  <r>
    <x v="0"/>
    <x v="0"/>
    <n v="0"/>
  </r>
  <r>
    <x v="0"/>
    <x v="0"/>
    <n v="0"/>
  </r>
  <r>
    <x v="1"/>
    <x v="1"/>
    <n v="0"/>
  </r>
  <r>
    <x v="1"/>
    <x v="1"/>
    <n v="0"/>
  </r>
  <r>
    <x v="1"/>
    <x v="1"/>
    <n v="0"/>
  </r>
  <r>
    <x v="0"/>
    <x v="0"/>
    <n v="0"/>
  </r>
  <r>
    <x v="0"/>
    <x v="0"/>
    <n v="0"/>
  </r>
  <r>
    <x v="0"/>
    <x v="0"/>
    <n v="0"/>
  </r>
  <r>
    <x v="1"/>
    <x v="1"/>
    <n v="0"/>
  </r>
  <r>
    <x v="1"/>
    <x v="1"/>
    <n v="0"/>
  </r>
  <r>
    <x v="0"/>
    <x v="0"/>
    <n v="0"/>
  </r>
  <r>
    <x v="1"/>
    <x v="1"/>
    <n v="0"/>
  </r>
  <r>
    <x v="1"/>
    <x v="1"/>
    <n v="0"/>
  </r>
  <r>
    <x v="1"/>
    <x v="1"/>
    <n v="0"/>
  </r>
  <r>
    <x v="0"/>
    <x v="0"/>
    <n v="0"/>
  </r>
  <r>
    <x v="1"/>
    <x v="1"/>
    <n v="0"/>
  </r>
  <r>
    <x v="0"/>
    <x v="0"/>
    <n v="0"/>
  </r>
  <r>
    <x v="1"/>
    <x v="1"/>
    <n v="0"/>
  </r>
  <r>
    <x v="0"/>
    <x v="0"/>
    <n v="0"/>
  </r>
  <r>
    <x v="1"/>
    <x v="1"/>
    <n v="0"/>
  </r>
  <r>
    <x v="1"/>
    <x v="1"/>
    <n v="0"/>
  </r>
  <r>
    <x v="0"/>
    <x v="0"/>
    <n v="0"/>
  </r>
  <r>
    <x v="1"/>
    <x v="1"/>
    <n v="0"/>
  </r>
  <r>
    <x v="1"/>
    <x v="1"/>
    <n v="0"/>
  </r>
  <r>
    <x v="0"/>
    <x v="0"/>
    <n v="0"/>
  </r>
  <r>
    <x v="1"/>
    <x v="1"/>
    <n v="0"/>
  </r>
  <r>
    <x v="0"/>
    <x v="0"/>
    <n v="0"/>
  </r>
  <r>
    <x v="0"/>
    <x v="0"/>
    <n v="0"/>
  </r>
  <r>
    <x v="1"/>
    <x v="1"/>
    <n v="0"/>
  </r>
  <r>
    <x v="1"/>
    <x v="1"/>
    <n v="0"/>
  </r>
  <r>
    <x v="0"/>
    <x v="0"/>
    <n v="0"/>
  </r>
  <r>
    <x v="1"/>
    <x v="1"/>
    <n v="0"/>
  </r>
  <r>
    <x v="1"/>
    <x v="1"/>
    <n v="0"/>
  </r>
  <r>
    <x v="1"/>
    <x v="1"/>
    <n v="0"/>
  </r>
  <r>
    <x v="1"/>
    <x v="1"/>
    <n v="0"/>
  </r>
  <r>
    <x v="0"/>
    <x v="0"/>
    <n v="0"/>
  </r>
  <r>
    <x v="0"/>
    <x v="0"/>
    <n v="0"/>
  </r>
  <r>
    <x v="0"/>
    <x v="0"/>
    <n v="0"/>
  </r>
  <r>
    <x v="0"/>
    <x v="0"/>
    <n v="0"/>
  </r>
  <r>
    <x v="1"/>
    <x v="1"/>
    <n v="0"/>
  </r>
  <r>
    <x v="0"/>
    <x v="0"/>
    <n v="0"/>
  </r>
  <r>
    <x v="1"/>
    <x v="1"/>
    <n v="0"/>
  </r>
  <r>
    <x v="0"/>
    <x v="0"/>
    <n v="0"/>
  </r>
  <r>
    <x v="1"/>
    <x v="1"/>
    <n v="0"/>
  </r>
  <r>
    <x v="0"/>
    <x v="0"/>
    <n v="0"/>
  </r>
  <r>
    <x v="1"/>
    <x v="1"/>
    <n v="0"/>
  </r>
  <r>
    <x v="0"/>
    <x v="0"/>
    <n v="0"/>
  </r>
  <r>
    <x v="1"/>
    <x v="1"/>
    <n v="0"/>
  </r>
  <r>
    <x v="0"/>
    <x v="0"/>
    <n v="0"/>
  </r>
  <r>
    <x v="0"/>
    <x v="0"/>
    <n v="0"/>
  </r>
  <r>
    <x v="0"/>
    <x v="0"/>
    <n v="0"/>
  </r>
  <r>
    <x v="1"/>
    <x v="1"/>
    <n v="0"/>
  </r>
  <r>
    <x v="0"/>
    <x v="0"/>
    <n v="0"/>
  </r>
  <r>
    <x v="0"/>
    <x v="0"/>
    <n v="0"/>
  </r>
  <r>
    <x v="0"/>
    <x v="0"/>
    <n v="0"/>
  </r>
  <r>
    <x v="1"/>
    <x v="1"/>
    <n v="0"/>
  </r>
  <r>
    <x v="0"/>
    <x v="0"/>
    <n v="0"/>
  </r>
  <r>
    <x v="1"/>
    <x v="1"/>
    <n v="0"/>
  </r>
  <r>
    <x v="1"/>
    <x v="1"/>
    <n v="1"/>
  </r>
  <r>
    <x v="1"/>
    <x v="1"/>
    <n v="0"/>
  </r>
  <r>
    <x v="1"/>
    <x v="1"/>
    <n v="0"/>
  </r>
  <r>
    <x v="1"/>
    <x v="1"/>
    <n v="0"/>
  </r>
  <r>
    <x v="0"/>
    <x v="0"/>
    <n v="0"/>
  </r>
  <r>
    <x v="0"/>
    <x v="0"/>
    <n v="0"/>
  </r>
  <r>
    <x v="1"/>
    <x v="1"/>
    <n v="0"/>
  </r>
  <r>
    <x v="0"/>
    <x v="0"/>
    <n v="0"/>
  </r>
  <r>
    <x v="1"/>
    <x v="1"/>
    <n v="0"/>
  </r>
  <r>
    <x v="1"/>
    <x v="1"/>
    <n v="0"/>
  </r>
  <r>
    <x v="1"/>
    <x v="1"/>
    <n v="0"/>
  </r>
  <r>
    <x v="0"/>
    <x v="0"/>
    <n v="0"/>
  </r>
  <r>
    <x v="1"/>
    <x v="1"/>
    <n v="0"/>
  </r>
  <r>
    <x v="1"/>
    <x v="1"/>
    <n v="0"/>
  </r>
  <r>
    <x v="1"/>
    <x v="1"/>
    <n v="0"/>
  </r>
  <r>
    <x v="0"/>
    <x v="0"/>
    <n v="0"/>
  </r>
  <r>
    <x v="0"/>
    <x v="0"/>
    <n v="0"/>
  </r>
  <r>
    <x v="0"/>
    <x v="0"/>
    <n v="0"/>
  </r>
  <r>
    <x v="1"/>
    <x v="1"/>
    <n v="0"/>
  </r>
  <r>
    <x v="1"/>
    <x v="1"/>
    <n v="0"/>
  </r>
  <r>
    <x v="1"/>
    <x v="1"/>
    <n v="0"/>
  </r>
  <r>
    <x v="0"/>
    <x v="0"/>
    <n v="0"/>
  </r>
  <r>
    <x v="1"/>
    <x v="1"/>
    <n v="0"/>
  </r>
  <r>
    <x v="0"/>
    <x v="0"/>
    <n v="0"/>
  </r>
  <r>
    <x v="0"/>
    <x v="0"/>
    <n v="0"/>
  </r>
  <r>
    <x v="0"/>
    <x v="0"/>
    <n v="0"/>
  </r>
  <r>
    <x v="1"/>
    <x v="1"/>
    <n v="0"/>
  </r>
  <r>
    <x v="0"/>
    <x v="0"/>
    <n v="0"/>
  </r>
  <r>
    <x v="1"/>
    <x v="1"/>
    <n v="0"/>
  </r>
  <r>
    <x v="0"/>
    <x v="0"/>
    <n v="0"/>
  </r>
  <r>
    <x v="0"/>
    <x v="0"/>
    <n v="0"/>
  </r>
  <r>
    <x v="1"/>
    <x v="1"/>
    <n v="0"/>
  </r>
  <r>
    <x v="1"/>
    <x v="1"/>
    <n v="0"/>
  </r>
  <r>
    <x v="1"/>
    <x v="1"/>
    <n v="0"/>
  </r>
  <r>
    <x v="1"/>
    <x v="1"/>
    <n v="0"/>
  </r>
  <r>
    <x v="1"/>
    <x v="1"/>
    <n v="0"/>
  </r>
  <r>
    <x v="1"/>
    <x v="1"/>
    <n v="0"/>
  </r>
  <r>
    <x v="1"/>
    <x v="1"/>
    <n v="0"/>
  </r>
  <r>
    <x v="0"/>
    <x v="0"/>
    <n v="0"/>
  </r>
  <r>
    <x v="1"/>
    <x v="1"/>
    <n v="0"/>
  </r>
  <r>
    <x v="1"/>
    <x v="1"/>
    <n v="0"/>
  </r>
  <r>
    <x v="1"/>
    <x v="1"/>
    <n v="0"/>
  </r>
  <r>
    <x v="0"/>
    <x v="0"/>
    <n v="0"/>
  </r>
  <r>
    <x v="0"/>
    <x v="0"/>
    <n v="0"/>
  </r>
  <r>
    <x v="0"/>
    <x v="0"/>
    <n v="1"/>
  </r>
  <r>
    <x v="0"/>
    <x v="0"/>
    <n v="0"/>
  </r>
  <r>
    <x v="0"/>
    <x v="0"/>
    <n v="0"/>
  </r>
  <r>
    <x v="1"/>
    <x v="1"/>
    <n v="0"/>
  </r>
  <r>
    <x v="0"/>
    <x v="0"/>
    <n v="0"/>
  </r>
  <r>
    <x v="0"/>
    <x v="0"/>
    <n v="1"/>
  </r>
  <r>
    <x v="1"/>
    <x v="1"/>
    <n v="0"/>
  </r>
  <r>
    <x v="0"/>
    <x v="0"/>
    <n v="0"/>
  </r>
  <r>
    <x v="0"/>
    <x v="0"/>
    <n v="0"/>
  </r>
  <r>
    <x v="1"/>
    <x v="1"/>
    <n v="0"/>
  </r>
  <r>
    <x v="1"/>
    <x v="1"/>
    <n v="0"/>
  </r>
  <r>
    <x v="0"/>
    <x v="0"/>
    <n v="0"/>
  </r>
  <r>
    <x v="0"/>
    <x v="0"/>
    <n v="0"/>
  </r>
  <r>
    <x v="0"/>
    <x v="0"/>
    <n v="0"/>
  </r>
  <r>
    <x v="0"/>
    <x v="0"/>
    <n v="0"/>
  </r>
  <r>
    <x v="1"/>
    <x v="1"/>
    <n v="0"/>
  </r>
  <r>
    <x v="0"/>
    <x v="0"/>
    <n v="0"/>
  </r>
  <r>
    <x v="1"/>
    <x v="1"/>
    <n v="0"/>
  </r>
  <r>
    <x v="1"/>
    <x v="1"/>
    <n v="0"/>
  </r>
  <r>
    <x v="0"/>
    <x v="0"/>
    <n v="0"/>
  </r>
  <r>
    <x v="1"/>
    <x v="1"/>
    <n v="0"/>
  </r>
  <r>
    <x v="0"/>
    <x v="0"/>
    <n v="0"/>
  </r>
  <r>
    <x v="1"/>
    <x v="1"/>
    <n v="0"/>
  </r>
  <r>
    <x v="1"/>
    <x v="1"/>
    <n v="0"/>
  </r>
  <r>
    <x v="0"/>
    <x v="0"/>
    <n v="0"/>
  </r>
  <r>
    <x v="1"/>
    <x v="1"/>
    <n v="0"/>
  </r>
  <r>
    <x v="0"/>
    <x v="0"/>
    <n v="0"/>
  </r>
  <r>
    <x v="1"/>
    <x v="1"/>
    <n v="0"/>
  </r>
  <r>
    <x v="0"/>
    <x v="0"/>
    <n v="0"/>
  </r>
  <r>
    <x v="1"/>
    <x v="1"/>
    <n v="0"/>
  </r>
  <r>
    <x v="1"/>
    <x v="1"/>
    <n v="0"/>
  </r>
  <r>
    <x v="1"/>
    <x v="1"/>
    <n v="0"/>
  </r>
  <r>
    <x v="1"/>
    <x v="1"/>
    <n v="0"/>
  </r>
  <r>
    <x v="0"/>
    <x v="0"/>
    <n v="0"/>
  </r>
  <r>
    <x v="0"/>
    <x v="0"/>
    <n v="0"/>
  </r>
  <r>
    <x v="0"/>
    <x v="0"/>
    <n v="0"/>
  </r>
  <r>
    <x v="1"/>
    <x v="1"/>
    <n v="0"/>
  </r>
  <r>
    <x v="0"/>
    <x v="0"/>
    <n v="0"/>
  </r>
  <r>
    <x v="0"/>
    <x v="0"/>
    <n v="0"/>
  </r>
  <r>
    <x v="1"/>
    <x v="1"/>
    <n v="0"/>
  </r>
  <r>
    <x v="1"/>
    <x v="1"/>
    <n v="0"/>
  </r>
  <r>
    <x v="1"/>
    <x v="1"/>
    <n v="0"/>
  </r>
  <r>
    <x v="0"/>
    <x v="0"/>
    <n v="0"/>
  </r>
  <r>
    <x v="0"/>
    <x v="0"/>
    <n v="0"/>
  </r>
  <r>
    <x v="1"/>
    <x v="1"/>
    <n v="0"/>
  </r>
  <r>
    <x v="0"/>
    <x v="0"/>
    <n v="0"/>
  </r>
  <r>
    <x v="0"/>
    <x v="0"/>
    <n v="0"/>
  </r>
  <r>
    <x v="1"/>
    <x v="1"/>
    <n v="0"/>
  </r>
  <r>
    <x v="1"/>
    <x v="1"/>
    <n v="0"/>
  </r>
  <r>
    <x v="0"/>
    <x v="0"/>
    <n v="0"/>
  </r>
  <r>
    <x v="0"/>
    <x v="0"/>
    <n v="0"/>
  </r>
  <r>
    <x v="0"/>
    <x v="0"/>
    <n v="0"/>
  </r>
  <r>
    <x v="0"/>
    <x v="0"/>
    <n v="0"/>
  </r>
  <r>
    <x v="0"/>
    <x v="0"/>
    <n v="0"/>
  </r>
  <r>
    <x v="1"/>
    <x v="1"/>
    <n v="0"/>
  </r>
  <r>
    <x v="1"/>
    <x v="1"/>
    <n v="0"/>
  </r>
  <r>
    <x v="0"/>
    <x v="0"/>
    <n v="0"/>
  </r>
  <r>
    <x v="1"/>
    <x v="1"/>
    <n v="0"/>
  </r>
  <r>
    <x v="1"/>
    <x v="1"/>
    <n v="0"/>
  </r>
  <r>
    <x v="1"/>
    <x v="1"/>
    <n v="0"/>
  </r>
  <r>
    <x v="1"/>
    <x v="1"/>
    <n v="0"/>
  </r>
  <r>
    <x v="1"/>
    <x v="1"/>
    <n v="0"/>
  </r>
  <r>
    <x v="0"/>
    <x v="0"/>
    <n v="0"/>
  </r>
  <r>
    <x v="1"/>
    <x v="1"/>
    <n v="0"/>
  </r>
  <r>
    <x v="1"/>
    <x v="1"/>
    <n v="0"/>
  </r>
  <r>
    <x v="0"/>
    <x v="0"/>
    <n v="0"/>
  </r>
  <r>
    <x v="0"/>
    <x v="0"/>
    <n v="0"/>
  </r>
  <r>
    <x v="0"/>
    <x v="0"/>
    <n v="0"/>
  </r>
  <r>
    <x v="1"/>
    <x v="1"/>
    <n v="0"/>
  </r>
  <r>
    <x v="1"/>
    <x v="1"/>
    <n v="0"/>
  </r>
  <r>
    <x v="1"/>
    <x v="1"/>
    <n v="0"/>
  </r>
  <r>
    <x v="0"/>
    <x v="0"/>
    <n v="0"/>
  </r>
  <r>
    <x v="1"/>
    <x v="1"/>
    <n v="1"/>
  </r>
  <r>
    <x v="1"/>
    <x v="1"/>
    <n v="0"/>
  </r>
  <r>
    <x v="0"/>
    <x v="0"/>
    <n v="0"/>
  </r>
  <r>
    <x v="1"/>
    <x v="1"/>
    <n v="0"/>
  </r>
  <r>
    <x v="1"/>
    <x v="1"/>
    <n v="0"/>
  </r>
  <r>
    <x v="0"/>
    <x v="0"/>
    <n v="0"/>
  </r>
  <r>
    <x v="0"/>
    <x v="0"/>
    <n v="0"/>
  </r>
  <r>
    <x v="1"/>
    <x v="1"/>
    <n v="0"/>
  </r>
  <r>
    <x v="0"/>
    <x v="0"/>
    <n v="0"/>
  </r>
  <r>
    <x v="0"/>
    <x v="0"/>
    <n v="0"/>
  </r>
  <r>
    <x v="0"/>
    <x v="0"/>
    <n v="0"/>
  </r>
  <r>
    <x v="1"/>
    <x v="1"/>
    <n v="0"/>
  </r>
  <r>
    <x v="1"/>
    <x v="1"/>
    <n v="0"/>
  </r>
  <r>
    <x v="1"/>
    <x v="1"/>
    <n v="0"/>
  </r>
  <r>
    <x v="0"/>
    <x v="0"/>
    <n v="0"/>
  </r>
  <r>
    <x v="0"/>
    <x v="0"/>
    <n v="0"/>
  </r>
  <r>
    <x v="0"/>
    <x v="0"/>
    <n v="0"/>
  </r>
  <r>
    <x v="0"/>
    <x v="0"/>
    <n v="0"/>
  </r>
  <r>
    <x v="0"/>
    <x v="0"/>
    <n v="0"/>
  </r>
  <r>
    <x v="0"/>
    <x v="0"/>
    <n v="0"/>
  </r>
  <r>
    <x v="0"/>
    <x v="0"/>
    <n v="0"/>
  </r>
  <r>
    <x v="1"/>
    <x v="1"/>
    <n v="0"/>
  </r>
  <r>
    <x v="0"/>
    <x v="0"/>
    <n v="0"/>
  </r>
  <r>
    <x v="0"/>
    <x v="0"/>
    <n v="0"/>
  </r>
  <r>
    <x v="0"/>
    <x v="0"/>
    <n v="0"/>
  </r>
  <r>
    <x v="0"/>
    <x v="0"/>
    <n v="0"/>
  </r>
  <r>
    <x v="1"/>
    <x v="1"/>
    <n v="1"/>
  </r>
  <r>
    <x v="1"/>
    <x v="1"/>
    <n v="0"/>
  </r>
  <r>
    <x v="1"/>
    <x v="1"/>
    <n v="0"/>
  </r>
  <r>
    <x v="1"/>
    <x v="1"/>
    <n v="0"/>
  </r>
  <r>
    <x v="0"/>
    <x v="0"/>
    <n v="0"/>
  </r>
  <r>
    <x v="1"/>
    <x v="1"/>
    <n v="0"/>
  </r>
  <r>
    <x v="0"/>
    <x v="0"/>
    <n v="0"/>
  </r>
  <r>
    <x v="1"/>
    <x v="1"/>
    <n v="0"/>
  </r>
  <r>
    <x v="0"/>
    <x v="0"/>
    <n v="0"/>
  </r>
  <r>
    <x v="1"/>
    <x v="1"/>
    <n v="0"/>
  </r>
  <r>
    <x v="1"/>
    <x v="1"/>
    <n v="0"/>
  </r>
  <r>
    <x v="0"/>
    <x v="0"/>
    <n v="0"/>
  </r>
  <r>
    <x v="0"/>
    <x v="0"/>
    <n v="0"/>
  </r>
  <r>
    <x v="1"/>
    <x v="1"/>
    <n v="0"/>
  </r>
  <r>
    <x v="1"/>
    <x v="1"/>
    <n v="0"/>
  </r>
  <r>
    <x v="0"/>
    <x v="0"/>
    <n v="0"/>
  </r>
  <r>
    <x v="1"/>
    <x v="1"/>
    <n v="0"/>
  </r>
  <r>
    <x v="1"/>
    <x v="1"/>
    <n v="0"/>
  </r>
  <r>
    <x v="0"/>
    <x v="0"/>
    <n v="0"/>
  </r>
  <r>
    <x v="0"/>
    <x v="0"/>
    <n v="0"/>
  </r>
  <r>
    <x v="0"/>
    <x v="0"/>
    <n v="0"/>
  </r>
  <r>
    <x v="1"/>
    <x v="1"/>
    <n v="0"/>
  </r>
  <r>
    <x v="0"/>
    <x v="0"/>
    <n v="0"/>
  </r>
  <r>
    <x v="0"/>
    <x v="0"/>
    <n v="1"/>
  </r>
  <r>
    <x v="0"/>
    <x v="0"/>
    <n v="0"/>
  </r>
  <r>
    <x v="1"/>
    <x v="1"/>
    <n v="0"/>
  </r>
  <r>
    <x v="0"/>
    <x v="0"/>
    <n v="0"/>
  </r>
  <r>
    <x v="1"/>
    <x v="1"/>
    <n v="0"/>
  </r>
  <r>
    <x v="1"/>
    <x v="1"/>
    <n v="1"/>
  </r>
  <r>
    <x v="0"/>
    <x v="0"/>
    <n v="0"/>
  </r>
  <r>
    <x v="0"/>
    <x v="0"/>
    <n v="0"/>
  </r>
  <r>
    <x v="1"/>
    <x v="1"/>
    <n v="0"/>
  </r>
  <r>
    <x v="1"/>
    <x v="1"/>
    <n v="0"/>
  </r>
  <r>
    <x v="1"/>
    <x v="1"/>
    <n v="0"/>
  </r>
  <r>
    <x v="1"/>
    <x v="1"/>
    <n v="0"/>
  </r>
  <r>
    <x v="0"/>
    <x v="0"/>
    <n v="0"/>
  </r>
  <r>
    <x v="0"/>
    <x v="0"/>
    <n v="0"/>
  </r>
  <r>
    <x v="1"/>
    <x v="1"/>
    <n v="0"/>
  </r>
  <r>
    <x v="1"/>
    <x v="1"/>
    <n v="0"/>
  </r>
  <r>
    <x v="0"/>
    <x v="0"/>
    <n v="0"/>
  </r>
  <r>
    <x v="1"/>
    <x v="1"/>
    <n v="0"/>
  </r>
  <r>
    <x v="1"/>
    <x v="1"/>
    <n v="0"/>
  </r>
  <r>
    <x v="1"/>
    <x v="1"/>
    <n v="0"/>
  </r>
  <r>
    <x v="0"/>
    <x v="0"/>
    <n v="0"/>
  </r>
  <r>
    <x v="0"/>
    <x v="0"/>
    <n v="0"/>
  </r>
  <r>
    <x v="1"/>
    <x v="1"/>
    <n v="0"/>
  </r>
  <r>
    <x v="1"/>
    <x v="1"/>
    <n v="0"/>
  </r>
  <r>
    <x v="1"/>
    <x v="1"/>
    <n v="0"/>
  </r>
  <r>
    <x v="1"/>
    <x v="1"/>
    <n v="0"/>
  </r>
  <r>
    <x v="0"/>
    <x v="0"/>
    <n v="0"/>
  </r>
  <r>
    <x v="1"/>
    <x v="1"/>
    <n v="0"/>
  </r>
  <r>
    <x v="0"/>
    <x v="0"/>
    <n v="0"/>
  </r>
  <r>
    <x v="0"/>
    <x v="0"/>
    <n v="0"/>
  </r>
  <r>
    <x v="1"/>
    <x v="1"/>
    <n v="0"/>
  </r>
  <r>
    <x v="1"/>
    <x v="1"/>
    <n v="0"/>
  </r>
  <r>
    <x v="1"/>
    <x v="1"/>
    <n v="0"/>
  </r>
  <r>
    <x v="1"/>
    <x v="1"/>
    <n v="1"/>
  </r>
  <r>
    <x v="1"/>
    <x v="1"/>
    <n v="1"/>
  </r>
  <r>
    <x v="0"/>
    <x v="0"/>
    <n v="0"/>
  </r>
  <r>
    <x v="0"/>
    <x v="0"/>
    <n v="0"/>
  </r>
  <r>
    <x v="1"/>
    <x v="1"/>
    <n v="0"/>
  </r>
  <r>
    <x v="1"/>
    <x v="1"/>
    <n v="0"/>
  </r>
  <r>
    <x v="0"/>
    <x v="0"/>
    <n v="0"/>
  </r>
  <r>
    <x v="0"/>
    <x v="0"/>
    <n v="0"/>
  </r>
  <r>
    <x v="1"/>
    <x v="1"/>
    <n v="0"/>
  </r>
  <r>
    <x v="1"/>
    <x v="1"/>
    <n v="0"/>
  </r>
  <r>
    <x v="1"/>
    <x v="1"/>
    <n v="0"/>
  </r>
  <r>
    <x v="0"/>
    <x v="0"/>
    <n v="0"/>
  </r>
  <r>
    <x v="0"/>
    <x v="0"/>
    <n v="0"/>
  </r>
  <r>
    <x v="1"/>
    <x v="1"/>
    <n v="0"/>
  </r>
  <r>
    <x v="0"/>
    <x v="0"/>
    <n v="0"/>
  </r>
  <r>
    <x v="1"/>
    <x v="1"/>
    <n v="0"/>
  </r>
  <r>
    <x v="1"/>
    <x v="1"/>
    <n v="0"/>
  </r>
  <r>
    <x v="0"/>
    <x v="0"/>
    <n v="0"/>
  </r>
  <r>
    <x v="0"/>
    <x v="0"/>
    <n v="0"/>
  </r>
  <r>
    <x v="0"/>
    <x v="0"/>
    <n v="0"/>
  </r>
  <r>
    <x v="1"/>
    <x v="1"/>
    <n v="0"/>
  </r>
  <r>
    <x v="1"/>
    <x v="1"/>
    <n v="0"/>
  </r>
  <r>
    <x v="0"/>
    <x v="0"/>
    <n v="0"/>
  </r>
  <r>
    <x v="1"/>
    <x v="1"/>
    <n v="0"/>
  </r>
  <r>
    <x v="0"/>
    <x v="0"/>
    <n v="0"/>
  </r>
  <r>
    <x v="1"/>
    <x v="1"/>
    <n v="0"/>
  </r>
  <r>
    <x v="1"/>
    <x v="1"/>
    <n v="0"/>
  </r>
  <r>
    <x v="1"/>
    <x v="1"/>
    <n v="0"/>
  </r>
  <r>
    <x v="1"/>
    <x v="1"/>
    <n v="0"/>
  </r>
  <r>
    <x v="0"/>
    <x v="0"/>
    <n v="0"/>
  </r>
  <r>
    <x v="1"/>
    <x v="1"/>
    <n v="0"/>
  </r>
  <r>
    <x v="1"/>
    <x v="1"/>
    <n v="0"/>
  </r>
  <r>
    <x v="0"/>
    <x v="0"/>
    <n v="0"/>
  </r>
  <r>
    <x v="0"/>
    <x v="0"/>
    <n v="0"/>
  </r>
  <r>
    <x v="1"/>
    <x v="1"/>
    <n v="0"/>
  </r>
  <r>
    <x v="0"/>
    <x v="0"/>
    <n v="0"/>
  </r>
  <r>
    <x v="0"/>
    <x v="0"/>
    <n v="0"/>
  </r>
  <r>
    <x v="0"/>
    <x v="0"/>
    <n v="0"/>
  </r>
  <r>
    <x v="1"/>
    <x v="1"/>
    <n v="0"/>
  </r>
  <r>
    <x v="1"/>
    <x v="1"/>
    <n v="0"/>
  </r>
  <r>
    <x v="1"/>
    <x v="1"/>
    <n v="0"/>
  </r>
  <r>
    <x v="1"/>
    <x v="1"/>
    <n v="0"/>
  </r>
  <r>
    <x v="0"/>
    <x v="0"/>
    <n v="0"/>
  </r>
  <r>
    <x v="1"/>
    <x v="1"/>
    <n v="0"/>
  </r>
  <r>
    <x v="1"/>
    <x v="1"/>
    <n v="0"/>
  </r>
  <r>
    <x v="1"/>
    <x v="1"/>
    <n v="0"/>
  </r>
  <r>
    <x v="0"/>
    <x v="0"/>
    <n v="0"/>
  </r>
  <r>
    <x v="0"/>
    <x v="0"/>
    <n v="0"/>
  </r>
  <r>
    <x v="1"/>
    <x v="1"/>
    <n v="0"/>
  </r>
  <r>
    <x v="1"/>
    <x v="1"/>
    <n v="0"/>
  </r>
  <r>
    <x v="1"/>
    <x v="1"/>
    <n v="0"/>
  </r>
  <r>
    <x v="1"/>
    <x v="1"/>
    <n v="0"/>
  </r>
  <r>
    <x v="0"/>
    <x v="0"/>
    <n v="0"/>
  </r>
  <r>
    <x v="0"/>
    <x v="0"/>
    <n v="0"/>
  </r>
  <r>
    <x v="1"/>
    <x v="1"/>
    <n v="0"/>
  </r>
  <r>
    <x v="1"/>
    <x v="1"/>
    <n v="0"/>
  </r>
  <r>
    <x v="1"/>
    <x v="1"/>
    <n v="0"/>
  </r>
  <r>
    <x v="0"/>
    <x v="0"/>
    <n v="0"/>
  </r>
  <r>
    <x v="1"/>
    <x v="1"/>
    <n v="0"/>
  </r>
  <r>
    <x v="1"/>
    <x v="1"/>
    <n v="0"/>
  </r>
  <r>
    <x v="1"/>
    <x v="1"/>
    <n v="0"/>
  </r>
  <r>
    <x v="1"/>
    <x v="1"/>
    <n v="0"/>
  </r>
  <r>
    <x v="0"/>
    <x v="0"/>
    <n v="0"/>
  </r>
  <r>
    <x v="1"/>
    <x v="1"/>
    <n v="0"/>
  </r>
  <r>
    <x v="0"/>
    <x v="0"/>
    <n v="0"/>
  </r>
  <r>
    <x v="0"/>
    <x v="0"/>
    <n v="0"/>
  </r>
  <r>
    <x v="0"/>
    <x v="0"/>
    <n v="0"/>
  </r>
  <r>
    <x v="1"/>
    <x v="1"/>
    <n v="0"/>
  </r>
  <r>
    <x v="0"/>
    <x v="0"/>
    <n v="0"/>
  </r>
  <r>
    <x v="1"/>
    <x v="1"/>
    <n v="0"/>
  </r>
  <r>
    <x v="0"/>
    <x v="0"/>
    <n v="0"/>
  </r>
  <r>
    <x v="0"/>
    <x v="0"/>
    <n v="0"/>
  </r>
  <r>
    <x v="0"/>
    <x v="0"/>
    <n v="0"/>
  </r>
  <r>
    <x v="1"/>
    <x v="1"/>
    <n v="0"/>
  </r>
  <r>
    <x v="0"/>
    <x v="0"/>
    <n v="1"/>
  </r>
  <r>
    <x v="1"/>
    <x v="1"/>
    <n v="0"/>
  </r>
  <r>
    <x v="1"/>
    <x v="1"/>
    <n v="0"/>
  </r>
  <r>
    <x v="1"/>
    <x v="1"/>
    <n v="0"/>
  </r>
  <r>
    <x v="0"/>
    <x v="0"/>
    <n v="0"/>
  </r>
  <r>
    <x v="1"/>
    <x v="1"/>
    <n v="0"/>
  </r>
  <r>
    <x v="1"/>
    <x v="1"/>
    <n v="0"/>
  </r>
  <r>
    <x v="1"/>
    <x v="1"/>
    <n v="0"/>
  </r>
  <r>
    <x v="0"/>
    <x v="0"/>
    <n v="1"/>
  </r>
  <r>
    <x v="1"/>
    <x v="1"/>
    <n v="0"/>
  </r>
  <r>
    <x v="0"/>
    <x v="0"/>
    <n v="0"/>
  </r>
  <r>
    <x v="0"/>
    <x v="0"/>
    <n v="0"/>
  </r>
  <r>
    <x v="1"/>
    <x v="1"/>
    <n v="0"/>
  </r>
  <r>
    <x v="1"/>
    <x v="1"/>
    <n v="0"/>
  </r>
  <r>
    <x v="1"/>
    <x v="1"/>
    <n v="0"/>
  </r>
  <r>
    <x v="0"/>
    <x v="0"/>
    <n v="0"/>
  </r>
  <r>
    <x v="0"/>
    <x v="0"/>
    <n v="1"/>
  </r>
  <r>
    <x v="1"/>
    <x v="1"/>
    <n v="0"/>
  </r>
  <r>
    <x v="1"/>
    <x v="1"/>
    <n v="0"/>
  </r>
  <r>
    <x v="1"/>
    <x v="1"/>
    <n v="0"/>
  </r>
  <r>
    <x v="0"/>
    <x v="0"/>
    <n v="0"/>
  </r>
  <r>
    <x v="1"/>
    <x v="1"/>
    <n v="0"/>
  </r>
  <r>
    <x v="0"/>
    <x v="0"/>
    <n v="0"/>
  </r>
  <r>
    <x v="0"/>
    <x v="0"/>
    <n v="0"/>
  </r>
  <r>
    <x v="0"/>
    <x v="0"/>
    <n v="0"/>
  </r>
  <r>
    <x v="0"/>
    <x v="0"/>
    <n v="0"/>
  </r>
  <r>
    <x v="1"/>
    <x v="1"/>
    <n v="0"/>
  </r>
  <r>
    <x v="1"/>
    <x v="1"/>
    <n v="0"/>
  </r>
  <r>
    <x v="1"/>
    <x v="1"/>
    <n v="0"/>
  </r>
  <r>
    <x v="0"/>
    <x v="0"/>
    <n v="0"/>
  </r>
  <r>
    <x v="0"/>
    <x v="0"/>
    <n v="0"/>
  </r>
  <r>
    <x v="1"/>
    <x v="1"/>
    <n v="0"/>
  </r>
  <r>
    <x v="0"/>
    <x v="0"/>
    <n v="0"/>
  </r>
  <r>
    <x v="0"/>
    <x v="0"/>
    <n v="0"/>
  </r>
  <r>
    <x v="0"/>
    <x v="0"/>
    <n v="0"/>
  </r>
  <r>
    <x v="0"/>
    <x v="0"/>
    <n v="0"/>
  </r>
  <r>
    <x v="1"/>
    <x v="1"/>
    <n v="0"/>
  </r>
  <r>
    <x v="1"/>
    <x v="1"/>
    <n v="0"/>
  </r>
  <r>
    <x v="1"/>
    <x v="1"/>
    <n v="0"/>
  </r>
  <r>
    <x v="1"/>
    <x v="1"/>
    <n v="0"/>
  </r>
  <r>
    <x v="1"/>
    <x v="1"/>
    <n v="0"/>
  </r>
  <r>
    <x v="0"/>
    <x v="0"/>
    <n v="0"/>
  </r>
  <r>
    <x v="1"/>
    <x v="1"/>
    <n v="0"/>
  </r>
  <r>
    <x v="1"/>
    <x v="1"/>
    <n v="0"/>
  </r>
  <r>
    <x v="0"/>
    <x v="0"/>
    <n v="0"/>
  </r>
  <r>
    <x v="0"/>
    <x v="0"/>
    <n v="0"/>
  </r>
  <r>
    <x v="0"/>
    <x v="0"/>
    <n v="0"/>
  </r>
  <r>
    <x v="1"/>
    <x v="1"/>
    <n v="0"/>
  </r>
  <r>
    <x v="1"/>
    <x v="1"/>
    <n v="0"/>
  </r>
  <r>
    <x v="0"/>
    <x v="0"/>
    <n v="0"/>
  </r>
  <r>
    <x v="0"/>
    <x v="0"/>
    <n v="0"/>
  </r>
  <r>
    <x v="1"/>
    <x v="1"/>
    <n v="0"/>
  </r>
  <r>
    <x v="1"/>
    <x v="1"/>
    <n v="0"/>
  </r>
  <r>
    <x v="0"/>
    <x v="0"/>
    <n v="0"/>
  </r>
  <r>
    <x v="0"/>
    <x v="0"/>
    <n v="0"/>
  </r>
  <r>
    <x v="1"/>
    <x v="1"/>
    <n v="0"/>
  </r>
  <r>
    <x v="0"/>
    <x v="0"/>
    <n v="0"/>
  </r>
  <r>
    <x v="1"/>
    <x v="1"/>
    <n v="0"/>
  </r>
  <r>
    <x v="1"/>
    <x v="1"/>
    <n v="0"/>
  </r>
  <r>
    <x v="0"/>
    <x v="0"/>
    <n v="0"/>
  </r>
  <r>
    <x v="0"/>
    <x v="0"/>
    <n v="0"/>
  </r>
  <r>
    <x v="1"/>
    <x v="1"/>
    <n v="0"/>
  </r>
  <r>
    <x v="1"/>
    <x v="1"/>
    <n v="0"/>
  </r>
  <r>
    <x v="0"/>
    <x v="0"/>
    <n v="0"/>
  </r>
  <r>
    <x v="0"/>
    <x v="0"/>
    <n v="0"/>
  </r>
  <r>
    <x v="0"/>
    <x v="0"/>
    <n v="0"/>
  </r>
  <r>
    <x v="0"/>
    <x v="0"/>
    <n v="0"/>
  </r>
  <r>
    <x v="0"/>
    <x v="0"/>
    <n v="0"/>
  </r>
  <r>
    <x v="0"/>
    <x v="0"/>
    <n v="0"/>
  </r>
  <r>
    <x v="1"/>
    <x v="1"/>
    <n v="0"/>
  </r>
  <r>
    <x v="1"/>
    <x v="1"/>
    <n v="0"/>
  </r>
  <r>
    <x v="0"/>
    <x v="0"/>
    <n v="0"/>
  </r>
  <r>
    <x v="0"/>
    <x v="0"/>
    <n v="0"/>
  </r>
  <r>
    <x v="1"/>
    <x v="1"/>
    <n v="0"/>
  </r>
  <r>
    <x v="1"/>
    <x v="1"/>
    <n v="0"/>
  </r>
  <r>
    <x v="1"/>
    <x v="1"/>
    <n v="0"/>
  </r>
  <r>
    <x v="0"/>
    <x v="0"/>
    <n v="0"/>
  </r>
  <r>
    <x v="1"/>
    <x v="1"/>
    <n v="0"/>
  </r>
  <r>
    <x v="0"/>
    <x v="0"/>
    <n v="0"/>
  </r>
  <r>
    <x v="0"/>
    <x v="0"/>
    <n v="0"/>
  </r>
  <r>
    <x v="1"/>
    <x v="1"/>
    <n v="0"/>
  </r>
  <r>
    <x v="1"/>
    <x v="1"/>
    <n v="0"/>
  </r>
  <r>
    <x v="0"/>
    <x v="0"/>
    <n v="0"/>
  </r>
  <r>
    <x v="0"/>
    <x v="0"/>
    <n v="0"/>
  </r>
  <r>
    <x v="1"/>
    <x v="1"/>
    <n v="0"/>
  </r>
  <r>
    <x v="0"/>
    <x v="0"/>
    <n v="0"/>
  </r>
  <r>
    <x v="1"/>
    <x v="1"/>
    <n v="0"/>
  </r>
  <r>
    <x v="0"/>
    <x v="0"/>
    <n v="0"/>
  </r>
  <r>
    <x v="0"/>
    <x v="0"/>
    <n v="0"/>
  </r>
  <r>
    <x v="1"/>
    <x v="1"/>
    <n v="0"/>
  </r>
  <r>
    <x v="0"/>
    <x v="0"/>
    <n v="0"/>
  </r>
  <r>
    <x v="1"/>
    <x v="1"/>
    <n v="0"/>
  </r>
  <r>
    <x v="0"/>
    <x v="0"/>
    <n v="0"/>
  </r>
  <r>
    <x v="1"/>
    <x v="1"/>
    <n v="0"/>
  </r>
  <r>
    <x v="0"/>
    <x v="0"/>
    <n v="0"/>
  </r>
  <r>
    <x v="0"/>
    <x v="0"/>
    <n v="0"/>
  </r>
  <r>
    <x v="1"/>
    <x v="1"/>
    <n v="0"/>
  </r>
  <r>
    <x v="1"/>
    <x v="1"/>
    <n v="0"/>
  </r>
  <r>
    <x v="1"/>
    <x v="1"/>
    <n v="0"/>
  </r>
  <r>
    <x v="0"/>
    <x v="0"/>
    <n v="0"/>
  </r>
  <r>
    <x v="1"/>
    <x v="1"/>
    <n v="0"/>
  </r>
  <r>
    <x v="0"/>
    <x v="0"/>
    <n v="0"/>
  </r>
  <r>
    <x v="1"/>
    <x v="1"/>
    <n v="0"/>
  </r>
  <r>
    <x v="1"/>
    <x v="1"/>
    <n v="0"/>
  </r>
  <r>
    <x v="1"/>
    <x v="1"/>
    <n v="0"/>
  </r>
  <r>
    <x v="1"/>
    <x v="1"/>
    <n v="0"/>
  </r>
  <r>
    <x v="1"/>
    <x v="1"/>
    <n v="0"/>
  </r>
  <r>
    <x v="1"/>
    <x v="1"/>
    <n v="0"/>
  </r>
  <r>
    <x v="1"/>
    <x v="1"/>
    <n v="0"/>
  </r>
  <r>
    <x v="1"/>
    <x v="1"/>
    <n v="0"/>
  </r>
  <r>
    <x v="0"/>
    <x v="0"/>
    <n v="1"/>
  </r>
  <r>
    <x v="0"/>
    <x v="0"/>
    <n v="0"/>
  </r>
  <r>
    <x v="0"/>
    <x v="0"/>
    <n v="0"/>
  </r>
  <r>
    <x v="1"/>
    <x v="1"/>
    <n v="0"/>
  </r>
  <r>
    <x v="1"/>
    <x v="1"/>
    <n v="0"/>
  </r>
  <r>
    <x v="1"/>
    <x v="1"/>
    <n v="0"/>
  </r>
  <r>
    <x v="1"/>
    <x v="1"/>
    <n v="0"/>
  </r>
  <r>
    <x v="1"/>
    <x v="1"/>
    <n v="0"/>
  </r>
  <r>
    <x v="0"/>
    <x v="0"/>
    <n v="0"/>
  </r>
  <r>
    <x v="0"/>
    <x v="0"/>
    <n v="0"/>
  </r>
  <r>
    <x v="1"/>
    <x v="1"/>
    <n v="0"/>
  </r>
  <r>
    <x v="1"/>
    <x v="1"/>
    <n v="0"/>
  </r>
  <r>
    <x v="0"/>
    <x v="0"/>
    <n v="1"/>
  </r>
  <r>
    <x v="0"/>
    <x v="0"/>
    <n v="0"/>
  </r>
  <r>
    <x v="1"/>
    <x v="1"/>
    <n v="0"/>
  </r>
  <r>
    <x v="1"/>
    <x v="1"/>
    <n v="0"/>
  </r>
  <r>
    <x v="1"/>
    <x v="1"/>
    <n v="0"/>
  </r>
  <r>
    <x v="0"/>
    <x v="0"/>
    <n v="0"/>
  </r>
  <r>
    <x v="0"/>
    <x v="0"/>
    <n v="0"/>
  </r>
  <r>
    <x v="0"/>
    <x v="0"/>
    <n v="0"/>
  </r>
  <r>
    <x v="1"/>
    <x v="1"/>
    <n v="0"/>
  </r>
  <r>
    <x v="1"/>
    <x v="1"/>
    <n v="0"/>
  </r>
  <r>
    <x v="1"/>
    <x v="1"/>
    <n v="0"/>
  </r>
  <r>
    <x v="0"/>
    <x v="0"/>
    <n v="0"/>
  </r>
  <r>
    <x v="0"/>
    <x v="0"/>
    <n v="0"/>
  </r>
  <r>
    <x v="1"/>
    <x v="1"/>
    <n v="0"/>
  </r>
  <r>
    <x v="0"/>
    <x v="0"/>
    <n v="0"/>
  </r>
  <r>
    <x v="1"/>
    <x v="1"/>
    <n v="0"/>
  </r>
  <r>
    <x v="1"/>
    <x v="1"/>
    <n v="0"/>
  </r>
  <r>
    <x v="0"/>
    <x v="0"/>
    <n v="0"/>
  </r>
  <r>
    <x v="1"/>
    <x v="1"/>
    <n v="0"/>
  </r>
  <r>
    <x v="0"/>
    <x v="0"/>
    <n v="0"/>
  </r>
  <r>
    <x v="0"/>
    <x v="0"/>
    <n v="0"/>
  </r>
  <r>
    <x v="1"/>
    <x v="1"/>
    <n v="0"/>
  </r>
  <r>
    <x v="0"/>
    <x v="0"/>
    <n v="0"/>
  </r>
  <r>
    <x v="1"/>
    <x v="1"/>
    <n v="1"/>
  </r>
  <r>
    <x v="1"/>
    <x v="1"/>
    <n v="1"/>
  </r>
  <r>
    <x v="1"/>
    <x v="1"/>
    <n v="0"/>
  </r>
  <r>
    <x v="0"/>
    <x v="0"/>
    <n v="0"/>
  </r>
  <r>
    <x v="0"/>
    <x v="0"/>
    <n v="0"/>
  </r>
  <r>
    <x v="0"/>
    <x v="0"/>
    <n v="0"/>
  </r>
  <r>
    <x v="1"/>
    <x v="1"/>
    <n v="0"/>
  </r>
  <r>
    <x v="1"/>
    <x v="1"/>
    <n v="0"/>
  </r>
  <r>
    <x v="1"/>
    <x v="1"/>
    <n v="0"/>
  </r>
  <r>
    <x v="1"/>
    <x v="1"/>
    <n v="0"/>
  </r>
  <r>
    <x v="1"/>
    <x v="1"/>
    <n v="0"/>
  </r>
  <r>
    <x v="1"/>
    <x v="1"/>
    <n v="1"/>
  </r>
  <r>
    <x v="1"/>
    <x v="1"/>
    <n v="1"/>
  </r>
  <r>
    <x v="1"/>
    <x v="1"/>
    <n v="0"/>
  </r>
  <r>
    <x v="1"/>
    <x v="1"/>
    <n v="0"/>
  </r>
  <r>
    <x v="1"/>
    <x v="1"/>
    <n v="0"/>
  </r>
  <r>
    <x v="1"/>
    <x v="1"/>
    <n v="0"/>
  </r>
  <r>
    <x v="0"/>
    <x v="0"/>
    <n v="0"/>
  </r>
  <r>
    <x v="0"/>
    <x v="0"/>
    <n v="0"/>
  </r>
  <r>
    <x v="1"/>
    <x v="1"/>
    <n v="0"/>
  </r>
  <r>
    <x v="1"/>
    <x v="1"/>
    <n v="0"/>
  </r>
  <r>
    <x v="1"/>
    <x v="1"/>
    <n v="1"/>
  </r>
  <r>
    <x v="1"/>
    <x v="1"/>
    <n v="1"/>
  </r>
  <r>
    <x v="1"/>
    <x v="1"/>
    <n v="0"/>
  </r>
  <r>
    <x v="0"/>
    <x v="0"/>
    <n v="0"/>
  </r>
  <r>
    <x v="1"/>
    <x v="1"/>
    <n v="0"/>
  </r>
  <r>
    <x v="1"/>
    <x v="1"/>
    <n v="0"/>
  </r>
  <r>
    <x v="0"/>
    <x v="0"/>
    <n v="0"/>
  </r>
  <r>
    <x v="0"/>
    <x v="0"/>
    <n v="0"/>
  </r>
  <r>
    <x v="1"/>
    <x v="1"/>
    <n v="0"/>
  </r>
  <r>
    <x v="0"/>
    <x v="0"/>
    <n v="0"/>
  </r>
  <r>
    <x v="0"/>
    <x v="0"/>
    <n v="0"/>
  </r>
  <r>
    <x v="1"/>
    <x v="1"/>
    <n v="0"/>
  </r>
  <r>
    <x v="0"/>
    <x v="0"/>
    <n v="0"/>
  </r>
  <r>
    <x v="0"/>
    <x v="0"/>
    <n v="0"/>
  </r>
  <r>
    <x v="1"/>
    <x v="1"/>
    <n v="0"/>
  </r>
  <r>
    <x v="1"/>
    <x v="1"/>
    <n v="0"/>
  </r>
  <r>
    <x v="1"/>
    <x v="1"/>
    <n v="0"/>
  </r>
  <r>
    <x v="1"/>
    <x v="1"/>
    <n v="0"/>
  </r>
  <r>
    <x v="0"/>
    <x v="0"/>
    <n v="0"/>
  </r>
  <r>
    <x v="1"/>
    <x v="1"/>
    <n v="0"/>
  </r>
  <r>
    <x v="0"/>
    <x v="0"/>
    <n v="0"/>
  </r>
  <r>
    <x v="0"/>
    <x v="0"/>
    <n v="0"/>
  </r>
  <r>
    <x v="0"/>
    <x v="0"/>
    <n v="0"/>
  </r>
  <r>
    <x v="0"/>
    <x v="0"/>
    <n v="0"/>
  </r>
  <r>
    <x v="1"/>
    <x v="1"/>
    <n v="0"/>
  </r>
  <r>
    <x v="0"/>
    <x v="0"/>
    <n v="0"/>
  </r>
  <r>
    <x v="0"/>
    <x v="0"/>
    <n v="0"/>
  </r>
  <r>
    <x v="1"/>
    <x v="1"/>
    <n v="0"/>
  </r>
  <r>
    <x v="1"/>
    <x v="1"/>
    <n v="0"/>
  </r>
  <r>
    <x v="0"/>
    <x v="0"/>
    <n v="0"/>
  </r>
  <r>
    <x v="1"/>
    <x v="1"/>
    <n v="0"/>
  </r>
  <r>
    <x v="0"/>
    <x v="0"/>
    <n v="0"/>
  </r>
  <r>
    <x v="1"/>
    <x v="1"/>
    <n v="0"/>
  </r>
  <r>
    <x v="1"/>
    <x v="1"/>
    <n v="0"/>
  </r>
  <r>
    <x v="1"/>
    <x v="1"/>
    <n v="0"/>
  </r>
  <r>
    <x v="1"/>
    <x v="1"/>
    <n v="0"/>
  </r>
  <r>
    <x v="0"/>
    <x v="0"/>
    <n v="0"/>
  </r>
  <r>
    <x v="1"/>
    <x v="1"/>
    <n v="0"/>
  </r>
  <r>
    <x v="1"/>
    <x v="1"/>
    <n v="0"/>
  </r>
  <r>
    <x v="1"/>
    <x v="1"/>
    <n v="0"/>
  </r>
  <r>
    <x v="1"/>
    <x v="1"/>
    <n v="0"/>
  </r>
  <r>
    <x v="1"/>
    <x v="1"/>
    <n v="0"/>
  </r>
  <r>
    <x v="1"/>
    <x v="1"/>
    <n v="0"/>
  </r>
  <r>
    <x v="0"/>
    <x v="0"/>
    <n v="0"/>
  </r>
  <r>
    <x v="0"/>
    <x v="0"/>
    <n v="0"/>
  </r>
  <r>
    <x v="0"/>
    <x v="0"/>
    <n v="1"/>
  </r>
  <r>
    <x v="0"/>
    <x v="0"/>
    <n v="0"/>
  </r>
  <r>
    <x v="1"/>
    <x v="1"/>
    <n v="0"/>
  </r>
  <r>
    <x v="1"/>
    <x v="1"/>
    <n v="0"/>
  </r>
  <r>
    <x v="0"/>
    <x v="0"/>
    <n v="0"/>
  </r>
  <r>
    <x v="1"/>
    <x v="1"/>
    <n v="0"/>
  </r>
  <r>
    <x v="0"/>
    <x v="0"/>
    <n v="0"/>
  </r>
  <r>
    <x v="1"/>
    <x v="1"/>
    <n v="0"/>
  </r>
  <r>
    <x v="0"/>
    <x v="0"/>
    <n v="0"/>
  </r>
  <r>
    <x v="1"/>
    <x v="1"/>
    <n v="0"/>
  </r>
  <r>
    <x v="0"/>
    <x v="0"/>
    <n v="0"/>
  </r>
  <r>
    <x v="0"/>
    <x v="0"/>
    <n v="0"/>
  </r>
  <r>
    <x v="0"/>
    <x v="0"/>
    <n v="0"/>
  </r>
  <r>
    <x v="0"/>
    <x v="0"/>
    <n v="0"/>
  </r>
  <r>
    <x v="1"/>
    <x v="1"/>
    <n v="0"/>
  </r>
  <r>
    <x v="1"/>
    <x v="1"/>
    <n v="0"/>
  </r>
  <r>
    <x v="1"/>
    <x v="1"/>
    <n v="0"/>
  </r>
  <r>
    <x v="0"/>
    <x v="0"/>
    <n v="0"/>
  </r>
  <r>
    <x v="0"/>
    <x v="0"/>
    <n v="0"/>
  </r>
  <r>
    <x v="1"/>
    <x v="1"/>
    <n v="0"/>
  </r>
  <r>
    <x v="1"/>
    <x v="1"/>
    <n v="0"/>
  </r>
  <r>
    <x v="0"/>
    <x v="0"/>
    <n v="0"/>
  </r>
  <r>
    <x v="1"/>
    <x v="1"/>
    <n v="0"/>
  </r>
  <r>
    <x v="1"/>
    <x v="1"/>
    <n v="0"/>
  </r>
  <r>
    <x v="0"/>
    <x v="0"/>
    <n v="0"/>
  </r>
  <r>
    <x v="0"/>
    <x v="0"/>
    <n v="0"/>
  </r>
  <r>
    <x v="0"/>
    <x v="0"/>
    <n v="0"/>
  </r>
  <r>
    <x v="0"/>
    <x v="0"/>
    <n v="0"/>
  </r>
  <r>
    <x v="1"/>
    <x v="1"/>
    <n v="0"/>
  </r>
  <r>
    <x v="0"/>
    <x v="0"/>
    <n v="0"/>
  </r>
  <r>
    <x v="1"/>
    <x v="1"/>
    <n v="0"/>
  </r>
  <r>
    <x v="0"/>
    <x v="0"/>
    <n v="0"/>
  </r>
  <r>
    <x v="1"/>
    <x v="1"/>
    <n v="0"/>
  </r>
  <r>
    <x v="0"/>
    <x v="0"/>
    <n v="0"/>
  </r>
  <r>
    <x v="1"/>
    <x v="1"/>
    <n v="0"/>
  </r>
  <r>
    <x v="1"/>
    <x v="1"/>
    <n v="0"/>
  </r>
  <r>
    <x v="0"/>
    <x v="0"/>
    <n v="0"/>
  </r>
  <r>
    <x v="1"/>
    <x v="1"/>
    <n v="0"/>
  </r>
  <r>
    <x v="1"/>
    <x v="1"/>
    <n v="0"/>
  </r>
  <r>
    <x v="0"/>
    <x v="0"/>
    <n v="0"/>
  </r>
  <r>
    <x v="1"/>
    <x v="1"/>
    <n v="0"/>
  </r>
  <r>
    <x v="0"/>
    <x v="0"/>
    <n v="0"/>
  </r>
  <r>
    <x v="1"/>
    <x v="1"/>
    <n v="0"/>
  </r>
  <r>
    <x v="0"/>
    <x v="0"/>
    <n v="0"/>
  </r>
  <r>
    <x v="1"/>
    <x v="1"/>
    <n v="0"/>
  </r>
  <r>
    <x v="0"/>
    <x v="0"/>
    <n v="0"/>
  </r>
  <r>
    <x v="0"/>
    <x v="0"/>
    <n v="0"/>
  </r>
  <r>
    <x v="1"/>
    <x v="1"/>
    <n v="0"/>
  </r>
  <r>
    <x v="0"/>
    <x v="0"/>
    <n v="0"/>
  </r>
  <r>
    <x v="0"/>
    <x v="0"/>
    <n v="0"/>
  </r>
  <r>
    <x v="1"/>
    <x v="1"/>
    <n v="0"/>
  </r>
  <r>
    <x v="0"/>
    <x v="0"/>
    <n v="0"/>
  </r>
  <r>
    <x v="0"/>
    <x v="0"/>
    <n v="0"/>
  </r>
  <r>
    <x v="1"/>
    <x v="1"/>
    <n v="0"/>
  </r>
  <r>
    <x v="1"/>
    <x v="1"/>
    <n v="0"/>
  </r>
  <r>
    <x v="0"/>
    <x v="0"/>
    <n v="0"/>
  </r>
  <r>
    <x v="0"/>
    <x v="0"/>
    <n v="0"/>
  </r>
  <r>
    <x v="0"/>
    <x v="0"/>
    <n v="0"/>
  </r>
  <r>
    <x v="0"/>
    <x v="0"/>
    <n v="0"/>
  </r>
  <r>
    <x v="1"/>
    <x v="1"/>
    <n v="0"/>
  </r>
  <r>
    <x v="1"/>
    <x v="1"/>
    <n v="0"/>
  </r>
  <r>
    <x v="1"/>
    <x v="1"/>
    <n v="0"/>
  </r>
  <r>
    <x v="1"/>
    <x v="1"/>
    <n v="0"/>
  </r>
  <r>
    <x v="1"/>
    <x v="1"/>
    <n v="0"/>
  </r>
  <r>
    <x v="1"/>
    <x v="1"/>
    <n v="0"/>
  </r>
  <r>
    <x v="0"/>
    <x v="0"/>
    <n v="0"/>
  </r>
  <r>
    <x v="1"/>
    <x v="1"/>
    <n v="0"/>
  </r>
  <r>
    <x v="0"/>
    <x v="0"/>
    <n v="0"/>
  </r>
  <r>
    <x v="0"/>
    <x v="0"/>
    <n v="0"/>
  </r>
  <r>
    <x v="0"/>
    <x v="0"/>
    <n v="0"/>
  </r>
  <r>
    <x v="0"/>
    <x v="0"/>
    <n v="0"/>
  </r>
  <r>
    <x v="0"/>
    <x v="0"/>
    <n v="0"/>
  </r>
  <r>
    <x v="1"/>
    <x v="1"/>
    <n v="0"/>
  </r>
  <r>
    <x v="1"/>
    <x v="1"/>
    <n v="0"/>
  </r>
  <r>
    <x v="0"/>
    <x v="0"/>
    <n v="0"/>
  </r>
  <r>
    <x v="0"/>
    <x v="0"/>
    <n v="0"/>
  </r>
  <r>
    <x v="0"/>
    <x v="0"/>
    <n v="0"/>
  </r>
  <r>
    <x v="0"/>
    <x v="0"/>
    <n v="0"/>
  </r>
  <r>
    <x v="1"/>
    <x v="1"/>
    <n v="0"/>
  </r>
  <r>
    <x v="1"/>
    <x v="1"/>
    <n v="0"/>
  </r>
  <r>
    <x v="0"/>
    <x v="0"/>
    <n v="0"/>
  </r>
  <r>
    <x v="0"/>
    <x v="0"/>
    <n v="0"/>
  </r>
  <r>
    <x v="1"/>
    <x v="1"/>
    <n v="0"/>
  </r>
  <r>
    <x v="1"/>
    <x v="1"/>
    <n v="0"/>
  </r>
  <r>
    <x v="0"/>
    <x v="0"/>
    <n v="0"/>
  </r>
  <r>
    <x v="1"/>
    <x v="1"/>
    <n v="0"/>
  </r>
  <r>
    <x v="0"/>
    <x v="0"/>
    <n v="0"/>
  </r>
  <r>
    <x v="1"/>
    <x v="1"/>
    <n v="0"/>
  </r>
  <r>
    <x v="1"/>
    <x v="1"/>
    <n v="0"/>
  </r>
  <r>
    <x v="1"/>
    <x v="1"/>
    <n v="0"/>
  </r>
  <r>
    <x v="0"/>
    <x v="0"/>
    <n v="0"/>
  </r>
  <r>
    <x v="1"/>
    <x v="1"/>
    <n v="1"/>
  </r>
  <r>
    <x v="0"/>
    <x v="0"/>
    <n v="0"/>
  </r>
  <r>
    <x v="1"/>
    <x v="1"/>
    <n v="1"/>
  </r>
  <r>
    <x v="1"/>
    <x v="1"/>
    <n v="0"/>
  </r>
  <r>
    <x v="0"/>
    <x v="0"/>
    <n v="0"/>
  </r>
  <r>
    <x v="1"/>
    <x v="1"/>
    <n v="0"/>
  </r>
  <r>
    <x v="0"/>
    <x v="0"/>
    <n v="0"/>
  </r>
  <r>
    <x v="0"/>
    <x v="0"/>
    <n v="0"/>
  </r>
  <r>
    <x v="1"/>
    <x v="1"/>
    <n v="1"/>
  </r>
  <r>
    <x v="1"/>
    <x v="1"/>
    <n v="0"/>
  </r>
  <r>
    <x v="1"/>
    <x v="1"/>
    <n v="0"/>
  </r>
  <r>
    <x v="0"/>
    <x v="0"/>
    <n v="0"/>
  </r>
  <r>
    <x v="1"/>
    <x v="1"/>
    <n v="0"/>
  </r>
  <r>
    <x v="1"/>
    <x v="1"/>
    <n v="0"/>
  </r>
  <r>
    <x v="0"/>
    <x v="0"/>
    <n v="0"/>
  </r>
  <r>
    <x v="0"/>
    <x v="0"/>
    <n v="0"/>
  </r>
  <r>
    <x v="1"/>
    <x v="1"/>
    <n v="0"/>
  </r>
  <r>
    <x v="0"/>
    <x v="0"/>
    <n v="0"/>
  </r>
  <r>
    <x v="1"/>
    <x v="1"/>
    <n v="0"/>
  </r>
  <r>
    <x v="0"/>
    <x v="0"/>
    <n v="1"/>
  </r>
  <r>
    <x v="0"/>
    <x v="0"/>
    <n v="0"/>
  </r>
  <r>
    <x v="1"/>
    <x v="1"/>
    <n v="0"/>
  </r>
  <r>
    <x v="1"/>
    <x v="1"/>
    <n v="0"/>
  </r>
  <r>
    <x v="0"/>
    <x v="0"/>
    <n v="0"/>
  </r>
  <r>
    <x v="1"/>
    <x v="1"/>
    <n v="0"/>
  </r>
  <r>
    <x v="1"/>
    <x v="1"/>
    <n v="0"/>
  </r>
  <r>
    <x v="0"/>
    <x v="0"/>
    <n v="0"/>
  </r>
  <r>
    <x v="0"/>
    <x v="0"/>
    <n v="0"/>
  </r>
  <r>
    <x v="0"/>
    <x v="0"/>
    <n v="0"/>
  </r>
  <r>
    <x v="0"/>
    <x v="0"/>
    <n v="0"/>
  </r>
  <r>
    <x v="1"/>
    <x v="1"/>
    <n v="0"/>
  </r>
  <r>
    <x v="0"/>
    <x v="0"/>
    <n v="0"/>
  </r>
  <r>
    <x v="0"/>
    <x v="0"/>
    <n v="0"/>
  </r>
  <r>
    <x v="1"/>
    <x v="1"/>
    <n v="0"/>
  </r>
  <r>
    <x v="0"/>
    <x v="0"/>
    <n v="0"/>
  </r>
  <r>
    <x v="0"/>
    <x v="0"/>
    <n v="0"/>
  </r>
  <r>
    <x v="0"/>
    <x v="0"/>
    <n v="0"/>
  </r>
  <r>
    <x v="1"/>
    <x v="1"/>
    <n v="0"/>
  </r>
  <r>
    <x v="1"/>
    <x v="1"/>
    <n v="0"/>
  </r>
  <r>
    <x v="1"/>
    <x v="1"/>
    <n v="0"/>
  </r>
  <r>
    <x v="1"/>
    <x v="1"/>
    <n v="0"/>
  </r>
  <r>
    <x v="0"/>
    <x v="0"/>
    <n v="0"/>
  </r>
  <r>
    <x v="1"/>
    <x v="1"/>
    <n v="0"/>
  </r>
  <r>
    <x v="0"/>
    <x v="0"/>
    <n v="0"/>
  </r>
  <r>
    <x v="0"/>
    <x v="0"/>
    <n v="0"/>
  </r>
  <r>
    <x v="0"/>
    <x v="0"/>
    <n v="0"/>
  </r>
  <r>
    <x v="1"/>
    <x v="1"/>
    <n v="0"/>
  </r>
  <r>
    <x v="1"/>
    <x v="1"/>
    <n v="0"/>
  </r>
  <r>
    <x v="1"/>
    <x v="1"/>
    <n v="0"/>
  </r>
  <r>
    <x v="1"/>
    <x v="1"/>
    <n v="0"/>
  </r>
  <r>
    <x v="1"/>
    <x v="1"/>
    <n v="0"/>
  </r>
  <r>
    <x v="0"/>
    <x v="0"/>
    <n v="0"/>
  </r>
  <r>
    <x v="0"/>
    <x v="0"/>
    <n v="0"/>
  </r>
  <r>
    <x v="0"/>
    <x v="0"/>
    <n v="0"/>
  </r>
  <r>
    <x v="1"/>
    <x v="1"/>
    <n v="0"/>
  </r>
  <r>
    <x v="0"/>
    <x v="0"/>
    <n v="0"/>
  </r>
  <r>
    <x v="1"/>
    <x v="1"/>
    <n v="0"/>
  </r>
  <r>
    <x v="1"/>
    <x v="1"/>
    <n v="0"/>
  </r>
  <r>
    <x v="0"/>
    <x v="0"/>
    <n v="0"/>
  </r>
  <r>
    <x v="0"/>
    <x v="0"/>
    <n v="0"/>
  </r>
  <r>
    <x v="1"/>
    <x v="1"/>
    <n v="0"/>
  </r>
  <r>
    <x v="0"/>
    <x v="0"/>
    <n v="0"/>
  </r>
  <r>
    <x v="0"/>
    <x v="0"/>
    <n v="0"/>
  </r>
  <r>
    <x v="0"/>
    <x v="0"/>
    <n v="0"/>
  </r>
  <r>
    <x v="0"/>
    <x v="0"/>
    <n v="0"/>
  </r>
  <r>
    <x v="1"/>
    <x v="1"/>
    <n v="0"/>
  </r>
  <r>
    <x v="0"/>
    <x v="0"/>
    <n v="0"/>
  </r>
  <r>
    <x v="1"/>
    <x v="1"/>
    <n v="0"/>
  </r>
  <r>
    <x v="1"/>
    <x v="1"/>
    <n v="0"/>
  </r>
  <r>
    <x v="1"/>
    <x v="1"/>
    <n v="0"/>
  </r>
  <r>
    <x v="1"/>
    <x v="1"/>
    <n v="0"/>
  </r>
  <r>
    <x v="0"/>
    <x v="0"/>
    <n v="0"/>
  </r>
  <r>
    <x v="0"/>
    <x v="0"/>
    <n v="0"/>
  </r>
  <r>
    <x v="1"/>
    <x v="1"/>
    <n v="0"/>
  </r>
  <r>
    <x v="1"/>
    <x v="1"/>
    <n v="0"/>
  </r>
  <r>
    <x v="1"/>
    <x v="1"/>
    <n v="0"/>
  </r>
  <r>
    <x v="1"/>
    <x v="1"/>
    <n v="0"/>
  </r>
  <r>
    <x v="1"/>
    <x v="1"/>
    <n v="0"/>
  </r>
  <r>
    <x v="1"/>
    <x v="1"/>
    <n v="0"/>
  </r>
  <r>
    <x v="0"/>
    <x v="0"/>
    <n v="0"/>
  </r>
  <r>
    <x v="0"/>
    <x v="0"/>
    <n v="0"/>
  </r>
  <r>
    <x v="1"/>
    <x v="1"/>
    <n v="0"/>
  </r>
  <r>
    <x v="0"/>
    <x v="0"/>
    <n v="0"/>
  </r>
  <r>
    <x v="1"/>
    <x v="1"/>
    <n v="0"/>
  </r>
  <r>
    <x v="0"/>
    <x v="0"/>
    <n v="0"/>
  </r>
  <r>
    <x v="1"/>
    <x v="1"/>
    <n v="0"/>
  </r>
  <r>
    <x v="1"/>
    <x v="1"/>
    <n v="0"/>
  </r>
  <r>
    <x v="1"/>
    <x v="1"/>
    <n v="0"/>
  </r>
  <r>
    <x v="0"/>
    <x v="0"/>
    <n v="0"/>
  </r>
  <r>
    <x v="1"/>
    <x v="1"/>
    <n v="0"/>
  </r>
  <r>
    <x v="1"/>
    <x v="1"/>
    <n v="0"/>
  </r>
  <r>
    <x v="0"/>
    <x v="0"/>
    <n v="0"/>
  </r>
  <r>
    <x v="0"/>
    <x v="0"/>
    <n v="0"/>
  </r>
  <r>
    <x v="0"/>
    <x v="0"/>
    <n v="0"/>
  </r>
  <r>
    <x v="1"/>
    <x v="1"/>
    <n v="0"/>
  </r>
  <r>
    <x v="0"/>
    <x v="0"/>
    <n v="0"/>
  </r>
  <r>
    <x v="0"/>
    <x v="0"/>
    <n v="0"/>
  </r>
  <r>
    <x v="0"/>
    <x v="0"/>
    <n v="0"/>
  </r>
  <r>
    <x v="0"/>
    <x v="0"/>
    <n v="0"/>
  </r>
  <r>
    <x v="1"/>
    <x v="1"/>
    <n v="0"/>
  </r>
  <r>
    <x v="0"/>
    <x v="0"/>
    <n v="0"/>
  </r>
  <r>
    <x v="1"/>
    <x v="1"/>
    <n v="0"/>
  </r>
  <r>
    <x v="1"/>
    <x v="1"/>
    <n v="0"/>
  </r>
  <r>
    <x v="1"/>
    <x v="1"/>
    <n v="0"/>
  </r>
  <r>
    <x v="1"/>
    <x v="1"/>
    <n v="0"/>
  </r>
  <r>
    <x v="0"/>
    <x v="0"/>
    <n v="0"/>
  </r>
  <r>
    <x v="1"/>
    <x v="1"/>
    <n v="0"/>
  </r>
  <r>
    <x v="1"/>
    <x v="1"/>
    <n v="0"/>
  </r>
  <r>
    <x v="1"/>
    <x v="1"/>
    <n v="0"/>
  </r>
  <r>
    <x v="0"/>
    <x v="0"/>
    <n v="0"/>
  </r>
  <r>
    <x v="1"/>
    <x v="1"/>
    <n v="0"/>
  </r>
  <r>
    <x v="1"/>
    <x v="1"/>
    <n v="0"/>
  </r>
  <r>
    <x v="0"/>
    <x v="0"/>
    <n v="0"/>
  </r>
  <r>
    <x v="0"/>
    <x v="0"/>
    <n v="0"/>
  </r>
  <r>
    <x v="0"/>
    <x v="0"/>
    <n v="0"/>
  </r>
  <r>
    <x v="0"/>
    <x v="0"/>
    <n v="0"/>
  </r>
  <r>
    <x v="1"/>
    <x v="1"/>
    <n v="0"/>
  </r>
  <r>
    <x v="0"/>
    <x v="0"/>
    <n v="0"/>
  </r>
  <r>
    <x v="1"/>
    <x v="1"/>
    <n v="0"/>
  </r>
  <r>
    <x v="0"/>
    <x v="0"/>
    <n v="0"/>
  </r>
  <r>
    <x v="1"/>
    <x v="1"/>
    <n v="0"/>
  </r>
  <r>
    <x v="0"/>
    <x v="0"/>
    <n v="0"/>
  </r>
  <r>
    <x v="1"/>
    <x v="1"/>
    <n v="0"/>
  </r>
  <r>
    <x v="1"/>
    <x v="1"/>
    <n v="0"/>
  </r>
  <r>
    <x v="0"/>
    <x v="0"/>
    <n v="0"/>
  </r>
  <r>
    <x v="1"/>
    <x v="1"/>
    <n v="0"/>
  </r>
  <r>
    <x v="1"/>
    <x v="1"/>
    <n v="0"/>
  </r>
  <r>
    <x v="0"/>
    <x v="0"/>
    <n v="0"/>
  </r>
  <r>
    <x v="1"/>
    <x v="1"/>
    <n v="0"/>
  </r>
  <r>
    <x v="0"/>
    <x v="0"/>
    <n v="0"/>
  </r>
  <r>
    <x v="0"/>
    <x v="0"/>
    <n v="0"/>
  </r>
  <r>
    <x v="0"/>
    <x v="0"/>
    <n v="0"/>
  </r>
  <r>
    <x v="1"/>
    <x v="1"/>
    <n v="0"/>
  </r>
  <r>
    <x v="0"/>
    <x v="0"/>
    <n v="0"/>
  </r>
  <r>
    <x v="0"/>
    <x v="0"/>
    <n v="0"/>
  </r>
  <r>
    <x v="1"/>
    <x v="1"/>
    <n v="0"/>
  </r>
  <r>
    <x v="0"/>
    <x v="0"/>
    <n v="0"/>
  </r>
  <r>
    <x v="0"/>
    <x v="0"/>
    <n v="0"/>
  </r>
  <r>
    <x v="1"/>
    <x v="1"/>
    <n v="0"/>
  </r>
  <r>
    <x v="1"/>
    <x v="1"/>
    <n v="0"/>
  </r>
  <r>
    <x v="0"/>
    <x v="0"/>
    <n v="0"/>
  </r>
  <r>
    <x v="0"/>
    <x v="0"/>
    <n v="0"/>
  </r>
  <r>
    <x v="0"/>
    <x v="0"/>
    <n v="0"/>
  </r>
  <r>
    <x v="1"/>
    <x v="1"/>
    <n v="0"/>
  </r>
  <r>
    <x v="1"/>
    <x v="1"/>
    <n v="0"/>
  </r>
  <r>
    <x v="1"/>
    <x v="1"/>
    <n v="0"/>
  </r>
  <r>
    <x v="0"/>
    <x v="0"/>
    <n v="0"/>
  </r>
  <r>
    <x v="1"/>
    <x v="1"/>
    <n v="0"/>
  </r>
  <r>
    <x v="1"/>
    <x v="1"/>
    <n v="0"/>
  </r>
  <r>
    <x v="1"/>
    <x v="1"/>
    <n v="0"/>
  </r>
  <r>
    <x v="1"/>
    <x v="1"/>
    <n v="0"/>
  </r>
  <r>
    <x v="0"/>
    <x v="0"/>
    <n v="1"/>
  </r>
  <r>
    <x v="0"/>
    <x v="0"/>
    <n v="0"/>
  </r>
  <r>
    <x v="0"/>
    <x v="0"/>
    <n v="0"/>
  </r>
  <r>
    <x v="0"/>
    <x v="0"/>
    <n v="0"/>
  </r>
  <r>
    <x v="1"/>
    <x v="1"/>
    <n v="0"/>
  </r>
  <r>
    <x v="0"/>
    <x v="0"/>
    <n v="0"/>
  </r>
  <r>
    <x v="1"/>
    <x v="1"/>
    <n v="0"/>
  </r>
  <r>
    <x v="0"/>
    <x v="0"/>
    <n v="0"/>
  </r>
  <r>
    <x v="1"/>
    <x v="1"/>
    <n v="0"/>
  </r>
  <r>
    <x v="1"/>
    <x v="1"/>
    <n v="0"/>
  </r>
  <r>
    <x v="0"/>
    <x v="0"/>
    <n v="0"/>
  </r>
  <r>
    <x v="0"/>
    <x v="0"/>
    <n v="0"/>
  </r>
  <r>
    <x v="1"/>
    <x v="1"/>
    <n v="0"/>
  </r>
  <r>
    <x v="0"/>
    <x v="0"/>
    <n v="0"/>
  </r>
  <r>
    <x v="1"/>
    <x v="1"/>
    <n v="0"/>
  </r>
  <r>
    <x v="0"/>
    <x v="0"/>
    <n v="0"/>
  </r>
  <r>
    <x v="0"/>
    <x v="0"/>
    <n v="0"/>
  </r>
  <r>
    <x v="1"/>
    <x v="1"/>
    <n v="0"/>
  </r>
  <r>
    <x v="1"/>
    <x v="1"/>
    <n v="0"/>
  </r>
  <r>
    <x v="1"/>
    <x v="1"/>
    <n v="1"/>
  </r>
  <r>
    <x v="0"/>
    <x v="0"/>
    <n v="0"/>
  </r>
  <r>
    <x v="1"/>
    <x v="1"/>
    <n v="0"/>
  </r>
  <r>
    <x v="1"/>
    <x v="1"/>
    <n v="0"/>
  </r>
  <r>
    <x v="1"/>
    <x v="1"/>
    <n v="0"/>
  </r>
  <r>
    <x v="1"/>
    <x v="1"/>
    <n v="0"/>
  </r>
  <r>
    <x v="0"/>
    <x v="0"/>
    <n v="0"/>
  </r>
  <r>
    <x v="1"/>
    <x v="1"/>
    <n v="0"/>
  </r>
  <r>
    <x v="0"/>
    <x v="0"/>
    <n v="0"/>
  </r>
  <r>
    <x v="0"/>
    <x v="0"/>
    <n v="0"/>
  </r>
  <r>
    <x v="1"/>
    <x v="1"/>
    <n v="0"/>
  </r>
  <r>
    <x v="1"/>
    <x v="1"/>
    <n v="0"/>
  </r>
  <r>
    <x v="0"/>
    <x v="0"/>
    <n v="0"/>
  </r>
  <r>
    <x v="0"/>
    <x v="0"/>
    <n v="0"/>
  </r>
  <r>
    <x v="0"/>
    <x v="0"/>
    <n v="0"/>
  </r>
  <r>
    <x v="0"/>
    <x v="0"/>
    <n v="0"/>
  </r>
  <r>
    <x v="1"/>
    <x v="1"/>
    <n v="0"/>
  </r>
  <r>
    <x v="0"/>
    <x v="0"/>
    <n v="0"/>
  </r>
  <r>
    <x v="1"/>
    <x v="1"/>
    <n v="0"/>
  </r>
  <r>
    <x v="0"/>
    <x v="0"/>
    <n v="0"/>
  </r>
  <r>
    <x v="0"/>
    <x v="0"/>
    <n v="0"/>
  </r>
  <r>
    <x v="1"/>
    <x v="1"/>
    <n v="0"/>
  </r>
  <r>
    <x v="1"/>
    <x v="1"/>
    <n v="0"/>
  </r>
  <r>
    <x v="0"/>
    <x v="0"/>
    <n v="0"/>
  </r>
  <r>
    <x v="0"/>
    <x v="0"/>
    <n v="0"/>
  </r>
  <r>
    <x v="0"/>
    <x v="0"/>
    <n v="0"/>
  </r>
  <r>
    <x v="1"/>
    <x v="1"/>
    <n v="0"/>
  </r>
  <r>
    <x v="1"/>
    <x v="1"/>
    <n v="0"/>
  </r>
  <r>
    <x v="0"/>
    <x v="0"/>
    <n v="0"/>
  </r>
  <r>
    <x v="0"/>
    <x v="0"/>
    <n v="0"/>
  </r>
  <r>
    <x v="0"/>
    <x v="0"/>
    <n v="0"/>
  </r>
  <r>
    <x v="0"/>
    <x v="0"/>
    <n v="0"/>
  </r>
  <r>
    <x v="0"/>
    <x v="0"/>
    <n v="0"/>
  </r>
  <r>
    <x v="1"/>
    <x v="1"/>
    <n v="0"/>
  </r>
  <r>
    <x v="1"/>
    <x v="1"/>
    <n v="0"/>
  </r>
  <r>
    <x v="0"/>
    <x v="0"/>
    <n v="0"/>
  </r>
  <r>
    <x v="1"/>
    <x v="1"/>
    <n v="0"/>
  </r>
  <r>
    <x v="1"/>
    <x v="1"/>
    <n v="0"/>
  </r>
  <r>
    <x v="0"/>
    <x v="0"/>
    <n v="0"/>
  </r>
  <r>
    <x v="1"/>
    <x v="1"/>
    <n v="0"/>
  </r>
  <r>
    <x v="1"/>
    <x v="1"/>
    <n v="0"/>
  </r>
  <r>
    <x v="0"/>
    <x v="0"/>
    <n v="0"/>
  </r>
  <r>
    <x v="1"/>
    <x v="1"/>
    <n v="0"/>
  </r>
  <r>
    <x v="0"/>
    <x v="0"/>
    <n v="0"/>
  </r>
  <r>
    <x v="1"/>
    <x v="1"/>
    <n v="0"/>
  </r>
  <r>
    <x v="0"/>
    <x v="0"/>
    <n v="1"/>
  </r>
  <r>
    <x v="1"/>
    <x v="1"/>
    <n v="0"/>
  </r>
  <r>
    <x v="1"/>
    <x v="1"/>
    <n v="0"/>
  </r>
  <r>
    <x v="1"/>
    <x v="1"/>
    <n v="0"/>
  </r>
  <r>
    <x v="1"/>
    <x v="1"/>
    <n v="0"/>
  </r>
  <r>
    <x v="1"/>
    <x v="1"/>
    <n v="0"/>
  </r>
  <r>
    <x v="0"/>
    <x v="0"/>
    <n v="0"/>
  </r>
  <r>
    <x v="1"/>
    <x v="1"/>
    <n v="0"/>
  </r>
  <r>
    <x v="0"/>
    <x v="0"/>
    <n v="0"/>
  </r>
  <r>
    <x v="0"/>
    <x v="0"/>
    <n v="0"/>
  </r>
  <r>
    <x v="0"/>
    <x v="0"/>
    <n v="0"/>
  </r>
  <r>
    <x v="1"/>
    <x v="1"/>
    <n v="0"/>
  </r>
  <r>
    <x v="0"/>
    <x v="0"/>
    <n v="0"/>
  </r>
  <r>
    <x v="1"/>
    <x v="1"/>
    <n v="0"/>
  </r>
  <r>
    <x v="1"/>
    <x v="1"/>
    <n v="0"/>
  </r>
  <r>
    <x v="0"/>
    <x v="0"/>
    <n v="0"/>
  </r>
  <r>
    <x v="0"/>
    <x v="0"/>
    <n v="0"/>
  </r>
  <r>
    <x v="1"/>
    <x v="1"/>
    <n v="0"/>
  </r>
  <r>
    <x v="1"/>
    <x v="1"/>
    <n v="0"/>
  </r>
  <r>
    <x v="1"/>
    <x v="1"/>
    <n v="0"/>
  </r>
  <r>
    <x v="1"/>
    <x v="1"/>
    <n v="0"/>
  </r>
  <r>
    <x v="0"/>
    <x v="0"/>
    <n v="0"/>
  </r>
  <r>
    <x v="0"/>
    <x v="0"/>
    <n v="0"/>
  </r>
  <r>
    <x v="0"/>
    <x v="0"/>
    <n v="0"/>
  </r>
  <r>
    <x v="1"/>
    <x v="1"/>
    <n v="0"/>
  </r>
  <r>
    <x v="0"/>
    <x v="0"/>
    <n v="0"/>
  </r>
  <r>
    <x v="0"/>
    <x v="0"/>
    <n v="1"/>
  </r>
  <r>
    <x v="1"/>
    <x v="1"/>
    <n v="0"/>
  </r>
  <r>
    <x v="0"/>
    <x v="0"/>
    <n v="0"/>
  </r>
  <r>
    <x v="1"/>
    <x v="1"/>
    <n v="0"/>
  </r>
  <r>
    <x v="1"/>
    <x v="1"/>
    <n v="0"/>
  </r>
  <r>
    <x v="0"/>
    <x v="0"/>
    <n v="0"/>
  </r>
  <r>
    <x v="0"/>
    <x v="0"/>
    <n v="0"/>
  </r>
  <r>
    <x v="0"/>
    <x v="0"/>
    <n v="0"/>
  </r>
  <r>
    <x v="0"/>
    <x v="0"/>
    <n v="0"/>
  </r>
  <r>
    <x v="0"/>
    <x v="0"/>
    <n v="0"/>
  </r>
  <r>
    <x v="1"/>
    <x v="1"/>
    <n v="0"/>
  </r>
  <r>
    <x v="0"/>
    <x v="0"/>
    <n v="0"/>
  </r>
  <r>
    <x v="1"/>
    <x v="1"/>
    <n v="0"/>
  </r>
  <r>
    <x v="1"/>
    <x v="1"/>
    <n v="0"/>
  </r>
  <r>
    <x v="0"/>
    <x v="0"/>
    <n v="0"/>
  </r>
  <r>
    <x v="1"/>
    <x v="1"/>
    <n v="0"/>
  </r>
  <r>
    <x v="1"/>
    <x v="1"/>
    <n v="0"/>
  </r>
  <r>
    <x v="0"/>
    <x v="0"/>
    <n v="0"/>
  </r>
  <r>
    <x v="0"/>
    <x v="0"/>
    <n v="0"/>
  </r>
  <r>
    <x v="0"/>
    <x v="0"/>
    <n v="0"/>
  </r>
  <r>
    <x v="0"/>
    <x v="0"/>
    <n v="0"/>
  </r>
  <r>
    <x v="1"/>
    <x v="1"/>
    <n v="0"/>
  </r>
  <r>
    <x v="1"/>
    <x v="1"/>
    <n v="0"/>
  </r>
  <r>
    <x v="1"/>
    <x v="1"/>
    <n v="0"/>
  </r>
  <r>
    <x v="0"/>
    <x v="0"/>
    <n v="0"/>
  </r>
  <r>
    <x v="1"/>
    <x v="1"/>
    <n v="0"/>
  </r>
  <r>
    <x v="1"/>
    <x v="1"/>
    <n v="0"/>
  </r>
  <r>
    <x v="1"/>
    <x v="1"/>
    <n v="0"/>
  </r>
  <r>
    <x v="1"/>
    <x v="1"/>
    <n v="0"/>
  </r>
  <r>
    <x v="0"/>
    <x v="0"/>
    <n v="0"/>
  </r>
  <r>
    <x v="1"/>
    <x v="1"/>
    <n v="0"/>
  </r>
  <r>
    <x v="0"/>
    <x v="0"/>
    <n v="0"/>
  </r>
  <r>
    <x v="1"/>
    <x v="1"/>
    <n v="0"/>
  </r>
  <r>
    <x v="0"/>
    <x v="0"/>
    <n v="0"/>
  </r>
  <r>
    <x v="0"/>
    <x v="0"/>
    <n v="0"/>
  </r>
  <r>
    <x v="1"/>
    <x v="1"/>
    <n v="0"/>
  </r>
  <r>
    <x v="1"/>
    <x v="1"/>
    <n v="0"/>
  </r>
  <r>
    <x v="1"/>
    <x v="1"/>
    <n v="0"/>
  </r>
  <r>
    <x v="0"/>
    <x v="0"/>
    <n v="0"/>
  </r>
  <r>
    <x v="1"/>
    <x v="1"/>
    <n v="0"/>
  </r>
  <r>
    <x v="0"/>
    <x v="0"/>
    <n v="0"/>
  </r>
  <r>
    <x v="0"/>
    <x v="0"/>
    <n v="0"/>
  </r>
  <r>
    <x v="0"/>
    <x v="0"/>
    <n v="0"/>
  </r>
  <r>
    <x v="1"/>
    <x v="1"/>
    <n v="0"/>
  </r>
  <r>
    <x v="1"/>
    <x v="1"/>
    <n v="0"/>
  </r>
  <r>
    <x v="1"/>
    <x v="1"/>
    <n v="0"/>
  </r>
  <r>
    <x v="1"/>
    <x v="1"/>
    <n v="0"/>
  </r>
  <r>
    <x v="0"/>
    <x v="0"/>
    <n v="0"/>
  </r>
  <r>
    <x v="1"/>
    <x v="1"/>
    <n v="0"/>
  </r>
  <r>
    <x v="0"/>
    <x v="0"/>
    <n v="0"/>
  </r>
  <r>
    <x v="0"/>
    <x v="0"/>
    <n v="0"/>
  </r>
  <r>
    <x v="1"/>
    <x v="1"/>
    <n v="0"/>
  </r>
  <r>
    <x v="1"/>
    <x v="1"/>
    <n v="1"/>
  </r>
  <r>
    <x v="1"/>
    <x v="1"/>
    <n v="0"/>
  </r>
  <r>
    <x v="0"/>
    <x v="0"/>
    <n v="0"/>
  </r>
  <r>
    <x v="1"/>
    <x v="1"/>
    <n v="0"/>
  </r>
  <r>
    <x v="0"/>
    <x v="0"/>
    <n v="0"/>
  </r>
  <r>
    <x v="1"/>
    <x v="1"/>
    <n v="0"/>
  </r>
  <r>
    <x v="1"/>
    <x v="1"/>
    <n v="0"/>
  </r>
  <r>
    <x v="1"/>
    <x v="1"/>
    <n v="0"/>
  </r>
  <r>
    <x v="1"/>
    <x v="1"/>
    <n v="0"/>
  </r>
  <r>
    <x v="1"/>
    <x v="1"/>
    <n v="0"/>
  </r>
  <r>
    <x v="1"/>
    <x v="1"/>
    <n v="0"/>
  </r>
  <r>
    <x v="1"/>
    <x v="1"/>
    <n v="0"/>
  </r>
  <r>
    <x v="1"/>
    <x v="1"/>
    <n v="0"/>
  </r>
  <r>
    <x v="1"/>
    <x v="1"/>
    <n v="0"/>
  </r>
  <r>
    <x v="1"/>
    <x v="1"/>
    <n v="0"/>
  </r>
  <r>
    <x v="0"/>
    <x v="0"/>
    <n v="0"/>
  </r>
  <r>
    <x v="0"/>
    <x v="0"/>
    <n v="0"/>
  </r>
  <r>
    <x v="1"/>
    <x v="1"/>
    <n v="0"/>
  </r>
  <r>
    <x v="0"/>
    <x v="0"/>
    <n v="0"/>
  </r>
  <r>
    <x v="1"/>
    <x v="1"/>
    <n v="0"/>
  </r>
  <r>
    <x v="0"/>
    <x v="0"/>
    <n v="0"/>
  </r>
  <r>
    <x v="0"/>
    <x v="0"/>
    <n v="0"/>
  </r>
  <r>
    <x v="1"/>
    <x v="1"/>
    <n v="0"/>
  </r>
  <r>
    <x v="1"/>
    <x v="1"/>
    <n v="0"/>
  </r>
  <r>
    <x v="0"/>
    <x v="0"/>
    <n v="0"/>
  </r>
  <r>
    <x v="0"/>
    <x v="0"/>
    <n v="0"/>
  </r>
  <r>
    <x v="1"/>
    <x v="1"/>
    <n v="0"/>
  </r>
  <r>
    <x v="0"/>
    <x v="0"/>
    <n v="0"/>
  </r>
  <r>
    <x v="1"/>
    <x v="1"/>
    <n v="0"/>
  </r>
  <r>
    <x v="1"/>
    <x v="1"/>
    <n v="0"/>
  </r>
  <r>
    <x v="0"/>
    <x v="0"/>
    <n v="0"/>
  </r>
  <r>
    <x v="0"/>
    <x v="0"/>
    <n v="0"/>
  </r>
  <r>
    <x v="0"/>
    <x v="0"/>
    <n v="0"/>
  </r>
  <r>
    <x v="0"/>
    <x v="0"/>
    <n v="0"/>
  </r>
  <r>
    <x v="1"/>
    <x v="1"/>
    <n v="0"/>
  </r>
  <r>
    <x v="0"/>
    <x v="0"/>
    <n v="0"/>
  </r>
  <r>
    <x v="0"/>
    <x v="0"/>
    <n v="0"/>
  </r>
  <r>
    <x v="1"/>
    <x v="1"/>
    <n v="0"/>
  </r>
  <r>
    <x v="0"/>
    <x v="0"/>
    <n v="0"/>
  </r>
  <r>
    <x v="1"/>
    <x v="1"/>
    <n v="0"/>
  </r>
  <r>
    <x v="1"/>
    <x v="1"/>
    <n v="0"/>
  </r>
  <r>
    <x v="0"/>
    <x v="0"/>
    <n v="0"/>
  </r>
  <r>
    <x v="0"/>
    <x v="0"/>
    <n v="0"/>
  </r>
  <r>
    <x v="0"/>
    <x v="0"/>
    <n v="0"/>
  </r>
  <r>
    <x v="1"/>
    <x v="1"/>
    <n v="1"/>
  </r>
  <r>
    <x v="1"/>
    <x v="1"/>
    <n v="0"/>
  </r>
  <r>
    <x v="0"/>
    <x v="0"/>
    <n v="0"/>
  </r>
  <r>
    <x v="0"/>
    <x v="0"/>
    <n v="0"/>
  </r>
  <r>
    <x v="1"/>
    <x v="1"/>
    <n v="0"/>
  </r>
  <r>
    <x v="1"/>
    <x v="1"/>
    <n v="0"/>
  </r>
  <r>
    <x v="0"/>
    <x v="0"/>
    <n v="0"/>
  </r>
  <r>
    <x v="1"/>
    <x v="1"/>
    <n v="0"/>
  </r>
  <r>
    <x v="0"/>
    <x v="0"/>
    <n v="0"/>
  </r>
  <r>
    <x v="1"/>
    <x v="1"/>
    <n v="0"/>
  </r>
  <r>
    <x v="0"/>
    <x v="0"/>
    <n v="0"/>
  </r>
  <r>
    <x v="0"/>
    <x v="0"/>
    <n v="0"/>
  </r>
  <r>
    <x v="0"/>
    <x v="0"/>
    <n v="0"/>
  </r>
  <r>
    <x v="1"/>
    <x v="1"/>
    <n v="0"/>
  </r>
  <r>
    <x v="0"/>
    <x v="0"/>
    <n v="0"/>
  </r>
  <r>
    <x v="0"/>
    <x v="0"/>
    <n v="0"/>
  </r>
  <r>
    <x v="0"/>
    <x v="0"/>
    <n v="0"/>
  </r>
  <r>
    <x v="1"/>
    <x v="1"/>
    <n v="0"/>
  </r>
  <r>
    <x v="0"/>
    <x v="0"/>
    <n v="0"/>
  </r>
  <r>
    <x v="1"/>
    <x v="1"/>
    <n v="1"/>
  </r>
  <r>
    <x v="1"/>
    <x v="1"/>
    <n v="0"/>
  </r>
  <r>
    <x v="1"/>
    <x v="1"/>
    <n v="0"/>
  </r>
  <r>
    <x v="1"/>
    <x v="1"/>
    <n v="0"/>
  </r>
  <r>
    <x v="1"/>
    <x v="1"/>
    <n v="0"/>
  </r>
  <r>
    <x v="1"/>
    <x v="1"/>
    <n v="0"/>
  </r>
  <r>
    <x v="0"/>
    <x v="0"/>
    <n v="0"/>
  </r>
  <r>
    <x v="1"/>
    <x v="1"/>
    <n v="0"/>
  </r>
  <r>
    <x v="1"/>
    <x v="1"/>
    <n v="0"/>
  </r>
  <r>
    <x v="0"/>
    <x v="0"/>
    <n v="0"/>
  </r>
  <r>
    <x v="0"/>
    <x v="0"/>
    <n v="0"/>
  </r>
  <r>
    <x v="1"/>
    <x v="1"/>
    <n v="0"/>
  </r>
  <r>
    <x v="1"/>
    <x v="1"/>
    <n v="0"/>
  </r>
  <r>
    <x v="0"/>
    <x v="0"/>
    <n v="0"/>
  </r>
  <r>
    <x v="0"/>
    <x v="0"/>
    <n v="0"/>
  </r>
  <r>
    <x v="0"/>
    <x v="0"/>
    <n v="0"/>
  </r>
  <r>
    <x v="1"/>
    <x v="1"/>
    <n v="0"/>
  </r>
  <r>
    <x v="0"/>
    <x v="0"/>
    <n v="0"/>
  </r>
  <r>
    <x v="1"/>
    <x v="1"/>
    <n v="0"/>
  </r>
  <r>
    <x v="0"/>
    <x v="0"/>
    <n v="0"/>
  </r>
  <r>
    <x v="1"/>
    <x v="1"/>
    <n v="0"/>
  </r>
  <r>
    <x v="1"/>
    <x v="1"/>
    <n v="0"/>
  </r>
  <r>
    <x v="0"/>
    <x v="0"/>
    <n v="0"/>
  </r>
  <r>
    <x v="1"/>
    <x v="1"/>
    <n v="0"/>
  </r>
  <r>
    <x v="0"/>
    <x v="0"/>
    <n v="0"/>
  </r>
  <r>
    <x v="1"/>
    <x v="1"/>
    <n v="0"/>
  </r>
  <r>
    <x v="0"/>
    <x v="0"/>
    <n v="0"/>
  </r>
  <r>
    <x v="0"/>
    <x v="0"/>
    <n v="0"/>
  </r>
  <r>
    <x v="1"/>
    <x v="1"/>
    <n v="0"/>
  </r>
  <r>
    <x v="1"/>
    <x v="1"/>
    <n v="0"/>
  </r>
  <r>
    <x v="0"/>
    <x v="0"/>
    <n v="0"/>
  </r>
  <r>
    <x v="1"/>
    <x v="1"/>
    <n v="0"/>
  </r>
  <r>
    <x v="1"/>
    <x v="1"/>
    <n v="0"/>
  </r>
  <r>
    <x v="0"/>
    <x v="0"/>
    <n v="1"/>
  </r>
  <r>
    <x v="0"/>
    <x v="0"/>
    <n v="0"/>
  </r>
  <r>
    <x v="0"/>
    <x v="0"/>
    <n v="0"/>
  </r>
  <r>
    <x v="1"/>
    <x v="1"/>
    <n v="1"/>
  </r>
  <r>
    <x v="1"/>
    <x v="1"/>
    <n v="0"/>
  </r>
  <r>
    <x v="1"/>
    <x v="1"/>
    <n v="0"/>
  </r>
  <r>
    <x v="0"/>
    <x v="0"/>
    <n v="0"/>
  </r>
  <r>
    <x v="0"/>
    <x v="0"/>
    <n v="0"/>
  </r>
  <r>
    <x v="0"/>
    <x v="0"/>
    <n v="0"/>
  </r>
  <r>
    <x v="0"/>
    <x v="0"/>
    <n v="0"/>
  </r>
  <r>
    <x v="1"/>
    <x v="1"/>
    <n v="0"/>
  </r>
  <r>
    <x v="1"/>
    <x v="1"/>
    <n v="0"/>
  </r>
  <r>
    <x v="1"/>
    <x v="1"/>
    <n v="0"/>
  </r>
  <r>
    <x v="0"/>
    <x v="0"/>
    <n v="0"/>
  </r>
  <r>
    <x v="0"/>
    <x v="0"/>
    <n v="0"/>
  </r>
  <r>
    <x v="1"/>
    <x v="1"/>
    <n v="0"/>
  </r>
  <r>
    <x v="0"/>
    <x v="0"/>
    <n v="0"/>
  </r>
  <r>
    <x v="0"/>
    <x v="0"/>
    <n v="0"/>
  </r>
  <r>
    <x v="1"/>
    <x v="1"/>
    <n v="0"/>
  </r>
  <r>
    <x v="0"/>
    <x v="0"/>
    <n v="0"/>
  </r>
  <r>
    <x v="0"/>
    <x v="0"/>
    <n v="0"/>
  </r>
  <r>
    <x v="0"/>
    <x v="0"/>
    <n v="1"/>
  </r>
  <r>
    <x v="0"/>
    <x v="0"/>
    <n v="0"/>
  </r>
  <r>
    <x v="1"/>
    <x v="1"/>
    <n v="0"/>
  </r>
  <r>
    <x v="0"/>
    <x v="0"/>
    <n v="0"/>
  </r>
  <r>
    <x v="1"/>
    <x v="1"/>
    <n v="0"/>
  </r>
  <r>
    <x v="0"/>
    <x v="0"/>
    <n v="0"/>
  </r>
  <r>
    <x v="0"/>
    <x v="0"/>
    <n v="0"/>
  </r>
  <r>
    <x v="0"/>
    <x v="0"/>
    <n v="0"/>
  </r>
  <r>
    <x v="1"/>
    <x v="1"/>
    <n v="0"/>
  </r>
  <r>
    <x v="0"/>
    <x v="0"/>
    <n v="0"/>
  </r>
  <r>
    <x v="0"/>
    <x v="0"/>
    <n v="0"/>
  </r>
  <r>
    <x v="0"/>
    <x v="0"/>
    <n v="0"/>
  </r>
  <r>
    <x v="1"/>
    <x v="1"/>
    <n v="0"/>
  </r>
  <r>
    <x v="1"/>
    <x v="1"/>
    <n v="0"/>
  </r>
  <r>
    <x v="0"/>
    <x v="0"/>
    <n v="0"/>
  </r>
  <r>
    <x v="0"/>
    <x v="0"/>
    <n v="0"/>
  </r>
  <r>
    <x v="0"/>
    <x v="0"/>
    <n v="0"/>
  </r>
  <r>
    <x v="1"/>
    <x v="1"/>
    <n v="0"/>
  </r>
  <r>
    <x v="0"/>
    <x v="0"/>
    <n v="0"/>
  </r>
  <r>
    <x v="1"/>
    <x v="1"/>
    <n v="0"/>
  </r>
  <r>
    <x v="0"/>
    <x v="0"/>
    <n v="0"/>
  </r>
  <r>
    <x v="0"/>
    <x v="0"/>
    <n v="0"/>
  </r>
  <r>
    <x v="1"/>
    <x v="1"/>
    <n v="0"/>
  </r>
  <r>
    <x v="0"/>
    <x v="0"/>
    <n v="0"/>
  </r>
  <r>
    <x v="1"/>
    <x v="1"/>
    <n v="0"/>
  </r>
  <r>
    <x v="0"/>
    <x v="0"/>
    <n v="0"/>
  </r>
  <r>
    <x v="0"/>
    <x v="0"/>
    <n v="0"/>
  </r>
  <r>
    <x v="1"/>
    <x v="1"/>
    <n v="0"/>
  </r>
  <r>
    <x v="1"/>
    <x v="1"/>
    <n v="1"/>
  </r>
  <r>
    <x v="0"/>
    <x v="0"/>
    <n v="0"/>
  </r>
  <r>
    <x v="0"/>
    <x v="0"/>
    <n v="0"/>
  </r>
  <r>
    <x v="0"/>
    <x v="0"/>
    <n v="0"/>
  </r>
  <r>
    <x v="1"/>
    <x v="1"/>
    <n v="0"/>
  </r>
  <r>
    <x v="1"/>
    <x v="1"/>
    <n v="0"/>
  </r>
  <r>
    <x v="0"/>
    <x v="0"/>
    <n v="0"/>
  </r>
  <r>
    <x v="0"/>
    <x v="0"/>
    <n v="0"/>
  </r>
  <r>
    <x v="0"/>
    <x v="0"/>
    <n v="0"/>
  </r>
  <r>
    <x v="1"/>
    <x v="1"/>
    <n v="0"/>
  </r>
  <r>
    <x v="0"/>
    <x v="0"/>
    <n v="0"/>
  </r>
  <r>
    <x v="0"/>
    <x v="0"/>
    <n v="1"/>
  </r>
  <r>
    <x v="1"/>
    <x v="1"/>
    <n v="0"/>
  </r>
  <r>
    <x v="1"/>
    <x v="1"/>
    <n v="0"/>
  </r>
  <r>
    <x v="1"/>
    <x v="1"/>
    <n v="1"/>
  </r>
  <r>
    <x v="1"/>
    <x v="1"/>
    <n v="0"/>
  </r>
  <r>
    <x v="0"/>
    <x v="0"/>
    <n v="0"/>
  </r>
  <r>
    <x v="1"/>
    <x v="1"/>
    <n v="0"/>
  </r>
  <r>
    <x v="1"/>
    <x v="1"/>
    <n v="0"/>
  </r>
  <r>
    <x v="1"/>
    <x v="1"/>
    <n v="0"/>
  </r>
  <r>
    <x v="0"/>
    <x v="0"/>
    <n v="0"/>
  </r>
  <r>
    <x v="1"/>
    <x v="1"/>
    <n v="0"/>
  </r>
  <r>
    <x v="1"/>
    <x v="1"/>
    <n v="0"/>
  </r>
  <r>
    <x v="0"/>
    <x v="0"/>
    <n v="0"/>
  </r>
  <r>
    <x v="1"/>
    <x v="1"/>
    <n v="0"/>
  </r>
  <r>
    <x v="0"/>
    <x v="0"/>
    <n v="0"/>
  </r>
  <r>
    <x v="0"/>
    <x v="0"/>
    <n v="0"/>
  </r>
  <r>
    <x v="1"/>
    <x v="1"/>
    <n v="0"/>
  </r>
  <r>
    <x v="0"/>
    <x v="0"/>
    <n v="0"/>
  </r>
  <r>
    <x v="0"/>
    <x v="0"/>
    <n v="0"/>
  </r>
  <r>
    <x v="0"/>
    <x v="0"/>
    <n v="0"/>
  </r>
  <r>
    <x v="0"/>
    <x v="0"/>
    <n v="0"/>
  </r>
  <r>
    <x v="0"/>
    <x v="0"/>
    <n v="0"/>
  </r>
  <r>
    <x v="1"/>
    <x v="1"/>
    <n v="0"/>
  </r>
  <r>
    <x v="1"/>
    <x v="1"/>
    <n v="0"/>
  </r>
  <r>
    <x v="1"/>
    <x v="1"/>
    <n v="0"/>
  </r>
  <r>
    <x v="0"/>
    <x v="0"/>
    <n v="0"/>
  </r>
  <r>
    <x v="1"/>
    <x v="1"/>
    <n v="0"/>
  </r>
  <r>
    <x v="0"/>
    <x v="0"/>
    <n v="0"/>
  </r>
  <r>
    <x v="1"/>
    <x v="1"/>
    <n v="0"/>
  </r>
  <r>
    <x v="1"/>
    <x v="1"/>
    <n v="0"/>
  </r>
  <r>
    <x v="0"/>
    <x v="0"/>
    <n v="0"/>
  </r>
  <r>
    <x v="1"/>
    <x v="1"/>
    <n v="0"/>
  </r>
  <r>
    <x v="1"/>
    <x v="1"/>
    <n v="0"/>
  </r>
  <r>
    <x v="1"/>
    <x v="1"/>
    <n v="0"/>
  </r>
  <r>
    <x v="0"/>
    <x v="0"/>
    <n v="1"/>
  </r>
  <r>
    <x v="0"/>
    <x v="0"/>
    <n v="0"/>
  </r>
  <r>
    <x v="0"/>
    <x v="0"/>
    <n v="0"/>
  </r>
  <r>
    <x v="1"/>
    <x v="1"/>
    <n v="0"/>
  </r>
  <r>
    <x v="0"/>
    <x v="0"/>
    <n v="0"/>
  </r>
  <r>
    <x v="1"/>
    <x v="1"/>
    <n v="0"/>
  </r>
  <r>
    <x v="1"/>
    <x v="1"/>
    <n v="0"/>
  </r>
  <r>
    <x v="1"/>
    <x v="1"/>
    <n v="0"/>
  </r>
  <r>
    <x v="1"/>
    <x v="1"/>
    <n v="0"/>
  </r>
  <r>
    <x v="0"/>
    <x v="0"/>
    <n v="0"/>
  </r>
  <r>
    <x v="1"/>
    <x v="1"/>
    <n v="0"/>
  </r>
  <r>
    <x v="0"/>
    <x v="0"/>
    <n v="0"/>
  </r>
  <r>
    <x v="1"/>
    <x v="1"/>
    <n v="0"/>
  </r>
  <r>
    <x v="0"/>
    <x v="0"/>
    <n v="0"/>
  </r>
  <r>
    <x v="1"/>
    <x v="1"/>
    <n v="0"/>
  </r>
  <r>
    <x v="0"/>
    <x v="0"/>
    <n v="0"/>
  </r>
  <r>
    <x v="1"/>
    <x v="1"/>
    <n v="0"/>
  </r>
  <r>
    <x v="1"/>
    <x v="1"/>
    <n v="0"/>
  </r>
  <r>
    <x v="0"/>
    <x v="0"/>
    <n v="0"/>
  </r>
  <r>
    <x v="0"/>
    <x v="0"/>
    <n v="0"/>
  </r>
  <r>
    <x v="0"/>
    <x v="0"/>
    <n v="0"/>
  </r>
  <r>
    <x v="1"/>
    <x v="1"/>
    <n v="0"/>
  </r>
  <r>
    <x v="1"/>
    <x v="1"/>
    <n v="0"/>
  </r>
  <r>
    <x v="0"/>
    <x v="0"/>
    <n v="0"/>
  </r>
  <r>
    <x v="1"/>
    <x v="1"/>
    <n v="0"/>
  </r>
  <r>
    <x v="1"/>
    <x v="1"/>
    <n v="0"/>
  </r>
  <r>
    <x v="0"/>
    <x v="0"/>
    <n v="0"/>
  </r>
  <r>
    <x v="1"/>
    <x v="1"/>
    <n v="0"/>
  </r>
  <r>
    <x v="0"/>
    <x v="0"/>
    <n v="0"/>
  </r>
  <r>
    <x v="0"/>
    <x v="0"/>
    <n v="0"/>
  </r>
  <r>
    <x v="0"/>
    <x v="0"/>
    <n v="0"/>
  </r>
  <r>
    <x v="1"/>
    <x v="1"/>
    <n v="0"/>
  </r>
  <r>
    <x v="1"/>
    <x v="1"/>
    <n v="0"/>
  </r>
  <r>
    <x v="1"/>
    <x v="1"/>
    <n v="0"/>
  </r>
  <r>
    <x v="0"/>
    <x v="0"/>
    <n v="0"/>
  </r>
  <r>
    <x v="0"/>
    <x v="0"/>
    <n v="0"/>
  </r>
  <r>
    <x v="1"/>
    <x v="1"/>
    <n v="0"/>
  </r>
  <r>
    <x v="0"/>
    <x v="0"/>
    <n v="0"/>
  </r>
  <r>
    <x v="1"/>
    <x v="1"/>
    <n v="0"/>
  </r>
  <r>
    <x v="1"/>
    <x v="1"/>
    <n v="0"/>
  </r>
  <r>
    <x v="1"/>
    <x v="1"/>
    <n v="0"/>
  </r>
  <r>
    <x v="1"/>
    <x v="1"/>
    <n v="0"/>
  </r>
  <r>
    <x v="1"/>
    <x v="1"/>
    <n v="0"/>
  </r>
  <r>
    <x v="0"/>
    <x v="0"/>
    <n v="0"/>
  </r>
  <r>
    <x v="0"/>
    <x v="0"/>
    <n v="0"/>
  </r>
  <r>
    <x v="1"/>
    <x v="1"/>
    <n v="0"/>
  </r>
  <r>
    <x v="1"/>
    <x v="1"/>
    <n v="0"/>
  </r>
  <r>
    <x v="1"/>
    <x v="1"/>
    <n v="0"/>
  </r>
  <r>
    <x v="1"/>
    <x v="1"/>
    <n v="0"/>
  </r>
  <r>
    <x v="1"/>
    <x v="1"/>
    <n v="0"/>
  </r>
  <r>
    <x v="0"/>
    <x v="0"/>
    <n v="0"/>
  </r>
  <r>
    <x v="0"/>
    <x v="0"/>
    <n v="0"/>
  </r>
  <r>
    <x v="0"/>
    <x v="0"/>
    <n v="0"/>
  </r>
  <r>
    <x v="0"/>
    <x v="0"/>
    <n v="0"/>
  </r>
  <r>
    <x v="1"/>
    <x v="1"/>
    <n v="0"/>
  </r>
  <r>
    <x v="0"/>
    <x v="0"/>
    <n v="0"/>
  </r>
  <r>
    <x v="1"/>
    <x v="1"/>
    <n v="1"/>
  </r>
  <r>
    <x v="1"/>
    <x v="1"/>
    <n v="0"/>
  </r>
  <r>
    <x v="1"/>
    <x v="1"/>
    <n v="0"/>
  </r>
  <r>
    <x v="0"/>
    <x v="0"/>
    <n v="0"/>
  </r>
  <r>
    <x v="0"/>
    <x v="0"/>
    <n v="0"/>
  </r>
  <r>
    <x v="0"/>
    <x v="0"/>
    <n v="0"/>
  </r>
  <r>
    <x v="1"/>
    <x v="1"/>
    <n v="0"/>
  </r>
  <r>
    <x v="1"/>
    <x v="1"/>
    <n v="0"/>
  </r>
  <r>
    <x v="0"/>
    <x v="0"/>
    <n v="0"/>
  </r>
  <r>
    <x v="1"/>
    <x v="1"/>
    <n v="0"/>
  </r>
  <r>
    <x v="1"/>
    <x v="1"/>
    <n v="0"/>
  </r>
  <r>
    <x v="0"/>
    <x v="0"/>
    <n v="0"/>
  </r>
  <r>
    <x v="0"/>
    <x v="0"/>
    <n v="1"/>
  </r>
  <r>
    <x v="1"/>
    <x v="1"/>
    <n v="0"/>
  </r>
  <r>
    <x v="1"/>
    <x v="1"/>
    <n v="0"/>
  </r>
  <r>
    <x v="0"/>
    <x v="0"/>
    <n v="0"/>
  </r>
  <r>
    <x v="0"/>
    <x v="0"/>
    <n v="0"/>
  </r>
  <r>
    <x v="1"/>
    <x v="1"/>
    <n v="0"/>
  </r>
  <r>
    <x v="0"/>
    <x v="0"/>
    <n v="0"/>
  </r>
  <r>
    <x v="0"/>
    <x v="0"/>
    <n v="0"/>
  </r>
  <r>
    <x v="0"/>
    <x v="0"/>
    <n v="0"/>
  </r>
  <r>
    <x v="0"/>
    <x v="0"/>
    <n v="0"/>
  </r>
  <r>
    <x v="0"/>
    <x v="0"/>
    <n v="0"/>
  </r>
  <r>
    <x v="0"/>
    <x v="0"/>
    <n v="0"/>
  </r>
  <r>
    <x v="1"/>
    <x v="1"/>
    <n v="0"/>
  </r>
  <r>
    <x v="1"/>
    <x v="1"/>
    <n v="0"/>
  </r>
  <r>
    <x v="0"/>
    <x v="0"/>
    <n v="0"/>
  </r>
  <r>
    <x v="1"/>
    <x v="1"/>
    <n v="0"/>
  </r>
  <r>
    <x v="0"/>
    <x v="0"/>
    <n v="0"/>
  </r>
  <r>
    <x v="0"/>
    <x v="0"/>
    <n v="1"/>
  </r>
  <r>
    <x v="0"/>
    <x v="0"/>
    <n v="0"/>
  </r>
  <r>
    <x v="0"/>
    <x v="0"/>
    <n v="0"/>
  </r>
  <r>
    <x v="1"/>
    <x v="1"/>
    <n v="0"/>
  </r>
  <r>
    <x v="1"/>
    <x v="1"/>
    <n v="0"/>
  </r>
  <r>
    <x v="1"/>
    <x v="1"/>
    <n v="0"/>
  </r>
  <r>
    <x v="0"/>
    <x v="0"/>
    <n v="0"/>
  </r>
  <r>
    <x v="1"/>
    <x v="1"/>
    <n v="0"/>
  </r>
  <r>
    <x v="0"/>
    <x v="0"/>
    <n v="0"/>
  </r>
  <r>
    <x v="1"/>
    <x v="1"/>
    <n v="0"/>
  </r>
  <r>
    <x v="1"/>
    <x v="1"/>
    <n v="0"/>
  </r>
  <r>
    <x v="1"/>
    <x v="1"/>
    <n v="0"/>
  </r>
  <r>
    <x v="1"/>
    <x v="1"/>
    <n v="0"/>
  </r>
  <r>
    <x v="0"/>
    <x v="0"/>
    <n v="0"/>
  </r>
  <r>
    <x v="1"/>
    <x v="1"/>
    <n v="1"/>
  </r>
  <r>
    <x v="1"/>
    <x v="1"/>
    <n v="0"/>
  </r>
  <r>
    <x v="1"/>
    <x v="1"/>
    <n v="0"/>
  </r>
  <r>
    <x v="0"/>
    <x v="0"/>
    <n v="0"/>
  </r>
  <r>
    <x v="1"/>
    <x v="1"/>
    <n v="0"/>
  </r>
  <r>
    <x v="1"/>
    <x v="1"/>
    <n v="0"/>
  </r>
  <r>
    <x v="0"/>
    <x v="0"/>
    <n v="0"/>
  </r>
  <r>
    <x v="1"/>
    <x v="1"/>
    <n v="0"/>
  </r>
  <r>
    <x v="1"/>
    <x v="1"/>
    <n v="1"/>
  </r>
  <r>
    <x v="0"/>
    <x v="0"/>
    <n v="0"/>
  </r>
  <r>
    <x v="0"/>
    <x v="0"/>
    <n v="0"/>
  </r>
  <r>
    <x v="1"/>
    <x v="1"/>
    <n v="0"/>
  </r>
  <r>
    <x v="1"/>
    <x v="1"/>
    <n v="0"/>
  </r>
  <r>
    <x v="1"/>
    <x v="1"/>
    <n v="0"/>
  </r>
  <r>
    <x v="1"/>
    <x v="1"/>
    <n v="0"/>
  </r>
  <r>
    <x v="1"/>
    <x v="1"/>
    <n v="0"/>
  </r>
  <r>
    <x v="1"/>
    <x v="1"/>
    <n v="0"/>
  </r>
  <r>
    <x v="1"/>
    <x v="1"/>
    <n v="0"/>
  </r>
  <r>
    <x v="1"/>
    <x v="1"/>
    <n v="0"/>
  </r>
  <r>
    <x v="1"/>
    <x v="1"/>
    <n v="0"/>
  </r>
  <r>
    <x v="1"/>
    <x v="1"/>
    <n v="0"/>
  </r>
  <r>
    <x v="1"/>
    <x v="1"/>
    <n v="0"/>
  </r>
  <r>
    <x v="1"/>
    <x v="1"/>
    <n v="0"/>
  </r>
  <r>
    <x v="0"/>
    <x v="0"/>
    <n v="0"/>
  </r>
  <r>
    <x v="0"/>
    <x v="0"/>
    <n v="0"/>
  </r>
  <r>
    <x v="1"/>
    <x v="1"/>
    <n v="0"/>
  </r>
  <r>
    <x v="0"/>
    <x v="0"/>
    <n v="0"/>
  </r>
  <r>
    <x v="1"/>
    <x v="1"/>
    <n v="0"/>
  </r>
  <r>
    <x v="0"/>
    <x v="0"/>
    <n v="0"/>
  </r>
  <r>
    <x v="0"/>
    <x v="0"/>
    <n v="0"/>
  </r>
  <r>
    <x v="0"/>
    <x v="0"/>
    <n v="0"/>
  </r>
  <r>
    <x v="0"/>
    <x v="0"/>
    <n v="0"/>
  </r>
  <r>
    <x v="1"/>
    <x v="1"/>
    <n v="0"/>
  </r>
  <r>
    <x v="0"/>
    <x v="0"/>
    <n v="0"/>
  </r>
  <r>
    <x v="0"/>
    <x v="0"/>
    <n v="0"/>
  </r>
  <r>
    <x v="0"/>
    <x v="0"/>
    <n v="0"/>
  </r>
  <r>
    <x v="0"/>
    <x v="0"/>
    <n v="0"/>
  </r>
  <r>
    <x v="1"/>
    <x v="1"/>
    <n v="0"/>
  </r>
  <r>
    <x v="1"/>
    <x v="1"/>
    <n v="0"/>
  </r>
  <r>
    <x v="0"/>
    <x v="0"/>
    <n v="0"/>
  </r>
  <r>
    <x v="0"/>
    <x v="0"/>
    <n v="0"/>
  </r>
  <r>
    <x v="0"/>
    <x v="0"/>
    <n v="0"/>
  </r>
  <r>
    <x v="1"/>
    <x v="1"/>
    <n v="0"/>
  </r>
  <r>
    <x v="0"/>
    <x v="0"/>
    <n v="0"/>
  </r>
  <r>
    <x v="0"/>
    <x v="0"/>
    <n v="0"/>
  </r>
  <r>
    <x v="1"/>
    <x v="1"/>
    <n v="0"/>
  </r>
  <r>
    <x v="1"/>
    <x v="1"/>
    <n v="0"/>
  </r>
  <r>
    <x v="1"/>
    <x v="1"/>
    <n v="0"/>
  </r>
  <r>
    <x v="0"/>
    <x v="0"/>
    <n v="1"/>
  </r>
  <r>
    <x v="1"/>
    <x v="1"/>
    <n v="0"/>
  </r>
  <r>
    <x v="0"/>
    <x v="0"/>
    <n v="0"/>
  </r>
  <r>
    <x v="1"/>
    <x v="1"/>
    <n v="1"/>
  </r>
  <r>
    <x v="1"/>
    <x v="1"/>
    <n v="0"/>
  </r>
  <r>
    <x v="1"/>
    <x v="1"/>
    <n v="0"/>
  </r>
  <r>
    <x v="1"/>
    <x v="1"/>
    <n v="0"/>
  </r>
  <r>
    <x v="1"/>
    <x v="1"/>
    <n v="0"/>
  </r>
  <r>
    <x v="0"/>
    <x v="0"/>
    <n v="0"/>
  </r>
  <r>
    <x v="0"/>
    <x v="0"/>
    <n v="0"/>
  </r>
  <r>
    <x v="0"/>
    <x v="0"/>
    <n v="0"/>
  </r>
  <r>
    <x v="1"/>
    <x v="1"/>
    <n v="0"/>
  </r>
  <r>
    <x v="0"/>
    <x v="0"/>
    <n v="0"/>
  </r>
  <r>
    <x v="1"/>
    <x v="1"/>
    <n v="0"/>
  </r>
  <r>
    <x v="0"/>
    <x v="0"/>
    <n v="0"/>
  </r>
  <r>
    <x v="0"/>
    <x v="0"/>
    <n v="0"/>
  </r>
  <r>
    <x v="1"/>
    <x v="1"/>
    <n v="0"/>
  </r>
  <r>
    <x v="1"/>
    <x v="1"/>
    <n v="0"/>
  </r>
  <r>
    <x v="0"/>
    <x v="0"/>
    <n v="0"/>
  </r>
  <r>
    <x v="1"/>
    <x v="1"/>
    <n v="0"/>
  </r>
  <r>
    <x v="0"/>
    <x v="0"/>
    <n v="1"/>
  </r>
  <r>
    <x v="1"/>
    <x v="1"/>
    <n v="0"/>
  </r>
  <r>
    <x v="1"/>
    <x v="1"/>
    <n v="0"/>
  </r>
  <r>
    <x v="1"/>
    <x v="1"/>
    <n v="0"/>
  </r>
  <r>
    <x v="1"/>
    <x v="1"/>
    <n v="0"/>
  </r>
  <r>
    <x v="1"/>
    <x v="1"/>
    <n v="0"/>
  </r>
  <r>
    <x v="0"/>
    <x v="0"/>
    <n v="0"/>
  </r>
  <r>
    <x v="0"/>
    <x v="0"/>
    <n v="0"/>
  </r>
  <r>
    <x v="0"/>
    <x v="0"/>
    <n v="0"/>
  </r>
  <r>
    <x v="0"/>
    <x v="0"/>
    <n v="0"/>
  </r>
  <r>
    <x v="1"/>
    <x v="1"/>
    <n v="0"/>
  </r>
  <r>
    <x v="0"/>
    <x v="0"/>
    <n v="0"/>
  </r>
  <r>
    <x v="0"/>
    <x v="0"/>
    <n v="0"/>
  </r>
  <r>
    <x v="1"/>
    <x v="1"/>
    <n v="0"/>
  </r>
  <r>
    <x v="1"/>
    <x v="1"/>
    <n v="0"/>
  </r>
  <r>
    <x v="1"/>
    <x v="1"/>
    <n v="0"/>
  </r>
  <r>
    <x v="1"/>
    <x v="1"/>
    <n v="0"/>
  </r>
  <r>
    <x v="0"/>
    <x v="0"/>
    <n v="0"/>
  </r>
  <r>
    <x v="1"/>
    <x v="1"/>
    <n v="0"/>
  </r>
  <r>
    <x v="0"/>
    <x v="0"/>
    <n v="0"/>
  </r>
  <r>
    <x v="0"/>
    <x v="0"/>
    <n v="0"/>
  </r>
  <r>
    <x v="1"/>
    <x v="1"/>
    <n v="0"/>
  </r>
  <r>
    <x v="0"/>
    <x v="0"/>
    <n v="0"/>
  </r>
  <r>
    <x v="1"/>
    <x v="1"/>
    <n v="0"/>
  </r>
  <r>
    <x v="0"/>
    <x v="0"/>
    <n v="0"/>
  </r>
  <r>
    <x v="1"/>
    <x v="1"/>
    <n v="0"/>
  </r>
  <r>
    <x v="0"/>
    <x v="0"/>
    <n v="0"/>
  </r>
  <r>
    <x v="1"/>
    <x v="1"/>
    <n v="0"/>
  </r>
  <r>
    <x v="1"/>
    <x v="1"/>
    <n v="0"/>
  </r>
  <r>
    <x v="1"/>
    <x v="1"/>
    <n v="0"/>
  </r>
  <r>
    <x v="1"/>
    <x v="1"/>
    <n v="0"/>
  </r>
  <r>
    <x v="0"/>
    <x v="0"/>
    <n v="0"/>
  </r>
  <r>
    <x v="0"/>
    <x v="0"/>
    <n v="0"/>
  </r>
  <r>
    <x v="1"/>
    <x v="1"/>
    <n v="0"/>
  </r>
  <r>
    <x v="1"/>
    <x v="1"/>
    <n v="0"/>
  </r>
  <r>
    <x v="1"/>
    <x v="1"/>
    <n v="0"/>
  </r>
  <r>
    <x v="0"/>
    <x v="0"/>
    <n v="0"/>
  </r>
  <r>
    <x v="0"/>
    <x v="0"/>
    <n v="0"/>
  </r>
  <r>
    <x v="1"/>
    <x v="1"/>
    <n v="0"/>
  </r>
  <r>
    <x v="0"/>
    <x v="0"/>
    <n v="0"/>
  </r>
  <r>
    <x v="1"/>
    <x v="1"/>
    <n v="0"/>
  </r>
  <r>
    <x v="1"/>
    <x v="1"/>
    <n v="0"/>
  </r>
  <r>
    <x v="0"/>
    <x v="0"/>
    <n v="0"/>
  </r>
  <r>
    <x v="1"/>
    <x v="1"/>
    <n v="0"/>
  </r>
  <r>
    <x v="0"/>
    <x v="0"/>
    <n v="0"/>
  </r>
  <r>
    <x v="0"/>
    <x v="0"/>
    <n v="0"/>
  </r>
  <r>
    <x v="1"/>
    <x v="1"/>
    <n v="1"/>
  </r>
  <r>
    <x v="0"/>
    <x v="0"/>
    <n v="0"/>
  </r>
  <r>
    <x v="0"/>
    <x v="0"/>
    <n v="0"/>
  </r>
  <r>
    <x v="1"/>
    <x v="1"/>
    <n v="0"/>
  </r>
  <r>
    <x v="1"/>
    <x v="1"/>
    <n v="0"/>
  </r>
  <r>
    <x v="0"/>
    <x v="0"/>
    <n v="0"/>
  </r>
  <r>
    <x v="1"/>
    <x v="1"/>
    <n v="1"/>
  </r>
  <r>
    <x v="0"/>
    <x v="0"/>
    <n v="0"/>
  </r>
  <r>
    <x v="0"/>
    <x v="0"/>
    <n v="0"/>
  </r>
  <r>
    <x v="1"/>
    <x v="1"/>
    <n v="0"/>
  </r>
  <r>
    <x v="1"/>
    <x v="1"/>
    <n v="0"/>
  </r>
  <r>
    <x v="1"/>
    <x v="1"/>
    <n v="0"/>
  </r>
  <r>
    <x v="0"/>
    <x v="0"/>
    <n v="0"/>
  </r>
  <r>
    <x v="1"/>
    <x v="1"/>
    <n v="0"/>
  </r>
  <r>
    <x v="1"/>
    <x v="1"/>
    <n v="0"/>
  </r>
  <r>
    <x v="0"/>
    <x v="0"/>
    <n v="0"/>
  </r>
  <r>
    <x v="1"/>
    <x v="1"/>
    <n v="0"/>
  </r>
  <r>
    <x v="0"/>
    <x v="0"/>
    <n v="0"/>
  </r>
  <r>
    <x v="1"/>
    <x v="1"/>
    <n v="0"/>
  </r>
  <r>
    <x v="1"/>
    <x v="1"/>
    <n v="0"/>
  </r>
  <r>
    <x v="1"/>
    <x v="1"/>
    <n v="0"/>
  </r>
  <r>
    <x v="0"/>
    <x v="0"/>
    <n v="0"/>
  </r>
  <r>
    <x v="1"/>
    <x v="1"/>
    <n v="0"/>
  </r>
  <r>
    <x v="0"/>
    <x v="0"/>
    <n v="0"/>
  </r>
  <r>
    <x v="0"/>
    <x v="0"/>
    <n v="0"/>
  </r>
  <r>
    <x v="1"/>
    <x v="1"/>
    <n v="0"/>
  </r>
  <r>
    <x v="0"/>
    <x v="0"/>
    <n v="0"/>
  </r>
  <r>
    <x v="1"/>
    <x v="1"/>
    <n v="0"/>
  </r>
  <r>
    <x v="0"/>
    <x v="0"/>
    <n v="0"/>
  </r>
  <r>
    <x v="0"/>
    <x v="0"/>
    <n v="0"/>
  </r>
  <r>
    <x v="1"/>
    <x v="1"/>
    <n v="0"/>
  </r>
  <r>
    <x v="1"/>
    <x v="1"/>
    <n v="0"/>
  </r>
  <r>
    <x v="1"/>
    <x v="1"/>
    <n v="0"/>
  </r>
  <r>
    <x v="0"/>
    <x v="0"/>
    <n v="0"/>
  </r>
  <r>
    <x v="1"/>
    <x v="1"/>
    <n v="0"/>
  </r>
  <r>
    <x v="1"/>
    <x v="1"/>
    <n v="0"/>
  </r>
  <r>
    <x v="1"/>
    <x v="1"/>
    <n v="1"/>
  </r>
  <r>
    <x v="1"/>
    <x v="1"/>
    <n v="0"/>
  </r>
  <r>
    <x v="0"/>
    <x v="0"/>
    <n v="0"/>
  </r>
  <r>
    <x v="1"/>
    <x v="1"/>
    <n v="0"/>
  </r>
  <r>
    <x v="0"/>
    <x v="0"/>
    <n v="0"/>
  </r>
  <r>
    <x v="0"/>
    <x v="0"/>
    <n v="0"/>
  </r>
  <r>
    <x v="1"/>
    <x v="1"/>
    <n v="0"/>
  </r>
  <r>
    <x v="0"/>
    <x v="0"/>
    <n v="0"/>
  </r>
  <r>
    <x v="1"/>
    <x v="1"/>
    <n v="0"/>
  </r>
  <r>
    <x v="1"/>
    <x v="1"/>
    <n v="0"/>
  </r>
  <r>
    <x v="0"/>
    <x v="0"/>
    <n v="0"/>
  </r>
  <r>
    <x v="1"/>
    <x v="1"/>
    <n v="0"/>
  </r>
  <r>
    <x v="0"/>
    <x v="0"/>
    <n v="0"/>
  </r>
  <r>
    <x v="0"/>
    <x v="0"/>
    <n v="0"/>
  </r>
  <r>
    <x v="0"/>
    <x v="0"/>
    <n v="0"/>
  </r>
  <r>
    <x v="1"/>
    <x v="1"/>
    <n v="0"/>
  </r>
  <r>
    <x v="0"/>
    <x v="0"/>
    <n v="0"/>
  </r>
  <r>
    <x v="0"/>
    <x v="0"/>
    <n v="1"/>
  </r>
  <r>
    <x v="1"/>
    <x v="1"/>
    <n v="0"/>
  </r>
  <r>
    <x v="0"/>
    <x v="0"/>
    <n v="0"/>
  </r>
  <r>
    <x v="0"/>
    <x v="0"/>
    <n v="0"/>
  </r>
  <r>
    <x v="0"/>
    <x v="0"/>
    <n v="0"/>
  </r>
  <r>
    <x v="1"/>
    <x v="1"/>
    <n v="0"/>
  </r>
  <r>
    <x v="1"/>
    <x v="1"/>
    <n v="0"/>
  </r>
  <r>
    <x v="0"/>
    <x v="0"/>
    <n v="0"/>
  </r>
  <r>
    <x v="1"/>
    <x v="1"/>
    <n v="0"/>
  </r>
  <r>
    <x v="1"/>
    <x v="1"/>
    <n v="0"/>
  </r>
  <r>
    <x v="1"/>
    <x v="1"/>
    <n v="0"/>
  </r>
  <r>
    <x v="1"/>
    <x v="1"/>
    <n v="0"/>
  </r>
  <r>
    <x v="1"/>
    <x v="1"/>
    <n v="0"/>
  </r>
  <r>
    <x v="0"/>
    <x v="0"/>
    <n v="0"/>
  </r>
  <r>
    <x v="1"/>
    <x v="1"/>
    <n v="0"/>
  </r>
  <r>
    <x v="1"/>
    <x v="1"/>
    <n v="0"/>
  </r>
  <r>
    <x v="0"/>
    <x v="0"/>
    <n v="0"/>
  </r>
  <r>
    <x v="1"/>
    <x v="1"/>
    <n v="0"/>
  </r>
  <r>
    <x v="1"/>
    <x v="1"/>
    <n v="0"/>
  </r>
  <r>
    <x v="1"/>
    <x v="1"/>
    <n v="0"/>
  </r>
  <r>
    <x v="1"/>
    <x v="1"/>
    <n v="0"/>
  </r>
  <r>
    <x v="0"/>
    <x v="0"/>
    <n v="0"/>
  </r>
  <r>
    <x v="1"/>
    <x v="1"/>
    <n v="0"/>
  </r>
  <r>
    <x v="1"/>
    <x v="1"/>
    <n v="0"/>
  </r>
  <r>
    <x v="0"/>
    <x v="0"/>
    <n v="0"/>
  </r>
  <r>
    <x v="0"/>
    <x v="0"/>
    <n v="0"/>
  </r>
  <r>
    <x v="1"/>
    <x v="1"/>
    <n v="0"/>
  </r>
  <r>
    <x v="1"/>
    <x v="1"/>
    <n v="0"/>
  </r>
  <r>
    <x v="1"/>
    <x v="1"/>
    <n v="0"/>
  </r>
  <r>
    <x v="0"/>
    <x v="0"/>
    <n v="0"/>
  </r>
  <r>
    <x v="0"/>
    <x v="0"/>
    <n v="0"/>
  </r>
  <r>
    <x v="0"/>
    <x v="0"/>
    <n v="0"/>
  </r>
  <r>
    <x v="1"/>
    <x v="1"/>
    <n v="0"/>
  </r>
  <r>
    <x v="1"/>
    <x v="1"/>
    <n v="0"/>
  </r>
  <r>
    <x v="1"/>
    <x v="1"/>
    <n v="0"/>
  </r>
  <r>
    <x v="0"/>
    <x v="0"/>
    <n v="0"/>
  </r>
  <r>
    <x v="0"/>
    <x v="0"/>
    <n v="0"/>
  </r>
  <r>
    <x v="0"/>
    <x v="0"/>
    <n v="0"/>
  </r>
  <r>
    <x v="1"/>
    <x v="1"/>
    <n v="0"/>
  </r>
  <r>
    <x v="1"/>
    <x v="1"/>
    <n v="0"/>
  </r>
  <r>
    <x v="0"/>
    <x v="0"/>
    <n v="0"/>
  </r>
  <r>
    <x v="0"/>
    <x v="0"/>
    <n v="0"/>
  </r>
  <r>
    <x v="1"/>
    <x v="1"/>
    <n v="0"/>
  </r>
  <r>
    <x v="0"/>
    <x v="0"/>
    <n v="0"/>
  </r>
  <r>
    <x v="0"/>
    <x v="0"/>
    <n v="0"/>
  </r>
  <r>
    <x v="0"/>
    <x v="0"/>
    <n v="0"/>
  </r>
  <r>
    <x v="0"/>
    <x v="0"/>
    <n v="0"/>
  </r>
  <r>
    <x v="1"/>
    <x v="1"/>
    <n v="0"/>
  </r>
  <r>
    <x v="0"/>
    <x v="0"/>
    <n v="1"/>
  </r>
  <r>
    <x v="0"/>
    <x v="0"/>
    <n v="0"/>
  </r>
  <r>
    <x v="1"/>
    <x v="1"/>
    <n v="0"/>
  </r>
  <r>
    <x v="0"/>
    <x v="0"/>
    <n v="0"/>
  </r>
  <r>
    <x v="0"/>
    <x v="0"/>
    <n v="0"/>
  </r>
  <r>
    <x v="1"/>
    <x v="1"/>
    <n v="0"/>
  </r>
  <r>
    <x v="0"/>
    <x v="0"/>
    <n v="0"/>
  </r>
  <r>
    <x v="1"/>
    <x v="1"/>
    <n v="0"/>
  </r>
  <r>
    <x v="0"/>
    <x v="0"/>
    <n v="0"/>
  </r>
  <r>
    <x v="0"/>
    <x v="0"/>
    <n v="0"/>
  </r>
  <r>
    <x v="1"/>
    <x v="1"/>
    <n v="0"/>
  </r>
  <r>
    <x v="0"/>
    <x v="0"/>
    <n v="0"/>
  </r>
  <r>
    <x v="1"/>
    <x v="1"/>
    <n v="0"/>
  </r>
  <r>
    <x v="1"/>
    <x v="1"/>
    <n v="0"/>
  </r>
  <r>
    <x v="0"/>
    <x v="0"/>
    <n v="0"/>
  </r>
  <r>
    <x v="0"/>
    <x v="0"/>
    <n v="0"/>
  </r>
  <r>
    <x v="1"/>
    <x v="1"/>
    <n v="0"/>
  </r>
  <r>
    <x v="1"/>
    <x v="1"/>
    <n v="1"/>
  </r>
  <r>
    <x v="1"/>
    <x v="1"/>
    <n v="0"/>
  </r>
  <r>
    <x v="0"/>
    <x v="0"/>
    <n v="0"/>
  </r>
  <r>
    <x v="1"/>
    <x v="1"/>
    <n v="0"/>
  </r>
  <r>
    <x v="0"/>
    <x v="0"/>
    <n v="0"/>
  </r>
  <r>
    <x v="0"/>
    <x v="0"/>
    <n v="0"/>
  </r>
  <r>
    <x v="1"/>
    <x v="1"/>
    <n v="0"/>
  </r>
  <r>
    <x v="1"/>
    <x v="1"/>
    <n v="0"/>
  </r>
  <r>
    <x v="0"/>
    <x v="0"/>
    <n v="0"/>
  </r>
  <r>
    <x v="0"/>
    <x v="0"/>
    <n v="0"/>
  </r>
  <r>
    <x v="1"/>
    <x v="1"/>
    <n v="0"/>
  </r>
  <r>
    <x v="1"/>
    <x v="1"/>
    <n v="0"/>
  </r>
  <r>
    <x v="1"/>
    <x v="1"/>
    <n v="0"/>
  </r>
  <r>
    <x v="1"/>
    <x v="1"/>
    <n v="0"/>
  </r>
  <r>
    <x v="0"/>
    <x v="0"/>
    <n v="0"/>
  </r>
  <r>
    <x v="1"/>
    <x v="1"/>
    <n v="0"/>
  </r>
  <r>
    <x v="0"/>
    <x v="0"/>
    <n v="0"/>
  </r>
  <r>
    <x v="1"/>
    <x v="1"/>
    <n v="0"/>
  </r>
  <r>
    <x v="1"/>
    <x v="1"/>
    <n v="0"/>
  </r>
  <r>
    <x v="0"/>
    <x v="0"/>
    <n v="0"/>
  </r>
  <r>
    <x v="0"/>
    <x v="0"/>
    <n v="0"/>
  </r>
  <r>
    <x v="0"/>
    <x v="0"/>
    <n v="0"/>
  </r>
  <r>
    <x v="1"/>
    <x v="1"/>
    <n v="0"/>
  </r>
  <r>
    <x v="1"/>
    <x v="1"/>
    <n v="0"/>
  </r>
  <r>
    <x v="0"/>
    <x v="0"/>
    <n v="0"/>
  </r>
  <r>
    <x v="0"/>
    <x v="0"/>
    <n v="0"/>
  </r>
  <r>
    <x v="1"/>
    <x v="1"/>
    <n v="0"/>
  </r>
  <r>
    <x v="0"/>
    <x v="0"/>
    <n v="0"/>
  </r>
  <r>
    <x v="1"/>
    <x v="1"/>
    <n v="0"/>
  </r>
  <r>
    <x v="1"/>
    <x v="1"/>
    <n v="0"/>
  </r>
  <r>
    <x v="1"/>
    <x v="1"/>
    <n v="0"/>
  </r>
  <r>
    <x v="1"/>
    <x v="1"/>
    <n v="0"/>
  </r>
  <r>
    <x v="1"/>
    <x v="1"/>
    <n v="0"/>
  </r>
  <r>
    <x v="1"/>
    <x v="1"/>
    <n v="0"/>
  </r>
  <r>
    <x v="0"/>
    <x v="0"/>
    <n v="0"/>
  </r>
  <r>
    <x v="0"/>
    <x v="0"/>
    <n v="0"/>
  </r>
  <r>
    <x v="0"/>
    <x v="0"/>
    <n v="0"/>
  </r>
  <r>
    <x v="1"/>
    <x v="1"/>
    <n v="0"/>
  </r>
  <r>
    <x v="0"/>
    <x v="0"/>
    <n v="0"/>
  </r>
  <r>
    <x v="1"/>
    <x v="1"/>
    <n v="0"/>
  </r>
  <r>
    <x v="1"/>
    <x v="1"/>
    <n v="0"/>
  </r>
  <r>
    <x v="1"/>
    <x v="1"/>
    <n v="1"/>
  </r>
  <r>
    <x v="1"/>
    <x v="1"/>
    <n v="0"/>
  </r>
  <r>
    <x v="0"/>
    <x v="0"/>
    <n v="0"/>
  </r>
  <r>
    <x v="1"/>
    <x v="1"/>
    <n v="0"/>
  </r>
  <r>
    <x v="1"/>
    <x v="1"/>
    <n v="0"/>
  </r>
  <r>
    <x v="1"/>
    <x v="1"/>
    <n v="0"/>
  </r>
  <r>
    <x v="0"/>
    <x v="0"/>
    <n v="0"/>
  </r>
  <r>
    <x v="1"/>
    <x v="1"/>
    <n v="0"/>
  </r>
  <r>
    <x v="0"/>
    <x v="0"/>
    <n v="0"/>
  </r>
  <r>
    <x v="1"/>
    <x v="1"/>
    <n v="0"/>
  </r>
  <r>
    <x v="0"/>
    <x v="0"/>
    <n v="0"/>
  </r>
  <r>
    <x v="0"/>
    <x v="0"/>
    <n v="0"/>
  </r>
  <r>
    <x v="0"/>
    <x v="0"/>
    <n v="0"/>
  </r>
  <r>
    <x v="1"/>
    <x v="1"/>
    <n v="0"/>
  </r>
  <r>
    <x v="1"/>
    <x v="1"/>
    <n v="0"/>
  </r>
  <r>
    <x v="0"/>
    <x v="0"/>
    <n v="0"/>
  </r>
  <r>
    <x v="0"/>
    <x v="0"/>
    <n v="0"/>
  </r>
  <r>
    <x v="1"/>
    <x v="1"/>
    <n v="0"/>
  </r>
  <r>
    <x v="1"/>
    <x v="1"/>
    <n v="1"/>
  </r>
  <r>
    <x v="0"/>
    <x v="0"/>
    <n v="0"/>
  </r>
  <r>
    <x v="1"/>
    <x v="1"/>
    <n v="0"/>
  </r>
  <r>
    <x v="1"/>
    <x v="1"/>
    <n v="0"/>
  </r>
  <r>
    <x v="0"/>
    <x v="0"/>
    <n v="0"/>
  </r>
  <r>
    <x v="1"/>
    <x v="1"/>
    <n v="0"/>
  </r>
  <r>
    <x v="0"/>
    <x v="0"/>
    <n v="0"/>
  </r>
  <r>
    <x v="0"/>
    <x v="0"/>
    <n v="0"/>
  </r>
  <r>
    <x v="1"/>
    <x v="1"/>
    <n v="0"/>
  </r>
  <r>
    <x v="0"/>
    <x v="0"/>
    <n v="0"/>
  </r>
  <r>
    <x v="1"/>
    <x v="1"/>
    <n v="0"/>
  </r>
  <r>
    <x v="1"/>
    <x v="1"/>
    <n v="0"/>
  </r>
  <r>
    <x v="0"/>
    <x v="0"/>
    <n v="0"/>
  </r>
  <r>
    <x v="0"/>
    <x v="0"/>
    <n v="0"/>
  </r>
  <r>
    <x v="1"/>
    <x v="1"/>
    <n v="0"/>
  </r>
  <r>
    <x v="0"/>
    <x v="0"/>
    <n v="0"/>
  </r>
  <r>
    <x v="0"/>
    <x v="0"/>
    <n v="0"/>
  </r>
  <r>
    <x v="0"/>
    <x v="0"/>
    <n v="0"/>
  </r>
  <r>
    <x v="1"/>
    <x v="1"/>
    <n v="0"/>
  </r>
  <r>
    <x v="0"/>
    <x v="0"/>
    <n v="0"/>
  </r>
  <r>
    <x v="0"/>
    <x v="0"/>
    <n v="0"/>
  </r>
  <r>
    <x v="1"/>
    <x v="1"/>
    <n v="0"/>
  </r>
  <r>
    <x v="0"/>
    <x v="0"/>
    <n v="0"/>
  </r>
  <r>
    <x v="1"/>
    <x v="1"/>
    <n v="0"/>
  </r>
  <r>
    <x v="0"/>
    <x v="0"/>
    <n v="0"/>
  </r>
  <r>
    <x v="0"/>
    <x v="0"/>
    <n v="0"/>
  </r>
  <r>
    <x v="1"/>
    <x v="1"/>
    <n v="0"/>
  </r>
  <r>
    <x v="1"/>
    <x v="1"/>
    <n v="0"/>
  </r>
  <r>
    <x v="1"/>
    <x v="1"/>
    <n v="0"/>
  </r>
  <r>
    <x v="0"/>
    <x v="0"/>
    <n v="0"/>
  </r>
  <r>
    <x v="0"/>
    <x v="0"/>
    <n v="0"/>
  </r>
  <r>
    <x v="0"/>
    <x v="0"/>
    <n v="0"/>
  </r>
  <r>
    <x v="1"/>
    <x v="1"/>
    <n v="0"/>
  </r>
  <r>
    <x v="1"/>
    <x v="1"/>
    <n v="0"/>
  </r>
  <r>
    <x v="0"/>
    <x v="0"/>
    <n v="0"/>
  </r>
  <r>
    <x v="1"/>
    <x v="1"/>
    <n v="0"/>
  </r>
  <r>
    <x v="1"/>
    <x v="1"/>
    <n v="0"/>
  </r>
  <r>
    <x v="0"/>
    <x v="0"/>
    <n v="0"/>
  </r>
  <r>
    <x v="1"/>
    <x v="1"/>
    <n v="0"/>
  </r>
  <r>
    <x v="0"/>
    <x v="0"/>
    <n v="0"/>
  </r>
  <r>
    <x v="0"/>
    <x v="0"/>
    <n v="0"/>
  </r>
  <r>
    <x v="1"/>
    <x v="1"/>
    <n v="0"/>
  </r>
  <r>
    <x v="1"/>
    <x v="1"/>
    <n v="0"/>
  </r>
  <r>
    <x v="1"/>
    <x v="1"/>
    <n v="0"/>
  </r>
  <r>
    <x v="0"/>
    <x v="0"/>
    <n v="0"/>
  </r>
  <r>
    <x v="1"/>
    <x v="1"/>
    <n v="0"/>
  </r>
  <r>
    <x v="0"/>
    <x v="0"/>
    <n v="0"/>
  </r>
  <r>
    <x v="1"/>
    <x v="1"/>
    <n v="0"/>
  </r>
  <r>
    <x v="0"/>
    <x v="0"/>
    <n v="0"/>
  </r>
  <r>
    <x v="0"/>
    <x v="0"/>
    <n v="0"/>
  </r>
  <r>
    <x v="1"/>
    <x v="1"/>
    <n v="0"/>
  </r>
  <r>
    <x v="1"/>
    <x v="1"/>
    <n v="0"/>
  </r>
  <r>
    <x v="0"/>
    <x v="0"/>
    <n v="0"/>
  </r>
  <r>
    <x v="0"/>
    <x v="0"/>
    <n v="0"/>
  </r>
  <r>
    <x v="0"/>
    <x v="0"/>
    <n v="0"/>
  </r>
  <r>
    <x v="0"/>
    <x v="0"/>
    <n v="0"/>
  </r>
  <r>
    <x v="1"/>
    <x v="1"/>
    <n v="0"/>
  </r>
  <r>
    <x v="0"/>
    <x v="0"/>
    <n v="0"/>
  </r>
  <r>
    <x v="0"/>
    <x v="0"/>
    <n v="1"/>
  </r>
  <r>
    <x v="1"/>
    <x v="1"/>
    <n v="0"/>
  </r>
  <r>
    <x v="1"/>
    <x v="1"/>
    <n v="0"/>
  </r>
  <r>
    <x v="1"/>
    <x v="1"/>
    <n v="0"/>
  </r>
  <r>
    <x v="1"/>
    <x v="1"/>
    <n v="0"/>
  </r>
  <r>
    <x v="1"/>
    <x v="1"/>
    <n v="0"/>
  </r>
  <r>
    <x v="1"/>
    <x v="1"/>
    <n v="0"/>
  </r>
  <r>
    <x v="0"/>
    <x v="0"/>
    <n v="0"/>
  </r>
  <r>
    <x v="0"/>
    <x v="0"/>
    <n v="0"/>
  </r>
  <r>
    <x v="0"/>
    <x v="0"/>
    <n v="0"/>
  </r>
  <r>
    <x v="0"/>
    <x v="0"/>
    <n v="0"/>
  </r>
  <r>
    <x v="1"/>
    <x v="1"/>
    <n v="0"/>
  </r>
  <r>
    <x v="0"/>
    <x v="0"/>
    <n v="0"/>
  </r>
  <r>
    <x v="0"/>
    <x v="0"/>
    <n v="0"/>
  </r>
  <r>
    <x v="0"/>
    <x v="0"/>
    <n v="0"/>
  </r>
  <r>
    <x v="0"/>
    <x v="0"/>
    <n v="0"/>
  </r>
  <r>
    <x v="1"/>
    <x v="1"/>
    <n v="0"/>
  </r>
  <r>
    <x v="0"/>
    <x v="0"/>
    <n v="0"/>
  </r>
  <r>
    <x v="1"/>
    <x v="1"/>
    <n v="0"/>
  </r>
  <r>
    <x v="1"/>
    <x v="1"/>
    <n v="1"/>
  </r>
  <r>
    <x v="0"/>
    <x v="0"/>
    <n v="0"/>
  </r>
  <r>
    <x v="0"/>
    <x v="0"/>
    <n v="1"/>
  </r>
  <r>
    <x v="1"/>
    <x v="1"/>
    <n v="0"/>
  </r>
  <r>
    <x v="0"/>
    <x v="0"/>
    <n v="0"/>
  </r>
  <r>
    <x v="0"/>
    <x v="0"/>
    <n v="0"/>
  </r>
  <r>
    <x v="0"/>
    <x v="0"/>
    <n v="0"/>
  </r>
  <r>
    <x v="0"/>
    <x v="0"/>
    <n v="1"/>
  </r>
  <r>
    <x v="1"/>
    <x v="1"/>
    <n v="0"/>
  </r>
  <r>
    <x v="1"/>
    <x v="1"/>
    <n v="0"/>
  </r>
  <r>
    <x v="0"/>
    <x v="0"/>
    <n v="0"/>
  </r>
  <r>
    <x v="1"/>
    <x v="1"/>
    <n v="0"/>
  </r>
  <r>
    <x v="0"/>
    <x v="0"/>
    <n v="0"/>
  </r>
  <r>
    <x v="0"/>
    <x v="0"/>
    <n v="0"/>
  </r>
  <r>
    <x v="0"/>
    <x v="0"/>
    <n v="0"/>
  </r>
  <r>
    <x v="0"/>
    <x v="0"/>
    <n v="0"/>
  </r>
  <r>
    <x v="0"/>
    <x v="0"/>
    <n v="0"/>
  </r>
  <r>
    <x v="0"/>
    <x v="0"/>
    <n v="0"/>
  </r>
  <r>
    <x v="1"/>
    <x v="1"/>
    <n v="1"/>
  </r>
  <r>
    <x v="0"/>
    <x v="0"/>
    <n v="0"/>
  </r>
  <r>
    <x v="0"/>
    <x v="0"/>
    <n v="0"/>
  </r>
  <r>
    <x v="0"/>
    <x v="0"/>
    <n v="0"/>
  </r>
  <r>
    <x v="0"/>
    <x v="0"/>
    <n v="0"/>
  </r>
  <r>
    <x v="1"/>
    <x v="1"/>
    <n v="0"/>
  </r>
  <r>
    <x v="1"/>
    <x v="1"/>
    <n v="0"/>
  </r>
  <r>
    <x v="1"/>
    <x v="1"/>
    <n v="0"/>
  </r>
  <r>
    <x v="1"/>
    <x v="1"/>
    <n v="0"/>
  </r>
  <r>
    <x v="1"/>
    <x v="1"/>
    <n v="0"/>
  </r>
  <r>
    <x v="1"/>
    <x v="1"/>
    <n v="0"/>
  </r>
  <r>
    <x v="1"/>
    <x v="1"/>
    <n v="0"/>
  </r>
  <r>
    <x v="1"/>
    <x v="1"/>
    <n v="0"/>
  </r>
  <r>
    <x v="1"/>
    <x v="1"/>
    <n v="0"/>
  </r>
  <r>
    <x v="0"/>
    <x v="0"/>
    <n v="0"/>
  </r>
  <r>
    <x v="1"/>
    <x v="1"/>
    <n v="0"/>
  </r>
  <r>
    <x v="0"/>
    <x v="0"/>
    <n v="0"/>
  </r>
  <r>
    <x v="1"/>
    <x v="1"/>
    <n v="0"/>
  </r>
  <r>
    <x v="0"/>
    <x v="0"/>
    <n v="0"/>
  </r>
  <r>
    <x v="0"/>
    <x v="0"/>
    <n v="0"/>
  </r>
  <r>
    <x v="1"/>
    <x v="1"/>
    <n v="0"/>
  </r>
  <r>
    <x v="1"/>
    <x v="1"/>
    <n v="0"/>
  </r>
  <r>
    <x v="0"/>
    <x v="0"/>
    <n v="0"/>
  </r>
  <r>
    <x v="0"/>
    <x v="0"/>
    <n v="0"/>
  </r>
  <r>
    <x v="0"/>
    <x v="0"/>
    <n v="0"/>
  </r>
  <r>
    <x v="1"/>
    <x v="1"/>
    <n v="0"/>
  </r>
  <r>
    <x v="1"/>
    <x v="1"/>
    <n v="0"/>
  </r>
  <r>
    <x v="1"/>
    <x v="1"/>
    <n v="0"/>
  </r>
  <r>
    <x v="0"/>
    <x v="0"/>
    <n v="0"/>
  </r>
  <r>
    <x v="0"/>
    <x v="0"/>
    <n v="0"/>
  </r>
  <r>
    <x v="1"/>
    <x v="1"/>
    <n v="0"/>
  </r>
  <r>
    <x v="1"/>
    <x v="1"/>
    <n v="0"/>
  </r>
  <r>
    <x v="0"/>
    <x v="0"/>
    <n v="0"/>
  </r>
  <r>
    <x v="1"/>
    <x v="1"/>
    <n v="0"/>
  </r>
  <r>
    <x v="0"/>
    <x v="0"/>
    <n v="0"/>
  </r>
  <r>
    <x v="0"/>
    <x v="0"/>
    <n v="0"/>
  </r>
  <r>
    <x v="0"/>
    <x v="0"/>
    <n v="0"/>
  </r>
  <r>
    <x v="1"/>
    <x v="1"/>
    <n v="0"/>
  </r>
  <r>
    <x v="0"/>
    <x v="0"/>
    <n v="0"/>
  </r>
  <r>
    <x v="0"/>
    <x v="0"/>
    <n v="0"/>
  </r>
  <r>
    <x v="0"/>
    <x v="0"/>
    <n v="0"/>
  </r>
  <r>
    <x v="0"/>
    <x v="0"/>
    <n v="0"/>
  </r>
  <r>
    <x v="0"/>
    <x v="0"/>
    <n v="0"/>
  </r>
  <r>
    <x v="0"/>
    <x v="0"/>
    <n v="0"/>
  </r>
  <r>
    <x v="1"/>
    <x v="1"/>
    <n v="0"/>
  </r>
  <r>
    <x v="0"/>
    <x v="0"/>
    <n v="0"/>
  </r>
  <r>
    <x v="0"/>
    <x v="0"/>
    <n v="0"/>
  </r>
  <r>
    <x v="0"/>
    <x v="0"/>
    <n v="0"/>
  </r>
  <r>
    <x v="1"/>
    <x v="1"/>
    <n v="0"/>
  </r>
  <r>
    <x v="0"/>
    <x v="0"/>
    <n v="0"/>
  </r>
  <r>
    <x v="1"/>
    <x v="1"/>
    <n v="0"/>
  </r>
  <r>
    <x v="1"/>
    <x v="1"/>
    <n v="0"/>
  </r>
  <r>
    <x v="0"/>
    <x v="0"/>
    <n v="0"/>
  </r>
  <r>
    <x v="0"/>
    <x v="0"/>
    <n v="0"/>
  </r>
  <r>
    <x v="1"/>
    <x v="1"/>
    <n v="0"/>
  </r>
  <r>
    <x v="0"/>
    <x v="0"/>
    <n v="0"/>
  </r>
  <r>
    <x v="1"/>
    <x v="1"/>
    <n v="0"/>
  </r>
  <r>
    <x v="1"/>
    <x v="1"/>
    <n v="0"/>
  </r>
  <r>
    <x v="1"/>
    <x v="1"/>
    <n v="0"/>
  </r>
  <r>
    <x v="1"/>
    <x v="1"/>
    <n v="0"/>
  </r>
  <r>
    <x v="0"/>
    <x v="0"/>
    <n v="0"/>
  </r>
  <r>
    <x v="1"/>
    <x v="1"/>
    <n v="0"/>
  </r>
  <r>
    <x v="1"/>
    <x v="1"/>
    <n v="0"/>
  </r>
  <r>
    <x v="0"/>
    <x v="0"/>
    <n v="0"/>
  </r>
  <r>
    <x v="1"/>
    <x v="1"/>
    <n v="0"/>
  </r>
  <r>
    <x v="1"/>
    <x v="1"/>
    <n v="0"/>
  </r>
  <r>
    <x v="0"/>
    <x v="0"/>
    <n v="0"/>
  </r>
  <r>
    <x v="1"/>
    <x v="1"/>
    <n v="0"/>
  </r>
  <r>
    <x v="0"/>
    <x v="0"/>
    <n v="0"/>
  </r>
  <r>
    <x v="1"/>
    <x v="1"/>
    <n v="0"/>
  </r>
  <r>
    <x v="0"/>
    <x v="0"/>
    <n v="0"/>
  </r>
  <r>
    <x v="0"/>
    <x v="0"/>
    <n v="0"/>
  </r>
  <r>
    <x v="1"/>
    <x v="1"/>
    <n v="0"/>
  </r>
  <r>
    <x v="1"/>
    <x v="1"/>
    <n v="0"/>
  </r>
  <r>
    <x v="0"/>
    <x v="0"/>
    <n v="0"/>
  </r>
  <r>
    <x v="1"/>
    <x v="1"/>
    <n v="0"/>
  </r>
  <r>
    <x v="0"/>
    <x v="0"/>
    <n v="1"/>
  </r>
  <r>
    <x v="1"/>
    <x v="1"/>
    <n v="0"/>
  </r>
  <r>
    <x v="1"/>
    <x v="1"/>
    <n v="0"/>
  </r>
  <r>
    <x v="1"/>
    <x v="1"/>
    <n v="0"/>
  </r>
  <r>
    <x v="0"/>
    <x v="0"/>
    <n v="0"/>
  </r>
  <r>
    <x v="1"/>
    <x v="1"/>
    <n v="0"/>
  </r>
  <r>
    <x v="0"/>
    <x v="0"/>
    <n v="0"/>
  </r>
  <r>
    <x v="1"/>
    <x v="1"/>
    <n v="0"/>
  </r>
  <r>
    <x v="0"/>
    <x v="0"/>
    <n v="0"/>
  </r>
  <r>
    <x v="1"/>
    <x v="1"/>
    <n v="0"/>
  </r>
  <r>
    <x v="0"/>
    <x v="0"/>
    <n v="0"/>
  </r>
  <r>
    <x v="0"/>
    <x v="0"/>
    <n v="0"/>
  </r>
  <r>
    <x v="1"/>
    <x v="1"/>
    <n v="0"/>
  </r>
  <r>
    <x v="0"/>
    <x v="0"/>
    <n v="0"/>
  </r>
  <r>
    <x v="1"/>
    <x v="1"/>
    <n v="0"/>
  </r>
  <r>
    <x v="1"/>
    <x v="1"/>
    <n v="0"/>
  </r>
  <r>
    <x v="0"/>
    <x v="0"/>
    <n v="0"/>
  </r>
  <r>
    <x v="0"/>
    <x v="0"/>
    <n v="0"/>
  </r>
  <r>
    <x v="1"/>
    <x v="1"/>
    <n v="0"/>
  </r>
  <r>
    <x v="1"/>
    <x v="1"/>
    <n v="0"/>
  </r>
  <r>
    <x v="0"/>
    <x v="0"/>
    <n v="0"/>
  </r>
  <r>
    <x v="0"/>
    <x v="0"/>
    <n v="0"/>
  </r>
  <r>
    <x v="1"/>
    <x v="1"/>
    <n v="0"/>
  </r>
  <r>
    <x v="0"/>
    <x v="0"/>
    <n v="0"/>
  </r>
  <r>
    <x v="1"/>
    <x v="1"/>
    <n v="0"/>
  </r>
  <r>
    <x v="1"/>
    <x v="1"/>
    <n v="0"/>
  </r>
  <r>
    <x v="1"/>
    <x v="1"/>
    <n v="0"/>
  </r>
  <r>
    <x v="0"/>
    <x v="0"/>
    <n v="0"/>
  </r>
  <r>
    <x v="1"/>
    <x v="1"/>
    <n v="0"/>
  </r>
  <r>
    <x v="1"/>
    <x v="1"/>
    <n v="1"/>
  </r>
  <r>
    <x v="1"/>
    <x v="1"/>
    <n v="0"/>
  </r>
  <r>
    <x v="0"/>
    <x v="0"/>
    <n v="0"/>
  </r>
  <r>
    <x v="1"/>
    <x v="1"/>
    <n v="0"/>
  </r>
  <r>
    <x v="0"/>
    <x v="0"/>
    <n v="0"/>
  </r>
  <r>
    <x v="1"/>
    <x v="1"/>
    <n v="0"/>
  </r>
  <r>
    <x v="0"/>
    <x v="0"/>
    <n v="0"/>
  </r>
  <r>
    <x v="1"/>
    <x v="1"/>
    <n v="0"/>
  </r>
  <r>
    <x v="0"/>
    <x v="0"/>
    <n v="0"/>
  </r>
  <r>
    <x v="0"/>
    <x v="0"/>
    <n v="0"/>
  </r>
  <r>
    <x v="0"/>
    <x v="0"/>
    <n v="0"/>
  </r>
  <r>
    <x v="1"/>
    <x v="1"/>
    <n v="0"/>
  </r>
  <r>
    <x v="0"/>
    <x v="0"/>
    <n v="0"/>
  </r>
  <r>
    <x v="0"/>
    <x v="0"/>
    <n v="0"/>
  </r>
  <r>
    <x v="0"/>
    <x v="0"/>
    <n v="0"/>
  </r>
  <r>
    <x v="1"/>
    <x v="1"/>
    <n v="0"/>
  </r>
  <r>
    <x v="0"/>
    <x v="0"/>
    <n v="0"/>
  </r>
  <r>
    <x v="0"/>
    <x v="0"/>
    <n v="0"/>
  </r>
  <r>
    <x v="0"/>
    <x v="0"/>
    <n v="0"/>
  </r>
  <r>
    <x v="1"/>
    <x v="1"/>
    <n v="0"/>
  </r>
  <r>
    <x v="0"/>
    <x v="0"/>
    <n v="0"/>
  </r>
  <r>
    <x v="1"/>
    <x v="1"/>
    <n v="0"/>
  </r>
  <r>
    <x v="0"/>
    <x v="0"/>
    <n v="0"/>
  </r>
  <r>
    <x v="0"/>
    <x v="0"/>
    <n v="0"/>
  </r>
  <r>
    <x v="0"/>
    <x v="0"/>
    <n v="0"/>
  </r>
  <r>
    <x v="1"/>
    <x v="1"/>
    <n v="0"/>
  </r>
  <r>
    <x v="0"/>
    <x v="0"/>
    <n v="0"/>
  </r>
  <r>
    <x v="0"/>
    <x v="0"/>
    <n v="0"/>
  </r>
  <r>
    <x v="0"/>
    <x v="0"/>
    <n v="1"/>
  </r>
  <r>
    <x v="1"/>
    <x v="1"/>
    <n v="0"/>
  </r>
  <r>
    <x v="1"/>
    <x v="1"/>
    <n v="0"/>
  </r>
  <r>
    <x v="0"/>
    <x v="0"/>
    <n v="0"/>
  </r>
  <r>
    <x v="1"/>
    <x v="1"/>
    <n v="0"/>
  </r>
  <r>
    <x v="0"/>
    <x v="0"/>
    <n v="0"/>
  </r>
  <r>
    <x v="1"/>
    <x v="1"/>
    <n v="0"/>
  </r>
  <r>
    <x v="0"/>
    <x v="0"/>
    <n v="0"/>
  </r>
  <r>
    <x v="1"/>
    <x v="1"/>
    <n v="0"/>
  </r>
  <r>
    <x v="1"/>
    <x v="1"/>
    <n v="0"/>
  </r>
  <r>
    <x v="1"/>
    <x v="1"/>
    <n v="0"/>
  </r>
  <r>
    <x v="0"/>
    <x v="0"/>
    <n v="0"/>
  </r>
  <r>
    <x v="1"/>
    <x v="1"/>
    <n v="0"/>
  </r>
  <r>
    <x v="1"/>
    <x v="1"/>
    <n v="0"/>
  </r>
  <r>
    <x v="0"/>
    <x v="0"/>
    <n v="0"/>
  </r>
  <r>
    <x v="0"/>
    <x v="0"/>
    <n v="0"/>
  </r>
  <r>
    <x v="1"/>
    <x v="1"/>
    <n v="0"/>
  </r>
  <r>
    <x v="0"/>
    <x v="0"/>
    <n v="0"/>
  </r>
  <r>
    <x v="1"/>
    <x v="1"/>
    <n v="0"/>
  </r>
  <r>
    <x v="1"/>
    <x v="1"/>
    <n v="0"/>
  </r>
  <r>
    <x v="1"/>
    <x v="1"/>
    <n v="0"/>
  </r>
  <r>
    <x v="1"/>
    <x v="1"/>
    <n v="0"/>
  </r>
  <r>
    <x v="1"/>
    <x v="1"/>
    <n v="0"/>
  </r>
  <r>
    <x v="1"/>
    <x v="1"/>
    <n v="0"/>
  </r>
  <r>
    <x v="1"/>
    <x v="1"/>
    <n v="0"/>
  </r>
  <r>
    <x v="0"/>
    <x v="0"/>
    <n v="0"/>
  </r>
  <r>
    <x v="1"/>
    <x v="1"/>
    <n v="0"/>
  </r>
  <r>
    <x v="1"/>
    <x v="1"/>
    <n v="0"/>
  </r>
  <r>
    <x v="1"/>
    <x v="1"/>
    <n v="0"/>
  </r>
  <r>
    <x v="0"/>
    <x v="0"/>
    <n v="0"/>
  </r>
  <r>
    <x v="0"/>
    <x v="0"/>
    <n v="0"/>
  </r>
  <r>
    <x v="1"/>
    <x v="1"/>
    <n v="0"/>
  </r>
  <r>
    <x v="0"/>
    <x v="0"/>
    <n v="0"/>
  </r>
  <r>
    <x v="0"/>
    <x v="0"/>
    <n v="0"/>
  </r>
  <r>
    <x v="0"/>
    <x v="0"/>
    <n v="0"/>
  </r>
  <r>
    <x v="0"/>
    <x v="0"/>
    <n v="0"/>
  </r>
  <r>
    <x v="0"/>
    <x v="0"/>
    <n v="0"/>
  </r>
  <r>
    <x v="1"/>
    <x v="1"/>
    <n v="0"/>
  </r>
  <r>
    <x v="0"/>
    <x v="0"/>
    <n v="0"/>
  </r>
  <r>
    <x v="1"/>
    <x v="1"/>
    <n v="0"/>
  </r>
  <r>
    <x v="1"/>
    <x v="1"/>
    <n v="0"/>
  </r>
  <r>
    <x v="1"/>
    <x v="1"/>
    <n v="0"/>
  </r>
  <r>
    <x v="0"/>
    <x v="0"/>
    <n v="0"/>
  </r>
  <r>
    <x v="0"/>
    <x v="0"/>
    <n v="0"/>
  </r>
  <r>
    <x v="1"/>
    <x v="1"/>
    <n v="0"/>
  </r>
  <r>
    <x v="1"/>
    <x v="1"/>
    <n v="0"/>
  </r>
  <r>
    <x v="0"/>
    <x v="0"/>
    <n v="0"/>
  </r>
  <r>
    <x v="1"/>
    <x v="1"/>
    <n v="0"/>
  </r>
  <r>
    <x v="0"/>
    <x v="0"/>
    <n v="0"/>
  </r>
  <r>
    <x v="1"/>
    <x v="1"/>
    <n v="0"/>
  </r>
  <r>
    <x v="0"/>
    <x v="0"/>
    <n v="0"/>
  </r>
  <r>
    <x v="1"/>
    <x v="1"/>
    <n v="0"/>
  </r>
  <r>
    <x v="1"/>
    <x v="1"/>
    <n v="0"/>
  </r>
  <r>
    <x v="1"/>
    <x v="1"/>
    <n v="0"/>
  </r>
  <r>
    <x v="1"/>
    <x v="1"/>
    <n v="0"/>
  </r>
  <r>
    <x v="1"/>
    <x v="1"/>
    <n v="0"/>
  </r>
  <r>
    <x v="1"/>
    <x v="1"/>
    <n v="0"/>
  </r>
  <r>
    <x v="1"/>
    <x v="1"/>
    <n v="0"/>
  </r>
  <r>
    <x v="1"/>
    <x v="1"/>
    <n v="0"/>
  </r>
  <r>
    <x v="1"/>
    <x v="1"/>
    <n v="0"/>
  </r>
  <r>
    <x v="0"/>
    <x v="0"/>
    <n v="0"/>
  </r>
  <r>
    <x v="0"/>
    <x v="0"/>
    <n v="0"/>
  </r>
  <r>
    <x v="0"/>
    <x v="0"/>
    <n v="0"/>
  </r>
  <r>
    <x v="1"/>
    <x v="1"/>
    <n v="0"/>
  </r>
  <r>
    <x v="0"/>
    <x v="0"/>
    <n v="0"/>
  </r>
  <r>
    <x v="1"/>
    <x v="1"/>
    <n v="0"/>
  </r>
  <r>
    <x v="1"/>
    <x v="1"/>
    <n v="0"/>
  </r>
  <r>
    <x v="0"/>
    <x v="0"/>
    <n v="0"/>
  </r>
  <r>
    <x v="0"/>
    <x v="0"/>
    <n v="0"/>
  </r>
  <r>
    <x v="0"/>
    <x v="0"/>
    <n v="0"/>
  </r>
  <r>
    <x v="0"/>
    <x v="0"/>
    <n v="0"/>
  </r>
  <r>
    <x v="0"/>
    <x v="0"/>
    <n v="0"/>
  </r>
  <r>
    <x v="0"/>
    <x v="0"/>
    <n v="0"/>
  </r>
  <r>
    <x v="1"/>
    <x v="1"/>
    <n v="0"/>
  </r>
  <r>
    <x v="1"/>
    <x v="1"/>
    <n v="0"/>
  </r>
  <r>
    <x v="0"/>
    <x v="0"/>
    <n v="0"/>
  </r>
  <r>
    <x v="0"/>
    <x v="0"/>
    <n v="0"/>
  </r>
  <r>
    <x v="0"/>
    <x v="0"/>
    <n v="0"/>
  </r>
  <r>
    <x v="0"/>
    <x v="0"/>
    <n v="0"/>
  </r>
  <r>
    <x v="0"/>
    <x v="0"/>
    <n v="0"/>
  </r>
  <r>
    <x v="0"/>
    <x v="0"/>
    <n v="0"/>
  </r>
  <r>
    <x v="1"/>
    <x v="1"/>
    <n v="0"/>
  </r>
  <r>
    <x v="0"/>
    <x v="0"/>
    <n v="0"/>
  </r>
  <r>
    <x v="0"/>
    <x v="0"/>
    <n v="0"/>
  </r>
  <r>
    <x v="1"/>
    <x v="1"/>
    <n v="0"/>
  </r>
  <r>
    <x v="0"/>
    <x v="0"/>
    <n v="0"/>
  </r>
  <r>
    <x v="0"/>
    <x v="0"/>
    <n v="0"/>
  </r>
  <r>
    <x v="0"/>
    <x v="0"/>
    <n v="0"/>
  </r>
  <r>
    <x v="0"/>
    <x v="0"/>
    <n v="0"/>
  </r>
  <r>
    <x v="1"/>
    <x v="1"/>
    <n v="0"/>
  </r>
  <r>
    <x v="1"/>
    <x v="1"/>
    <n v="0"/>
  </r>
  <r>
    <x v="0"/>
    <x v="0"/>
    <n v="1"/>
  </r>
  <r>
    <x v="0"/>
    <x v="0"/>
    <n v="0"/>
  </r>
  <r>
    <x v="0"/>
    <x v="0"/>
    <n v="0"/>
  </r>
  <r>
    <x v="0"/>
    <x v="0"/>
    <n v="0"/>
  </r>
  <r>
    <x v="0"/>
    <x v="0"/>
    <n v="0"/>
  </r>
  <r>
    <x v="0"/>
    <x v="0"/>
    <n v="0"/>
  </r>
  <r>
    <x v="1"/>
    <x v="1"/>
    <n v="0"/>
  </r>
  <r>
    <x v="0"/>
    <x v="0"/>
    <n v="0"/>
  </r>
  <r>
    <x v="0"/>
    <x v="0"/>
    <n v="1"/>
  </r>
  <r>
    <x v="0"/>
    <x v="0"/>
    <n v="0"/>
  </r>
  <r>
    <x v="1"/>
    <x v="1"/>
    <n v="0"/>
  </r>
  <r>
    <x v="1"/>
    <x v="1"/>
    <n v="0"/>
  </r>
  <r>
    <x v="0"/>
    <x v="0"/>
    <n v="0"/>
  </r>
  <r>
    <x v="1"/>
    <x v="1"/>
    <n v="0"/>
  </r>
  <r>
    <x v="0"/>
    <x v="0"/>
    <n v="0"/>
  </r>
  <r>
    <x v="1"/>
    <x v="1"/>
    <n v="0"/>
  </r>
  <r>
    <x v="0"/>
    <x v="0"/>
    <n v="0"/>
  </r>
  <r>
    <x v="1"/>
    <x v="1"/>
    <n v="0"/>
  </r>
  <r>
    <x v="1"/>
    <x v="1"/>
    <n v="0"/>
  </r>
  <r>
    <x v="1"/>
    <x v="1"/>
    <n v="0"/>
  </r>
  <r>
    <x v="1"/>
    <x v="1"/>
    <n v="0"/>
  </r>
  <r>
    <x v="0"/>
    <x v="0"/>
    <n v="0"/>
  </r>
  <r>
    <x v="0"/>
    <x v="0"/>
    <n v="1"/>
  </r>
  <r>
    <x v="0"/>
    <x v="0"/>
    <n v="0"/>
  </r>
  <r>
    <x v="0"/>
    <x v="0"/>
    <n v="0"/>
  </r>
  <r>
    <x v="0"/>
    <x v="0"/>
    <n v="0"/>
  </r>
  <r>
    <x v="1"/>
    <x v="1"/>
    <n v="0"/>
  </r>
  <r>
    <x v="1"/>
    <x v="1"/>
    <n v="0"/>
  </r>
  <r>
    <x v="1"/>
    <x v="1"/>
    <n v="0"/>
  </r>
  <r>
    <x v="1"/>
    <x v="1"/>
    <n v="0"/>
  </r>
  <r>
    <x v="0"/>
    <x v="0"/>
    <n v="0"/>
  </r>
  <r>
    <x v="0"/>
    <x v="0"/>
    <n v="0"/>
  </r>
  <r>
    <x v="1"/>
    <x v="1"/>
    <n v="0"/>
  </r>
  <r>
    <x v="0"/>
    <x v="0"/>
    <n v="0"/>
  </r>
  <r>
    <x v="1"/>
    <x v="1"/>
    <n v="1"/>
  </r>
  <r>
    <x v="0"/>
    <x v="0"/>
    <n v="0"/>
  </r>
  <r>
    <x v="1"/>
    <x v="1"/>
    <n v="0"/>
  </r>
  <r>
    <x v="0"/>
    <x v="0"/>
    <n v="0"/>
  </r>
  <r>
    <x v="1"/>
    <x v="1"/>
    <n v="0"/>
  </r>
  <r>
    <x v="1"/>
    <x v="1"/>
    <n v="0"/>
  </r>
  <r>
    <x v="1"/>
    <x v="1"/>
    <n v="1"/>
  </r>
  <r>
    <x v="1"/>
    <x v="1"/>
    <n v="1"/>
  </r>
  <r>
    <x v="0"/>
    <x v="0"/>
    <n v="0"/>
  </r>
  <r>
    <x v="0"/>
    <x v="0"/>
    <n v="0"/>
  </r>
  <r>
    <x v="0"/>
    <x v="0"/>
    <n v="0"/>
  </r>
  <r>
    <x v="0"/>
    <x v="0"/>
    <n v="0"/>
  </r>
  <r>
    <x v="0"/>
    <x v="0"/>
    <n v="1"/>
  </r>
  <r>
    <x v="1"/>
    <x v="1"/>
    <n v="0"/>
  </r>
  <r>
    <x v="0"/>
    <x v="0"/>
    <n v="0"/>
  </r>
  <r>
    <x v="1"/>
    <x v="1"/>
    <n v="0"/>
  </r>
  <r>
    <x v="1"/>
    <x v="1"/>
    <n v="0"/>
  </r>
  <r>
    <x v="0"/>
    <x v="0"/>
    <n v="0"/>
  </r>
  <r>
    <x v="1"/>
    <x v="1"/>
    <n v="0"/>
  </r>
  <r>
    <x v="1"/>
    <x v="1"/>
    <n v="0"/>
  </r>
  <r>
    <x v="0"/>
    <x v="0"/>
    <n v="0"/>
  </r>
  <r>
    <x v="0"/>
    <x v="0"/>
    <n v="0"/>
  </r>
  <r>
    <x v="1"/>
    <x v="1"/>
    <n v="0"/>
  </r>
  <r>
    <x v="0"/>
    <x v="0"/>
    <n v="0"/>
  </r>
  <r>
    <x v="0"/>
    <x v="0"/>
    <n v="0"/>
  </r>
  <r>
    <x v="1"/>
    <x v="1"/>
    <n v="0"/>
  </r>
  <r>
    <x v="1"/>
    <x v="1"/>
    <n v="0"/>
  </r>
  <r>
    <x v="0"/>
    <x v="0"/>
    <n v="0"/>
  </r>
  <r>
    <x v="0"/>
    <x v="0"/>
    <n v="0"/>
  </r>
  <r>
    <x v="0"/>
    <x v="0"/>
    <n v="0"/>
  </r>
  <r>
    <x v="1"/>
    <x v="1"/>
    <n v="1"/>
  </r>
  <r>
    <x v="1"/>
    <x v="1"/>
    <n v="0"/>
  </r>
  <r>
    <x v="1"/>
    <x v="1"/>
    <n v="0"/>
  </r>
  <r>
    <x v="1"/>
    <x v="1"/>
    <n v="0"/>
  </r>
  <r>
    <x v="1"/>
    <x v="1"/>
    <n v="0"/>
  </r>
  <r>
    <x v="1"/>
    <x v="1"/>
    <n v="0"/>
  </r>
  <r>
    <x v="0"/>
    <x v="0"/>
    <n v="0"/>
  </r>
  <r>
    <x v="1"/>
    <x v="1"/>
    <n v="0"/>
  </r>
  <r>
    <x v="1"/>
    <x v="1"/>
    <n v="0"/>
  </r>
  <r>
    <x v="1"/>
    <x v="1"/>
    <n v="0"/>
  </r>
  <r>
    <x v="0"/>
    <x v="0"/>
    <n v="0"/>
  </r>
  <r>
    <x v="1"/>
    <x v="1"/>
    <n v="0"/>
  </r>
  <r>
    <x v="1"/>
    <x v="1"/>
    <n v="0"/>
  </r>
  <r>
    <x v="1"/>
    <x v="1"/>
    <n v="1"/>
  </r>
  <r>
    <x v="1"/>
    <x v="1"/>
    <n v="0"/>
  </r>
  <r>
    <x v="0"/>
    <x v="0"/>
    <n v="0"/>
  </r>
  <r>
    <x v="0"/>
    <x v="0"/>
    <n v="0"/>
  </r>
  <r>
    <x v="1"/>
    <x v="1"/>
    <n v="0"/>
  </r>
  <r>
    <x v="1"/>
    <x v="1"/>
    <n v="0"/>
  </r>
  <r>
    <x v="0"/>
    <x v="0"/>
    <n v="0"/>
  </r>
  <r>
    <x v="0"/>
    <x v="0"/>
    <n v="0"/>
  </r>
  <r>
    <x v="1"/>
    <x v="1"/>
    <n v="0"/>
  </r>
  <r>
    <x v="0"/>
    <x v="0"/>
    <n v="0"/>
  </r>
  <r>
    <x v="0"/>
    <x v="0"/>
    <n v="0"/>
  </r>
  <r>
    <x v="0"/>
    <x v="0"/>
    <n v="0"/>
  </r>
  <r>
    <x v="0"/>
    <x v="0"/>
    <n v="0"/>
  </r>
  <r>
    <x v="1"/>
    <x v="1"/>
    <n v="0"/>
  </r>
  <r>
    <x v="0"/>
    <x v="0"/>
    <n v="0"/>
  </r>
  <r>
    <x v="0"/>
    <x v="0"/>
    <n v="0"/>
  </r>
  <r>
    <x v="0"/>
    <x v="0"/>
    <n v="0"/>
  </r>
  <r>
    <x v="1"/>
    <x v="1"/>
    <n v="0"/>
  </r>
  <r>
    <x v="1"/>
    <x v="1"/>
    <n v="0"/>
  </r>
  <r>
    <x v="0"/>
    <x v="0"/>
    <n v="0"/>
  </r>
  <r>
    <x v="0"/>
    <x v="0"/>
    <n v="1"/>
  </r>
  <r>
    <x v="1"/>
    <x v="1"/>
    <n v="0"/>
  </r>
  <r>
    <x v="0"/>
    <x v="0"/>
    <n v="0"/>
  </r>
  <r>
    <x v="0"/>
    <x v="0"/>
    <n v="0"/>
  </r>
  <r>
    <x v="1"/>
    <x v="1"/>
    <n v="0"/>
  </r>
  <r>
    <x v="1"/>
    <x v="1"/>
    <n v="0"/>
  </r>
  <r>
    <x v="0"/>
    <x v="0"/>
    <n v="0"/>
  </r>
  <r>
    <x v="0"/>
    <x v="0"/>
    <n v="0"/>
  </r>
  <r>
    <x v="1"/>
    <x v="1"/>
    <n v="0"/>
  </r>
  <r>
    <x v="1"/>
    <x v="1"/>
    <n v="0"/>
  </r>
  <r>
    <x v="1"/>
    <x v="1"/>
    <n v="0"/>
  </r>
  <r>
    <x v="0"/>
    <x v="0"/>
    <n v="0"/>
  </r>
  <r>
    <x v="1"/>
    <x v="1"/>
    <n v="0"/>
  </r>
  <r>
    <x v="0"/>
    <x v="0"/>
    <n v="0"/>
  </r>
  <r>
    <x v="0"/>
    <x v="0"/>
    <n v="0"/>
  </r>
  <r>
    <x v="0"/>
    <x v="0"/>
    <n v="0"/>
  </r>
  <r>
    <x v="0"/>
    <x v="0"/>
    <n v="0"/>
  </r>
  <r>
    <x v="1"/>
    <x v="1"/>
    <n v="0"/>
  </r>
  <r>
    <x v="1"/>
    <x v="1"/>
    <n v="0"/>
  </r>
  <r>
    <x v="0"/>
    <x v="0"/>
    <n v="0"/>
  </r>
  <r>
    <x v="1"/>
    <x v="1"/>
    <n v="0"/>
  </r>
  <r>
    <x v="1"/>
    <x v="1"/>
    <n v="0"/>
  </r>
  <r>
    <x v="0"/>
    <x v="0"/>
    <n v="0"/>
  </r>
  <r>
    <x v="0"/>
    <x v="0"/>
    <n v="0"/>
  </r>
  <r>
    <x v="0"/>
    <x v="0"/>
    <n v="0"/>
  </r>
  <r>
    <x v="1"/>
    <x v="1"/>
    <n v="0"/>
  </r>
  <r>
    <x v="1"/>
    <x v="1"/>
    <n v="0"/>
  </r>
  <r>
    <x v="1"/>
    <x v="1"/>
    <n v="0"/>
  </r>
  <r>
    <x v="0"/>
    <x v="0"/>
    <n v="0"/>
  </r>
  <r>
    <x v="1"/>
    <x v="1"/>
    <n v="0"/>
  </r>
  <r>
    <x v="0"/>
    <x v="0"/>
    <n v="0"/>
  </r>
  <r>
    <x v="1"/>
    <x v="1"/>
    <n v="0"/>
  </r>
  <r>
    <x v="0"/>
    <x v="0"/>
    <n v="0"/>
  </r>
  <r>
    <x v="1"/>
    <x v="1"/>
    <n v="0"/>
  </r>
  <r>
    <x v="0"/>
    <x v="0"/>
    <n v="1"/>
  </r>
  <r>
    <x v="1"/>
    <x v="1"/>
    <n v="0"/>
  </r>
  <r>
    <x v="0"/>
    <x v="0"/>
    <n v="0"/>
  </r>
  <r>
    <x v="1"/>
    <x v="1"/>
    <n v="0"/>
  </r>
  <r>
    <x v="1"/>
    <x v="1"/>
    <n v="0"/>
  </r>
  <r>
    <x v="0"/>
    <x v="0"/>
    <n v="0"/>
  </r>
  <r>
    <x v="0"/>
    <x v="0"/>
    <n v="0"/>
  </r>
  <r>
    <x v="0"/>
    <x v="0"/>
    <n v="0"/>
  </r>
  <r>
    <x v="0"/>
    <x v="0"/>
    <n v="1"/>
  </r>
  <r>
    <x v="0"/>
    <x v="0"/>
    <n v="0"/>
  </r>
  <r>
    <x v="0"/>
    <x v="0"/>
    <n v="0"/>
  </r>
  <r>
    <x v="0"/>
    <x v="0"/>
    <n v="0"/>
  </r>
  <r>
    <x v="0"/>
    <x v="0"/>
    <n v="0"/>
  </r>
  <r>
    <x v="1"/>
    <x v="1"/>
    <n v="0"/>
  </r>
  <r>
    <x v="1"/>
    <x v="1"/>
    <n v="1"/>
  </r>
  <r>
    <x v="1"/>
    <x v="1"/>
    <n v="0"/>
  </r>
  <r>
    <x v="1"/>
    <x v="1"/>
    <n v="0"/>
  </r>
  <r>
    <x v="0"/>
    <x v="0"/>
    <n v="0"/>
  </r>
  <r>
    <x v="1"/>
    <x v="1"/>
    <n v="0"/>
  </r>
  <r>
    <x v="1"/>
    <x v="1"/>
    <n v="0"/>
  </r>
  <r>
    <x v="1"/>
    <x v="1"/>
    <n v="0"/>
  </r>
  <r>
    <x v="0"/>
    <x v="0"/>
    <n v="0"/>
  </r>
  <r>
    <x v="0"/>
    <x v="0"/>
    <n v="0"/>
  </r>
  <r>
    <x v="1"/>
    <x v="1"/>
    <n v="0"/>
  </r>
  <r>
    <x v="1"/>
    <x v="1"/>
    <n v="0"/>
  </r>
  <r>
    <x v="0"/>
    <x v="0"/>
    <n v="0"/>
  </r>
  <r>
    <x v="0"/>
    <x v="0"/>
    <n v="0"/>
  </r>
  <r>
    <x v="0"/>
    <x v="0"/>
    <n v="0"/>
  </r>
  <r>
    <x v="0"/>
    <x v="0"/>
    <n v="0"/>
  </r>
  <r>
    <x v="1"/>
    <x v="1"/>
    <n v="0"/>
  </r>
  <r>
    <x v="0"/>
    <x v="0"/>
    <n v="0"/>
  </r>
  <r>
    <x v="1"/>
    <x v="1"/>
    <n v="0"/>
  </r>
  <r>
    <x v="1"/>
    <x v="1"/>
    <n v="0"/>
  </r>
  <r>
    <x v="0"/>
    <x v="0"/>
    <n v="0"/>
  </r>
  <r>
    <x v="1"/>
    <x v="1"/>
    <n v="0"/>
  </r>
  <r>
    <x v="1"/>
    <x v="1"/>
    <n v="0"/>
  </r>
  <r>
    <x v="1"/>
    <x v="1"/>
    <n v="0"/>
  </r>
  <r>
    <x v="1"/>
    <x v="1"/>
    <n v="0"/>
  </r>
  <r>
    <x v="0"/>
    <x v="0"/>
    <n v="0"/>
  </r>
  <r>
    <x v="1"/>
    <x v="1"/>
    <n v="0"/>
  </r>
  <r>
    <x v="0"/>
    <x v="0"/>
    <n v="0"/>
  </r>
  <r>
    <x v="0"/>
    <x v="0"/>
    <n v="0"/>
  </r>
  <r>
    <x v="1"/>
    <x v="1"/>
    <n v="0"/>
  </r>
  <r>
    <x v="1"/>
    <x v="1"/>
    <n v="0"/>
  </r>
  <r>
    <x v="1"/>
    <x v="1"/>
    <n v="0"/>
  </r>
  <r>
    <x v="1"/>
    <x v="1"/>
    <n v="0"/>
  </r>
  <r>
    <x v="1"/>
    <x v="1"/>
    <n v="0"/>
  </r>
  <r>
    <x v="0"/>
    <x v="0"/>
    <n v="0"/>
  </r>
  <r>
    <x v="0"/>
    <x v="0"/>
    <n v="0"/>
  </r>
  <r>
    <x v="0"/>
    <x v="0"/>
    <n v="0"/>
  </r>
  <r>
    <x v="1"/>
    <x v="1"/>
    <n v="0"/>
  </r>
  <r>
    <x v="0"/>
    <x v="0"/>
    <n v="0"/>
  </r>
  <r>
    <x v="0"/>
    <x v="0"/>
    <n v="0"/>
  </r>
  <r>
    <x v="1"/>
    <x v="1"/>
    <n v="0"/>
  </r>
  <r>
    <x v="0"/>
    <x v="0"/>
    <n v="0"/>
  </r>
  <r>
    <x v="0"/>
    <x v="0"/>
    <n v="0"/>
  </r>
  <r>
    <x v="0"/>
    <x v="0"/>
    <n v="0"/>
  </r>
  <r>
    <x v="0"/>
    <x v="0"/>
    <n v="0"/>
  </r>
  <r>
    <x v="1"/>
    <x v="1"/>
    <n v="0"/>
  </r>
  <r>
    <x v="0"/>
    <x v="0"/>
    <n v="0"/>
  </r>
  <r>
    <x v="1"/>
    <x v="1"/>
    <n v="0"/>
  </r>
  <r>
    <x v="1"/>
    <x v="1"/>
    <n v="0"/>
  </r>
  <r>
    <x v="1"/>
    <x v="1"/>
    <n v="0"/>
  </r>
  <r>
    <x v="0"/>
    <x v="0"/>
    <n v="0"/>
  </r>
  <r>
    <x v="1"/>
    <x v="1"/>
    <n v="0"/>
  </r>
  <r>
    <x v="0"/>
    <x v="0"/>
    <n v="0"/>
  </r>
  <r>
    <x v="1"/>
    <x v="1"/>
    <n v="0"/>
  </r>
  <r>
    <x v="1"/>
    <x v="1"/>
    <n v="0"/>
  </r>
  <r>
    <x v="1"/>
    <x v="1"/>
    <n v="0"/>
  </r>
  <r>
    <x v="1"/>
    <x v="1"/>
    <n v="0"/>
  </r>
  <r>
    <x v="1"/>
    <x v="1"/>
    <n v="0"/>
  </r>
  <r>
    <x v="0"/>
    <x v="0"/>
    <n v="0"/>
  </r>
  <r>
    <x v="0"/>
    <x v="0"/>
    <n v="0"/>
  </r>
  <r>
    <x v="0"/>
    <x v="0"/>
    <n v="0"/>
  </r>
  <r>
    <x v="1"/>
    <x v="1"/>
    <n v="0"/>
  </r>
  <r>
    <x v="0"/>
    <x v="0"/>
    <n v="0"/>
  </r>
  <r>
    <x v="1"/>
    <x v="1"/>
    <n v="0"/>
  </r>
  <r>
    <x v="1"/>
    <x v="1"/>
    <n v="0"/>
  </r>
  <r>
    <x v="1"/>
    <x v="1"/>
    <n v="0"/>
  </r>
  <r>
    <x v="1"/>
    <x v="1"/>
    <n v="1"/>
  </r>
  <r>
    <x v="1"/>
    <x v="1"/>
    <n v="0"/>
  </r>
  <r>
    <x v="1"/>
    <x v="1"/>
    <n v="0"/>
  </r>
  <r>
    <x v="0"/>
    <x v="0"/>
    <n v="0"/>
  </r>
  <r>
    <x v="0"/>
    <x v="0"/>
    <n v="0"/>
  </r>
  <r>
    <x v="1"/>
    <x v="1"/>
    <n v="1"/>
  </r>
  <r>
    <x v="1"/>
    <x v="1"/>
    <n v="0"/>
  </r>
  <r>
    <x v="1"/>
    <x v="1"/>
    <n v="0"/>
  </r>
  <r>
    <x v="1"/>
    <x v="1"/>
    <n v="0"/>
  </r>
  <r>
    <x v="0"/>
    <x v="0"/>
    <n v="0"/>
  </r>
  <r>
    <x v="1"/>
    <x v="1"/>
    <n v="0"/>
  </r>
  <r>
    <x v="0"/>
    <x v="0"/>
    <n v="0"/>
  </r>
  <r>
    <x v="0"/>
    <x v="0"/>
    <n v="0"/>
  </r>
  <r>
    <x v="0"/>
    <x v="0"/>
    <n v="0"/>
  </r>
  <r>
    <x v="0"/>
    <x v="0"/>
    <n v="1"/>
  </r>
  <r>
    <x v="1"/>
    <x v="1"/>
    <n v="0"/>
  </r>
  <r>
    <x v="1"/>
    <x v="1"/>
    <n v="0"/>
  </r>
  <r>
    <x v="1"/>
    <x v="1"/>
    <n v="0"/>
  </r>
  <r>
    <x v="0"/>
    <x v="0"/>
    <n v="1"/>
  </r>
  <r>
    <x v="0"/>
    <x v="0"/>
    <n v="0"/>
  </r>
  <r>
    <x v="0"/>
    <x v="0"/>
    <n v="0"/>
  </r>
  <r>
    <x v="1"/>
    <x v="1"/>
    <n v="1"/>
  </r>
  <r>
    <x v="0"/>
    <x v="0"/>
    <n v="0"/>
  </r>
  <r>
    <x v="1"/>
    <x v="1"/>
    <n v="0"/>
  </r>
  <r>
    <x v="1"/>
    <x v="1"/>
    <n v="0"/>
  </r>
  <r>
    <x v="0"/>
    <x v="0"/>
    <n v="0"/>
  </r>
  <r>
    <x v="1"/>
    <x v="1"/>
    <n v="0"/>
  </r>
  <r>
    <x v="0"/>
    <x v="0"/>
    <n v="0"/>
  </r>
  <r>
    <x v="1"/>
    <x v="1"/>
    <n v="0"/>
  </r>
  <r>
    <x v="0"/>
    <x v="0"/>
    <n v="0"/>
  </r>
  <r>
    <x v="1"/>
    <x v="1"/>
    <n v="0"/>
  </r>
  <r>
    <x v="1"/>
    <x v="1"/>
    <n v="0"/>
  </r>
  <r>
    <x v="1"/>
    <x v="1"/>
    <n v="0"/>
  </r>
  <r>
    <x v="0"/>
    <x v="0"/>
    <n v="0"/>
  </r>
  <r>
    <x v="1"/>
    <x v="1"/>
    <n v="0"/>
  </r>
  <r>
    <x v="1"/>
    <x v="1"/>
    <n v="0"/>
  </r>
  <r>
    <x v="1"/>
    <x v="1"/>
    <n v="0"/>
  </r>
  <r>
    <x v="0"/>
    <x v="0"/>
    <n v="0"/>
  </r>
  <r>
    <x v="0"/>
    <x v="0"/>
    <n v="0"/>
  </r>
  <r>
    <x v="0"/>
    <x v="0"/>
    <n v="0"/>
  </r>
  <r>
    <x v="1"/>
    <x v="1"/>
    <n v="0"/>
  </r>
  <r>
    <x v="0"/>
    <x v="0"/>
    <n v="1"/>
  </r>
  <r>
    <x v="1"/>
    <x v="1"/>
    <n v="0"/>
  </r>
  <r>
    <x v="0"/>
    <x v="0"/>
    <n v="0"/>
  </r>
  <r>
    <x v="1"/>
    <x v="1"/>
    <n v="0"/>
  </r>
  <r>
    <x v="1"/>
    <x v="1"/>
    <n v="0"/>
  </r>
  <r>
    <x v="1"/>
    <x v="1"/>
    <n v="0"/>
  </r>
  <r>
    <x v="1"/>
    <x v="1"/>
    <n v="0"/>
  </r>
  <r>
    <x v="0"/>
    <x v="0"/>
    <n v="0"/>
  </r>
  <r>
    <x v="1"/>
    <x v="1"/>
    <n v="0"/>
  </r>
  <r>
    <x v="1"/>
    <x v="1"/>
    <n v="0"/>
  </r>
  <r>
    <x v="1"/>
    <x v="1"/>
    <n v="0"/>
  </r>
  <r>
    <x v="0"/>
    <x v="0"/>
    <n v="0"/>
  </r>
  <r>
    <x v="0"/>
    <x v="0"/>
    <n v="0"/>
  </r>
  <r>
    <x v="0"/>
    <x v="0"/>
    <n v="0"/>
  </r>
  <r>
    <x v="0"/>
    <x v="0"/>
    <n v="0"/>
  </r>
  <r>
    <x v="0"/>
    <x v="0"/>
    <n v="0"/>
  </r>
  <r>
    <x v="1"/>
    <x v="1"/>
    <n v="0"/>
  </r>
  <r>
    <x v="0"/>
    <x v="0"/>
    <n v="0"/>
  </r>
  <r>
    <x v="1"/>
    <x v="1"/>
    <n v="0"/>
  </r>
  <r>
    <x v="1"/>
    <x v="1"/>
    <n v="0"/>
  </r>
  <r>
    <x v="0"/>
    <x v="0"/>
    <n v="0"/>
  </r>
  <r>
    <x v="0"/>
    <x v="0"/>
    <n v="0"/>
  </r>
  <r>
    <x v="1"/>
    <x v="1"/>
    <n v="0"/>
  </r>
  <r>
    <x v="1"/>
    <x v="1"/>
    <n v="0"/>
  </r>
  <r>
    <x v="1"/>
    <x v="1"/>
    <n v="0"/>
  </r>
  <r>
    <x v="1"/>
    <x v="1"/>
    <n v="0"/>
  </r>
  <r>
    <x v="0"/>
    <x v="0"/>
    <n v="0"/>
  </r>
  <r>
    <x v="0"/>
    <x v="0"/>
    <n v="0"/>
  </r>
  <r>
    <x v="1"/>
    <x v="1"/>
    <n v="0"/>
  </r>
  <r>
    <x v="1"/>
    <x v="1"/>
    <n v="0"/>
  </r>
  <r>
    <x v="0"/>
    <x v="0"/>
    <n v="0"/>
  </r>
  <r>
    <x v="1"/>
    <x v="1"/>
    <n v="0"/>
  </r>
  <r>
    <x v="0"/>
    <x v="0"/>
    <n v="0"/>
  </r>
  <r>
    <x v="0"/>
    <x v="0"/>
    <n v="0"/>
  </r>
  <r>
    <x v="0"/>
    <x v="0"/>
    <n v="0"/>
  </r>
  <r>
    <x v="1"/>
    <x v="1"/>
    <n v="0"/>
  </r>
  <r>
    <x v="1"/>
    <x v="1"/>
    <n v="0"/>
  </r>
  <r>
    <x v="1"/>
    <x v="1"/>
    <n v="1"/>
  </r>
  <r>
    <x v="0"/>
    <x v="0"/>
    <n v="0"/>
  </r>
  <r>
    <x v="1"/>
    <x v="1"/>
    <n v="0"/>
  </r>
  <r>
    <x v="1"/>
    <x v="1"/>
    <n v="0"/>
  </r>
  <r>
    <x v="1"/>
    <x v="1"/>
    <n v="0"/>
  </r>
  <r>
    <x v="1"/>
    <x v="1"/>
    <n v="0"/>
  </r>
  <r>
    <x v="1"/>
    <x v="1"/>
    <n v="0"/>
  </r>
  <r>
    <x v="0"/>
    <x v="0"/>
    <n v="0"/>
  </r>
  <r>
    <x v="1"/>
    <x v="1"/>
    <n v="0"/>
  </r>
  <r>
    <x v="0"/>
    <x v="0"/>
    <n v="1"/>
  </r>
  <r>
    <x v="1"/>
    <x v="1"/>
    <n v="0"/>
  </r>
  <r>
    <x v="1"/>
    <x v="1"/>
    <n v="0"/>
  </r>
  <r>
    <x v="0"/>
    <x v="0"/>
    <n v="0"/>
  </r>
  <r>
    <x v="0"/>
    <x v="0"/>
    <n v="0"/>
  </r>
  <r>
    <x v="1"/>
    <x v="1"/>
    <n v="0"/>
  </r>
  <r>
    <x v="0"/>
    <x v="0"/>
    <n v="0"/>
  </r>
  <r>
    <x v="0"/>
    <x v="0"/>
    <n v="0"/>
  </r>
  <r>
    <x v="0"/>
    <x v="0"/>
    <n v="0"/>
  </r>
  <r>
    <x v="0"/>
    <x v="0"/>
    <n v="0"/>
  </r>
  <r>
    <x v="1"/>
    <x v="1"/>
    <n v="0"/>
  </r>
  <r>
    <x v="0"/>
    <x v="0"/>
    <n v="0"/>
  </r>
  <r>
    <x v="0"/>
    <x v="0"/>
    <n v="0"/>
  </r>
  <r>
    <x v="1"/>
    <x v="1"/>
    <n v="0"/>
  </r>
  <r>
    <x v="1"/>
    <x v="1"/>
    <n v="0"/>
  </r>
  <r>
    <x v="1"/>
    <x v="1"/>
    <n v="0"/>
  </r>
  <r>
    <x v="1"/>
    <x v="1"/>
    <n v="0"/>
  </r>
  <r>
    <x v="0"/>
    <x v="0"/>
    <n v="0"/>
  </r>
  <r>
    <x v="0"/>
    <x v="0"/>
    <n v="0"/>
  </r>
  <r>
    <x v="1"/>
    <x v="1"/>
    <n v="0"/>
  </r>
  <r>
    <x v="1"/>
    <x v="1"/>
    <n v="0"/>
  </r>
  <r>
    <x v="0"/>
    <x v="0"/>
    <n v="0"/>
  </r>
  <r>
    <x v="1"/>
    <x v="1"/>
    <n v="0"/>
  </r>
  <r>
    <x v="0"/>
    <x v="0"/>
    <n v="0"/>
  </r>
  <r>
    <x v="0"/>
    <x v="0"/>
    <n v="0"/>
  </r>
  <r>
    <x v="0"/>
    <x v="0"/>
    <n v="0"/>
  </r>
  <r>
    <x v="1"/>
    <x v="1"/>
    <n v="0"/>
  </r>
  <r>
    <x v="0"/>
    <x v="0"/>
    <n v="0"/>
  </r>
  <r>
    <x v="1"/>
    <x v="1"/>
    <n v="0"/>
  </r>
  <r>
    <x v="0"/>
    <x v="0"/>
    <n v="0"/>
  </r>
  <r>
    <x v="0"/>
    <x v="0"/>
    <n v="0"/>
  </r>
  <r>
    <x v="0"/>
    <x v="0"/>
    <n v="0"/>
  </r>
  <r>
    <x v="0"/>
    <x v="0"/>
    <n v="1"/>
  </r>
  <r>
    <x v="0"/>
    <x v="0"/>
    <n v="0"/>
  </r>
  <r>
    <x v="1"/>
    <x v="1"/>
    <n v="0"/>
  </r>
  <r>
    <x v="1"/>
    <x v="1"/>
    <n v="0"/>
  </r>
  <r>
    <x v="1"/>
    <x v="1"/>
    <n v="0"/>
  </r>
  <r>
    <x v="1"/>
    <x v="1"/>
    <n v="0"/>
  </r>
  <r>
    <x v="1"/>
    <x v="1"/>
    <n v="0"/>
  </r>
  <r>
    <x v="1"/>
    <x v="1"/>
    <n v="0"/>
  </r>
  <r>
    <x v="0"/>
    <x v="0"/>
    <n v="0"/>
  </r>
  <r>
    <x v="0"/>
    <x v="0"/>
    <n v="0"/>
  </r>
  <r>
    <x v="0"/>
    <x v="0"/>
    <n v="0"/>
  </r>
  <r>
    <x v="1"/>
    <x v="1"/>
    <n v="0"/>
  </r>
  <r>
    <x v="1"/>
    <x v="1"/>
    <n v="0"/>
  </r>
  <r>
    <x v="0"/>
    <x v="0"/>
    <n v="0"/>
  </r>
  <r>
    <x v="0"/>
    <x v="0"/>
    <n v="0"/>
  </r>
  <r>
    <x v="1"/>
    <x v="1"/>
    <n v="0"/>
  </r>
  <r>
    <x v="1"/>
    <x v="1"/>
    <n v="0"/>
  </r>
  <r>
    <x v="1"/>
    <x v="1"/>
    <n v="0"/>
  </r>
  <r>
    <x v="1"/>
    <x v="1"/>
    <n v="0"/>
  </r>
  <r>
    <x v="0"/>
    <x v="0"/>
    <n v="0"/>
  </r>
  <r>
    <x v="1"/>
    <x v="1"/>
    <n v="0"/>
  </r>
  <r>
    <x v="0"/>
    <x v="0"/>
    <n v="0"/>
  </r>
  <r>
    <x v="0"/>
    <x v="0"/>
    <n v="0"/>
  </r>
  <r>
    <x v="0"/>
    <x v="0"/>
    <n v="0"/>
  </r>
  <r>
    <x v="1"/>
    <x v="1"/>
    <n v="0"/>
  </r>
  <r>
    <x v="0"/>
    <x v="0"/>
    <n v="0"/>
  </r>
  <r>
    <x v="1"/>
    <x v="1"/>
    <n v="0"/>
  </r>
  <r>
    <x v="1"/>
    <x v="1"/>
    <n v="0"/>
  </r>
  <r>
    <x v="1"/>
    <x v="1"/>
    <n v="0"/>
  </r>
  <r>
    <x v="0"/>
    <x v="0"/>
    <n v="0"/>
  </r>
  <r>
    <x v="0"/>
    <x v="0"/>
    <n v="0"/>
  </r>
  <r>
    <x v="0"/>
    <x v="0"/>
    <n v="0"/>
  </r>
  <r>
    <x v="0"/>
    <x v="0"/>
    <n v="0"/>
  </r>
  <r>
    <x v="0"/>
    <x v="0"/>
    <n v="0"/>
  </r>
  <r>
    <x v="1"/>
    <x v="1"/>
    <n v="0"/>
  </r>
  <r>
    <x v="0"/>
    <x v="0"/>
    <n v="0"/>
  </r>
  <r>
    <x v="0"/>
    <x v="0"/>
    <n v="0"/>
  </r>
  <r>
    <x v="0"/>
    <x v="0"/>
    <n v="0"/>
  </r>
  <r>
    <x v="1"/>
    <x v="1"/>
    <n v="0"/>
  </r>
  <r>
    <x v="0"/>
    <x v="0"/>
    <n v="0"/>
  </r>
  <r>
    <x v="0"/>
    <x v="0"/>
    <n v="0"/>
  </r>
  <r>
    <x v="1"/>
    <x v="1"/>
    <n v="0"/>
  </r>
  <r>
    <x v="0"/>
    <x v="0"/>
    <n v="0"/>
  </r>
  <r>
    <x v="1"/>
    <x v="1"/>
    <n v="1"/>
  </r>
  <r>
    <x v="1"/>
    <x v="1"/>
    <n v="0"/>
  </r>
  <r>
    <x v="0"/>
    <x v="0"/>
    <n v="0"/>
  </r>
  <r>
    <x v="0"/>
    <x v="0"/>
    <n v="0"/>
  </r>
  <r>
    <x v="0"/>
    <x v="0"/>
    <n v="0"/>
  </r>
  <r>
    <x v="1"/>
    <x v="1"/>
    <n v="0"/>
  </r>
  <r>
    <x v="1"/>
    <x v="1"/>
    <n v="1"/>
  </r>
  <r>
    <x v="0"/>
    <x v="0"/>
    <n v="0"/>
  </r>
  <r>
    <x v="1"/>
    <x v="1"/>
    <n v="0"/>
  </r>
  <r>
    <x v="1"/>
    <x v="1"/>
    <n v="0"/>
  </r>
  <r>
    <x v="1"/>
    <x v="1"/>
    <n v="0"/>
  </r>
  <r>
    <x v="0"/>
    <x v="0"/>
    <n v="0"/>
  </r>
  <r>
    <x v="0"/>
    <x v="0"/>
    <n v="0"/>
  </r>
  <r>
    <x v="0"/>
    <x v="0"/>
    <n v="0"/>
  </r>
  <r>
    <x v="0"/>
    <x v="0"/>
    <n v="0"/>
  </r>
  <r>
    <x v="1"/>
    <x v="1"/>
    <n v="0"/>
  </r>
  <r>
    <x v="1"/>
    <x v="1"/>
    <n v="1"/>
  </r>
  <r>
    <x v="1"/>
    <x v="1"/>
    <n v="0"/>
  </r>
  <r>
    <x v="1"/>
    <x v="1"/>
    <n v="0"/>
  </r>
  <r>
    <x v="0"/>
    <x v="0"/>
    <n v="0"/>
  </r>
  <r>
    <x v="0"/>
    <x v="0"/>
    <n v="0"/>
  </r>
  <r>
    <x v="1"/>
    <x v="1"/>
    <n v="0"/>
  </r>
  <r>
    <x v="1"/>
    <x v="1"/>
    <n v="0"/>
  </r>
  <r>
    <x v="0"/>
    <x v="0"/>
    <n v="0"/>
  </r>
  <r>
    <x v="1"/>
    <x v="1"/>
    <n v="0"/>
  </r>
  <r>
    <x v="0"/>
    <x v="0"/>
    <n v="0"/>
  </r>
  <r>
    <x v="0"/>
    <x v="0"/>
    <n v="0"/>
  </r>
  <r>
    <x v="0"/>
    <x v="0"/>
    <n v="0"/>
  </r>
  <r>
    <x v="0"/>
    <x v="0"/>
    <n v="0"/>
  </r>
  <r>
    <x v="1"/>
    <x v="1"/>
    <n v="0"/>
  </r>
  <r>
    <x v="1"/>
    <x v="1"/>
    <n v="0"/>
  </r>
  <r>
    <x v="1"/>
    <x v="1"/>
    <n v="0"/>
  </r>
  <r>
    <x v="0"/>
    <x v="0"/>
    <n v="0"/>
  </r>
  <r>
    <x v="1"/>
    <x v="1"/>
    <n v="1"/>
  </r>
  <r>
    <x v="1"/>
    <x v="1"/>
    <n v="0"/>
  </r>
  <r>
    <x v="1"/>
    <x v="1"/>
    <n v="0"/>
  </r>
  <r>
    <x v="0"/>
    <x v="0"/>
    <n v="0"/>
  </r>
  <r>
    <x v="1"/>
    <x v="1"/>
    <n v="0"/>
  </r>
  <r>
    <x v="1"/>
    <x v="1"/>
    <n v="0"/>
  </r>
  <r>
    <x v="1"/>
    <x v="1"/>
    <n v="0"/>
  </r>
  <r>
    <x v="1"/>
    <x v="1"/>
    <n v="0"/>
  </r>
  <r>
    <x v="0"/>
    <x v="0"/>
    <n v="0"/>
  </r>
  <r>
    <x v="1"/>
    <x v="1"/>
    <n v="0"/>
  </r>
  <r>
    <x v="0"/>
    <x v="0"/>
    <n v="0"/>
  </r>
  <r>
    <x v="0"/>
    <x v="0"/>
    <n v="0"/>
  </r>
  <r>
    <x v="0"/>
    <x v="0"/>
    <n v="0"/>
  </r>
  <r>
    <x v="0"/>
    <x v="0"/>
    <n v="0"/>
  </r>
  <r>
    <x v="1"/>
    <x v="1"/>
    <n v="0"/>
  </r>
  <r>
    <x v="0"/>
    <x v="0"/>
    <n v="0"/>
  </r>
  <r>
    <x v="1"/>
    <x v="1"/>
    <n v="0"/>
  </r>
  <r>
    <x v="1"/>
    <x v="1"/>
    <n v="0"/>
  </r>
  <r>
    <x v="0"/>
    <x v="0"/>
    <n v="1"/>
  </r>
  <r>
    <x v="1"/>
    <x v="1"/>
    <n v="0"/>
  </r>
  <r>
    <x v="1"/>
    <x v="1"/>
    <n v="0"/>
  </r>
  <r>
    <x v="1"/>
    <x v="1"/>
    <n v="1"/>
  </r>
  <r>
    <x v="0"/>
    <x v="0"/>
    <n v="0"/>
  </r>
  <r>
    <x v="1"/>
    <x v="1"/>
    <n v="0"/>
  </r>
  <r>
    <x v="1"/>
    <x v="1"/>
    <n v="0"/>
  </r>
  <r>
    <x v="1"/>
    <x v="1"/>
    <n v="0"/>
  </r>
  <r>
    <x v="1"/>
    <x v="1"/>
    <n v="0"/>
  </r>
  <r>
    <x v="0"/>
    <x v="0"/>
    <n v="0"/>
  </r>
  <r>
    <x v="0"/>
    <x v="0"/>
    <n v="1"/>
  </r>
  <r>
    <x v="0"/>
    <x v="0"/>
    <n v="1"/>
  </r>
  <r>
    <x v="1"/>
    <x v="1"/>
    <n v="0"/>
  </r>
  <r>
    <x v="0"/>
    <x v="0"/>
    <n v="0"/>
  </r>
  <r>
    <x v="0"/>
    <x v="0"/>
    <n v="0"/>
  </r>
  <r>
    <x v="0"/>
    <x v="0"/>
    <n v="0"/>
  </r>
  <r>
    <x v="0"/>
    <x v="0"/>
    <n v="0"/>
  </r>
  <r>
    <x v="0"/>
    <x v="0"/>
    <n v="0"/>
  </r>
  <r>
    <x v="1"/>
    <x v="1"/>
    <n v="0"/>
  </r>
  <r>
    <x v="0"/>
    <x v="0"/>
    <n v="0"/>
  </r>
  <r>
    <x v="0"/>
    <x v="0"/>
    <n v="0"/>
  </r>
  <r>
    <x v="1"/>
    <x v="1"/>
    <n v="0"/>
  </r>
  <r>
    <x v="0"/>
    <x v="0"/>
    <n v="0"/>
  </r>
  <r>
    <x v="1"/>
    <x v="1"/>
    <n v="0"/>
  </r>
  <r>
    <x v="1"/>
    <x v="1"/>
    <n v="0"/>
  </r>
  <r>
    <x v="1"/>
    <x v="1"/>
    <n v="0"/>
  </r>
  <r>
    <x v="1"/>
    <x v="1"/>
    <n v="0"/>
  </r>
  <r>
    <x v="0"/>
    <x v="0"/>
    <n v="0"/>
  </r>
  <r>
    <x v="1"/>
    <x v="1"/>
    <n v="0"/>
  </r>
  <r>
    <x v="0"/>
    <x v="0"/>
    <n v="0"/>
  </r>
  <r>
    <x v="1"/>
    <x v="1"/>
    <n v="0"/>
  </r>
  <r>
    <x v="1"/>
    <x v="1"/>
    <n v="0"/>
  </r>
  <r>
    <x v="1"/>
    <x v="1"/>
    <n v="0"/>
  </r>
  <r>
    <x v="0"/>
    <x v="0"/>
    <n v="0"/>
  </r>
  <r>
    <x v="0"/>
    <x v="0"/>
    <n v="0"/>
  </r>
  <r>
    <x v="0"/>
    <x v="0"/>
    <n v="0"/>
  </r>
  <r>
    <x v="0"/>
    <x v="0"/>
    <n v="0"/>
  </r>
  <r>
    <x v="1"/>
    <x v="1"/>
    <n v="1"/>
  </r>
  <r>
    <x v="1"/>
    <x v="1"/>
    <n v="0"/>
  </r>
  <r>
    <x v="1"/>
    <x v="1"/>
    <n v="0"/>
  </r>
  <r>
    <x v="0"/>
    <x v="0"/>
    <n v="0"/>
  </r>
  <r>
    <x v="1"/>
    <x v="1"/>
    <n v="0"/>
  </r>
  <r>
    <x v="0"/>
    <x v="0"/>
    <n v="0"/>
  </r>
  <r>
    <x v="1"/>
    <x v="1"/>
    <n v="0"/>
  </r>
  <r>
    <x v="1"/>
    <x v="1"/>
    <n v="0"/>
  </r>
  <r>
    <x v="1"/>
    <x v="1"/>
    <n v="1"/>
  </r>
  <r>
    <x v="0"/>
    <x v="0"/>
    <n v="0"/>
  </r>
  <r>
    <x v="0"/>
    <x v="0"/>
    <n v="0"/>
  </r>
  <r>
    <x v="0"/>
    <x v="0"/>
    <n v="0"/>
  </r>
  <r>
    <x v="1"/>
    <x v="1"/>
    <n v="0"/>
  </r>
  <r>
    <x v="1"/>
    <x v="1"/>
    <n v="0"/>
  </r>
  <r>
    <x v="1"/>
    <x v="1"/>
    <n v="1"/>
  </r>
  <r>
    <x v="0"/>
    <x v="0"/>
    <n v="0"/>
  </r>
  <r>
    <x v="0"/>
    <x v="0"/>
    <n v="0"/>
  </r>
  <r>
    <x v="1"/>
    <x v="1"/>
    <n v="0"/>
  </r>
  <r>
    <x v="1"/>
    <x v="1"/>
    <n v="0"/>
  </r>
  <r>
    <x v="0"/>
    <x v="0"/>
    <n v="0"/>
  </r>
  <r>
    <x v="0"/>
    <x v="0"/>
    <n v="0"/>
  </r>
  <r>
    <x v="0"/>
    <x v="0"/>
    <n v="0"/>
  </r>
  <r>
    <x v="1"/>
    <x v="1"/>
    <n v="0"/>
  </r>
  <r>
    <x v="0"/>
    <x v="0"/>
    <n v="0"/>
  </r>
  <r>
    <x v="0"/>
    <x v="0"/>
    <n v="0"/>
  </r>
  <r>
    <x v="0"/>
    <x v="0"/>
    <n v="0"/>
  </r>
  <r>
    <x v="1"/>
    <x v="1"/>
    <n v="0"/>
  </r>
  <r>
    <x v="0"/>
    <x v="0"/>
    <n v="0"/>
  </r>
  <r>
    <x v="0"/>
    <x v="0"/>
    <n v="0"/>
  </r>
  <r>
    <x v="1"/>
    <x v="1"/>
    <n v="0"/>
  </r>
  <r>
    <x v="0"/>
    <x v="0"/>
    <n v="0"/>
  </r>
  <r>
    <x v="1"/>
    <x v="1"/>
    <n v="0"/>
  </r>
  <r>
    <x v="0"/>
    <x v="0"/>
    <n v="0"/>
  </r>
  <r>
    <x v="0"/>
    <x v="0"/>
    <n v="0"/>
  </r>
  <r>
    <x v="0"/>
    <x v="0"/>
    <n v="0"/>
  </r>
  <r>
    <x v="0"/>
    <x v="0"/>
    <n v="0"/>
  </r>
  <r>
    <x v="0"/>
    <x v="0"/>
    <n v="0"/>
  </r>
  <r>
    <x v="1"/>
    <x v="1"/>
    <n v="0"/>
  </r>
  <r>
    <x v="0"/>
    <x v="0"/>
    <n v="0"/>
  </r>
  <r>
    <x v="0"/>
    <x v="0"/>
    <n v="0"/>
  </r>
  <r>
    <x v="1"/>
    <x v="1"/>
    <n v="0"/>
  </r>
  <r>
    <x v="1"/>
    <x v="1"/>
    <n v="0"/>
  </r>
  <r>
    <x v="1"/>
    <x v="1"/>
    <n v="0"/>
  </r>
  <r>
    <x v="0"/>
    <x v="0"/>
    <n v="0"/>
  </r>
  <r>
    <x v="0"/>
    <x v="0"/>
    <n v="0"/>
  </r>
  <r>
    <x v="1"/>
    <x v="1"/>
    <n v="0"/>
  </r>
  <r>
    <x v="0"/>
    <x v="0"/>
    <n v="1"/>
  </r>
  <r>
    <x v="1"/>
    <x v="1"/>
    <n v="0"/>
  </r>
  <r>
    <x v="1"/>
    <x v="1"/>
    <n v="0"/>
  </r>
  <r>
    <x v="0"/>
    <x v="0"/>
    <n v="0"/>
  </r>
  <r>
    <x v="1"/>
    <x v="1"/>
    <n v="0"/>
  </r>
  <r>
    <x v="0"/>
    <x v="0"/>
    <n v="0"/>
  </r>
  <r>
    <x v="0"/>
    <x v="0"/>
    <n v="0"/>
  </r>
  <r>
    <x v="0"/>
    <x v="0"/>
    <n v="0"/>
  </r>
  <r>
    <x v="0"/>
    <x v="0"/>
    <n v="0"/>
  </r>
  <r>
    <x v="1"/>
    <x v="1"/>
    <n v="0"/>
  </r>
  <r>
    <x v="0"/>
    <x v="0"/>
    <n v="0"/>
  </r>
  <r>
    <x v="1"/>
    <x v="1"/>
    <n v="0"/>
  </r>
  <r>
    <x v="0"/>
    <x v="0"/>
    <n v="0"/>
  </r>
  <r>
    <x v="1"/>
    <x v="1"/>
    <n v="0"/>
  </r>
  <r>
    <x v="0"/>
    <x v="0"/>
    <n v="0"/>
  </r>
  <r>
    <x v="1"/>
    <x v="1"/>
    <n v="0"/>
  </r>
  <r>
    <x v="1"/>
    <x v="1"/>
    <n v="0"/>
  </r>
  <r>
    <x v="0"/>
    <x v="0"/>
    <n v="0"/>
  </r>
  <r>
    <x v="1"/>
    <x v="1"/>
    <n v="0"/>
  </r>
  <r>
    <x v="0"/>
    <x v="0"/>
    <n v="0"/>
  </r>
  <r>
    <x v="0"/>
    <x v="0"/>
    <n v="0"/>
  </r>
  <r>
    <x v="0"/>
    <x v="0"/>
    <n v="0"/>
  </r>
  <r>
    <x v="1"/>
    <x v="1"/>
    <n v="0"/>
  </r>
  <r>
    <x v="1"/>
    <x v="1"/>
    <n v="0"/>
  </r>
  <r>
    <x v="0"/>
    <x v="0"/>
    <n v="0"/>
  </r>
  <r>
    <x v="1"/>
    <x v="1"/>
    <n v="0"/>
  </r>
  <r>
    <x v="1"/>
    <x v="1"/>
    <n v="0"/>
  </r>
  <r>
    <x v="1"/>
    <x v="1"/>
    <n v="0"/>
  </r>
  <r>
    <x v="0"/>
    <x v="0"/>
    <n v="0"/>
  </r>
  <r>
    <x v="0"/>
    <x v="0"/>
    <n v="0"/>
  </r>
  <r>
    <x v="0"/>
    <x v="0"/>
    <n v="0"/>
  </r>
  <r>
    <x v="0"/>
    <x v="0"/>
    <n v="0"/>
  </r>
  <r>
    <x v="1"/>
    <x v="1"/>
    <n v="0"/>
  </r>
  <r>
    <x v="0"/>
    <x v="0"/>
    <n v="0"/>
  </r>
  <r>
    <x v="0"/>
    <x v="0"/>
    <n v="0"/>
  </r>
  <r>
    <x v="1"/>
    <x v="1"/>
    <n v="1"/>
  </r>
  <r>
    <x v="1"/>
    <x v="1"/>
    <n v="0"/>
  </r>
  <r>
    <x v="1"/>
    <x v="1"/>
    <n v="0"/>
  </r>
  <r>
    <x v="1"/>
    <x v="1"/>
    <n v="0"/>
  </r>
  <r>
    <x v="1"/>
    <x v="1"/>
    <n v="0"/>
  </r>
  <r>
    <x v="0"/>
    <x v="0"/>
    <n v="0"/>
  </r>
  <r>
    <x v="0"/>
    <x v="0"/>
    <n v="0"/>
  </r>
  <r>
    <x v="1"/>
    <x v="1"/>
    <n v="0"/>
  </r>
  <r>
    <x v="0"/>
    <x v="0"/>
    <n v="0"/>
  </r>
  <r>
    <x v="0"/>
    <x v="0"/>
    <n v="0"/>
  </r>
  <r>
    <x v="1"/>
    <x v="1"/>
    <n v="0"/>
  </r>
  <r>
    <x v="1"/>
    <x v="1"/>
    <n v="0"/>
  </r>
  <r>
    <x v="0"/>
    <x v="0"/>
    <n v="0"/>
  </r>
  <r>
    <x v="0"/>
    <x v="0"/>
    <n v="0"/>
  </r>
  <r>
    <x v="1"/>
    <x v="1"/>
    <n v="0"/>
  </r>
  <r>
    <x v="1"/>
    <x v="1"/>
    <n v="0"/>
  </r>
  <r>
    <x v="1"/>
    <x v="1"/>
    <n v="0"/>
  </r>
  <r>
    <x v="1"/>
    <x v="1"/>
    <n v="0"/>
  </r>
  <r>
    <x v="0"/>
    <x v="0"/>
    <n v="0"/>
  </r>
  <r>
    <x v="0"/>
    <x v="0"/>
    <n v="0"/>
  </r>
  <r>
    <x v="1"/>
    <x v="1"/>
    <n v="0"/>
  </r>
  <r>
    <x v="0"/>
    <x v="0"/>
    <n v="0"/>
  </r>
  <r>
    <x v="1"/>
    <x v="1"/>
    <n v="0"/>
  </r>
  <r>
    <x v="0"/>
    <x v="0"/>
    <n v="0"/>
  </r>
  <r>
    <x v="1"/>
    <x v="1"/>
    <n v="0"/>
  </r>
  <r>
    <x v="1"/>
    <x v="1"/>
    <n v="0"/>
  </r>
  <r>
    <x v="0"/>
    <x v="0"/>
    <n v="1"/>
  </r>
  <r>
    <x v="1"/>
    <x v="1"/>
    <n v="0"/>
  </r>
  <r>
    <x v="1"/>
    <x v="1"/>
    <n v="0"/>
  </r>
  <r>
    <x v="1"/>
    <x v="1"/>
    <n v="0"/>
  </r>
  <r>
    <x v="0"/>
    <x v="0"/>
    <n v="0"/>
  </r>
  <r>
    <x v="1"/>
    <x v="1"/>
    <n v="0"/>
  </r>
  <r>
    <x v="0"/>
    <x v="0"/>
    <n v="0"/>
  </r>
  <r>
    <x v="1"/>
    <x v="1"/>
    <n v="0"/>
  </r>
  <r>
    <x v="0"/>
    <x v="0"/>
    <n v="0"/>
  </r>
  <r>
    <x v="1"/>
    <x v="1"/>
    <n v="0"/>
  </r>
  <r>
    <x v="1"/>
    <x v="1"/>
    <n v="0"/>
  </r>
  <r>
    <x v="1"/>
    <x v="1"/>
    <n v="0"/>
  </r>
  <r>
    <x v="0"/>
    <x v="0"/>
    <n v="0"/>
  </r>
  <r>
    <x v="0"/>
    <x v="0"/>
    <n v="0"/>
  </r>
  <r>
    <x v="0"/>
    <x v="0"/>
    <n v="0"/>
  </r>
  <r>
    <x v="0"/>
    <x v="0"/>
    <n v="0"/>
  </r>
  <r>
    <x v="1"/>
    <x v="1"/>
    <n v="0"/>
  </r>
  <r>
    <x v="0"/>
    <x v="0"/>
    <n v="0"/>
  </r>
  <r>
    <x v="1"/>
    <x v="1"/>
    <n v="0"/>
  </r>
  <r>
    <x v="0"/>
    <x v="0"/>
    <n v="0"/>
  </r>
  <r>
    <x v="1"/>
    <x v="1"/>
    <n v="0"/>
  </r>
  <r>
    <x v="1"/>
    <x v="1"/>
    <n v="0"/>
  </r>
  <r>
    <x v="0"/>
    <x v="0"/>
    <n v="0"/>
  </r>
  <r>
    <x v="1"/>
    <x v="1"/>
    <n v="0"/>
  </r>
  <r>
    <x v="1"/>
    <x v="1"/>
    <n v="0"/>
  </r>
  <r>
    <x v="1"/>
    <x v="1"/>
    <n v="0"/>
  </r>
  <r>
    <x v="0"/>
    <x v="0"/>
    <n v="0"/>
  </r>
  <r>
    <x v="0"/>
    <x v="0"/>
    <n v="0"/>
  </r>
  <r>
    <x v="1"/>
    <x v="1"/>
    <n v="0"/>
  </r>
  <r>
    <x v="1"/>
    <x v="1"/>
    <n v="0"/>
  </r>
  <r>
    <x v="0"/>
    <x v="0"/>
    <n v="0"/>
  </r>
  <r>
    <x v="1"/>
    <x v="1"/>
    <n v="1"/>
  </r>
  <r>
    <x v="1"/>
    <x v="1"/>
    <n v="0"/>
  </r>
  <r>
    <x v="1"/>
    <x v="1"/>
    <n v="0"/>
  </r>
  <r>
    <x v="1"/>
    <x v="1"/>
    <n v="0"/>
  </r>
  <r>
    <x v="0"/>
    <x v="0"/>
    <n v="0"/>
  </r>
  <r>
    <x v="1"/>
    <x v="1"/>
    <n v="0"/>
  </r>
  <r>
    <x v="1"/>
    <x v="1"/>
    <n v="0"/>
  </r>
  <r>
    <x v="1"/>
    <x v="1"/>
    <n v="0"/>
  </r>
  <r>
    <x v="1"/>
    <x v="1"/>
    <n v="0"/>
  </r>
  <r>
    <x v="1"/>
    <x v="1"/>
    <n v="0"/>
  </r>
  <r>
    <x v="1"/>
    <x v="1"/>
    <n v="0"/>
  </r>
  <r>
    <x v="1"/>
    <x v="1"/>
    <n v="0"/>
  </r>
  <r>
    <x v="0"/>
    <x v="0"/>
    <n v="0"/>
  </r>
  <r>
    <x v="0"/>
    <x v="0"/>
    <n v="0"/>
  </r>
  <r>
    <x v="0"/>
    <x v="0"/>
    <n v="0"/>
  </r>
  <r>
    <x v="0"/>
    <x v="0"/>
    <n v="0"/>
  </r>
  <r>
    <x v="0"/>
    <x v="0"/>
    <n v="0"/>
  </r>
  <r>
    <x v="0"/>
    <x v="0"/>
    <n v="0"/>
  </r>
  <r>
    <x v="1"/>
    <x v="1"/>
    <n v="0"/>
  </r>
  <r>
    <x v="0"/>
    <x v="0"/>
    <n v="0"/>
  </r>
  <r>
    <x v="1"/>
    <x v="1"/>
    <n v="0"/>
  </r>
  <r>
    <x v="1"/>
    <x v="1"/>
    <n v="0"/>
  </r>
  <r>
    <x v="1"/>
    <x v="1"/>
    <n v="0"/>
  </r>
  <r>
    <x v="1"/>
    <x v="1"/>
    <n v="0"/>
  </r>
  <r>
    <x v="0"/>
    <x v="0"/>
    <n v="0"/>
  </r>
  <r>
    <x v="0"/>
    <x v="0"/>
    <n v="0"/>
  </r>
  <r>
    <x v="1"/>
    <x v="1"/>
    <n v="0"/>
  </r>
  <r>
    <x v="0"/>
    <x v="0"/>
    <n v="0"/>
  </r>
  <r>
    <x v="0"/>
    <x v="0"/>
    <n v="0"/>
  </r>
  <r>
    <x v="0"/>
    <x v="0"/>
    <n v="0"/>
  </r>
  <r>
    <x v="0"/>
    <x v="0"/>
    <n v="0"/>
  </r>
  <r>
    <x v="1"/>
    <x v="1"/>
    <n v="0"/>
  </r>
  <r>
    <x v="1"/>
    <x v="1"/>
    <n v="0"/>
  </r>
  <r>
    <x v="0"/>
    <x v="0"/>
    <n v="0"/>
  </r>
  <r>
    <x v="1"/>
    <x v="1"/>
    <n v="0"/>
  </r>
  <r>
    <x v="1"/>
    <x v="1"/>
    <n v="0"/>
  </r>
  <r>
    <x v="0"/>
    <x v="0"/>
    <n v="0"/>
  </r>
  <r>
    <x v="0"/>
    <x v="0"/>
    <n v="0"/>
  </r>
  <r>
    <x v="1"/>
    <x v="1"/>
    <n v="0"/>
  </r>
  <r>
    <x v="1"/>
    <x v="1"/>
    <n v="0"/>
  </r>
  <r>
    <x v="0"/>
    <x v="0"/>
    <n v="0"/>
  </r>
  <r>
    <x v="0"/>
    <x v="0"/>
    <n v="0"/>
  </r>
  <r>
    <x v="0"/>
    <x v="0"/>
    <n v="0"/>
  </r>
  <r>
    <x v="0"/>
    <x v="0"/>
    <n v="0"/>
  </r>
  <r>
    <x v="1"/>
    <x v="1"/>
    <n v="0"/>
  </r>
  <r>
    <x v="1"/>
    <x v="1"/>
    <n v="0"/>
  </r>
  <r>
    <x v="1"/>
    <x v="1"/>
    <n v="0"/>
  </r>
  <r>
    <x v="1"/>
    <x v="1"/>
    <n v="1"/>
  </r>
  <r>
    <x v="1"/>
    <x v="1"/>
    <n v="0"/>
  </r>
  <r>
    <x v="1"/>
    <x v="1"/>
    <n v="0"/>
  </r>
  <r>
    <x v="1"/>
    <x v="1"/>
    <n v="0"/>
  </r>
  <r>
    <x v="1"/>
    <x v="1"/>
    <n v="0"/>
  </r>
  <r>
    <x v="0"/>
    <x v="0"/>
    <n v="0"/>
  </r>
  <r>
    <x v="1"/>
    <x v="1"/>
    <n v="0"/>
  </r>
  <r>
    <x v="0"/>
    <x v="0"/>
    <n v="0"/>
  </r>
  <r>
    <x v="1"/>
    <x v="1"/>
    <n v="0"/>
  </r>
  <r>
    <x v="1"/>
    <x v="1"/>
    <n v="0"/>
  </r>
  <r>
    <x v="0"/>
    <x v="0"/>
    <n v="0"/>
  </r>
  <r>
    <x v="0"/>
    <x v="0"/>
    <n v="0"/>
  </r>
  <r>
    <x v="0"/>
    <x v="0"/>
    <n v="0"/>
  </r>
  <r>
    <x v="0"/>
    <x v="0"/>
    <n v="0"/>
  </r>
  <r>
    <x v="0"/>
    <x v="0"/>
    <n v="0"/>
  </r>
  <r>
    <x v="1"/>
    <x v="1"/>
    <n v="0"/>
  </r>
  <r>
    <x v="0"/>
    <x v="0"/>
    <n v="0"/>
  </r>
  <r>
    <x v="0"/>
    <x v="0"/>
    <n v="0"/>
  </r>
  <r>
    <x v="1"/>
    <x v="1"/>
    <n v="0"/>
  </r>
  <r>
    <x v="0"/>
    <x v="0"/>
    <n v="0"/>
  </r>
  <r>
    <x v="0"/>
    <x v="0"/>
    <n v="0"/>
  </r>
  <r>
    <x v="1"/>
    <x v="1"/>
    <n v="0"/>
  </r>
  <r>
    <x v="0"/>
    <x v="0"/>
    <n v="1"/>
  </r>
  <r>
    <x v="1"/>
    <x v="1"/>
    <n v="0"/>
  </r>
  <r>
    <x v="1"/>
    <x v="1"/>
    <n v="0"/>
  </r>
  <r>
    <x v="0"/>
    <x v="0"/>
    <n v="0"/>
  </r>
  <r>
    <x v="0"/>
    <x v="0"/>
    <n v="0"/>
  </r>
  <r>
    <x v="1"/>
    <x v="1"/>
    <n v="0"/>
  </r>
  <r>
    <x v="0"/>
    <x v="0"/>
    <n v="0"/>
  </r>
  <r>
    <x v="0"/>
    <x v="0"/>
    <n v="0"/>
  </r>
  <r>
    <x v="1"/>
    <x v="1"/>
    <n v="0"/>
  </r>
  <r>
    <x v="1"/>
    <x v="1"/>
    <n v="0"/>
  </r>
  <r>
    <x v="1"/>
    <x v="1"/>
    <n v="0"/>
  </r>
  <r>
    <x v="1"/>
    <x v="1"/>
    <n v="0"/>
  </r>
  <r>
    <x v="0"/>
    <x v="0"/>
    <n v="0"/>
  </r>
  <r>
    <x v="1"/>
    <x v="1"/>
    <n v="0"/>
  </r>
  <r>
    <x v="0"/>
    <x v="0"/>
    <n v="0"/>
  </r>
  <r>
    <x v="0"/>
    <x v="0"/>
    <n v="0"/>
  </r>
  <r>
    <x v="1"/>
    <x v="1"/>
    <n v="0"/>
  </r>
  <r>
    <x v="0"/>
    <x v="0"/>
    <n v="0"/>
  </r>
  <r>
    <x v="1"/>
    <x v="1"/>
    <n v="0"/>
  </r>
  <r>
    <x v="1"/>
    <x v="1"/>
    <n v="0"/>
  </r>
  <r>
    <x v="0"/>
    <x v="0"/>
    <n v="0"/>
  </r>
  <r>
    <x v="0"/>
    <x v="0"/>
    <n v="0"/>
  </r>
  <r>
    <x v="0"/>
    <x v="0"/>
    <n v="0"/>
  </r>
  <r>
    <x v="1"/>
    <x v="1"/>
    <n v="0"/>
  </r>
  <r>
    <x v="1"/>
    <x v="1"/>
    <n v="0"/>
  </r>
  <r>
    <x v="1"/>
    <x v="1"/>
    <n v="0"/>
  </r>
  <r>
    <x v="0"/>
    <x v="0"/>
    <n v="0"/>
  </r>
  <r>
    <x v="0"/>
    <x v="0"/>
    <n v="0"/>
  </r>
  <r>
    <x v="0"/>
    <x v="0"/>
    <n v="0"/>
  </r>
  <r>
    <x v="1"/>
    <x v="1"/>
    <n v="0"/>
  </r>
  <r>
    <x v="0"/>
    <x v="0"/>
    <n v="0"/>
  </r>
  <r>
    <x v="0"/>
    <x v="0"/>
    <n v="0"/>
  </r>
  <r>
    <x v="0"/>
    <x v="0"/>
    <n v="0"/>
  </r>
  <r>
    <x v="1"/>
    <x v="1"/>
    <n v="0"/>
  </r>
  <r>
    <x v="0"/>
    <x v="0"/>
    <n v="0"/>
  </r>
  <r>
    <x v="0"/>
    <x v="0"/>
    <n v="0"/>
  </r>
  <r>
    <x v="1"/>
    <x v="1"/>
    <n v="0"/>
  </r>
  <r>
    <x v="1"/>
    <x v="1"/>
    <n v="0"/>
  </r>
  <r>
    <x v="0"/>
    <x v="0"/>
    <n v="0"/>
  </r>
  <r>
    <x v="0"/>
    <x v="0"/>
    <n v="0"/>
  </r>
  <r>
    <x v="1"/>
    <x v="1"/>
    <n v="0"/>
  </r>
  <r>
    <x v="1"/>
    <x v="1"/>
    <n v="0"/>
  </r>
  <r>
    <x v="1"/>
    <x v="1"/>
    <n v="0"/>
  </r>
  <r>
    <x v="0"/>
    <x v="0"/>
    <n v="0"/>
  </r>
  <r>
    <x v="0"/>
    <x v="0"/>
    <n v="0"/>
  </r>
  <r>
    <x v="0"/>
    <x v="0"/>
    <n v="0"/>
  </r>
  <r>
    <x v="1"/>
    <x v="1"/>
    <n v="1"/>
  </r>
  <r>
    <x v="0"/>
    <x v="0"/>
    <n v="0"/>
  </r>
  <r>
    <x v="0"/>
    <x v="0"/>
    <n v="0"/>
  </r>
  <r>
    <x v="1"/>
    <x v="1"/>
    <n v="0"/>
  </r>
  <r>
    <x v="0"/>
    <x v="0"/>
    <n v="0"/>
  </r>
  <r>
    <x v="1"/>
    <x v="1"/>
    <n v="0"/>
  </r>
  <r>
    <x v="1"/>
    <x v="1"/>
    <n v="0"/>
  </r>
  <r>
    <x v="1"/>
    <x v="1"/>
    <n v="0"/>
  </r>
  <r>
    <x v="1"/>
    <x v="1"/>
    <n v="0"/>
  </r>
  <r>
    <x v="0"/>
    <x v="0"/>
    <n v="0"/>
  </r>
  <r>
    <x v="0"/>
    <x v="0"/>
    <n v="0"/>
  </r>
  <r>
    <x v="1"/>
    <x v="1"/>
    <n v="0"/>
  </r>
  <r>
    <x v="1"/>
    <x v="1"/>
    <n v="0"/>
  </r>
  <r>
    <x v="0"/>
    <x v="0"/>
    <n v="0"/>
  </r>
  <r>
    <x v="0"/>
    <x v="0"/>
    <n v="0"/>
  </r>
  <r>
    <x v="0"/>
    <x v="0"/>
    <n v="0"/>
  </r>
  <r>
    <x v="0"/>
    <x v="0"/>
    <n v="0"/>
  </r>
  <r>
    <x v="0"/>
    <x v="0"/>
    <n v="0"/>
  </r>
  <r>
    <x v="0"/>
    <x v="0"/>
    <n v="0"/>
  </r>
  <r>
    <x v="0"/>
    <x v="0"/>
    <n v="0"/>
  </r>
  <r>
    <x v="0"/>
    <x v="0"/>
    <n v="0"/>
  </r>
  <r>
    <x v="1"/>
    <x v="1"/>
    <n v="0"/>
  </r>
  <r>
    <x v="0"/>
    <x v="0"/>
    <n v="0"/>
  </r>
  <r>
    <x v="1"/>
    <x v="1"/>
    <n v="0"/>
  </r>
  <r>
    <x v="0"/>
    <x v="0"/>
    <n v="0"/>
  </r>
  <r>
    <x v="0"/>
    <x v="0"/>
    <n v="0"/>
  </r>
  <r>
    <x v="0"/>
    <x v="0"/>
    <n v="0"/>
  </r>
  <r>
    <x v="0"/>
    <x v="0"/>
    <n v="0"/>
  </r>
  <r>
    <x v="0"/>
    <x v="0"/>
    <n v="0"/>
  </r>
  <r>
    <x v="0"/>
    <x v="0"/>
    <n v="0"/>
  </r>
  <r>
    <x v="0"/>
    <x v="0"/>
    <n v="0"/>
  </r>
  <r>
    <x v="1"/>
    <x v="1"/>
    <n v="0"/>
  </r>
  <r>
    <x v="0"/>
    <x v="0"/>
    <n v="0"/>
  </r>
  <r>
    <x v="0"/>
    <x v="0"/>
    <n v="0"/>
  </r>
  <r>
    <x v="1"/>
    <x v="1"/>
    <n v="0"/>
  </r>
  <r>
    <x v="1"/>
    <x v="1"/>
    <n v="0"/>
  </r>
  <r>
    <x v="0"/>
    <x v="0"/>
    <n v="0"/>
  </r>
  <r>
    <x v="1"/>
    <x v="1"/>
    <n v="0"/>
  </r>
  <r>
    <x v="1"/>
    <x v="1"/>
    <n v="0"/>
  </r>
  <r>
    <x v="1"/>
    <x v="1"/>
    <n v="0"/>
  </r>
  <r>
    <x v="0"/>
    <x v="0"/>
    <n v="0"/>
  </r>
  <r>
    <x v="0"/>
    <x v="0"/>
    <n v="0"/>
  </r>
  <r>
    <x v="0"/>
    <x v="0"/>
    <n v="0"/>
  </r>
  <r>
    <x v="0"/>
    <x v="0"/>
    <n v="0"/>
  </r>
  <r>
    <x v="1"/>
    <x v="1"/>
    <n v="0"/>
  </r>
  <r>
    <x v="1"/>
    <x v="1"/>
    <n v="0"/>
  </r>
  <r>
    <x v="1"/>
    <x v="1"/>
    <n v="0"/>
  </r>
  <r>
    <x v="0"/>
    <x v="0"/>
    <n v="0"/>
  </r>
  <r>
    <x v="1"/>
    <x v="1"/>
    <n v="0"/>
  </r>
  <r>
    <x v="0"/>
    <x v="0"/>
    <n v="0"/>
  </r>
  <r>
    <x v="0"/>
    <x v="0"/>
    <n v="0"/>
  </r>
  <r>
    <x v="1"/>
    <x v="1"/>
    <n v="0"/>
  </r>
  <r>
    <x v="0"/>
    <x v="0"/>
    <n v="0"/>
  </r>
  <r>
    <x v="0"/>
    <x v="0"/>
    <n v="0"/>
  </r>
  <r>
    <x v="1"/>
    <x v="1"/>
    <n v="0"/>
  </r>
  <r>
    <x v="1"/>
    <x v="1"/>
    <n v="0"/>
  </r>
  <r>
    <x v="0"/>
    <x v="0"/>
    <n v="0"/>
  </r>
  <r>
    <x v="0"/>
    <x v="0"/>
    <n v="0"/>
  </r>
  <r>
    <x v="1"/>
    <x v="1"/>
    <n v="0"/>
  </r>
  <r>
    <x v="1"/>
    <x v="1"/>
    <n v="0"/>
  </r>
  <r>
    <x v="1"/>
    <x v="1"/>
    <n v="0"/>
  </r>
  <r>
    <x v="1"/>
    <x v="1"/>
    <n v="0"/>
  </r>
  <r>
    <x v="0"/>
    <x v="0"/>
    <n v="0"/>
  </r>
  <r>
    <x v="0"/>
    <x v="0"/>
    <n v="0"/>
  </r>
  <r>
    <x v="1"/>
    <x v="1"/>
    <n v="0"/>
  </r>
  <r>
    <x v="1"/>
    <x v="1"/>
    <n v="0"/>
  </r>
  <r>
    <x v="0"/>
    <x v="0"/>
    <n v="0"/>
  </r>
  <r>
    <x v="1"/>
    <x v="1"/>
    <n v="0"/>
  </r>
  <r>
    <x v="1"/>
    <x v="1"/>
    <n v="0"/>
  </r>
  <r>
    <x v="0"/>
    <x v="0"/>
    <n v="0"/>
  </r>
  <r>
    <x v="0"/>
    <x v="0"/>
    <n v="0"/>
  </r>
  <r>
    <x v="1"/>
    <x v="1"/>
    <n v="0"/>
  </r>
  <r>
    <x v="0"/>
    <x v="0"/>
    <n v="0"/>
  </r>
  <r>
    <x v="0"/>
    <x v="0"/>
    <n v="0"/>
  </r>
  <r>
    <x v="0"/>
    <x v="0"/>
    <n v="0"/>
  </r>
  <r>
    <x v="1"/>
    <x v="1"/>
    <n v="0"/>
  </r>
  <r>
    <x v="0"/>
    <x v="0"/>
    <n v="0"/>
  </r>
  <r>
    <x v="1"/>
    <x v="1"/>
    <n v="0"/>
  </r>
  <r>
    <x v="1"/>
    <x v="1"/>
    <n v="1"/>
  </r>
  <r>
    <x v="1"/>
    <x v="1"/>
    <n v="0"/>
  </r>
  <r>
    <x v="0"/>
    <x v="0"/>
    <n v="0"/>
  </r>
  <r>
    <x v="1"/>
    <x v="1"/>
    <n v="0"/>
  </r>
  <r>
    <x v="1"/>
    <x v="1"/>
    <n v="0"/>
  </r>
  <r>
    <x v="1"/>
    <x v="1"/>
    <n v="0"/>
  </r>
  <r>
    <x v="1"/>
    <x v="1"/>
    <n v="0"/>
  </r>
  <r>
    <x v="0"/>
    <x v="0"/>
    <n v="0"/>
  </r>
  <r>
    <x v="1"/>
    <x v="1"/>
    <n v="0"/>
  </r>
  <r>
    <x v="0"/>
    <x v="0"/>
    <n v="0"/>
  </r>
  <r>
    <x v="1"/>
    <x v="1"/>
    <n v="0"/>
  </r>
  <r>
    <x v="0"/>
    <x v="0"/>
    <n v="0"/>
  </r>
  <r>
    <x v="1"/>
    <x v="1"/>
    <n v="0"/>
  </r>
  <r>
    <x v="0"/>
    <x v="0"/>
    <n v="0"/>
  </r>
  <r>
    <x v="0"/>
    <x v="0"/>
    <n v="0"/>
  </r>
  <r>
    <x v="0"/>
    <x v="0"/>
    <n v="0"/>
  </r>
  <r>
    <x v="1"/>
    <x v="1"/>
    <n v="0"/>
  </r>
  <r>
    <x v="0"/>
    <x v="0"/>
    <n v="0"/>
  </r>
  <r>
    <x v="1"/>
    <x v="1"/>
    <n v="0"/>
  </r>
  <r>
    <x v="1"/>
    <x v="1"/>
    <n v="0"/>
  </r>
  <r>
    <x v="0"/>
    <x v="0"/>
    <n v="0"/>
  </r>
  <r>
    <x v="1"/>
    <x v="1"/>
    <n v="0"/>
  </r>
  <r>
    <x v="1"/>
    <x v="1"/>
    <n v="0"/>
  </r>
  <r>
    <x v="1"/>
    <x v="1"/>
    <n v="0"/>
  </r>
  <r>
    <x v="0"/>
    <x v="0"/>
    <n v="0"/>
  </r>
  <r>
    <x v="1"/>
    <x v="1"/>
    <n v="0"/>
  </r>
  <r>
    <x v="1"/>
    <x v="1"/>
    <n v="0"/>
  </r>
  <r>
    <x v="1"/>
    <x v="1"/>
    <n v="0"/>
  </r>
  <r>
    <x v="1"/>
    <x v="1"/>
    <n v="0"/>
  </r>
  <r>
    <x v="1"/>
    <x v="1"/>
    <n v="0"/>
  </r>
  <r>
    <x v="0"/>
    <x v="0"/>
    <n v="0"/>
  </r>
  <r>
    <x v="0"/>
    <x v="0"/>
    <n v="0"/>
  </r>
  <r>
    <x v="0"/>
    <x v="0"/>
    <n v="0"/>
  </r>
  <r>
    <x v="1"/>
    <x v="1"/>
    <n v="0"/>
  </r>
  <r>
    <x v="1"/>
    <x v="1"/>
    <n v="0"/>
  </r>
  <r>
    <x v="1"/>
    <x v="1"/>
    <n v="0"/>
  </r>
  <r>
    <x v="1"/>
    <x v="1"/>
    <n v="0"/>
  </r>
  <r>
    <x v="1"/>
    <x v="1"/>
    <n v="0"/>
  </r>
  <r>
    <x v="1"/>
    <x v="1"/>
    <n v="0"/>
  </r>
  <r>
    <x v="0"/>
    <x v="0"/>
    <n v="0"/>
  </r>
  <r>
    <x v="0"/>
    <x v="0"/>
    <n v="1"/>
  </r>
  <r>
    <x v="0"/>
    <x v="0"/>
    <n v="1"/>
  </r>
  <r>
    <x v="1"/>
    <x v="1"/>
    <n v="0"/>
  </r>
  <r>
    <x v="0"/>
    <x v="0"/>
    <n v="0"/>
  </r>
  <r>
    <x v="0"/>
    <x v="0"/>
    <n v="0"/>
  </r>
  <r>
    <x v="0"/>
    <x v="0"/>
    <n v="0"/>
  </r>
  <r>
    <x v="0"/>
    <x v="0"/>
    <n v="0"/>
  </r>
  <r>
    <x v="1"/>
    <x v="1"/>
    <n v="0"/>
  </r>
  <r>
    <x v="0"/>
    <x v="0"/>
    <n v="0"/>
  </r>
  <r>
    <x v="1"/>
    <x v="1"/>
    <n v="0"/>
  </r>
  <r>
    <x v="0"/>
    <x v="0"/>
    <n v="0"/>
  </r>
  <r>
    <x v="0"/>
    <x v="0"/>
    <n v="0"/>
  </r>
  <r>
    <x v="1"/>
    <x v="1"/>
    <n v="0"/>
  </r>
  <r>
    <x v="1"/>
    <x v="1"/>
    <n v="0"/>
  </r>
  <r>
    <x v="0"/>
    <x v="0"/>
    <n v="0"/>
  </r>
  <r>
    <x v="0"/>
    <x v="0"/>
    <n v="0"/>
  </r>
  <r>
    <x v="1"/>
    <x v="1"/>
    <n v="0"/>
  </r>
  <r>
    <x v="1"/>
    <x v="1"/>
    <n v="0"/>
  </r>
  <r>
    <x v="1"/>
    <x v="1"/>
    <n v="0"/>
  </r>
  <r>
    <x v="0"/>
    <x v="0"/>
    <n v="0"/>
  </r>
  <r>
    <x v="0"/>
    <x v="0"/>
    <n v="1"/>
  </r>
  <r>
    <x v="0"/>
    <x v="0"/>
    <n v="0"/>
  </r>
  <r>
    <x v="0"/>
    <x v="0"/>
    <n v="0"/>
  </r>
  <r>
    <x v="1"/>
    <x v="1"/>
    <n v="0"/>
  </r>
  <r>
    <x v="0"/>
    <x v="0"/>
    <n v="0"/>
  </r>
  <r>
    <x v="1"/>
    <x v="1"/>
    <n v="0"/>
  </r>
  <r>
    <x v="1"/>
    <x v="1"/>
    <n v="0"/>
  </r>
  <r>
    <x v="1"/>
    <x v="1"/>
    <n v="0"/>
  </r>
  <r>
    <x v="0"/>
    <x v="0"/>
    <n v="0"/>
  </r>
  <r>
    <x v="0"/>
    <x v="0"/>
    <n v="0"/>
  </r>
  <r>
    <x v="1"/>
    <x v="1"/>
    <n v="0"/>
  </r>
  <r>
    <x v="1"/>
    <x v="1"/>
    <n v="0"/>
  </r>
  <r>
    <x v="1"/>
    <x v="1"/>
    <n v="0"/>
  </r>
  <r>
    <x v="1"/>
    <x v="1"/>
    <n v="0"/>
  </r>
  <r>
    <x v="0"/>
    <x v="0"/>
    <n v="0"/>
  </r>
  <r>
    <x v="1"/>
    <x v="1"/>
    <n v="0"/>
  </r>
  <r>
    <x v="1"/>
    <x v="1"/>
    <n v="0"/>
  </r>
  <r>
    <x v="1"/>
    <x v="1"/>
    <n v="0"/>
  </r>
  <r>
    <x v="0"/>
    <x v="0"/>
    <n v="0"/>
  </r>
  <r>
    <x v="1"/>
    <x v="1"/>
    <n v="0"/>
  </r>
  <r>
    <x v="1"/>
    <x v="1"/>
    <n v="0"/>
  </r>
  <r>
    <x v="1"/>
    <x v="1"/>
    <n v="1"/>
  </r>
  <r>
    <x v="1"/>
    <x v="1"/>
    <n v="0"/>
  </r>
  <r>
    <x v="1"/>
    <x v="1"/>
    <n v="0"/>
  </r>
  <r>
    <x v="0"/>
    <x v="0"/>
    <n v="0"/>
  </r>
  <r>
    <x v="0"/>
    <x v="0"/>
    <n v="0"/>
  </r>
  <r>
    <x v="0"/>
    <x v="0"/>
    <n v="0"/>
  </r>
  <r>
    <x v="0"/>
    <x v="0"/>
    <n v="0"/>
  </r>
  <r>
    <x v="1"/>
    <x v="1"/>
    <n v="0"/>
  </r>
  <r>
    <x v="1"/>
    <x v="1"/>
    <n v="0"/>
  </r>
  <r>
    <x v="1"/>
    <x v="1"/>
    <n v="0"/>
  </r>
  <r>
    <x v="0"/>
    <x v="0"/>
    <n v="0"/>
  </r>
  <r>
    <x v="0"/>
    <x v="0"/>
    <n v="1"/>
  </r>
  <r>
    <x v="1"/>
    <x v="1"/>
    <n v="0"/>
  </r>
  <r>
    <x v="0"/>
    <x v="0"/>
    <n v="0"/>
  </r>
  <r>
    <x v="0"/>
    <x v="0"/>
    <n v="0"/>
  </r>
  <r>
    <x v="1"/>
    <x v="1"/>
    <n v="0"/>
  </r>
  <r>
    <x v="0"/>
    <x v="0"/>
    <n v="0"/>
  </r>
  <r>
    <x v="1"/>
    <x v="1"/>
    <n v="0"/>
  </r>
  <r>
    <x v="1"/>
    <x v="1"/>
    <n v="0"/>
  </r>
  <r>
    <x v="0"/>
    <x v="0"/>
    <n v="0"/>
  </r>
  <r>
    <x v="0"/>
    <x v="0"/>
    <n v="0"/>
  </r>
  <r>
    <x v="1"/>
    <x v="1"/>
    <n v="1"/>
  </r>
  <r>
    <x v="0"/>
    <x v="0"/>
    <n v="0"/>
  </r>
  <r>
    <x v="0"/>
    <x v="0"/>
    <n v="0"/>
  </r>
  <r>
    <x v="1"/>
    <x v="1"/>
    <n v="0"/>
  </r>
  <r>
    <x v="1"/>
    <x v="1"/>
    <n v="0"/>
  </r>
  <r>
    <x v="1"/>
    <x v="1"/>
    <n v="0"/>
  </r>
  <r>
    <x v="0"/>
    <x v="0"/>
    <n v="0"/>
  </r>
  <r>
    <x v="1"/>
    <x v="1"/>
    <n v="0"/>
  </r>
  <r>
    <x v="0"/>
    <x v="0"/>
    <n v="0"/>
  </r>
  <r>
    <x v="1"/>
    <x v="1"/>
    <n v="0"/>
  </r>
  <r>
    <x v="0"/>
    <x v="0"/>
    <n v="0"/>
  </r>
  <r>
    <x v="1"/>
    <x v="1"/>
    <n v="0"/>
  </r>
  <r>
    <x v="0"/>
    <x v="0"/>
    <n v="0"/>
  </r>
  <r>
    <x v="0"/>
    <x v="0"/>
    <n v="1"/>
  </r>
  <r>
    <x v="0"/>
    <x v="0"/>
    <n v="0"/>
  </r>
  <r>
    <x v="1"/>
    <x v="1"/>
    <n v="0"/>
  </r>
  <r>
    <x v="1"/>
    <x v="1"/>
    <n v="0"/>
  </r>
  <r>
    <x v="1"/>
    <x v="1"/>
    <n v="0"/>
  </r>
  <r>
    <x v="1"/>
    <x v="1"/>
    <n v="0"/>
  </r>
  <r>
    <x v="1"/>
    <x v="1"/>
    <n v="0"/>
  </r>
  <r>
    <x v="1"/>
    <x v="1"/>
    <n v="0"/>
  </r>
  <r>
    <x v="1"/>
    <x v="1"/>
    <n v="0"/>
  </r>
  <r>
    <x v="1"/>
    <x v="1"/>
    <n v="0"/>
  </r>
  <r>
    <x v="0"/>
    <x v="0"/>
    <n v="0"/>
  </r>
  <r>
    <x v="0"/>
    <x v="0"/>
    <n v="0"/>
  </r>
  <r>
    <x v="0"/>
    <x v="0"/>
    <n v="0"/>
  </r>
  <r>
    <x v="0"/>
    <x v="0"/>
    <n v="0"/>
  </r>
  <r>
    <x v="1"/>
    <x v="1"/>
    <n v="0"/>
  </r>
  <r>
    <x v="1"/>
    <x v="1"/>
    <n v="0"/>
  </r>
  <r>
    <x v="1"/>
    <x v="1"/>
    <n v="0"/>
  </r>
  <r>
    <x v="1"/>
    <x v="1"/>
    <n v="0"/>
  </r>
  <r>
    <x v="1"/>
    <x v="1"/>
    <n v="0"/>
  </r>
  <r>
    <x v="0"/>
    <x v="0"/>
    <n v="0"/>
  </r>
  <r>
    <x v="0"/>
    <x v="0"/>
    <n v="0"/>
  </r>
  <r>
    <x v="1"/>
    <x v="1"/>
    <n v="0"/>
  </r>
  <r>
    <x v="0"/>
    <x v="0"/>
    <n v="0"/>
  </r>
  <r>
    <x v="0"/>
    <x v="0"/>
    <n v="0"/>
  </r>
  <r>
    <x v="0"/>
    <x v="0"/>
    <n v="0"/>
  </r>
  <r>
    <x v="1"/>
    <x v="1"/>
    <n v="0"/>
  </r>
  <r>
    <x v="1"/>
    <x v="1"/>
    <n v="0"/>
  </r>
  <r>
    <x v="0"/>
    <x v="0"/>
    <n v="0"/>
  </r>
  <r>
    <x v="0"/>
    <x v="0"/>
    <n v="0"/>
  </r>
  <r>
    <x v="0"/>
    <x v="0"/>
    <n v="0"/>
  </r>
  <r>
    <x v="1"/>
    <x v="1"/>
    <n v="0"/>
  </r>
  <r>
    <x v="1"/>
    <x v="1"/>
    <n v="0"/>
  </r>
  <r>
    <x v="0"/>
    <x v="0"/>
    <n v="0"/>
  </r>
  <r>
    <x v="0"/>
    <x v="0"/>
    <n v="0"/>
  </r>
  <r>
    <x v="0"/>
    <x v="0"/>
    <n v="0"/>
  </r>
  <r>
    <x v="0"/>
    <x v="0"/>
    <n v="0"/>
  </r>
  <r>
    <x v="1"/>
    <x v="1"/>
    <n v="0"/>
  </r>
  <r>
    <x v="0"/>
    <x v="0"/>
    <n v="0"/>
  </r>
  <r>
    <x v="0"/>
    <x v="0"/>
    <n v="0"/>
  </r>
  <r>
    <x v="1"/>
    <x v="1"/>
    <n v="0"/>
  </r>
  <r>
    <x v="1"/>
    <x v="1"/>
    <n v="0"/>
  </r>
  <r>
    <x v="0"/>
    <x v="0"/>
    <n v="0"/>
  </r>
  <r>
    <x v="0"/>
    <x v="0"/>
    <n v="0"/>
  </r>
  <r>
    <x v="0"/>
    <x v="0"/>
    <n v="0"/>
  </r>
  <r>
    <x v="0"/>
    <x v="0"/>
    <n v="0"/>
  </r>
  <r>
    <x v="0"/>
    <x v="0"/>
    <n v="0"/>
  </r>
  <r>
    <x v="0"/>
    <x v="0"/>
    <n v="0"/>
  </r>
  <r>
    <x v="0"/>
    <x v="0"/>
    <n v="0"/>
  </r>
  <r>
    <x v="0"/>
    <x v="0"/>
    <n v="0"/>
  </r>
  <r>
    <x v="1"/>
    <x v="1"/>
    <n v="0"/>
  </r>
  <r>
    <x v="0"/>
    <x v="0"/>
    <n v="0"/>
  </r>
  <r>
    <x v="1"/>
    <x v="1"/>
    <n v="0"/>
  </r>
  <r>
    <x v="1"/>
    <x v="1"/>
    <n v="0"/>
  </r>
  <r>
    <x v="0"/>
    <x v="0"/>
    <n v="0"/>
  </r>
  <r>
    <x v="1"/>
    <x v="1"/>
    <n v="0"/>
  </r>
  <r>
    <x v="0"/>
    <x v="0"/>
    <n v="0"/>
  </r>
  <r>
    <x v="0"/>
    <x v="0"/>
    <n v="0"/>
  </r>
  <r>
    <x v="1"/>
    <x v="1"/>
    <n v="0"/>
  </r>
  <r>
    <x v="0"/>
    <x v="0"/>
    <n v="0"/>
  </r>
  <r>
    <x v="0"/>
    <x v="0"/>
    <n v="0"/>
  </r>
  <r>
    <x v="0"/>
    <x v="0"/>
    <n v="0"/>
  </r>
  <r>
    <x v="1"/>
    <x v="1"/>
    <n v="0"/>
  </r>
  <r>
    <x v="1"/>
    <x v="1"/>
    <n v="0"/>
  </r>
  <r>
    <x v="1"/>
    <x v="1"/>
    <n v="0"/>
  </r>
  <r>
    <x v="0"/>
    <x v="0"/>
    <n v="0"/>
  </r>
  <r>
    <x v="1"/>
    <x v="1"/>
    <n v="0"/>
  </r>
  <r>
    <x v="0"/>
    <x v="0"/>
    <n v="0"/>
  </r>
  <r>
    <x v="1"/>
    <x v="1"/>
    <n v="0"/>
  </r>
  <r>
    <x v="0"/>
    <x v="0"/>
    <n v="0"/>
  </r>
  <r>
    <x v="1"/>
    <x v="1"/>
    <n v="0"/>
  </r>
  <r>
    <x v="0"/>
    <x v="0"/>
    <n v="0"/>
  </r>
  <r>
    <x v="0"/>
    <x v="0"/>
    <n v="0"/>
  </r>
  <r>
    <x v="1"/>
    <x v="1"/>
    <n v="0"/>
  </r>
  <r>
    <x v="0"/>
    <x v="0"/>
    <n v="0"/>
  </r>
  <r>
    <x v="0"/>
    <x v="0"/>
    <n v="0"/>
  </r>
  <r>
    <x v="1"/>
    <x v="1"/>
    <n v="0"/>
  </r>
  <r>
    <x v="1"/>
    <x v="1"/>
    <n v="0"/>
  </r>
  <r>
    <x v="1"/>
    <x v="1"/>
    <n v="0"/>
  </r>
  <r>
    <x v="0"/>
    <x v="0"/>
    <n v="0"/>
  </r>
  <r>
    <x v="0"/>
    <x v="0"/>
    <n v="0"/>
  </r>
  <r>
    <x v="0"/>
    <x v="0"/>
    <n v="0"/>
  </r>
  <r>
    <x v="0"/>
    <x v="0"/>
    <n v="0"/>
  </r>
  <r>
    <x v="1"/>
    <x v="1"/>
    <n v="0"/>
  </r>
  <r>
    <x v="1"/>
    <x v="1"/>
    <n v="1"/>
  </r>
  <r>
    <x v="0"/>
    <x v="0"/>
    <n v="0"/>
  </r>
  <r>
    <x v="1"/>
    <x v="1"/>
    <n v="0"/>
  </r>
  <r>
    <x v="1"/>
    <x v="1"/>
    <n v="0"/>
  </r>
  <r>
    <x v="0"/>
    <x v="0"/>
    <n v="0"/>
  </r>
  <r>
    <x v="0"/>
    <x v="0"/>
    <n v="0"/>
  </r>
  <r>
    <x v="1"/>
    <x v="1"/>
    <n v="0"/>
  </r>
  <r>
    <x v="1"/>
    <x v="1"/>
    <n v="0"/>
  </r>
  <r>
    <x v="0"/>
    <x v="0"/>
    <n v="0"/>
  </r>
  <r>
    <x v="1"/>
    <x v="1"/>
    <n v="0"/>
  </r>
  <r>
    <x v="0"/>
    <x v="0"/>
    <n v="0"/>
  </r>
  <r>
    <x v="1"/>
    <x v="1"/>
    <n v="0"/>
  </r>
  <r>
    <x v="1"/>
    <x v="1"/>
    <n v="0"/>
  </r>
  <r>
    <x v="1"/>
    <x v="1"/>
    <n v="0"/>
  </r>
  <r>
    <x v="1"/>
    <x v="1"/>
    <n v="1"/>
  </r>
  <r>
    <x v="1"/>
    <x v="1"/>
    <n v="0"/>
  </r>
  <r>
    <x v="1"/>
    <x v="1"/>
    <n v="0"/>
  </r>
  <r>
    <x v="1"/>
    <x v="1"/>
    <n v="0"/>
  </r>
  <r>
    <x v="1"/>
    <x v="1"/>
    <n v="0"/>
  </r>
  <r>
    <x v="1"/>
    <x v="1"/>
    <n v="0"/>
  </r>
  <r>
    <x v="1"/>
    <x v="1"/>
    <n v="0"/>
  </r>
  <r>
    <x v="0"/>
    <x v="0"/>
    <n v="0"/>
  </r>
  <r>
    <x v="0"/>
    <x v="0"/>
    <n v="0"/>
  </r>
  <r>
    <x v="1"/>
    <x v="1"/>
    <n v="0"/>
  </r>
  <r>
    <x v="1"/>
    <x v="1"/>
    <n v="1"/>
  </r>
  <r>
    <x v="1"/>
    <x v="1"/>
    <n v="0"/>
  </r>
  <r>
    <x v="1"/>
    <x v="1"/>
    <n v="0"/>
  </r>
  <r>
    <x v="1"/>
    <x v="1"/>
    <n v="0"/>
  </r>
  <r>
    <x v="0"/>
    <x v="0"/>
    <n v="0"/>
  </r>
  <r>
    <x v="0"/>
    <x v="0"/>
    <n v="0"/>
  </r>
  <r>
    <x v="1"/>
    <x v="1"/>
    <n v="0"/>
  </r>
  <r>
    <x v="1"/>
    <x v="1"/>
    <n v="0"/>
  </r>
  <r>
    <x v="1"/>
    <x v="1"/>
    <n v="1"/>
  </r>
  <r>
    <x v="1"/>
    <x v="1"/>
    <n v="0"/>
  </r>
  <r>
    <x v="1"/>
    <x v="1"/>
    <n v="0"/>
  </r>
  <r>
    <x v="1"/>
    <x v="1"/>
    <n v="0"/>
  </r>
  <r>
    <x v="0"/>
    <x v="0"/>
    <n v="0"/>
  </r>
  <r>
    <x v="1"/>
    <x v="1"/>
    <n v="0"/>
  </r>
  <r>
    <x v="0"/>
    <x v="0"/>
    <n v="0"/>
  </r>
  <r>
    <x v="1"/>
    <x v="1"/>
    <n v="0"/>
  </r>
  <r>
    <x v="0"/>
    <x v="0"/>
    <n v="0"/>
  </r>
  <r>
    <x v="0"/>
    <x v="0"/>
    <n v="0"/>
  </r>
  <r>
    <x v="0"/>
    <x v="0"/>
    <n v="0"/>
  </r>
  <r>
    <x v="0"/>
    <x v="0"/>
    <n v="0"/>
  </r>
  <r>
    <x v="1"/>
    <x v="1"/>
    <n v="0"/>
  </r>
  <r>
    <x v="0"/>
    <x v="0"/>
    <n v="0"/>
  </r>
  <r>
    <x v="1"/>
    <x v="1"/>
    <n v="0"/>
  </r>
  <r>
    <x v="0"/>
    <x v="0"/>
    <n v="0"/>
  </r>
  <r>
    <x v="0"/>
    <x v="0"/>
    <n v="0"/>
  </r>
  <r>
    <x v="0"/>
    <x v="0"/>
    <n v="0"/>
  </r>
  <r>
    <x v="1"/>
    <x v="1"/>
    <n v="0"/>
  </r>
  <r>
    <x v="1"/>
    <x v="1"/>
    <n v="0"/>
  </r>
  <r>
    <x v="1"/>
    <x v="1"/>
    <n v="0"/>
  </r>
  <r>
    <x v="0"/>
    <x v="0"/>
    <n v="0"/>
  </r>
  <r>
    <x v="1"/>
    <x v="1"/>
    <n v="0"/>
  </r>
  <r>
    <x v="0"/>
    <x v="0"/>
    <n v="0"/>
  </r>
  <r>
    <x v="0"/>
    <x v="0"/>
    <n v="0"/>
  </r>
  <r>
    <x v="1"/>
    <x v="1"/>
    <n v="0"/>
  </r>
  <r>
    <x v="0"/>
    <x v="0"/>
    <n v="0"/>
  </r>
  <r>
    <x v="1"/>
    <x v="1"/>
    <n v="0"/>
  </r>
  <r>
    <x v="0"/>
    <x v="0"/>
    <n v="0"/>
  </r>
  <r>
    <x v="1"/>
    <x v="1"/>
    <n v="0"/>
  </r>
  <r>
    <x v="1"/>
    <x v="1"/>
    <n v="0"/>
  </r>
  <r>
    <x v="1"/>
    <x v="1"/>
    <n v="0"/>
  </r>
  <r>
    <x v="0"/>
    <x v="0"/>
    <n v="0"/>
  </r>
  <r>
    <x v="1"/>
    <x v="1"/>
    <n v="0"/>
  </r>
  <r>
    <x v="0"/>
    <x v="0"/>
    <n v="0"/>
  </r>
  <r>
    <x v="1"/>
    <x v="1"/>
    <n v="0"/>
  </r>
  <r>
    <x v="1"/>
    <x v="1"/>
    <n v="0"/>
  </r>
  <r>
    <x v="1"/>
    <x v="1"/>
    <n v="0"/>
  </r>
  <r>
    <x v="0"/>
    <x v="0"/>
    <n v="0"/>
  </r>
  <r>
    <x v="0"/>
    <x v="0"/>
    <n v="0"/>
  </r>
  <r>
    <x v="0"/>
    <x v="0"/>
    <n v="0"/>
  </r>
  <r>
    <x v="1"/>
    <x v="1"/>
    <n v="0"/>
  </r>
  <r>
    <x v="0"/>
    <x v="0"/>
    <n v="0"/>
  </r>
  <r>
    <x v="0"/>
    <x v="0"/>
    <n v="0"/>
  </r>
  <r>
    <x v="1"/>
    <x v="1"/>
    <n v="0"/>
  </r>
  <r>
    <x v="1"/>
    <x v="1"/>
    <n v="0"/>
  </r>
  <r>
    <x v="0"/>
    <x v="0"/>
    <n v="0"/>
  </r>
  <r>
    <x v="0"/>
    <x v="0"/>
    <n v="0"/>
  </r>
  <r>
    <x v="0"/>
    <x v="0"/>
    <n v="0"/>
  </r>
  <r>
    <x v="0"/>
    <x v="0"/>
    <n v="0"/>
  </r>
  <r>
    <x v="1"/>
    <x v="1"/>
    <n v="0"/>
  </r>
  <r>
    <x v="1"/>
    <x v="1"/>
    <n v="0"/>
  </r>
  <r>
    <x v="1"/>
    <x v="1"/>
    <n v="0"/>
  </r>
  <r>
    <x v="1"/>
    <x v="1"/>
    <n v="0"/>
  </r>
  <r>
    <x v="0"/>
    <x v="0"/>
    <n v="0"/>
  </r>
  <r>
    <x v="0"/>
    <x v="0"/>
    <n v="0"/>
  </r>
  <r>
    <x v="0"/>
    <x v="0"/>
    <n v="0"/>
  </r>
  <r>
    <x v="0"/>
    <x v="0"/>
    <n v="0"/>
  </r>
  <r>
    <x v="0"/>
    <x v="0"/>
    <n v="0"/>
  </r>
  <r>
    <x v="0"/>
    <x v="0"/>
    <n v="0"/>
  </r>
  <r>
    <x v="1"/>
    <x v="1"/>
    <n v="0"/>
  </r>
  <r>
    <x v="1"/>
    <x v="1"/>
    <n v="0"/>
  </r>
  <r>
    <x v="1"/>
    <x v="1"/>
    <n v="0"/>
  </r>
  <r>
    <x v="1"/>
    <x v="1"/>
    <n v="0"/>
  </r>
  <r>
    <x v="0"/>
    <x v="0"/>
    <n v="0"/>
  </r>
  <r>
    <x v="0"/>
    <x v="0"/>
    <n v="0"/>
  </r>
  <r>
    <x v="1"/>
    <x v="1"/>
    <n v="0"/>
  </r>
  <r>
    <x v="1"/>
    <x v="1"/>
    <n v="0"/>
  </r>
  <r>
    <x v="0"/>
    <x v="0"/>
    <n v="0"/>
  </r>
  <r>
    <x v="1"/>
    <x v="1"/>
    <n v="0"/>
  </r>
  <r>
    <x v="0"/>
    <x v="0"/>
    <n v="0"/>
  </r>
  <r>
    <x v="0"/>
    <x v="0"/>
    <n v="0"/>
  </r>
  <r>
    <x v="0"/>
    <x v="0"/>
    <n v="1"/>
  </r>
  <r>
    <x v="1"/>
    <x v="1"/>
    <n v="0"/>
  </r>
  <r>
    <x v="0"/>
    <x v="0"/>
    <n v="0"/>
  </r>
  <r>
    <x v="0"/>
    <x v="0"/>
    <n v="0"/>
  </r>
  <r>
    <x v="1"/>
    <x v="1"/>
    <n v="0"/>
  </r>
  <r>
    <x v="0"/>
    <x v="0"/>
    <n v="0"/>
  </r>
  <r>
    <x v="0"/>
    <x v="0"/>
    <n v="0"/>
  </r>
  <r>
    <x v="1"/>
    <x v="1"/>
    <n v="0"/>
  </r>
  <r>
    <x v="1"/>
    <x v="1"/>
    <n v="0"/>
  </r>
  <r>
    <x v="1"/>
    <x v="1"/>
    <n v="0"/>
  </r>
  <r>
    <x v="1"/>
    <x v="1"/>
    <n v="0"/>
  </r>
  <r>
    <x v="1"/>
    <x v="1"/>
    <n v="0"/>
  </r>
  <r>
    <x v="0"/>
    <x v="0"/>
    <n v="0"/>
  </r>
  <r>
    <x v="1"/>
    <x v="1"/>
    <n v="1"/>
  </r>
  <r>
    <x v="0"/>
    <x v="0"/>
    <n v="0"/>
  </r>
  <r>
    <x v="1"/>
    <x v="1"/>
    <n v="0"/>
  </r>
  <r>
    <x v="0"/>
    <x v="0"/>
    <n v="0"/>
  </r>
  <r>
    <x v="1"/>
    <x v="1"/>
    <n v="0"/>
  </r>
  <r>
    <x v="0"/>
    <x v="0"/>
    <n v="0"/>
  </r>
  <r>
    <x v="0"/>
    <x v="0"/>
    <n v="0"/>
  </r>
  <r>
    <x v="1"/>
    <x v="1"/>
    <n v="0"/>
  </r>
  <r>
    <x v="0"/>
    <x v="0"/>
    <n v="0"/>
  </r>
  <r>
    <x v="1"/>
    <x v="1"/>
    <n v="0"/>
  </r>
  <r>
    <x v="1"/>
    <x v="1"/>
    <n v="0"/>
  </r>
  <r>
    <x v="0"/>
    <x v="0"/>
    <n v="0"/>
  </r>
  <r>
    <x v="0"/>
    <x v="0"/>
    <n v="0"/>
  </r>
  <r>
    <x v="0"/>
    <x v="0"/>
    <n v="0"/>
  </r>
  <r>
    <x v="1"/>
    <x v="1"/>
    <n v="0"/>
  </r>
  <r>
    <x v="0"/>
    <x v="0"/>
    <n v="0"/>
  </r>
  <r>
    <x v="1"/>
    <x v="1"/>
    <n v="0"/>
  </r>
  <r>
    <x v="1"/>
    <x v="1"/>
    <n v="0"/>
  </r>
  <r>
    <x v="0"/>
    <x v="0"/>
    <n v="0"/>
  </r>
  <r>
    <x v="0"/>
    <x v="0"/>
    <n v="0"/>
  </r>
  <r>
    <x v="0"/>
    <x v="0"/>
    <n v="0"/>
  </r>
  <r>
    <x v="0"/>
    <x v="0"/>
    <n v="0"/>
  </r>
  <r>
    <x v="1"/>
    <x v="1"/>
    <n v="0"/>
  </r>
  <r>
    <x v="0"/>
    <x v="0"/>
    <n v="0"/>
  </r>
  <r>
    <x v="1"/>
    <x v="1"/>
    <n v="0"/>
  </r>
  <r>
    <x v="1"/>
    <x v="1"/>
    <n v="0"/>
  </r>
  <r>
    <x v="1"/>
    <x v="1"/>
    <n v="0"/>
  </r>
  <r>
    <x v="0"/>
    <x v="0"/>
    <n v="0"/>
  </r>
  <r>
    <x v="1"/>
    <x v="1"/>
    <n v="0"/>
  </r>
  <r>
    <x v="0"/>
    <x v="0"/>
    <n v="0"/>
  </r>
  <r>
    <x v="0"/>
    <x v="0"/>
    <n v="0"/>
  </r>
  <r>
    <x v="1"/>
    <x v="1"/>
    <n v="0"/>
  </r>
  <r>
    <x v="1"/>
    <x v="1"/>
    <n v="0"/>
  </r>
  <r>
    <x v="1"/>
    <x v="1"/>
    <n v="0"/>
  </r>
  <r>
    <x v="1"/>
    <x v="1"/>
    <n v="1"/>
  </r>
  <r>
    <x v="0"/>
    <x v="0"/>
    <n v="0"/>
  </r>
  <r>
    <x v="1"/>
    <x v="1"/>
    <n v="0"/>
  </r>
  <r>
    <x v="1"/>
    <x v="1"/>
    <n v="0"/>
  </r>
  <r>
    <x v="1"/>
    <x v="1"/>
    <n v="0"/>
  </r>
  <r>
    <x v="0"/>
    <x v="0"/>
    <n v="0"/>
  </r>
  <r>
    <x v="1"/>
    <x v="1"/>
    <n v="0"/>
  </r>
  <r>
    <x v="1"/>
    <x v="1"/>
    <n v="0"/>
  </r>
  <r>
    <x v="1"/>
    <x v="1"/>
    <n v="0"/>
  </r>
  <r>
    <x v="1"/>
    <x v="1"/>
    <n v="0"/>
  </r>
  <r>
    <x v="1"/>
    <x v="1"/>
    <n v="0"/>
  </r>
  <r>
    <x v="1"/>
    <x v="1"/>
    <n v="0"/>
  </r>
  <r>
    <x v="0"/>
    <x v="0"/>
    <n v="0"/>
  </r>
  <r>
    <x v="0"/>
    <x v="0"/>
    <n v="0"/>
  </r>
  <r>
    <x v="0"/>
    <x v="0"/>
    <n v="0"/>
  </r>
  <r>
    <x v="0"/>
    <x v="0"/>
    <n v="0"/>
  </r>
  <r>
    <x v="0"/>
    <x v="0"/>
    <n v="0"/>
  </r>
  <r>
    <x v="1"/>
    <x v="1"/>
    <n v="0"/>
  </r>
  <r>
    <x v="1"/>
    <x v="1"/>
    <n v="0"/>
  </r>
  <r>
    <x v="1"/>
    <x v="1"/>
    <n v="0"/>
  </r>
  <r>
    <x v="1"/>
    <x v="1"/>
    <n v="0"/>
  </r>
  <r>
    <x v="1"/>
    <x v="1"/>
    <n v="0"/>
  </r>
  <r>
    <x v="0"/>
    <x v="0"/>
    <n v="0"/>
  </r>
  <r>
    <x v="1"/>
    <x v="1"/>
    <n v="0"/>
  </r>
  <r>
    <x v="1"/>
    <x v="1"/>
    <n v="0"/>
  </r>
  <r>
    <x v="1"/>
    <x v="1"/>
    <n v="0"/>
  </r>
  <r>
    <x v="0"/>
    <x v="0"/>
    <n v="0"/>
  </r>
  <r>
    <x v="1"/>
    <x v="1"/>
    <n v="0"/>
  </r>
  <r>
    <x v="0"/>
    <x v="0"/>
    <n v="0"/>
  </r>
  <r>
    <x v="0"/>
    <x v="0"/>
    <n v="0"/>
  </r>
  <r>
    <x v="0"/>
    <x v="0"/>
    <n v="0"/>
  </r>
  <r>
    <x v="1"/>
    <x v="1"/>
    <n v="0"/>
  </r>
  <r>
    <x v="1"/>
    <x v="1"/>
    <n v="0"/>
  </r>
  <r>
    <x v="0"/>
    <x v="0"/>
    <n v="0"/>
  </r>
  <r>
    <x v="1"/>
    <x v="1"/>
    <n v="0"/>
  </r>
  <r>
    <x v="0"/>
    <x v="0"/>
    <n v="0"/>
  </r>
  <r>
    <x v="1"/>
    <x v="1"/>
    <n v="0"/>
  </r>
  <r>
    <x v="1"/>
    <x v="1"/>
    <n v="0"/>
  </r>
  <r>
    <x v="1"/>
    <x v="1"/>
    <n v="0"/>
  </r>
  <r>
    <x v="0"/>
    <x v="0"/>
    <n v="0"/>
  </r>
  <r>
    <x v="0"/>
    <x v="0"/>
    <n v="0"/>
  </r>
  <r>
    <x v="0"/>
    <x v="0"/>
    <n v="0"/>
  </r>
  <r>
    <x v="0"/>
    <x v="0"/>
    <n v="0"/>
  </r>
  <r>
    <x v="1"/>
    <x v="1"/>
    <n v="0"/>
  </r>
  <r>
    <x v="0"/>
    <x v="0"/>
    <n v="0"/>
  </r>
  <r>
    <x v="0"/>
    <x v="0"/>
    <n v="0"/>
  </r>
  <r>
    <x v="1"/>
    <x v="1"/>
    <n v="0"/>
  </r>
  <r>
    <x v="1"/>
    <x v="1"/>
    <n v="0"/>
  </r>
  <r>
    <x v="1"/>
    <x v="1"/>
    <n v="0"/>
  </r>
  <r>
    <x v="1"/>
    <x v="1"/>
    <n v="0"/>
  </r>
  <r>
    <x v="1"/>
    <x v="1"/>
    <n v="0"/>
  </r>
  <r>
    <x v="1"/>
    <x v="1"/>
    <n v="0"/>
  </r>
  <r>
    <x v="1"/>
    <x v="1"/>
    <n v="0"/>
  </r>
  <r>
    <x v="0"/>
    <x v="0"/>
    <n v="0"/>
  </r>
  <r>
    <x v="1"/>
    <x v="1"/>
    <n v="0"/>
  </r>
  <r>
    <x v="0"/>
    <x v="0"/>
    <n v="0"/>
  </r>
  <r>
    <x v="0"/>
    <x v="0"/>
    <n v="0"/>
  </r>
  <r>
    <x v="0"/>
    <x v="0"/>
    <n v="0"/>
  </r>
  <r>
    <x v="1"/>
    <x v="1"/>
    <n v="0"/>
  </r>
  <r>
    <x v="0"/>
    <x v="0"/>
    <n v="0"/>
  </r>
  <r>
    <x v="1"/>
    <x v="1"/>
    <n v="0"/>
  </r>
  <r>
    <x v="0"/>
    <x v="0"/>
    <n v="0"/>
  </r>
  <r>
    <x v="0"/>
    <x v="0"/>
    <n v="0"/>
  </r>
  <r>
    <x v="0"/>
    <x v="0"/>
    <n v="0"/>
  </r>
  <r>
    <x v="0"/>
    <x v="0"/>
    <n v="0"/>
  </r>
  <r>
    <x v="0"/>
    <x v="0"/>
    <n v="0"/>
  </r>
  <r>
    <x v="0"/>
    <x v="0"/>
    <n v="0"/>
  </r>
  <r>
    <x v="0"/>
    <x v="0"/>
    <n v="0"/>
  </r>
  <r>
    <x v="1"/>
    <x v="1"/>
    <n v="0"/>
  </r>
  <r>
    <x v="1"/>
    <x v="1"/>
    <n v="0"/>
  </r>
  <r>
    <x v="1"/>
    <x v="1"/>
    <n v="0"/>
  </r>
  <r>
    <x v="1"/>
    <x v="1"/>
    <n v="0"/>
  </r>
  <r>
    <x v="1"/>
    <x v="1"/>
    <n v="0"/>
  </r>
  <r>
    <x v="0"/>
    <x v="0"/>
    <n v="0"/>
  </r>
  <r>
    <x v="1"/>
    <x v="1"/>
    <n v="0"/>
  </r>
  <r>
    <x v="0"/>
    <x v="0"/>
    <n v="0"/>
  </r>
  <r>
    <x v="1"/>
    <x v="1"/>
    <n v="0"/>
  </r>
  <r>
    <x v="1"/>
    <x v="1"/>
    <n v="0"/>
  </r>
  <r>
    <x v="0"/>
    <x v="0"/>
    <n v="0"/>
  </r>
  <r>
    <x v="0"/>
    <x v="0"/>
    <n v="0"/>
  </r>
  <r>
    <x v="0"/>
    <x v="0"/>
    <n v="0"/>
  </r>
  <r>
    <x v="0"/>
    <x v="0"/>
    <n v="0"/>
  </r>
  <r>
    <x v="1"/>
    <x v="1"/>
    <n v="0"/>
  </r>
  <r>
    <x v="0"/>
    <x v="0"/>
    <n v="0"/>
  </r>
  <r>
    <x v="1"/>
    <x v="1"/>
    <n v="1"/>
  </r>
  <r>
    <x v="0"/>
    <x v="0"/>
    <n v="0"/>
  </r>
  <r>
    <x v="0"/>
    <x v="0"/>
    <n v="0"/>
  </r>
  <r>
    <x v="1"/>
    <x v="1"/>
    <n v="0"/>
  </r>
  <r>
    <x v="0"/>
    <x v="0"/>
    <n v="0"/>
  </r>
  <r>
    <x v="1"/>
    <x v="1"/>
    <n v="0"/>
  </r>
  <r>
    <x v="1"/>
    <x v="1"/>
    <n v="0"/>
  </r>
  <r>
    <x v="0"/>
    <x v="0"/>
    <n v="0"/>
  </r>
  <r>
    <x v="1"/>
    <x v="1"/>
    <n v="0"/>
  </r>
  <r>
    <x v="1"/>
    <x v="1"/>
    <n v="0"/>
  </r>
  <r>
    <x v="1"/>
    <x v="1"/>
    <n v="0"/>
  </r>
  <r>
    <x v="0"/>
    <x v="0"/>
    <n v="0"/>
  </r>
  <r>
    <x v="0"/>
    <x v="0"/>
    <n v="0"/>
  </r>
  <r>
    <x v="0"/>
    <x v="0"/>
    <n v="0"/>
  </r>
  <r>
    <x v="1"/>
    <x v="1"/>
    <n v="0"/>
  </r>
  <r>
    <x v="0"/>
    <x v="0"/>
    <n v="0"/>
  </r>
  <r>
    <x v="0"/>
    <x v="0"/>
    <n v="0"/>
  </r>
  <r>
    <x v="0"/>
    <x v="0"/>
    <n v="0"/>
  </r>
  <r>
    <x v="1"/>
    <x v="1"/>
    <n v="0"/>
  </r>
  <r>
    <x v="1"/>
    <x v="1"/>
    <n v="0"/>
  </r>
  <r>
    <x v="1"/>
    <x v="1"/>
    <n v="0"/>
  </r>
  <r>
    <x v="1"/>
    <x v="1"/>
    <n v="0"/>
  </r>
  <r>
    <x v="1"/>
    <x v="1"/>
    <n v="0"/>
  </r>
  <r>
    <x v="0"/>
    <x v="0"/>
    <n v="0"/>
  </r>
  <r>
    <x v="0"/>
    <x v="0"/>
    <n v="0"/>
  </r>
  <r>
    <x v="0"/>
    <x v="0"/>
    <n v="0"/>
  </r>
  <r>
    <x v="1"/>
    <x v="1"/>
    <n v="0"/>
  </r>
  <r>
    <x v="0"/>
    <x v="0"/>
    <n v="0"/>
  </r>
  <r>
    <x v="0"/>
    <x v="0"/>
    <n v="0"/>
  </r>
  <r>
    <x v="0"/>
    <x v="0"/>
    <n v="0"/>
  </r>
  <r>
    <x v="1"/>
    <x v="1"/>
    <n v="0"/>
  </r>
  <r>
    <x v="1"/>
    <x v="1"/>
    <n v="0"/>
  </r>
  <r>
    <x v="0"/>
    <x v="0"/>
    <n v="0"/>
  </r>
  <r>
    <x v="1"/>
    <x v="1"/>
    <n v="0"/>
  </r>
  <r>
    <x v="1"/>
    <x v="1"/>
    <n v="0"/>
  </r>
  <r>
    <x v="1"/>
    <x v="1"/>
    <n v="0"/>
  </r>
  <r>
    <x v="0"/>
    <x v="0"/>
    <n v="0"/>
  </r>
  <r>
    <x v="1"/>
    <x v="1"/>
    <n v="0"/>
  </r>
  <r>
    <x v="0"/>
    <x v="0"/>
    <n v="0"/>
  </r>
  <r>
    <x v="1"/>
    <x v="1"/>
    <n v="0"/>
  </r>
  <r>
    <x v="1"/>
    <x v="1"/>
    <n v="0"/>
  </r>
  <r>
    <x v="0"/>
    <x v="0"/>
    <n v="0"/>
  </r>
  <r>
    <x v="1"/>
    <x v="1"/>
    <n v="0"/>
  </r>
  <r>
    <x v="0"/>
    <x v="0"/>
    <n v="0"/>
  </r>
  <r>
    <x v="0"/>
    <x v="0"/>
    <n v="0"/>
  </r>
  <r>
    <x v="1"/>
    <x v="1"/>
    <n v="1"/>
  </r>
  <r>
    <x v="1"/>
    <x v="1"/>
    <n v="0"/>
  </r>
  <r>
    <x v="1"/>
    <x v="1"/>
    <n v="0"/>
  </r>
  <r>
    <x v="1"/>
    <x v="1"/>
    <n v="1"/>
  </r>
  <r>
    <x v="1"/>
    <x v="1"/>
    <n v="0"/>
  </r>
  <r>
    <x v="1"/>
    <x v="1"/>
    <n v="1"/>
  </r>
  <r>
    <x v="0"/>
    <x v="0"/>
    <n v="0"/>
  </r>
  <r>
    <x v="0"/>
    <x v="0"/>
    <n v="0"/>
  </r>
  <r>
    <x v="0"/>
    <x v="0"/>
    <n v="0"/>
  </r>
  <r>
    <x v="1"/>
    <x v="1"/>
    <n v="0"/>
  </r>
  <r>
    <x v="1"/>
    <x v="1"/>
    <n v="0"/>
  </r>
  <r>
    <x v="1"/>
    <x v="1"/>
    <n v="0"/>
  </r>
  <r>
    <x v="1"/>
    <x v="1"/>
    <n v="0"/>
  </r>
  <r>
    <x v="0"/>
    <x v="0"/>
    <n v="0"/>
  </r>
  <r>
    <x v="0"/>
    <x v="0"/>
    <n v="0"/>
  </r>
  <r>
    <x v="0"/>
    <x v="0"/>
    <n v="0"/>
  </r>
  <r>
    <x v="1"/>
    <x v="1"/>
    <n v="0"/>
  </r>
  <r>
    <x v="1"/>
    <x v="1"/>
    <n v="0"/>
  </r>
  <r>
    <x v="0"/>
    <x v="0"/>
    <n v="0"/>
  </r>
  <r>
    <x v="0"/>
    <x v="0"/>
    <n v="0"/>
  </r>
  <r>
    <x v="0"/>
    <x v="0"/>
    <n v="0"/>
  </r>
  <r>
    <x v="1"/>
    <x v="1"/>
    <n v="0"/>
  </r>
  <r>
    <x v="1"/>
    <x v="1"/>
    <n v="0"/>
  </r>
  <r>
    <x v="1"/>
    <x v="1"/>
    <n v="0"/>
  </r>
  <r>
    <x v="1"/>
    <x v="1"/>
    <n v="0"/>
  </r>
  <r>
    <x v="0"/>
    <x v="0"/>
    <n v="0"/>
  </r>
  <r>
    <x v="0"/>
    <x v="0"/>
    <n v="0"/>
  </r>
  <r>
    <x v="0"/>
    <x v="0"/>
    <n v="0"/>
  </r>
  <r>
    <x v="1"/>
    <x v="1"/>
    <n v="0"/>
  </r>
  <r>
    <x v="1"/>
    <x v="1"/>
    <n v="0"/>
  </r>
  <r>
    <x v="0"/>
    <x v="0"/>
    <n v="0"/>
  </r>
  <r>
    <x v="0"/>
    <x v="0"/>
    <n v="0"/>
  </r>
  <r>
    <x v="0"/>
    <x v="0"/>
    <n v="0"/>
  </r>
  <r>
    <x v="1"/>
    <x v="1"/>
    <n v="0"/>
  </r>
  <r>
    <x v="1"/>
    <x v="1"/>
    <n v="0"/>
  </r>
  <r>
    <x v="1"/>
    <x v="1"/>
    <n v="0"/>
  </r>
  <r>
    <x v="0"/>
    <x v="0"/>
    <n v="0"/>
  </r>
  <r>
    <x v="1"/>
    <x v="1"/>
    <n v="0"/>
  </r>
  <r>
    <x v="0"/>
    <x v="0"/>
    <n v="0"/>
  </r>
  <r>
    <x v="1"/>
    <x v="1"/>
    <n v="0"/>
  </r>
  <r>
    <x v="1"/>
    <x v="1"/>
    <n v="0"/>
  </r>
  <r>
    <x v="1"/>
    <x v="1"/>
    <n v="0"/>
  </r>
  <r>
    <x v="0"/>
    <x v="0"/>
    <n v="0"/>
  </r>
  <r>
    <x v="0"/>
    <x v="0"/>
    <n v="0"/>
  </r>
  <r>
    <x v="0"/>
    <x v="0"/>
    <n v="0"/>
  </r>
  <r>
    <x v="0"/>
    <x v="0"/>
    <n v="0"/>
  </r>
  <r>
    <x v="0"/>
    <x v="0"/>
    <n v="0"/>
  </r>
  <r>
    <x v="1"/>
    <x v="1"/>
    <n v="0"/>
  </r>
  <r>
    <x v="1"/>
    <x v="1"/>
    <n v="0"/>
  </r>
  <r>
    <x v="1"/>
    <x v="1"/>
    <n v="0"/>
  </r>
  <r>
    <x v="0"/>
    <x v="0"/>
    <n v="0"/>
  </r>
  <r>
    <x v="0"/>
    <x v="0"/>
    <n v="0"/>
  </r>
  <r>
    <x v="0"/>
    <x v="0"/>
    <n v="0"/>
  </r>
  <r>
    <x v="0"/>
    <x v="0"/>
    <n v="0"/>
  </r>
  <r>
    <x v="0"/>
    <x v="0"/>
    <n v="0"/>
  </r>
  <r>
    <x v="1"/>
    <x v="1"/>
    <n v="0"/>
  </r>
  <r>
    <x v="1"/>
    <x v="1"/>
    <n v="0"/>
  </r>
  <r>
    <x v="1"/>
    <x v="1"/>
    <n v="0"/>
  </r>
  <r>
    <x v="0"/>
    <x v="0"/>
    <n v="0"/>
  </r>
  <r>
    <x v="1"/>
    <x v="1"/>
    <n v="0"/>
  </r>
  <r>
    <x v="0"/>
    <x v="0"/>
    <n v="0"/>
  </r>
  <r>
    <x v="1"/>
    <x v="1"/>
    <n v="0"/>
  </r>
  <r>
    <x v="0"/>
    <x v="0"/>
    <n v="0"/>
  </r>
  <r>
    <x v="1"/>
    <x v="1"/>
    <n v="0"/>
  </r>
  <r>
    <x v="1"/>
    <x v="1"/>
    <n v="0"/>
  </r>
  <r>
    <x v="0"/>
    <x v="0"/>
    <n v="0"/>
  </r>
  <r>
    <x v="1"/>
    <x v="1"/>
    <n v="0"/>
  </r>
  <r>
    <x v="1"/>
    <x v="1"/>
    <n v="0"/>
  </r>
  <r>
    <x v="0"/>
    <x v="0"/>
    <n v="0"/>
  </r>
  <r>
    <x v="0"/>
    <x v="0"/>
    <n v="0"/>
  </r>
  <r>
    <x v="0"/>
    <x v="0"/>
    <n v="0"/>
  </r>
  <r>
    <x v="1"/>
    <x v="1"/>
    <n v="0"/>
  </r>
  <r>
    <x v="1"/>
    <x v="1"/>
    <n v="0"/>
  </r>
  <r>
    <x v="0"/>
    <x v="0"/>
    <n v="0"/>
  </r>
  <r>
    <x v="1"/>
    <x v="1"/>
    <n v="0"/>
  </r>
  <r>
    <x v="1"/>
    <x v="1"/>
    <n v="0"/>
  </r>
  <r>
    <x v="0"/>
    <x v="0"/>
    <n v="0"/>
  </r>
  <r>
    <x v="0"/>
    <x v="0"/>
    <n v="1"/>
  </r>
  <r>
    <x v="1"/>
    <x v="1"/>
    <n v="0"/>
  </r>
  <r>
    <x v="1"/>
    <x v="1"/>
    <n v="0"/>
  </r>
  <r>
    <x v="0"/>
    <x v="0"/>
    <n v="0"/>
  </r>
  <r>
    <x v="0"/>
    <x v="0"/>
    <n v="0"/>
  </r>
  <r>
    <x v="1"/>
    <x v="1"/>
    <n v="0"/>
  </r>
  <r>
    <x v="0"/>
    <x v="0"/>
    <n v="0"/>
  </r>
  <r>
    <x v="1"/>
    <x v="1"/>
    <n v="0"/>
  </r>
  <r>
    <x v="1"/>
    <x v="1"/>
    <n v="0"/>
  </r>
  <r>
    <x v="0"/>
    <x v="0"/>
    <n v="0"/>
  </r>
  <r>
    <x v="0"/>
    <x v="0"/>
    <n v="0"/>
  </r>
  <r>
    <x v="1"/>
    <x v="1"/>
    <n v="0"/>
  </r>
  <r>
    <x v="0"/>
    <x v="0"/>
    <n v="0"/>
  </r>
  <r>
    <x v="1"/>
    <x v="1"/>
    <n v="0"/>
  </r>
  <r>
    <x v="0"/>
    <x v="0"/>
    <n v="0"/>
  </r>
  <r>
    <x v="1"/>
    <x v="1"/>
    <n v="0"/>
  </r>
  <r>
    <x v="1"/>
    <x v="1"/>
    <n v="0"/>
  </r>
  <r>
    <x v="1"/>
    <x v="1"/>
    <n v="0"/>
  </r>
  <r>
    <x v="0"/>
    <x v="0"/>
    <n v="0"/>
  </r>
  <r>
    <x v="1"/>
    <x v="1"/>
    <n v="0"/>
  </r>
  <r>
    <x v="1"/>
    <x v="1"/>
    <n v="0"/>
  </r>
  <r>
    <x v="0"/>
    <x v="0"/>
    <n v="0"/>
  </r>
  <r>
    <x v="1"/>
    <x v="1"/>
    <n v="0"/>
  </r>
  <r>
    <x v="0"/>
    <x v="0"/>
    <n v="0"/>
  </r>
  <r>
    <x v="1"/>
    <x v="1"/>
    <n v="0"/>
  </r>
  <r>
    <x v="1"/>
    <x v="1"/>
    <n v="0"/>
  </r>
  <r>
    <x v="0"/>
    <x v="0"/>
    <n v="0"/>
  </r>
  <r>
    <x v="0"/>
    <x v="0"/>
    <n v="0"/>
  </r>
  <r>
    <x v="1"/>
    <x v="1"/>
    <n v="0"/>
  </r>
  <r>
    <x v="1"/>
    <x v="1"/>
    <n v="0"/>
  </r>
  <r>
    <x v="1"/>
    <x v="1"/>
    <n v="0"/>
  </r>
  <r>
    <x v="1"/>
    <x v="1"/>
    <n v="1"/>
  </r>
  <r>
    <x v="1"/>
    <x v="1"/>
    <n v="0"/>
  </r>
  <r>
    <x v="1"/>
    <x v="1"/>
    <n v="0"/>
  </r>
  <r>
    <x v="0"/>
    <x v="0"/>
    <n v="0"/>
  </r>
  <r>
    <x v="0"/>
    <x v="0"/>
    <n v="0"/>
  </r>
  <r>
    <x v="1"/>
    <x v="1"/>
    <n v="0"/>
  </r>
  <r>
    <x v="1"/>
    <x v="1"/>
    <n v="0"/>
  </r>
  <r>
    <x v="1"/>
    <x v="1"/>
    <n v="0"/>
  </r>
  <r>
    <x v="1"/>
    <x v="1"/>
    <n v="0"/>
  </r>
  <r>
    <x v="0"/>
    <x v="0"/>
    <n v="0"/>
  </r>
  <r>
    <x v="1"/>
    <x v="1"/>
    <n v="0"/>
  </r>
  <r>
    <x v="0"/>
    <x v="0"/>
    <n v="0"/>
  </r>
  <r>
    <x v="1"/>
    <x v="1"/>
    <n v="0"/>
  </r>
  <r>
    <x v="1"/>
    <x v="1"/>
    <n v="0"/>
  </r>
  <r>
    <x v="1"/>
    <x v="1"/>
    <n v="0"/>
  </r>
  <r>
    <x v="0"/>
    <x v="0"/>
    <n v="0"/>
  </r>
  <r>
    <x v="1"/>
    <x v="1"/>
    <n v="0"/>
  </r>
  <r>
    <x v="0"/>
    <x v="0"/>
    <n v="0"/>
  </r>
  <r>
    <x v="1"/>
    <x v="1"/>
    <n v="0"/>
  </r>
  <r>
    <x v="0"/>
    <x v="0"/>
    <n v="0"/>
  </r>
  <r>
    <x v="1"/>
    <x v="1"/>
    <n v="0"/>
  </r>
  <r>
    <x v="0"/>
    <x v="0"/>
    <n v="0"/>
  </r>
  <r>
    <x v="0"/>
    <x v="0"/>
    <n v="0"/>
  </r>
  <r>
    <x v="0"/>
    <x v="0"/>
    <n v="0"/>
  </r>
  <r>
    <x v="0"/>
    <x v="0"/>
    <n v="0"/>
  </r>
  <r>
    <x v="0"/>
    <x v="0"/>
    <n v="0"/>
  </r>
  <r>
    <x v="0"/>
    <x v="0"/>
    <n v="0"/>
  </r>
  <r>
    <x v="1"/>
    <x v="1"/>
    <n v="0"/>
  </r>
  <r>
    <x v="0"/>
    <x v="0"/>
    <n v="0"/>
  </r>
  <r>
    <x v="1"/>
    <x v="1"/>
    <n v="0"/>
  </r>
  <r>
    <x v="0"/>
    <x v="0"/>
    <n v="0"/>
  </r>
  <r>
    <x v="1"/>
    <x v="1"/>
    <n v="0"/>
  </r>
  <r>
    <x v="0"/>
    <x v="0"/>
    <n v="0"/>
  </r>
  <r>
    <x v="0"/>
    <x v="0"/>
    <n v="0"/>
  </r>
  <r>
    <x v="1"/>
    <x v="1"/>
    <n v="0"/>
  </r>
  <r>
    <x v="0"/>
    <x v="0"/>
    <n v="0"/>
  </r>
  <r>
    <x v="0"/>
    <x v="0"/>
    <n v="0"/>
  </r>
  <r>
    <x v="0"/>
    <x v="0"/>
    <n v="0"/>
  </r>
  <r>
    <x v="0"/>
    <x v="0"/>
    <n v="0"/>
  </r>
  <r>
    <x v="0"/>
    <x v="0"/>
    <n v="0"/>
  </r>
  <r>
    <x v="1"/>
    <x v="1"/>
    <n v="0"/>
  </r>
  <r>
    <x v="1"/>
    <x v="1"/>
    <n v="0"/>
  </r>
  <r>
    <x v="0"/>
    <x v="0"/>
    <n v="0"/>
  </r>
  <r>
    <x v="1"/>
    <x v="1"/>
    <n v="0"/>
  </r>
  <r>
    <x v="1"/>
    <x v="1"/>
    <n v="0"/>
  </r>
  <r>
    <x v="1"/>
    <x v="1"/>
    <n v="0"/>
  </r>
  <r>
    <x v="0"/>
    <x v="0"/>
    <n v="0"/>
  </r>
  <r>
    <x v="0"/>
    <x v="0"/>
    <n v="0"/>
  </r>
  <r>
    <x v="1"/>
    <x v="1"/>
    <n v="0"/>
  </r>
  <r>
    <x v="1"/>
    <x v="1"/>
    <n v="0"/>
  </r>
  <r>
    <x v="1"/>
    <x v="1"/>
    <n v="0"/>
  </r>
  <r>
    <x v="1"/>
    <x v="1"/>
    <n v="0"/>
  </r>
  <r>
    <x v="0"/>
    <x v="0"/>
    <n v="0"/>
  </r>
  <r>
    <x v="0"/>
    <x v="0"/>
    <n v="0"/>
  </r>
  <r>
    <x v="0"/>
    <x v="0"/>
    <n v="0"/>
  </r>
  <r>
    <x v="0"/>
    <x v="0"/>
    <n v="0"/>
  </r>
  <r>
    <x v="0"/>
    <x v="0"/>
    <n v="0"/>
  </r>
  <r>
    <x v="0"/>
    <x v="0"/>
    <n v="0"/>
  </r>
  <r>
    <x v="0"/>
    <x v="0"/>
    <n v="0"/>
  </r>
  <r>
    <x v="1"/>
    <x v="1"/>
    <n v="1"/>
  </r>
  <r>
    <x v="0"/>
    <x v="0"/>
    <n v="0"/>
  </r>
  <r>
    <x v="0"/>
    <x v="0"/>
    <n v="0"/>
  </r>
  <r>
    <x v="0"/>
    <x v="0"/>
    <n v="0"/>
  </r>
  <r>
    <x v="1"/>
    <x v="1"/>
    <n v="0"/>
  </r>
  <r>
    <x v="1"/>
    <x v="1"/>
    <n v="0"/>
  </r>
  <r>
    <x v="1"/>
    <x v="1"/>
    <n v="0"/>
  </r>
  <r>
    <x v="0"/>
    <x v="0"/>
    <n v="0"/>
  </r>
  <r>
    <x v="0"/>
    <x v="0"/>
    <n v="0"/>
  </r>
  <r>
    <x v="1"/>
    <x v="1"/>
    <n v="0"/>
  </r>
  <r>
    <x v="1"/>
    <x v="1"/>
    <n v="0"/>
  </r>
  <r>
    <x v="0"/>
    <x v="0"/>
    <n v="0"/>
  </r>
  <r>
    <x v="0"/>
    <x v="0"/>
    <n v="0"/>
  </r>
  <r>
    <x v="0"/>
    <x v="0"/>
    <n v="0"/>
  </r>
  <r>
    <x v="1"/>
    <x v="1"/>
    <n v="1"/>
  </r>
  <r>
    <x v="1"/>
    <x v="1"/>
    <n v="0"/>
  </r>
  <r>
    <x v="1"/>
    <x v="1"/>
    <n v="0"/>
  </r>
  <r>
    <x v="1"/>
    <x v="1"/>
    <n v="0"/>
  </r>
  <r>
    <x v="1"/>
    <x v="1"/>
    <n v="0"/>
  </r>
  <r>
    <x v="1"/>
    <x v="1"/>
    <n v="0"/>
  </r>
  <r>
    <x v="0"/>
    <x v="0"/>
    <n v="0"/>
  </r>
  <r>
    <x v="1"/>
    <x v="1"/>
    <n v="0"/>
  </r>
  <r>
    <x v="0"/>
    <x v="0"/>
    <n v="0"/>
  </r>
  <r>
    <x v="0"/>
    <x v="0"/>
    <n v="0"/>
  </r>
  <r>
    <x v="1"/>
    <x v="1"/>
    <n v="0"/>
  </r>
  <r>
    <x v="0"/>
    <x v="0"/>
    <n v="0"/>
  </r>
  <r>
    <x v="0"/>
    <x v="0"/>
    <n v="0"/>
  </r>
  <r>
    <x v="1"/>
    <x v="1"/>
    <n v="0"/>
  </r>
  <r>
    <x v="0"/>
    <x v="0"/>
    <n v="0"/>
  </r>
  <r>
    <x v="0"/>
    <x v="0"/>
    <n v="0"/>
  </r>
  <r>
    <x v="0"/>
    <x v="0"/>
    <n v="0"/>
  </r>
  <r>
    <x v="0"/>
    <x v="0"/>
    <n v="0"/>
  </r>
  <r>
    <x v="1"/>
    <x v="1"/>
    <n v="0"/>
  </r>
  <r>
    <x v="1"/>
    <x v="1"/>
    <n v="0"/>
  </r>
  <r>
    <x v="1"/>
    <x v="1"/>
    <n v="0"/>
  </r>
  <r>
    <x v="1"/>
    <x v="1"/>
    <n v="0"/>
  </r>
  <r>
    <x v="0"/>
    <x v="0"/>
    <n v="0"/>
  </r>
  <r>
    <x v="1"/>
    <x v="1"/>
    <n v="0"/>
  </r>
  <r>
    <x v="0"/>
    <x v="0"/>
    <n v="0"/>
  </r>
  <r>
    <x v="1"/>
    <x v="1"/>
    <n v="0"/>
  </r>
  <r>
    <x v="1"/>
    <x v="1"/>
    <n v="0"/>
  </r>
  <r>
    <x v="0"/>
    <x v="0"/>
    <n v="0"/>
  </r>
  <r>
    <x v="1"/>
    <x v="1"/>
    <n v="0"/>
  </r>
  <r>
    <x v="0"/>
    <x v="0"/>
    <n v="0"/>
  </r>
  <r>
    <x v="1"/>
    <x v="1"/>
    <n v="0"/>
  </r>
  <r>
    <x v="0"/>
    <x v="0"/>
    <n v="0"/>
  </r>
  <r>
    <x v="1"/>
    <x v="1"/>
    <n v="0"/>
  </r>
  <r>
    <x v="1"/>
    <x v="1"/>
    <n v="0"/>
  </r>
  <r>
    <x v="0"/>
    <x v="0"/>
    <n v="0"/>
  </r>
  <r>
    <x v="1"/>
    <x v="1"/>
    <n v="0"/>
  </r>
  <r>
    <x v="0"/>
    <x v="0"/>
    <n v="0"/>
  </r>
  <r>
    <x v="1"/>
    <x v="1"/>
    <n v="0"/>
  </r>
  <r>
    <x v="0"/>
    <x v="0"/>
    <n v="0"/>
  </r>
  <r>
    <x v="0"/>
    <x v="0"/>
    <n v="0"/>
  </r>
  <r>
    <x v="1"/>
    <x v="1"/>
    <n v="0"/>
  </r>
  <r>
    <x v="0"/>
    <x v="0"/>
    <n v="0"/>
  </r>
  <r>
    <x v="0"/>
    <x v="0"/>
    <n v="0"/>
  </r>
  <r>
    <x v="1"/>
    <x v="1"/>
    <n v="0"/>
  </r>
  <r>
    <x v="1"/>
    <x v="1"/>
    <n v="0"/>
  </r>
  <r>
    <x v="0"/>
    <x v="0"/>
    <n v="0"/>
  </r>
  <r>
    <x v="1"/>
    <x v="1"/>
    <n v="0"/>
  </r>
  <r>
    <x v="0"/>
    <x v="0"/>
    <n v="0"/>
  </r>
  <r>
    <x v="1"/>
    <x v="1"/>
    <n v="0"/>
  </r>
  <r>
    <x v="1"/>
    <x v="1"/>
    <n v="0"/>
  </r>
  <r>
    <x v="0"/>
    <x v="0"/>
    <n v="0"/>
  </r>
  <r>
    <x v="0"/>
    <x v="0"/>
    <n v="0"/>
  </r>
  <r>
    <x v="1"/>
    <x v="1"/>
    <n v="0"/>
  </r>
  <r>
    <x v="0"/>
    <x v="0"/>
    <n v="0"/>
  </r>
  <r>
    <x v="1"/>
    <x v="1"/>
    <n v="0"/>
  </r>
  <r>
    <x v="0"/>
    <x v="0"/>
    <n v="0"/>
  </r>
  <r>
    <x v="0"/>
    <x v="0"/>
    <n v="0"/>
  </r>
  <r>
    <x v="0"/>
    <x v="0"/>
    <n v="0"/>
  </r>
  <r>
    <x v="0"/>
    <x v="0"/>
    <n v="0"/>
  </r>
  <r>
    <x v="1"/>
    <x v="1"/>
    <n v="0"/>
  </r>
  <r>
    <x v="0"/>
    <x v="0"/>
    <n v="0"/>
  </r>
  <r>
    <x v="0"/>
    <x v="0"/>
    <n v="0"/>
  </r>
  <r>
    <x v="1"/>
    <x v="1"/>
    <n v="0"/>
  </r>
  <r>
    <x v="1"/>
    <x v="1"/>
    <n v="0"/>
  </r>
  <r>
    <x v="1"/>
    <x v="1"/>
    <n v="0"/>
  </r>
  <r>
    <x v="0"/>
    <x v="0"/>
    <n v="0"/>
  </r>
  <r>
    <x v="0"/>
    <x v="0"/>
    <n v="0"/>
  </r>
  <r>
    <x v="0"/>
    <x v="0"/>
    <n v="0"/>
  </r>
  <r>
    <x v="0"/>
    <x v="0"/>
    <n v="0"/>
  </r>
  <r>
    <x v="1"/>
    <x v="1"/>
    <n v="0"/>
  </r>
  <r>
    <x v="0"/>
    <x v="0"/>
    <n v="0"/>
  </r>
  <r>
    <x v="0"/>
    <x v="0"/>
    <n v="0"/>
  </r>
  <r>
    <x v="0"/>
    <x v="0"/>
    <n v="0"/>
  </r>
  <r>
    <x v="0"/>
    <x v="0"/>
    <n v="0"/>
  </r>
  <r>
    <x v="0"/>
    <x v="0"/>
    <n v="0"/>
  </r>
  <r>
    <x v="0"/>
    <x v="0"/>
    <n v="0"/>
  </r>
  <r>
    <x v="1"/>
    <x v="1"/>
    <n v="0"/>
  </r>
  <r>
    <x v="0"/>
    <x v="0"/>
    <n v="0"/>
  </r>
  <r>
    <x v="0"/>
    <x v="0"/>
    <n v="0"/>
  </r>
  <r>
    <x v="0"/>
    <x v="0"/>
    <n v="0"/>
  </r>
  <r>
    <x v="1"/>
    <x v="1"/>
    <n v="0"/>
  </r>
  <r>
    <x v="0"/>
    <x v="0"/>
    <n v="0"/>
  </r>
  <r>
    <x v="1"/>
    <x v="1"/>
    <n v="0"/>
  </r>
  <r>
    <x v="1"/>
    <x v="1"/>
    <n v="0"/>
  </r>
  <r>
    <x v="1"/>
    <x v="1"/>
    <n v="0"/>
  </r>
  <r>
    <x v="1"/>
    <x v="1"/>
    <n v="0"/>
  </r>
  <r>
    <x v="0"/>
    <x v="0"/>
    <n v="0"/>
  </r>
  <r>
    <x v="1"/>
    <x v="1"/>
    <n v="0"/>
  </r>
  <r>
    <x v="1"/>
    <x v="1"/>
    <n v="0"/>
  </r>
  <r>
    <x v="0"/>
    <x v="0"/>
    <n v="0"/>
  </r>
  <r>
    <x v="0"/>
    <x v="0"/>
    <n v="0"/>
  </r>
  <r>
    <x v="0"/>
    <x v="0"/>
    <n v="0"/>
  </r>
  <r>
    <x v="1"/>
    <x v="1"/>
    <n v="0"/>
  </r>
  <r>
    <x v="0"/>
    <x v="0"/>
    <n v="0"/>
  </r>
  <r>
    <x v="0"/>
    <x v="0"/>
    <n v="0"/>
  </r>
  <r>
    <x v="0"/>
    <x v="0"/>
    <n v="0"/>
  </r>
  <r>
    <x v="1"/>
    <x v="1"/>
    <n v="0"/>
  </r>
  <r>
    <x v="0"/>
    <x v="0"/>
    <n v="0"/>
  </r>
  <r>
    <x v="0"/>
    <x v="0"/>
    <n v="0"/>
  </r>
  <r>
    <x v="0"/>
    <x v="0"/>
    <n v="0"/>
  </r>
  <r>
    <x v="1"/>
    <x v="1"/>
    <n v="0"/>
  </r>
  <r>
    <x v="1"/>
    <x v="1"/>
    <n v="0"/>
  </r>
  <r>
    <x v="0"/>
    <x v="0"/>
    <n v="0"/>
  </r>
  <r>
    <x v="0"/>
    <x v="0"/>
    <n v="0"/>
  </r>
  <r>
    <x v="0"/>
    <x v="0"/>
    <n v="0"/>
  </r>
  <r>
    <x v="0"/>
    <x v="0"/>
    <n v="0"/>
  </r>
  <r>
    <x v="0"/>
    <x v="0"/>
    <n v="0"/>
  </r>
  <r>
    <x v="0"/>
    <x v="0"/>
    <n v="0"/>
  </r>
  <r>
    <x v="0"/>
    <x v="0"/>
    <n v="0"/>
  </r>
  <r>
    <x v="0"/>
    <x v="0"/>
    <n v="0"/>
  </r>
  <r>
    <x v="1"/>
    <x v="1"/>
    <n v="0"/>
  </r>
  <r>
    <x v="0"/>
    <x v="0"/>
    <n v="0"/>
  </r>
  <r>
    <x v="1"/>
    <x v="1"/>
    <n v="0"/>
  </r>
  <r>
    <x v="0"/>
    <x v="0"/>
    <n v="0"/>
  </r>
  <r>
    <x v="0"/>
    <x v="0"/>
    <n v="0"/>
  </r>
  <r>
    <x v="1"/>
    <x v="1"/>
    <n v="0"/>
  </r>
  <r>
    <x v="1"/>
    <x v="1"/>
    <n v="0"/>
  </r>
  <r>
    <x v="0"/>
    <x v="0"/>
    <n v="0"/>
  </r>
  <r>
    <x v="1"/>
    <x v="1"/>
    <n v="0"/>
  </r>
  <r>
    <x v="0"/>
    <x v="0"/>
    <n v="0"/>
  </r>
  <r>
    <x v="1"/>
    <x v="1"/>
    <n v="0"/>
  </r>
  <r>
    <x v="0"/>
    <x v="0"/>
    <n v="0"/>
  </r>
  <r>
    <x v="0"/>
    <x v="0"/>
    <n v="0"/>
  </r>
  <r>
    <x v="0"/>
    <x v="0"/>
    <n v="0"/>
  </r>
  <r>
    <x v="0"/>
    <x v="0"/>
    <n v="0"/>
  </r>
  <r>
    <x v="0"/>
    <x v="0"/>
    <n v="0"/>
  </r>
  <r>
    <x v="1"/>
    <x v="1"/>
    <n v="0"/>
  </r>
  <r>
    <x v="0"/>
    <x v="0"/>
    <n v="0"/>
  </r>
  <r>
    <x v="0"/>
    <x v="0"/>
    <n v="0"/>
  </r>
  <r>
    <x v="0"/>
    <x v="0"/>
    <n v="0"/>
  </r>
  <r>
    <x v="0"/>
    <x v="0"/>
    <n v="0"/>
  </r>
  <r>
    <x v="1"/>
    <x v="1"/>
    <n v="0"/>
  </r>
  <r>
    <x v="0"/>
    <x v="0"/>
    <n v="0"/>
  </r>
  <r>
    <x v="1"/>
    <x v="1"/>
    <n v="0"/>
  </r>
  <r>
    <x v="1"/>
    <x v="1"/>
    <n v="0"/>
  </r>
  <r>
    <x v="0"/>
    <x v="0"/>
    <n v="0"/>
  </r>
  <r>
    <x v="1"/>
    <x v="1"/>
    <n v="0"/>
  </r>
  <r>
    <x v="1"/>
    <x v="1"/>
    <n v="0"/>
  </r>
  <r>
    <x v="0"/>
    <x v="0"/>
    <n v="0"/>
  </r>
  <r>
    <x v="1"/>
    <x v="1"/>
    <n v="0"/>
  </r>
  <r>
    <x v="0"/>
    <x v="0"/>
    <n v="0"/>
  </r>
  <r>
    <x v="0"/>
    <x v="0"/>
    <n v="0"/>
  </r>
  <r>
    <x v="1"/>
    <x v="1"/>
    <n v="0"/>
  </r>
  <r>
    <x v="0"/>
    <x v="0"/>
    <n v="0"/>
  </r>
  <r>
    <x v="0"/>
    <x v="0"/>
    <n v="0"/>
  </r>
  <r>
    <x v="1"/>
    <x v="1"/>
    <n v="0"/>
  </r>
  <r>
    <x v="1"/>
    <x v="1"/>
    <n v="0"/>
  </r>
  <r>
    <x v="1"/>
    <x v="1"/>
    <n v="0"/>
  </r>
  <r>
    <x v="0"/>
    <x v="0"/>
    <n v="0"/>
  </r>
  <r>
    <x v="1"/>
    <x v="1"/>
    <n v="0"/>
  </r>
  <r>
    <x v="0"/>
    <x v="0"/>
    <n v="0"/>
  </r>
  <r>
    <x v="0"/>
    <x v="0"/>
    <n v="0"/>
  </r>
  <r>
    <x v="1"/>
    <x v="1"/>
    <n v="0"/>
  </r>
  <r>
    <x v="0"/>
    <x v="0"/>
    <n v="0"/>
  </r>
  <r>
    <x v="0"/>
    <x v="0"/>
    <n v="0"/>
  </r>
  <r>
    <x v="0"/>
    <x v="0"/>
    <n v="0"/>
  </r>
  <r>
    <x v="1"/>
    <x v="1"/>
    <n v="0"/>
  </r>
  <r>
    <x v="1"/>
    <x v="1"/>
    <n v="0"/>
  </r>
  <r>
    <x v="1"/>
    <x v="1"/>
    <n v="0"/>
  </r>
  <r>
    <x v="1"/>
    <x v="1"/>
    <n v="0"/>
  </r>
  <r>
    <x v="1"/>
    <x v="1"/>
    <n v="0"/>
  </r>
  <r>
    <x v="0"/>
    <x v="0"/>
    <n v="0"/>
  </r>
  <r>
    <x v="0"/>
    <x v="0"/>
    <n v="0"/>
  </r>
  <r>
    <x v="0"/>
    <x v="0"/>
    <n v="0"/>
  </r>
  <r>
    <x v="0"/>
    <x v="0"/>
    <n v="0"/>
  </r>
  <r>
    <x v="1"/>
    <x v="1"/>
    <n v="0"/>
  </r>
  <r>
    <x v="1"/>
    <x v="1"/>
    <n v="0"/>
  </r>
  <r>
    <x v="1"/>
    <x v="1"/>
    <n v="0"/>
  </r>
  <r>
    <x v="0"/>
    <x v="0"/>
    <n v="0"/>
  </r>
  <r>
    <x v="0"/>
    <x v="0"/>
    <n v="0"/>
  </r>
  <r>
    <x v="1"/>
    <x v="1"/>
    <n v="0"/>
  </r>
  <r>
    <x v="1"/>
    <x v="1"/>
    <n v="0"/>
  </r>
  <r>
    <x v="0"/>
    <x v="0"/>
    <n v="0"/>
  </r>
  <r>
    <x v="0"/>
    <x v="0"/>
    <n v="0"/>
  </r>
  <r>
    <x v="0"/>
    <x v="0"/>
    <n v="0"/>
  </r>
  <r>
    <x v="1"/>
    <x v="1"/>
    <n v="0"/>
  </r>
  <r>
    <x v="1"/>
    <x v="1"/>
    <n v="0"/>
  </r>
  <r>
    <x v="0"/>
    <x v="0"/>
    <n v="0"/>
  </r>
  <r>
    <x v="1"/>
    <x v="1"/>
    <n v="0"/>
  </r>
  <r>
    <x v="1"/>
    <x v="1"/>
    <n v="0"/>
  </r>
  <r>
    <x v="0"/>
    <x v="0"/>
    <n v="0"/>
  </r>
  <r>
    <x v="0"/>
    <x v="0"/>
    <n v="0"/>
  </r>
  <r>
    <x v="1"/>
    <x v="1"/>
    <n v="0"/>
  </r>
  <r>
    <x v="1"/>
    <x v="1"/>
    <n v="0"/>
  </r>
  <r>
    <x v="1"/>
    <x v="1"/>
    <n v="0"/>
  </r>
  <r>
    <x v="0"/>
    <x v="0"/>
    <n v="0"/>
  </r>
  <r>
    <x v="1"/>
    <x v="1"/>
    <n v="0"/>
  </r>
  <r>
    <x v="0"/>
    <x v="0"/>
    <n v="0"/>
  </r>
  <r>
    <x v="0"/>
    <x v="0"/>
    <n v="0"/>
  </r>
  <r>
    <x v="0"/>
    <x v="0"/>
    <n v="0"/>
  </r>
  <r>
    <x v="0"/>
    <x v="0"/>
    <n v="0"/>
  </r>
  <r>
    <x v="1"/>
    <x v="1"/>
    <n v="0"/>
  </r>
  <r>
    <x v="1"/>
    <x v="1"/>
    <n v="0"/>
  </r>
  <r>
    <x v="0"/>
    <x v="0"/>
    <n v="0"/>
  </r>
  <r>
    <x v="1"/>
    <x v="1"/>
    <n v="0"/>
  </r>
  <r>
    <x v="0"/>
    <x v="0"/>
    <n v="0"/>
  </r>
  <r>
    <x v="0"/>
    <x v="0"/>
    <n v="0"/>
  </r>
  <r>
    <x v="1"/>
    <x v="1"/>
    <n v="0"/>
  </r>
  <r>
    <x v="1"/>
    <x v="1"/>
    <n v="0"/>
  </r>
  <r>
    <x v="1"/>
    <x v="1"/>
    <n v="0"/>
  </r>
  <r>
    <x v="0"/>
    <x v="0"/>
    <n v="1"/>
  </r>
  <r>
    <x v="0"/>
    <x v="0"/>
    <n v="0"/>
  </r>
  <r>
    <x v="0"/>
    <x v="0"/>
    <n v="0"/>
  </r>
  <r>
    <x v="1"/>
    <x v="1"/>
    <n v="0"/>
  </r>
  <r>
    <x v="1"/>
    <x v="1"/>
    <n v="0"/>
  </r>
  <r>
    <x v="0"/>
    <x v="0"/>
    <n v="0"/>
  </r>
  <r>
    <x v="0"/>
    <x v="0"/>
    <n v="0"/>
  </r>
  <r>
    <x v="1"/>
    <x v="1"/>
    <n v="0"/>
  </r>
  <r>
    <x v="0"/>
    <x v="0"/>
    <n v="0"/>
  </r>
  <r>
    <x v="1"/>
    <x v="1"/>
    <n v="0"/>
  </r>
  <r>
    <x v="0"/>
    <x v="0"/>
    <n v="0"/>
  </r>
  <r>
    <x v="0"/>
    <x v="0"/>
    <n v="0"/>
  </r>
  <r>
    <x v="1"/>
    <x v="1"/>
    <n v="0"/>
  </r>
  <r>
    <x v="1"/>
    <x v="1"/>
    <n v="0"/>
  </r>
  <r>
    <x v="1"/>
    <x v="1"/>
    <n v="0"/>
  </r>
  <r>
    <x v="1"/>
    <x v="1"/>
    <n v="0"/>
  </r>
  <r>
    <x v="0"/>
    <x v="0"/>
    <n v="0"/>
  </r>
  <r>
    <x v="0"/>
    <x v="0"/>
    <n v="0"/>
  </r>
  <r>
    <x v="0"/>
    <x v="0"/>
    <n v="0"/>
  </r>
  <r>
    <x v="0"/>
    <x v="0"/>
    <n v="0"/>
  </r>
  <r>
    <x v="1"/>
    <x v="1"/>
    <n v="0"/>
  </r>
  <r>
    <x v="0"/>
    <x v="0"/>
    <n v="0"/>
  </r>
  <r>
    <x v="1"/>
    <x v="1"/>
    <n v="0"/>
  </r>
  <r>
    <x v="1"/>
    <x v="1"/>
    <n v="0"/>
  </r>
  <r>
    <x v="0"/>
    <x v="0"/>
    <n v="0"/>
  </r>
  <r>
    <x v="0"/>
    <x v="0"/>
    <n v="0"/>
  </r>
  <r>
    <x v="0"/>
    <x v="0"/>
    <n v="0"/>
  </r>
  <r>
    <x v="0"/>
    <x v="0"/>
    <n v="0"/>
  </r>
  <r>
    <x v="0"/>
    <x v="0"/>
    <n v="0"/>
  </r>
  <r>
    <x v="1"/>
    <x v="1"/>
    <n v="0"/>
  </r>
  <r>
    <x v="0"/>
    <x v="0"/>
    <n v="0"/>
  </r>
  <r>
    <x v="1"/>
    <x v="1"/>
    <n v="0"/>
  </r>
  <r>
    <x v="0"/>
    <x v="0"/>
    <n v="0"/>
  </r>
  <r>
    <x v="1"/>
    <x v="1"/>
    <n v="0"/>
  </r>
  <r>
    <x v="0"/>
    <x v="0"/>
    <n v="0"/>
  </r>
  <r>
    <x v="0"/>
    <x v="0"/>
    <n v="0"/>
  </r>
  <r>
    <x v="1"/>
    <x v="1"/>
    <n v="0"/>
  </r>
  <r>
    <x v="0"/>
    <x v="0"/>
    <n v="0"/>
  </r>
  <r>
    <x v="0"/>
    <x v="0"/>
    <n v="0"/>
  </r>
  <r>
    <x v="0"/>
    <x v="0"/>
    <n v="0"/>
  </r>
  <r>
    <x v="1"/>
    <x v="1"/>
    <n v="0"/>
  </r>
  <r>
    <x v="1"/>
    <x v="1"/>
    <n v="0"/>
  </r>
  <r>
    <x v="1"/>
    <x v="1"/>
    <n v="0"/>
  </r>
  <r>
    <x v="1"/>
    <x v="1"/>
    <n v="0"/>
  </r>
  <r>
    <x v="0"/>
    <x v="0"/>
    <n v="0"/>
  </r>
  <r>
    <x v="0"/>
    <x v="0"/>
    <n v="0"/>
  </r>
  <r>
    <x v="1"/>
    <x v="1"/>
    <n v="0"/>
  </r>
  <r>
    <x v="0"/>
    <x v="0"/>
    <n v="1"/>
  </r>
  <r>
    <x v="0"/>
    <x v="0"/>
    <n v="0"/>
  </r>
  <r>
    <x v="1"/>
    <x v="1"/>
    <n v="0"/>
  </r>
  <r>
    <x v="0"/>
    <x v="0"/>
    <n v="0"/>
  </r>
  <r>
    <x v="1"/>
    <x v="1"/>
    <n v="0"/>
  </r>
  <r>
    <x v="0"/>
    <x v="0"/>
    <n v="0"/>
  </r>
  <r>
    <x v="0"/>
    <x v="0"/>
    <n v="0"/>
  </r>
  <r>
    <x v="1"/>
    <x v="1"/>
    <n v="0"/>
  </r>
  <r>
    <x v="0"/>
    <x v="0"/>
    <n v="0"/>
  </r>
  <r>
    <x v="0"/>
    <x v="0"/>
    <n v="0"/>
  </r>
  <r>
    <x v="1"/>
    <x v="1"/>
    <n v="0"/>
  </r>
  <r>
    <x v="1"/>
    <x v="1"/>
    <n v="0"/>
  </r>
  <r>
    <x v="0"/>
    <x v="0"/>
    <n v="0"/>
  </r>
  <r>
    <x v="0"/>
    <x v="0"/>
    <n v="0"/>
  </r>
  <r>
    <x v="1"/>
    <x v="1"/>
    <n v="0"/>
  </r>
  <r>
    <x v="1"/>
    <x v="1"/>
    <n v="0"/>
  </r>
  <r>
    <x v="0"/>
    <x v="0"/>
    <n v="0"/>
  </r>
  <r>
    <x v="1"/>
    <x v="1"/>
    <n v="0"/>
  </r>
  <r>
    <x v="0"/>
    <x v="0"/>
    <n v="0"/>
  </r>
  <r>
    <x v="1"/>
    <x v="1"/>
    <n v="0"/>
  </r>
  <r>
    <x v="1"/>
    <x v="1"/>
    <n v="0"/>
  </r>
  <r>
    <x v="0"/>
    <x v="0"/>
    <n v="0"/>
  </r>
  <r>
    <x v="1"/>
    <x v="1"/>
    <n v="0"/>
  </r>
  <r>
    <x v="0"/>
    <x v="0"/>
    <n v="0"/>
  </r>
  <r>
    <x v="0"/>
    <x v="0"/>
    <n v="0"/>
  </r>
  <r>
    <x v="1"/>
    <x v="1"/>
    <n v="0"/>
  </r>
  <r>
    <x v="1"/>
    <x v="1"/>
    <n v="0"/>
  </r>
  <r>
    <x v="0"/>
    <x v="0"/>
    <n v="0"/>
  </r>
  <r>
    <x v="0"/>
    <x v="0"/>
    <n v="0"/>
  </r>
  <r>
    <x v="0"/>
    <x v="0"/>
    <n v="0"/>
  </r>
  <r>
    <x v="0"/>
    <x v="0"/>
    <n v="0"/>
  </r>
  <r>
    <x v="0"/>
    <x v="0"/>
    <n v="0"/>
  </r>
  <r>
    <x v="1"/>
    <x v="1"/>
    <n v="0"/>
  </r>
  <r>
    <x v="0"/>
    <x v="0"/>
    <n v="0"/>
  </r>
  <r>
    <x v="1"/>
    <x v="1"/>
    <n v="0"/>
  </r>
  <r>
    <x v="0"/>
    <x v="0"/>
    <n v="0"/>
  </r>
  <r>
    <x v="0"/>
    <x v="0"/>
    <n v="0"/>
  </r>
  <r>
    <x v="0"/>
    <x v="0"/>
    <n v="0"/>
  </r>
  <r>
    <x v="1"/>
    <x v="1"/>
    <n v="1"/>
  </r>
  <r>
    <x v="1"/>
    <x v="1"/>
    <n v="0"/>
  </r>
  <r>
    <x v="0"/>
    <x v="0"/>
    <n v="0"/>
  </r>
  <r>
    <x v="1"/>
    <x v="1"/>
    <n v="0"/>
  </r>
  <r>
    <x v="1"/>
    <x v="1"/>
    <n v="0"/>
  </r>
  <r>
    <x v="1"/>
    <x v="1"/>
    <n v="0"/>
  </r>
  <r>
    <x v="0"/>
    <x v="0"/>
    <n v="0"/>
  </r>
  <r>
    <x v="1"/>
    <x v="1"/>
    <n v="0"/>
  </r>
  <r>
    <x v="1"/>
    <x v="1"/>
    <n v="0"/>
  </r>
  <r>
    <x v="0"/>
    <x v="0"/>
    <n v="0"/>
  </r>
  <r>
    <x v="1"/>
    <x v="1"/>
    <n v="0"/>
  </r>
  <r>
    <x v="0"/>
    <x v="0"/>
    <n v="0"/>
  </r>
  <r>
    <x v="1"/>
    <x v="1"/>
    <n v="0"/>
  </r>
  <r>
    <x v="0"/>
    <x v="0"/>
    <n v="0"/>
  </r>
  <r>
    <x v="0"/>
    <x v="0"/>
    <n v="0"/>
  </r>
  <r>
    <x v="1"/>
    <x v="1"/>
    <n v="0"/>
  </r>
  <r>
    <x v="0"/>
    <x v="0"/>
    <n v="0"/>
  </r>
  <r>
    <x v="1"/>
    <x v="1"/>
    <n v="0"/>
  </r>
  <r>
    <x v="0"/>
    <x v="0"/>
    <n v="0"/>
  </r>
  <r>
    <x v="1"/>
    <x v="1"/>
    <n v="0"/>
  </r>
  <r>
    <x v="1"/>
    <x v="1"/>
    <n v="0"/>
  </r>
  <r>
    <x v="0"/>
    <x v="0"/>
    <n v="0"/>
  </r>
  <r>
    <x v="1"/>
    <x v="1"/>
    <n v="0"/>
  </r>
  <r>
    <x v="1"/>
    <x v="1"/>
    <n v="0"/>
  </r>
  <r>
    <x v="1"/>
    <x v="1"/>
    <n v="0"/>
  </r>
  <r>
    <x v="0"/>
    <x v="0"/>
    <n v="0"/>
  </r>
  <r>
    <x v="0"/>
    <x v="0"/>
    <n v="0"/>
  </r>
  <r>
    <x v="0"/>
    <x v="0"/>
    <n v="0"/>
  </r>
  <r>
    <x v="0"/>
    <x v="0"/>
    <n v="0"/>
  </r>
  <r>
    <x v="0"/>
    <x v="0"/>
    <n v="0"/>
  </r>
  <r>
    <x v="0"/>
    <x v="0"/>
    <n v="0"/>
  </r>
  <r>
    <x v="1"/>
    <x v="1"/>
    <n v="0"/>
  </r>
  <r>
    <x v="0"/>
    <x v="0"/>
    <n v="0"/>
  </r>
  <r>
    <x v="0"/>
    <x v="0"/>
    <n v="0"/>
  </r>
  <r>
    <x v="1"/>
    <x v="1"/>
    <n v="0"/>
  </r>
  <r>
    <x v="0"/>
    <x v="0"/>
    <n v="0"/>
  </r>
  <r>
    <x v="0"/>
    <x v="0"/>
    <n v="0"/>
  </r>
  <r>
    <x v="0"/>
    <x v="0"/>
    <n v="0"/>
  </r>
  <r>
    <x v="0"/>
    <x v="0"/>
    <n v="0"/>
  </r>
  <r>
    <x v="0"/>
    <x v="0"/>
    <n v="0"/>
  </r>
  <r>
    <x v="1"/>
    <x v="1"/>
    <n v="0"/>
  </r>
  <r>
    <x v="1"/>
    <x v="1"/>
    <n v="0"/>
  </r>
  <r>
    <x v="0"/>
    <x v="0"/>
    <n v="0"/>
  </r>
  <r>
    <x v="1"/>
    <x v="1"/>
    <n v="0"/>
  </r>
  <r>
    <x v="0"/>
    <x v="0"/>
    <n v="0"/>
  </r>
  <r>
    <x v="0"/>
    <x v="0"/>
    <n v="0"/>
  </r>
  <r>
    <x v="0"/>
    <x v="0"/>
    <n v="0"/>
  </r>
  <r>
    <x v="1"/>
    <x v="1"/>
    <n v="0"/>
  </r>
  <r>
    <x v="0"/>
    <x v="0"/>
    <n v="0"/>
  </r>
  <r>
    <x v="1"/>
    <x v="1"/>
    <n v="0"/>
  </r>
  <r>
    <x v="0"/>
    <x v="0"/>
    <n v="0"/>
  </r>
  <r>
    <x v="0"/>
    <x v="0"/>
    <n v="0"/>
  </r>
  <r>
    <x v="0"/>
    <x v="0"/>
    <n v="0"/>
  </r>
  <r>
    <x v="0"/>
    <x v="0"/>
    <n v="0"/>
  </r>
  <r>
    <x v="0"/>
    <x v="0"/>
    <n v="0"/>
  </r>
  <r>
    <x v="1"/>
    <x v="1"/>
    <n v="0"/>
  </r>
  <r>
    <x v="1"/>
    <x v="1"/>
    <n v="0"/>
  </r>
  <r>
    <x v="0"/>
    <x v="0"/>
    <n v="0"/>
  </r>
  <r>
    <x v="1"/>
    <x v="1"/>
    <n v="0"/>
  </r>
  <r>
    <x v="0"/>
    <x v="0"/>
    <n v="0"/>
  </r>
  <r>
    <x v="0"/>
    <x v="0"/>
    <n v="0"/>
  </r>
  <r>
    <x v="0"/>
    <x v="0"/>
    <n v="0"/>
  </r>
  <r>
    <x v="1"/>
    <x v="1"/>
    <n v="0"/>
  </r>
  <r>
    <x v="0"/>
    <x v="0"/>
    <n v="0"/>
  </r>
  <r>
    <x v="1"/>
    <x v="1"/>
    <n v="0"/>
  </r>
  <r>
    <x v="1"/>
    <x v="1"/>
    <n v="0"/>
  </r>
  <r>
    <x v="0"/>
    <x v="0"/>
    <n v="0"/>
  </r>
  <r>
    <x v="0"/>
    <x v="0"/>
    <n v="0"/>
  </r>
  <r>
    <x v="1"/>
    <x v="1"/>
    <n v="0"/>
  </r>
  <r>
    <x v="1"/>
    <x v="1"/>
    <n v="0"/>
  </r>
  <r>
    <x v="1"/>
    <x v="1"/>
    <n v="0"/>
  </r>
  <r>
    <x v="0"/>
    <x v="0"/>
    <n v="0"/>
  </r>
  <r>
    <x v="1"/>
    <x v="1"/>
    <n v="0"/>
  </r>
  <r>
    <x v="0"/>
    <x v="0"/>
    <n v="0"/>
  </r>
  <r>
    <x v="1"/>
    <x v="1"/>
    <n v="0"/>
  </r>
  <r>
    <x v="1"/>
    <x v="1"/>
    <n v="0"/>
  </r>
  <r>
    <x v="1"/>
    <x v="1"/>
    <n v="0"/>
  </r>
  <r>
    <x v="1"/>
    <x v="1"/>
    <n v="0"/>
  </r>
  <r>
    <x v="0"/>
    <x v="0"/>
    <n v="0"/>
  </r>
  <r>
    <x v="0"/>
    <x v="0"/>
    <n v="0"/>
  </r>
  <r>
    <x v="0"/>
    <x v="0"/>
    <n v="0"/>
  </r>
  <r>
    <x v="0"/>
    <x v="0"/>
    <n v="0"/>
  </r>
  <r>
    <x v="1"/>
    <x v="1"/>
    <n v="0"/>
  </r>
  <r>
    <x v="1"/>
    <x v="1"/>
    <n v="0"/>
  </r>
  <r>
    <x v="1"/>
    <x v="1"/>
    <n v="0"/>
  </r>
  <r>
    <x v="0"/>
    <x v="0"/>
    <n v="0"/>
  </r>
  <r>
    <x v="1"/>
    <x v="1"/>
    <n v="0"/>
  </r>
  <r>
    <x v="1"/>
    <x v="1"/>
    <n v="1"/>
  </r>
  <r>
    <x v="0"/>
    <x v="0"/>
    <n v="0"/>
  </r>
  <r>
    <x v="0"/>
    <x v="0"/>
    <n v="0"/>
  </r>
  <r>
    <x v="1"/>
    <x v="1"/>
    <n v="0"/>
  </r>
  <r>
    <x v="1"/>
    <x v="1"/>
    <n v="0"/>
  </r>
  <r>
    <x v="1"/>
    <x v="1"/>
    <n v="0"/>
  </r>
  <r>
    <x v="0"/>
    <x v="0"/>
    <n v="0"/>
  </r>
  <r>
    <x v="0"/>
    <x v="0"/>
    <n v="0"/>
  </r>
  <r>
    <x v="1"/>
    <x v="1"/>
    <n v="1"/>
  </r>
  <r>
    <x v="1"/>
    <x v="1"/>
    <n v="0"/>
  </r>
  <r>
    <x v="0"/>
    <x v="0"/>
    <n v="0"/>
  </r>
  <r>
    <x v="0"/>
    <x v="0"/>
    <n v="0"/>
  </r>
  <r>
    <x v="1"/>
    <x v="1"/>
    <n v="0"/>
  </r>
  <r>
    <x v="0"/>
    <x v="0"/>
    <n v="0"/>
  </r>
  <r>
    <x v="1"/>
    <x v="1"/>
    <n v="0"/>
  </r>
  <r>
    <x v="1"/>
    <x v="1"/>
    <n v="0"/>
  </r>
  <r>
    <x v="1"/>
    <x v="1"/>
    <n v="0"/>
  </r>
  <r>
    <x v="1"/>
    <x v="1"/>
    <n v="0"/>
  </r>
  <r>
    <x v="1"/>
    <x v="1"/>
    <n v="0"/>
  </r>
  <r>
    <x v="1"/>
    <x v="1"/>
    <n v="0"/>
  </r>
  <r>
    <x v="1"/>
    <x v="1"/>
    <n v="0"/>
  </r>
  <r>
    <x v="1"/>
    <x v="1"/>
    <n v="0"/>
  </r>
  <r>
    <x v="0"/>
    <x v="0"/>
    <n v="0"/>
  </r>
  <r>
    <x v="0"/>
    <x v="0"/>
    <n v="0"/>
  </r>
  <r>
    <x v="1"/>
    <x v="1"/>
    <n v="0"/>
  </r>
  <r>
    <x v="1"/>
    <x v="1"/>
    <n v="0"/>
  </r>
  <r>
    <x v="0"/>
    <x v="0"/>
    <n v="0"/>
  </r>
  <r>
    <x v="0"/>
    <x v="0"/>
    <n v="0"/>
  </r>
  <r>
    <x v="1"/>
    <x v="1"/>
    <n v="0"/>
  </r>
  <r>
    <x v="0"/>
    <x v="0"/>
    <n v="0"/>
  </r>
  <r>
    <x v="1"/>
    <x v="1"/>
    <n v="0"/>
  </r>
  <r>
    <x v="1"/>
    <x v="1"/>
    <n v="0"/>
  </r>
  <r>
    <x v="0"/>
    <x v="0"/>
    <n v="0"/>
  </r>
  <r>
    <x v="0"/>
    <x v="0"/>
    <n v="0"/>
  </r>
  <r>
    <x v="0"/>
    <x v="0"/>
    <n v="0"/>
  </r>
  <r>
    <x v="0"/>
    <x v="0"/>
    <n v="0"/>
  </r>
  <r>
    <x v="1"/>
    <x v="1"/>
    <n v="0"/>
  </r>
  <r>
    <x v="1"/>
    <x v="1"/>
    <n v="0"/>
  </r>
  <r>
    <x v="1"/>
    <x v="1"/>
    <n v="0"/>
  </r>
  <r>
    <x v="0"/>
    <x v="0"/>
    <n v="0"/>
  </r>
  <r>
    <x v="1"/>
    <x v="1"/>
    <n v="0"/>
  </r>
  <r>
    <x v="1"/>
    <x v="1"/>
    <n v="0"/>
  </r>
  <r>
    <x v="1"/>
    <x v="1"/>
    <n v="0"/>
  </r>
  <r>
    <x v="1"/>
    <x v="1"/>
    <n v="0"/>
  </r>
  <r>
    <x v="1"/>
    <x v="1"/>
    <n v="0"/>
  </r>
  <r>
    <x v="1"/>
    <x v="1"/>
    <n v="0"/>
  </r>
  <r>
    <x v="1"/>
    <x v="1"/>
    <n v="0"/>
  </r>
  <r>
    <x v="1"/>
    <x v="1"/>
    <n v="0"/>
  </r>
  <r>
    <x v="1"/>
    <x v="1"/>
    <n v="0"/>
  </r>
  <r>
    <x v="1"/>
    <x v="1"/>
    <n v="0"/>
  </r>
  <r>
    <x v="1"/>
    <x v="1"/>
    <n v="0"/>
  </r>
  <r>
    <x v="1"/>
    <x v="1"/>
    <n v="0"/>
  </r>
  <r>
    <x v="1"/>
    <x v="1"/>
    <n v="0"/>
  </r>
  <r>
    <x v="1"/>
    <x v="1"/>
    <n v="0"/>
  </r>
  <r>
    <x v="1"/>
    <x v="1"/>
    <n v="0"/>
  </r>
  <r>
    <x v="1"/>
    <x v="1"/>
    <n v="0"/>
  </r>
  <r>
    <x v="1"/>
    <x v="1"/>
    <n v="0"/>
  </r>
  <r>
    <x v="0"/>
    <x v="0"/>
    <n v="0"/>
  </r>
  <r>
    <x v="0"/>
    <x v="0"/>
    <n v="0"/>
  </r>
  <r>
    <x v="0"/>
    <x v="0"/>
    <n v="0"/>
  </r>
  <r>
    <x v="0"/>
    <x v="0"/>
    <n v="0"/>
  </r>
  <r>
    <x v="1"/>
    <x v="1"/>
    <n v="0"/>
  </r>
  <r>
    <x v="0"/>
    <x v="0"/>
    <n v="0"/>
  </r>
  <r>
    <x v="1"/>
    <x v="1"/>
    <n v="0"/>
  </r>
  <r>
    <x v="1"/>
    <x v="1"/>
    <n v="0"/>
  </r>
  <r>
    <x v="0"/>
    <x v="0"/>
    <n v="0"/>
  </r>
  <r>
    <x v="0"/>
    <x v="0"/>
    <n v="0"/>
  </r>
  <r>
    <x v="0"/>
    <x v="0"/>
    <n v="0"/>
  </r>
  <r>
    <x v="0"/>
    <x v="0"/>
    <n v="0"/>
  </r>
  <r>
    <x v="0"/>
    <x v="0"/>
    <n v="0"/>
  </r>
  <r>
    <x v="0"/>
    <x v="0"/>
    <n v="0"/>
  </r>
  <r>
    <x v="1"/>
    <x v="1"/>
    <n v="0"/>
  </r>
  <r>
    <x v="1"/>
    <x v="1"/>
    <n v="0"/>
  </r>
  <r>
    <x v="0"/>
    <x v="0"/>
    <n v="0"/>
  </r>
  <r>
    <x v="1"/>
    <x v="1"/>
    <n v="0"/>
  </r>
  <r>
    <x v="1"/>
    <x v="1"/>
    <n v="0"/>
  </r>
  <r>
    <x v="1"/>
    <x v="1"/>
    <n v="0"/>
  </r>
  <r>
    <x v="0"/>
    <x v="0"/>
    <n v="0"/>
  </r>
  <r>
    <x v="0"/>
    <x v="0"/>
    <n v="0"/>
  </r>
  <r>
    <x v="1"/>
    <x v="1"/>
    <n v="0"/>
  </r>
  <r>
    <x v="1"/>
    <x v="1"/>
    <n v="0"/>
  </r>
  <r>
    <x v="1"/>
    <x v="1"/>
    <n v="0"/>
  </r>
  <r>
    <x v="1"/>
    <x v="1"/>
    <n v="0"/>
  </r>
  <r>
    <x v="0"/>
    <x v="0"/>
    <n v="0"/>
  </r>
  <r>
    <x v="1"/>
    <x v="1"/>
    <n v="0"/>
  </r>
  <r>
    <x v="0"/>
    <x v="0"/>
    <n v="0"/>
  </r>
  <r>
    <x v="0"/>
    <x v="0"/>
    <n v="0"/>
  </r>
  <r>
    <x v="0"/>
    <x v="0"/>
    <n v="0"/>
  </r>
  <r>
    <x v="0"/>
    <x v="0"/>
    <n v="0"/>
  </r>
  <r>
    <x v="0"/>
    <x v="0"/>
    <n v="0"/>
  </r>
  <r>
    <x v="1"/>
    <x v="1"/>
    <n v="0"/>
  </r>
  <r>
    <x v="1"/>
    <x v="1"/>
    <n v="0"/>
  </r>
  <r>
    <x v="0"/>
    <x v="0"/>
    <n v="0"/>
  </r>
  <r>
    <x v="1"/>
    <x v="1"/>
    <n v="0"/>
  </r>
  <r>
    <x v="0"/>
    <x v="0"/>
    <n v="0"/>
  </r>
  <r>
    <x v="0"/>
    <x v="0"/>
    <n v="0"/>
  </r>
  <r>
    <x v="1"/>
    <x v="1"/>
    <n v="0"/>
  </r>
  <r>
    <x v="1"/>
    <x v="1"/>
    <n v="0"/>
  </r>
  <r>
    <x v="0"/>
    <x v="0"/>
    <n v="0"/>
  </r>
  <r>
    <x v="0"/>
    <x v="0"/>
    <n v="0"/>
  </r>
  <r>
    <x v="1"/>
    <x v="1"/>
    <n v="0"/>
  </r>
  <r>
    <x v="1"/>
    <x v="1"/>
    <n v="0"/>
  </r>
  <r>
    <x v="1"/>
    <x v="1"/>
    <n v="0"/>
  </r>
  <r>
    <x v="1"/>
    <x v="1"/>
    <n v="0"/>
  </r>
  <r>
    <x v="1"/>
    <x v="1"/>
    <n v="0"/>
  </r>
  <r>
    <x v="1"/>
    <x v="1"/>
    <n v="0"/>
  </r>
  <r>
    <x v="1"/>
    <x v="1"/>
    <n v="1"/>
  </r>
  <r>
    <x v="1"/>
    <x v="1"/>
    <n v="0"/>
  </r>
  <r>
    <x v="1"/>
    <x v="1"/>
    <n v="0"/>
  </r>
  <r>
    <x v="1"/>
    <x v="1"/>
    <n v="0"/>
  </r>
  <r>
    <x v="0"/>
    <x v="0"/>
    <n v="0"/>
  </r>
  <r>
    <x v="0"/>
    <x v="0"/>
    <n v="0"/>
  </r>
  <r>
    <x v="1"/>
    <x v="1"/>
    <n v="0"/>
  </r>
  <r>
    <x v="0"/>
    <x v="0"/>
    <n v="1"/>
  </r>
  <r>
    <x v="1"/>
    <x v="1"/>
    <n v="0"/>
  </r>
  <r>
    <x v="0"/>
    <x v="0"/>
    <n v="0"/>
  </r>
  <r>
    <x v="1"/>
    <x v="1"/>
    <n v="0"/>
  </r>
  <r>
    <x v="0"/>
    <x v="0"/>
    <n v="0"/>
  </r>
  <r>
    <x v="0"/>
    <x v="0"/>
    <n v="0"/>
  </r>
  <r>
    <x v="0"/>
    <x v="0"/>
    <n v="0"/>
  </r>
  <r>
    <x v="1"/>
    <x v="1"/>
    <n v="0"/>
  </r>
  <r>
    <x v="1"/>
    <x v="1"/>
    <n v="0"/>
  </r>
  <r>
    <x v="0"/>
    <x v="0"/>
    <n v="1"/>
  </r>
  <r>
    <x v="1"/>
    <x v="1"/>
    <n v="0"/>
  </r>
  <r>
    <x v="0"/>
    <x v="0"/>
    <n v="0"/>
  </r>
  <r>
    <x v="1"/>
    <x v="1"/>
    <n v="0"/>
  </r>
  <r>
    <x v="0"/>
    <x v="0"/>
    <n v="0"/>
  </r>
  <r>
    <x v="1"/>
    <x v="1"/>
    <n v="0"/>
  </r>
  <r>
    <x v="1"/>
    <x v="1"/>
    <n v="0"/>
  </r>
  <r>
    <x v="1"/>
    <x v="1"/>
    <n v="0"/>
  </r>
  <r>
    <x v="1"/>
    <x v="1"/>
    <n v="0"/>
  </r>
  <r>
    <x v="0"/>
    <x v="0"/>
    <n v="0"/>
  </r>
  <r>
    <x v="1"/>
    <x v="1"/>
    <n v="0"/>
  </r>
  <r>
    <x v="1"/>
    <x v="1"/>
    <n v="0"/>
  </r>
  <r>
    <x v="0"/>
    <x v="0"/>
    <n v="0"/>
  </r>
  <r>
    <x v="0"/>
    <x v="0"/>
    <n v="0"/>
  </r>
  <r>
    <x v="0"/>
    <x v="0"/>
    <n v="0"/>
  </r>
  <r>
    <x v="0"/>
    <x v="0"/>
    <n v="0"/>
  </r>
  <r>
    <x v="1"/>
    <x v="1"/>
    <n v="0"/>
  </r>
  <r>
    <x v="0"/>
    <x v="0"/>
    <n v="1"/>
  </r>
  <r>
    <x v="1"/>
    <x v="1"/>
    <n v="0"/>
  </r>
  <r>
    <x v="1"/>
    <x v="1"/>
    <n v="0"/>
  </r>
  <r>
    <x v="1"/>
    <x v="1"/>
    <n v="0"/>
  </r>
  <r>
    <x v="0"/>
    <x v="0"/>
    <n v="0"/>
  </r>
  <r>
    <x v="1"/>
    <x v="1"/>
    <n v="0"/>
  </r>
  <r>
    <x v="1"/>
    <x v="1"/>
    <n v="0"/>
  </r>
  <r>
    <x v="1"/>
    <x v="1"/>
    <n v="0"/>
  </r>
  <r>
    <x v="0"/>
    <x v="0"/>
    <n v="0"/>
  </r>
  <r>
    <x v="1"/>
    <x v="1"/>
    <n v="0"/>
  </r>
  <r>
    <x v="0"/>
    <x v="0"/>
    <n v="0"/>
  </r>
  <r>
    <x v="0"/>
    <x v="0"/>
    <n v="0"/>
  </r>
  <r>
    <x v="1"/>
    <x v="1"/>
    <n v="0"/>
  </r>
  <r>
    <x v="0"/>
    <x v="0"/>
    <n v="0"/>
  </r>
  <r>
    <x v="1"/>
    <x v="1"/>
    <n v="0"/>
  </r>
  <r>
    <x v="1"/>
    <x v="1"/>
    <n v="0"/>
  </r>
  <r>
    <x v="1"/>
    <x v="1"/>
    <n v="0"/>
  </r>
  <r>
    <x v="1"/>
    <x v="1"/>
    <n v="0"/>
  </r>
  <r>
    <x v="1"/>
    <x v="1"/>
    <n v="0"/>
  </r>
  <r>
    <x v="0"/>
    <x v="0"/>
    <n v="1"/>
  </r>
  <r>
    <x v="1"/>
    <x v="1"/>
    <n v="0"/>
  </r>
  <r>
    <x v="0"/>
    <x v="0"/>
    <n v="0"/>
  </r>
  <r>
    <x v="0"/>
    <x v="0"/>
    <n v="0"/>
  </r>
  <r>
    <x v="0"/>
    <x v="0"/>
    <n v="0"/>
  </r>
  <r>
    <x v="1"/>
    <x v="1"/>
    <n v="1"/>
  </r>
  <r>
    <x v="1"/>
    <x v="1"/>
    <n v="0"/>
  </r>
  <r>
    <x v="0"/>
    <x v="0"/>
    <n v="0"/>
  </r>
  <r>
    <x v="1"/>
    <x v="1"/>
    <n v="0"/>
  </r>
  <r>
    <x v="0"/>
    <x v="0"/>
    <n v="0"/>
  </r>
  <r>
    <x v="1"/>
    <x v="1"/>
    <n v="0"/>
  </r>
  <r>
    <x v="1"/>
    <x v="1"/>
    <n v="0"/>
  </r>
  <r>
    <x v="1"/>
    <x v="1"/>
    <n v="0"/>
  </r>
  <r>
    <x v="1"/>
    <x v="1"/>
    <n v="0"/>
  </r>
  <r>
    <x v="0"/>
    <x v="0"/>
    <n v="0"/>
  </r>
  <r>
    <x v="1"/>
    <x v="1"/>
    <n v="0"/>
  </r>
  <r>
    <x v="1"/>
    <x v="1"/>
    <n v="0"/>
  </r>
  <r>
    <x v="1"/>
    <x v="1"/>
    <n v="0"/>
  </r>
  <r>
    <x v="1"/>
    <x v="1"/>
    <n v="0"/>
  </r>
  <r>
    <x v="0"/>
    <x v="0"/>
    <n v="0"/>
  </r>
  <r>
    <x v="0"/>
    <x v="0"/>
    <n v="0"/>
  </r>
  <r>
    <x v="0"/>
    <x v="0"/>
    <n v="0"/>
  </r>
  <r>
    <x v="0"/>
    <x v="0"/>
    <n v="0"/>
  </r>
  <r>
    <x v="0"/>
    <x v="0"/>
    <n v="0"/>
  </r>
  <r>
    <x v="0"/>
    <x v="0"/>
    <n v="0"/>
  </r>
  <r>
    <x v="0"/>
    <x v="0"/>
    <n v="0"/>
  </r>
  <r>
    <x v="1"/>
    <x v="1"/>
    <n v="0"/>
  </r>
  <r>
    <x v="0"/>
    <x v="0"/>
    <n v="0"/>
  </r>
  <r>
    <x v="1"/>
    <x v="1"/>
    <n v="0"/>
  </r>
  <r>
    <x v="0"/>
    <x v="0"/>
    <n v="0"/>
  </r>
  <r>
    <x v="1"/>
    <x v="1"/>
    <n v="0"/>
  </r>
  <r>
    <x v="0"/>
    <x v="0"/>
    <n v="0"/>
  </r>
  <r>
    <x v="0"/>
    <x v="0"/>
    <n v="0"/>
  </r>
  <r>
    <x v="0"/>
    <x v="0"/>
    <n v="0"/>
  </r>
  <r>
    <x v="0"/>
    <x v="0"/>
    <n v="0"/>
  </r>
  <r>
    <x v="1"/>
    <x v="1"/>
    <n v="0"/>
  </r>
  <r>
    <x v="1"/>
    <x v="1"/>
    <n v="0"/>
  </r>
  <r>
    <x v="1"/>
    <x v="1"/>
    <n v="0"/>
  </r>
  <r>
    <x v="0"/>
    <x v="0"/>
    <n v="0"/>
  </r>
  <r>
    <x v="1"/>
    <x v="1"/>
    <n v="1"/>
  </r>
  <r>
    <x v="1"/>
    <x v="1"/>
    <n v="0"/>
  </r>
  <r>
    <x v="0"/>
    <x v="0"/>
    <n v="1"/>
  </r>
  <r>
    <x v="1"/>
    <x v="1"/>
    <n v="0"/>
  </r>
  <r>
    <x v="1"/>
    <x v="1"/>
    <n v="0"/>
  </r>
  <r>
    <x v="1"/>
    <x v="1"/>
    <n v="0"/>
  </r>
  <r>
    <x v="1"/>
    <x v="1"/>
    <n v="0"/>
  </r>
  <r>
    <x v="0"/>
    <x v="0"/>
    <n v="0"/>
  </r>
  <r>
    <x v="0"/>
    <x v="0"/>
    <n v="0"/>
  </r>
  <r>
    <x v="0"/>
    <x v="0"/>
    <n v="0"/>
  </r>
  <r>
    <x v="1"/>
    <x v="1"/>
    <n v="0"/>
  </r>
  <r>
    <x v="1"/>
    <x v="1"/>
    <n v="0"/>
  </r>
  <r>
    <x v="1"/>
    <x v="1"/>
    <n v="0"/>
  </r>
  <r>
    <x v="0"/>
    <x v="0"/>
    <n v="0"/>
  </r>
  <r>
    <x v="0"/>
    <x v="0"/>
    <n v="0"/>
  </r>
  <r>
    <x v="1"/>
    <x v="1"/>
    <n v="0"/>
  </r>
  <r>
    <x v="0"/>
    <x v="0"/>
    <n v="0"/>
  </r>
  <r>
    <x v="1"/>
    <x v="1"/>
    <n v="0"/>
  </r>
  <r>
    <x v="0"/>
    <x v="0"/>
    <n v="0"/>
  </r>
  <r>
    <x v="0"/>
    <x v="0"/>
    <n v="0"/>
  </r>
  <r>
    <x v="0"/>
    <x v="0"/>
    <n v="0"/>
  </r>
  <r>
    <x v="0"/>
    <x v="0"/>
    <n v="0"/>
  </r>
  <r>
    <x v="0"/>
    <x v="0"/>
    <n v="0"/>
  </r>
  <r>
    <x v="0"/>
    <x v="0"/>
    <n v="0"/>
  </r>
  <r>
    <x v="1"/>
    <x v="1"/>
    <n v="0"/>
  </r>
  <r>
    <x v="1"/>
    <x v="1"/>
    <n v="0"/>
  </r>
  <r>
    <x v="0"/>
    <x v="0"/>
    <n v="0"/>
  </r>
  <r>
    <x v="1"/>
    <x v="1"/>
    <n v="0"/>
  </r>
  <r>
    <x v="1"/>
    <x v="1"/>
    <n v="0"/>
  </r>
  <r>
    <x v="0"/>
    <x v="0"/>
    <n v="0"/>
  </r>
  <r>
    <x v="1"/>
    <x v="1"/>
    <n v="0"/>
  </r>
  <r>
    <x v="0"/>
    <x v="0"/>
    <n v="0"/>
  </r>
  <r>
    <x v="0"/>
    <x v="0"/>
    <n v="0"/>
  </r>
  <r>
    <x v="0"/>
    <x v="0"/>
    <n v="0"/>
  </r>
  <r>
    <x v="0"/>
    <x v="0"/>
    <n v="0"/>
  </r>
  <r>
    <x v="1"/>
    <x v="1"/>
    <n v="0"/>
  </r>
  <r>
    <x v="0"/>
    <x v="0"/>
    <n v="0"/>
  </r>
  <r>
    <x v="1"/>
    <x v="1"/>
    <n v="0"/>
  </r>
  <r>
    <x v="0"/>
    <x v="0"/>
    <n v="0"/>
  </r>
  <r>
    <x v="1"/>
    <x v="1"/>
    <n v="0"/>
  </r>
  <r>
    <x v="1"/>
    <x v="1"/>
    <n v="0"/>
  </r>
  <r>
    <x v="0"/>
    <x v="0"/>
    <n v="0"/>
  </r>
  <r>
    <x v="1"/>
    <x v="1"/>
    <n v="0"/>
  </r>
  <r>
    <x v="1"/>
    <x v="1"/>
    <n v="0"/>
  </r>
  <r>
    <x v="1"/>
    <x v="1"/>
    <n v="0"/>
  </r>
  <r>
    <x v="1"/>
    <x v="1"/>
    <n v="0"/>
  </r>
  <r>
    <x v="0"/>
    <x v="0"/>
    <n v="0"/>
  </r>
  <r>
    <x v="0"/>
    <x v="0"/>
    <n v="0"/>
  </r>
  <r>
    <x v="1"/>
    <x v="1"/>
    <n v="0"/>
  </r>
  <r>
    <x v="1"/>
    <x v="1"/>
    <n v="0"/>
  </r>
  <r>
    <x v="1"/>
    <x v="1"/>
    <n v="1"/>
  </r>
  <r>
    <x v="1"/>
    <x v="1"/>
    <n v="0"/>
  </r>
  <r>
    <x v="0"/>
    <x v="0"/>
    <n v="0"/>
  </r>
  <r>
    <x v="1"/>
    <x v="1"/>
    <n v="0"/>
  </r>
  <r>
    <x v="0"/>
    <x v="0"/>
    <n v="1"/>
  </r>
  <r>
    <x v="1"/>
    <x v="1"/>
    <n v="0"/>
  </r>
  <r>
    <x v="0"/>
    <x v="0"/>
    <n v="0"/>
  </r>
  <r>
    <x v="0"/>
    <x v="0"/>
    <n v="0"/>
  </r>
  <r>
    <x v="0"/>
    <x v="0"/>
    <n v="0"/>
  </r>
  <r>
    <x v="0"/>
    <x v="0"/>
    <n v="0"/>
  </r>
  <r>
    <x v="1"/>
    <x v="1"/>
    <n v="0"/>
  </r>
  <r>
    <x v="0"/>
    <x v="0"/>
    <n v="0"/>
  </r>
  <r>
    <x v="0"/>
    <x v="0"/>
    <n v="0"/>
  </r>
  <r>
    <x v="0"/>
    <x v="0"/>
    <n v="0"/>
  </r>
  <r>
    <x v="0"/>
    <x v="0"/>
    <n v="0"/>
  </r>
  <r>
    <x v="0"/>
    <x v="0"/>
    <n v="0"/>
  </r>
  <r>
    <x v="0"/>
    <x v="0"/>
    <n v="0"/>
  </r>
  <r>
    <x v="1"/>
    <x v="1"/>
    <n v="0"/>
  </r>
  <r>
    <x v="1"/>
    <x v="1"/>
    <n v="0"/>
  </r>
  <r>
    <x v="1"/>
    <x v="1"/>
    <n v="0"/>
  </r>
  <r>
    <x v="0"/>
    <x v="0"/>
    <n v="0"/>
  </r>
  <r>
    <x v="1"/>
    <x v="1"/>
    <n v="0"/>
  </r>
  <r>
    <x v="0"/>
    <x v="0"/>
    <n v="0"/>
  </r>
  <r>
    <x v="1"/>
    <x v="1"/>
    <n v="0"/>
  </r>
  <r>
    <x v="0"/>
    <x v="0"/>
    <n v="0"/>
  </r>
  <r>
    <x v="1"/>
    <x v="1"/>
    <n v="0"/>
  </r>
  <r>
    <x v="1"/>
    <x v="1"/>
    <n v="0"/>
  </r>
  <r>
    <x v="0"/>
    <x v="0"/>
    <n v="0"/>
  </r>
  <r>
    <x v="1"/>
    <x v="1"/>
    <n v="0"/>
  </r>
  <r>
    <x v="1"/>
    <x v="1"/>
    <n v="0"/>
  </r>
  <r>
    <x v="1"/>
    <x v="1"/>
    <n v="0"/>
  </r>
  <r>
    <x v="0"/>
    <x v="0"/>
    <n v="0"/>
  </r>
  <r>
    <x v="0"/>
    <x v="0"/>
    <n v="0"/>
  </r>
  <r>
    <x v="0"/>
    <x v="0"/>
    <n v="0"/>
  </r>
  <r>
    <x v="0"/>
    <x v="0"/>
    <n v="0"/>
  </r>
  <r>
    <x v="1"/>
    <x v="1"/>
    <n v="0"/>
  </r>
  <r>
    <x v="0"/>
    <x v="0"/>
    <n v="0"/>
  </r>
  <r>
    <x v="1"/>
    <x v="1"/>
    <n v="0"/>
  </r>
  <r>
    <x v="1"/>
    <x v="1"/>
    <n v="0"/>
  </r>
  <r>
    <x v="0"/>
    <x v="0"/>
    <n v="0"/>
  </r>
  <r>
    <x v="0"/>
    <x v="0"/>
    <n v="0"/>
  </r>
  <r>
    <x v="1"/>
    <x v="1"/>
    <n v="0"/>
  </r>
  <r>
    <x v="0"/>
    <x v="0"/>
    <n v="0"/>
  </r>
  <r>
    <x v="0"/>
    <x v="0"/>
    <n v="0"/>
  </r>
  <r>
    <x v="1"/>
    <x v="1"/>
    <n v="0"/>
  </r>
  <r>
    <x v="1"/>
    <x v="1"/>
    <n v="0"/>
  </r>
  <r>
    <x v="0"/>
    <x v="0"/>
    <n v="0"/>
  </r>
  <r>
    <x v="1"/>
    <x v="1"/>
    <n v="0"/>
  </r>
  <r>
    <x v="1"/>
    <x v="1"/>
    <n v="0"/>
  </r>
  <r>
    <x v="1"/>
    <x v="1"/>
    <n v="0"/>
  </r>
  <r>
    <x v="0"/>
    <x v="0"/>
    <n v="0"/>
  </r>
  <r>
    <x v="0"/>
    <x v="0"/>
    <n v="0"/>
  </r>
  <r>
    <x v="1"/>
    <x v="1"/>
    <n v="0"/>
  </r>
  <r>
    <x v="0"/>
    <x v="0"/>
    <n v="0"/>
  </r>
  <r>
    <x v="0"/>
    <x v="0"/>
    <n v="0"/>
  </r>
  <r>
    <x v="0"/>
    <x v="0"/>
    <n v="0"/>
  </r>
  <r>
    <x v="0"/>
    <x v="0"/>
    <n v="0"/>
  </r>
  <r>
    <x v="1"/>
    <x v="1"/>
    <n v="0"/>
  </r>
  <r>
    <x v="0"/>
    <x v="0"/>
    <n v="0"/>
  </r>
  <r>
    <x v="0"/>
    <x v="0"/>
    <n v="0"/>
  </r>
  <r>
    <x v="0"/>
    <x v="0"/>
    <n v="0"/>
  </r>
  <r>
    <x v="1"/>
    <x v="1"/>
    <n v="0"/>
  </r>
  <r>
    <x v="0"/>
    <x v="0"/>
    <n v="0"/>
  </r>
  <r>
    <x v="1"/>
    <x v="1"/>
    <n v="0"/>
  </r>
  <r>
    <x v="1"/>
    <x v="1"/>
    <n v="0"/>
  </r>
  <r>
    <x v="1"/>
    <x v="1"/>
    <n v="0"/>
  </r>
  <r>
    <x v="0"/>
    <x v="0"/>
    <n v="0"/>
  </r>
  <r>
    <x v="0"/>
    <x v="0"/>
    <n v="0"/>
  </r>
  <r>
    <x v="1"/>
    <x v="1"/>
    <n v="0"/>
  </r>
  <r>
    <x v="1"/>
    <x v="1"/>
    <n v="0"/>
  </r>
  <r>
    <x v="0"/>
    <x v="0"/>
    <n v="0"/>
  </r>
  <r>
    <x v="1"/>
    <x v="1"/>
    <n v="0"/>
  </r>
  <r>
    <x v="0"/>
    <x v="0"/>
    <n v="0"/>
  </r>
  <r>
    <x v="1"/>
    <x v="1"/>
    <n v="0"/>
  </r>
  <r>
    <x v="0"/>
    <x v="0"/>
    <n v="0"/>
  </r>
  <r>
    <x v="1"/>
    <x v="1"/>
    <n v="0"/>
  </r>
  <r>
    <x v="0"/>
    <x v="0"/>
    <n v="0"/>
  </r>
  <r>
    <x v="1"/>
    <x v="1"/>
    <n v="0"/>
  </r>
  <r>
    <x v="1"/>
    <x v="1"/>
    <n v="0"/>
  </r>
  <r>
    <x v="1"/>
    <x v="1"/>
    <n v="0"/>
  </r>
  <r>
    <x v="1"/>
    <x v="1"/>
    <n v="0"/>
  </r>
  <r>
    <x v="1"/>
    <x v="1"/>
    <n v="0"/>
  </r>
  <r>
    <x v="0"/>
    <x v="0"/>
    <n v="0"/>
  </r>
  <r>
    <x v="1"/>
    <x v="1"/>
    <n v="0"/>
  </r>
  <r>
    <x v="1"/>
    <x v="1"/>
    <n v="0"/>
  </r>
  <r>
    <x v="0"/>
    <x v="0"/>
    <n v="0"/>
  </r>
  <r>
    <x v="1"/>
    <x v="1"/>
    <n v="0"/>
  </r>
  <r>
    <x v="1"/>
    <x v="1"/>
    <n v="0"/>
  </r>
  <r>
    <x v="1"/>
    <x v="1"/>
    <n v="0"/>
  </r>
  <r>
    <x v="0"/>
    <x v="0"/>
    <n v="0"/>
  </r>
  <r>
    <x v="0"/>
    <x v="0"/>
    <n v="0"/>
  </r>
  <r>
    <x v="0"/>
    <x v="0"/>
    <n v="0"/>
  </r>
  <r>
    <x v="1"/>
    <x v="1"/>
    <n v="0"/>
  </r>
  <r>
    <x v="0"/>
    <x v="0"/>
    <n v="0"/>
  </r>
  <r>
    <x v="1"/>
    <x v="1"/>
    <n v="0"/>
  </r>
  <r>
    <x v="0"/>
    <x v="0"/>
    <n v="0"/>
  </r>
  <r>
    <x v="0"/>
    <x v="0"/>
    <n v="0"/>
  </r>
  <r>
    <x v="0"/>
    <x v="0"/>
    <n v="0"/>
  </r>
  <r>
    <x v="0"/>
    <x v="0"/>
    <n v="0"/>
  </r>
  <r>
    <x v="1"/>
    <x v="1"/>
    <n v="0"/>
  </r>
  <r>
    <x v="1"/>
    <x v="1"/>
    <n v="0"/>
  </r>
  <r>
    <x v="0"/>
    <x v="0"/>
    <n v="0"/>
  </r>
  <r>
    <x v="1"/>
    <x v="1"/>
    <n v="0"/>
  </r>
  <r>
    <x v="0"/>
    <x v="0"/>
    <n v="0"/>
  </r>
  <r>
    <x v="1"/>
    <x v="1"/>
    <n v="0"/>
  </r>
  <r>
    <x v="0"/>
    <x v="0"/>
    <n v="0"/>
  </r>
  <r>
    <x v="0"/>
    <x v="0"/>
    <n v="0"/>
  </r>
  <r>
    <x v="0"/>
    <x v="0"/>
    <n v="0"/>
  </r>
  <r>
    <x v="0"/>
    <x v="0"/>
    <n v="0"/>
  </r>
  <r>
    <x v="0"/>
    <x v="0"/>
    <n v="0"/>
  </r>
  <r>
    <x v="0"/>
    <x v="0"/>
    <n v="0"/>
  </r>
  <r>
    <x v="0"/>
    <x v="0"/>
    <n v="0"/>
  </r>
  <r>
    <x v="1"/>
    <x v="1"/>
    <n v="0"/>
  </r>
  <r>
    <x v="0"/>
    <x v="0"/>
    <n v="0"/>
  </r>
  <r>
    <x v="0"/>
    <x v="0"/>
    <n v="0"/>
  </r>
  <r>
    <x v="0"/>
    <x v="0"/>
    <n v="0"/>
  </r>
  <r>
    <x v="0"/>
    <x v="0"/>
    <n v="1"/>
  </r>
  <r>
    <x v="0"/>
    <x v="0"/>
    <n v="0"/>
  </r>
  <r>
    <x v="0"/>
    <x v="0"/>
    <n v="0"/>
  </r>
  <r>
    <x v="0"/>
    <x v="0"/>
    <n v="0"/>
  </r>
  <r>
    <x v="0"/>
    <x v="0"/>
    <n v="0"/>
  </r>
  <r>
    <x v="1"/>
    <x v="1"/>
    <n v="0"/>
  </r>
  <r>
    <x v="0"/>
    <x v="0"/>
    <n v="0"/>
  </r>
  <r>
    <x v="0"/>
    <x v="0"/>
    <n v="0"/>
  </r>
  <r>
    <x v="0"/>
    <x v="0"/>
    <n v="0"/>
  </r>
  <r>
    <x v="1"/>
    <x v="1"/>
    <n v="0"/>
  </r>
  <r>
    <x v="1"/>
    <x v="1"/>
    <n v="0"/>
  </r>
  <r>
    <x v="0"/>
    <x v="0"/>
    <n v="0"/>
  </r>
  <r>
    <x v="1"/>
    <x v="1"/>
    <n v="0"/>
  </r>
  <r>
    <x v="0"/>
    <x v="0"/>
    <n v="0"/>
  </r>
  <r>
    <x v="1"/>
    <x v="1"/>
    <n v="0"/>
  </r>
  <r>
    <x v="1"/>
    <x v="1"/>
    <n v="0"/>
  </r>
  <r>
    <x v="1"/>
    <x v="1"/>
    <n v="0"/>
  </r>
  <r>
    <x v="0"/>
    <x v="0"/>
    <n v="0"/>
  </r>
  <r>
    <x v="0"/>
    <x v="0"/>
    <n v="0"/>
  </r>
  <r>
    <x v="1"/>
    <x v="1"/>
    <n v="0"/>
  </r>
  <r>
    <x v="0"/>
    <x v="0"/>
    <n v="0"/>
  </r>
  <r>
    <x v="1"/>
    <x v="1"/>
    <n v="0"/>
  </r>
  <r>
    <x v="1"/>
    <x v="1"/>
    <n v="0"/>
  </r>
  <r>
    <x v="1"/>
    <x v="1"/>
    <n v="0"/>
  </r>
  <r>
    <x v="0"/>
    <x v="0"/>
    <n v="0"/>
  </r>
  <r>
    <x v="1"/>
    <x v="1"/>
    <n v="0"/>
  </r>
  <r>
    <x v="1"/>
    <x v="1"/>
    <n v="0"/>
  </r>
  <r>
    <x v="1"/>
    <x v="1"/>
    <n v="0"/>
  </r>
  <r>
    <x v="1"/>
    <x v="1"/>
    <n v="0"/>
  </r>
  <r>
    <x v="0"/>
    <x v="0"/>
    <n v="0"/>
  </r>
  <r>
    <x v="0"/>
    <x v="0"/>
    <n v="0"/>
  </r>
  <r>
    <x v="1"/>
    <x v="1"/>
    <n v="0"/>
  </r>
  <r>
    <x v="1"/>
    <x v="1"/>
    <n v="0"/>
  </r>
  <r>
    <x v="0"/>
    <x v="0"/>
    <n v="0"/>
  </r>
  <r>
    <x v="1"/>
    <x v="1"/>
    <n v="0"/>
  </r>
  <r>
    <x v="0"/>
    <x v="0"/>
    <n v="0"/>
  </r>
  <r>
    <x v="1"/>
    <x v="1"/>
    <n v="0"/>
  </r>
  <r>
    <x v="1"/>
    <x v="1"/>
    <n v="0"/>
  </r>
  <r>
    <x v="0"/>
    <x v="0"/>
    <n v="0"/>
  </r>
  <r>
    <x v="0"/>
    <x v="0"/>
    <n v="0"/>
  </r>
  <r>
    <x v="0"/>
    <x v="0"/>
    <n v="0"/>
  </r>
  <r>
    <x v="0"/>
    <x v="0"/>
    <n v="0"/>
  </r>
  <r>
    <x v="1"/>
    <x v="1"/>
    <n v="0"/>
  </r>
  <r>
    <x v="0"/>
    <x v="0"/>
    <n v="0"/>
  </r>
  <r>
    <x v="0"/>
    <x v="0"/>
    <n v="0"/>
  </r>
  <r>
    <x v="0"/>
    <x v="0"/>
    <n v="0"/>
  </r>
  <r>
    <x v="0"/>
    <x v="0"/>
    <n v="0"/>
  </r>
  <r>
    <x v="1"/>
    <x v="1"/>
    <n v="0"/>
  </r>
  <r>
    <x v="1"/>
    <x v="1"/>
    <n v="0"/>
  </r>
  <r>
    <x v="1"/>
    <x v="1"/>
    <n v="0"/>
  </r>
  <r>
    <x v="0"/>
    <x v="0"/>
    <n v="0"/>
  </r>
  <r>
    <x v="0"/>
    <x v="0"/>
    <n v="0"/>
  </r>
  <r>
    <x v="1"/>
    <x v="1"/>
    <n v="0"/>
  </r>
  <r>
    <x v="1"/>
    <x v="1"/>
    <n v="0"/>
  </r>
  <r>
    <x v="1"/>
    <x v="1"/>
    <n v="0"/>
  </r>
  <r>
    <x v="1"/>
    <x v="1"/>
    <n v="1"/>
  </r>
  <r>
    <x v="0"/>
    <x v="0"/>
    <n v="0"/>
  </r>
  <r>
    <x v="1"/>
    <x v="1"/>
    <n v="0"/>
  </r>
  <r>
    <x v="1"/>
    <x v="1"/>
    <n v="0"/>
  </r>
  <r>
    <x v="0"/>
    <x v="0"/>
    <n v="0"/>
  </r>
  <r>
    <x v="1"/>
    <x v="1"/>
    <n v="0"/>
  </r>
  <r>
    <x v="0"/>
    <x v="0"/>
    <n v="0"/>
  </r>
  <r>
    <x v="0"/>
    <x v="0"/>
    <n v="0"/>
  </r>
  <r>
    <x v="1"/>
    <x v="1"/>
    <n v="0"/>
  </r>
  <r>
    <x v="1"/>
    <x v="1"/>
    <n v="0"/>
  </r>
  <r>
    <x v="1"/>
    <x v="1"/>
    <n v="0"/>
  </r>
  <r>
    <x v="1"/>
    <x v="1"/>
    <n v="0"/>
  </r>
  <r>
    <x v="0"/>
    <x v="0"/>
    <n v="0"/>
  </r>
  <r>
    <x v="0"/>
    <x v="0"/>
    <n v="0"/>
  </r>
  <r>
    <x v="1"/>
    <x v="1"/>
    <n v="0"/>
  </r>
  <r>
    <x v="0"/>
    <x v="0"/>
    <n v="0"/>
  </r>
  <r>
    <x v="1"/>
    <x v="1"/>
    <n v="0"/>
  </r>
  <r>
    <x v="1"/>
    <x v="1"/>
    <n v="0"/>
  </r>
  <r>
    <x v="1"/>
    <x v="1"/>
    <n v="0"/>
  </r>
  <r>
    <x v="1"/>
    <x v="1"/>
    <n v="0"/>
  </r>
  <r>
    <x v="0"/>
    <x v="0"/>
    <n v="0"/>
  </r>
  <r>
    <x v="0"/>
    <x v="0"/>
    <n v="0"/>
  </r>
  <r>
    <x v="0"/>
    <x v="0"/>
    <n v="0"/>
  </r>
  <r>
    <x v="1"/>
    <x v="1"/>
    <n v="0"/>
  </r>
  <r>
    <x v="0"/>
    <x v="0"/>
    <n v="0"/>
  </r>
  <r>
    <x v="0"/>
    <x v="0"/>
    <n v="0"/>
  </r>
  <r>
    <x v="1"/>
    <x v="1"/>
    <n v="0"/>
  </r>
  <r>
    <x v="0"/>
    <x v="0"/>
    <n v="0"/>
  </r>
  <r>
    <x v="1"/>
    <x v="1"/>
    <n v="0"/>
  </r>
  <r>
    <x v="0"/>
    <x v="0"/>
    <n v="0"/>
  </r>
  <r>
    <x v="1"/>
    <x v="1"/>
    <n v="0"/>
  </r>
  <r>
    <x v="0"/>
    <x v="0"/>
    <n v="0"/>
  </r>
  <r>
    <x v="1"/>
    <x v="1"/>
    <n v="1"/>
  </r>
  <r>
    <x v="0"/>
    <x v="0"/>
    <n v="0"/>
  </r>
  <r>
    <x v="1"/>
    <x v="1"/>
    <n v="0"/>
  </r>
  <r>
    <x v="0"/>
    <x v="0"/>
    <n v="0"/>
  </r>
  <r>
    <x v="0"/>
    <x v="0"/>
    <n v="0"/>
  </r>
  <r>
    <x v="1"/>
    <x v="1"/>
    <n v="0"/>
  </r>
  <r>
    <x v="0"/>
    <x v="0"/>
    <n v="0"/>
  </r>
  <r>
    <x v="1"/>
    <x v="1"/>
    <n v="0"/>
  </r>
  <r>
    <x v="0"/>
    <x v="0"/>
    <n v="0"/>
  </r>
  <r>
    <x v="0"/>
    <x v="0"/>
    <n v="0"/>
  </r>
  <r>
    <x v="0"/>
    <x v="0"/>
    <n v="0"/>
  </r>
  <r>
    <x v="0"/>
    <x v="0"/>
    <n v="0"/>
  </r>
  <r>
    <x v="0"/>
    <x v="0"/>
    <n v="0"/>
  </r>
  <r>
    <x v="1"/>
    <x v="1"/>
    <n v="0"/>
  </r>
  <r>
    <x v="1"/>
    <x v="1"/>
    <n v="0"/>
  </r>
  <r>
    <x v="0"/>
    <x v="0"/>
    <n v="0"/>
  </r>
  <r>
    <x v="1"/>
    <x v="1"/>
    <n v="0"/>
  </r>
  <r>
    <x v="0"/>
    <x v="0"/>
    <n v="0"/>
  </r>
  <r>
    <x v="1"/>
    <x v="1"/>
    <n v="0"/>
  </r>
  <r>
    <x v="0"/>
    <x v="0"/>
    <n v="0"/>
  </r>
  <r>
    <x v="0"/>
    <x v="0"/>
    <n v="1"/>
  </r>
  <r>
    <x v="1"/>
    <x v="1"/>
    <n v="0"/>
  </r>
  <r>
    <x v="1"/>
    <x v="1"/>
    <n v="0"/>
  </r>
  <r>
    <x v="0"/>
    <x v="0"/>
    <n v="0"/>
  </r>
  <r>
    <x v="1"/>
    <x v="1"/>
    <n v="0"/>
  </r>
  <r>
    <x v="0"/>
    <x v="0"/>
    <n v="0"/>
  </r>
  <r>
    <x v="0"/>
    <x v="0"/>
    <n v="0"/>
  </r>
  <r>
    <x v="0"/>
    <x v="0"/>
    <n v="0"/>
  </r>
  <r>
    <x v="1"/>
    <x v="1"/>
    <n v="0"/>
  </r>
  <r>
    <x v="1"/>
    <x v="1"/>
    <n v="0"/>
  </r>
  <r>
    <x v="1"/>
    <x v="1"/>
    <n v="0"/>
  </r>
  <r>
    <x v="1"/>
    <x v="1"/>
    <n v="0"/>
  </r>
  <r>
    <x v="0"/>
    <x v="0"/>
    <n v="0"/>
  </r>
  <r>
    <x v="0"/>
    <x v="0"/>
    <n v="0"/>
  </r>
  <r>
    <x v="1"/>
    <x v="1"/>
    <n v="0"/>
  </r>
  <r>
    <x v="1"/>
    <x v="1"/>
    <n v="0"/>
  </r>
  <r>
    <x v="1"/>
    <x v="1"/>
    <n v="0"/>
  </r>
  <r>
    <x v="1"/>
    <x v="1"/>
    <n v="0"/>
  </r>
  <r>
    <x v="1"/>
    <x v="1"/>
    <n v="0"/>
  </r>
  <r>
    <x v="1"/>
    <x v="1"/>
    <n v="0"/>
  </r>
  <r>
    <x v="1"/>
    <x v="1"/>
    <n v="0"/>
  </r>
  <r>
    <x v="1"/>
    <x v="1"/>
    <n v="0"/>
  </r>
  <r>
    <x v="1"/>
    <x v="1"/>
    <n v="0"/>
  </r>
  <r>
    <x v="1"/>
    <x v="1"/>
    <n v="0"/>
  </r>
  <r>
    <x v="0"/>
    <x v="0"/>
    <n v="0"/>
  </r>
  <r>
    <x v="1"/>
    <x v="1"/>
    <n v="0"/>
  </r>
  <r>
    <x v="1"/>
    <x v="1"/>
    <n v="0"/>
  </r>
  <r>
    <x v="0"/>
    <x v="0"/>
    <n v="0"/>
  </r>
  <r>
    <x v="1"/>
    <x v="1"/>
    <n v="0"/>
  </r>
  <r>
    <x v="0"/>
    <x v="0"/>
    <n v="0"/>
  </r>
  <r>
    <x v="1"/>
    <x v="1"/>
    <n v="0"/>
  </r>
  <r>
    <x v="0"/>
    <x v="0"/>
    <n v="0"/>
  </r>
  <r>
    <x v="0"/>
    <x v="0"/>
    <n v="0"/>
  </r>
  <r>
    <x v="1"/>
    <x v="1"/>
    <n v="0"/>
  </r>
  <r>
    <x v="0"/>
    <x v="0"/>
    <n v="0"/>
  </r>
  <r>
    <x v="0"/>
    <x v="0"/>
    <n v="0"/>
  </r>
  <r>
    <x v="0"/>
    <x v="0"/>
    <n v="0"/>
  </r>
  <r>
    <x v="1"/>
    <x v="1"/>
    <n v="0"/>
  </r>
  <r>
    <x v="1"/>
    <x v="1"/>
    <n v="0"/>
  </r>
  <r>
    <x v="0"/>
    <x v="0"/>
    <n v="0"/>
  </r>
  <r>
    <x v="0"/>
    <x v="0"/>
    <n v="0"/>
  </r>
  <r>
    <x v="0"/>
    <x v="0"/>
    <n v="0"/>
  </r>
  <r>
    <x v="1"/>
    <x v="1"/>
    <n v="0"/>
  </r>
  <r>
    <x v="1"/>
    <x v="1"/>
    <n v="1"/>
  </r>
  <r>
    <x v="1"/>
    <x v="1"/>
    <n v="0"/>
  </r>
  <r>
    <x v="0"/>
    <x v="0"/>
    <n v="0"/>
  </r>
  <r>
    <x v="0"/>
    <x v="0"/>
    <n v="0"/>
  </r>
  <r>
    <x v="1"/>
    <x v="1"/>
    <n v="0"/>
  </r>
  <r>
    <x v="1"/>
    <x v="1"/>
    <n v="0"/>
  </r>
  <r>
    <x v="0"/>
    <x v="0"/>
    <n v="0"/>
  </r>
  <r>
    <x v="1"/>
    <x v="1"/>
    <n v="0"/>
  </r>
  <r>
    <x v="0"/>
    <x v="0"/>
    <n v="0"/>
  </r>
  <r>
    <x v="1"/>
    <x v="1"/>
    <n v="0"/>
  </r>
  <r>
    <x v="1"/>
    <x v="1"/>
    <n v="0"/>
  </r>
  <r>
    <x v="0"/>
    <x v="0"/>
    <n v="0"/>
  </r>
  <r>
    <x v="1"/>
    <x v="1"/>
    <n v="0"/>
  </r>
  <r>
    <x v="0"/>
    <x v="0"/>
    <n v="1"/>
  </r>
  <r>
    <x v="0"/>
    <x v="0"/>
    <n v="0"/>
  </r>
  <r>
    <x v="1"/>
    <x v="1"/>
    <n v="0"/>
  </r>
  <r>
    <x v="0"/>
    <x v="0"/>
    <n v="0"/>
  </r>
  <r>
    <x v="0"/>
    <x v="0"/>
    <n v="0"/>
  </r>
  <r>
    <x v="0"/>
    <x v="0"/>
    <n v="0"/>
  </r>
  <r>
    <x v="1"/>
    <x v="1"/>
    <n v="0"/>
  </r>
  <r>
    <x v="1"/>
    <x v="1"/>
    <n v="0"/>
  </r>
  <r>
    <x v="0"/>
    <x v="0"/>
    <n v="0"/>
  </r>
  <r>
    <x v="1"/>
    <x v="1"/>
    <n v="0"/>
  </r>
  <r>
    <x v="1"/>
    <x v="1"/>
    <n v="0"/>
  </r>
  <r>
    <x v="1"/>
    <x v="1"/>
    <n v="0"/>
  </r>
  <r>
    <x v="0"/>
    <x v="0"/>
    <n v="0"/>
  </r>
  <r>
    <x v="1"/>
    <x v="1"/>
    <n v="0"/>
  </r>
  <r>
    <x v="0"/>
    <x v="0"/>
    <n v="0"/>
  </r>
  <r>
    <x v="0"/>
    <x v="0"/>
    <n v="0"/>
  </r>
  <r>
    <x v="1"/>
    <x v="1"/>
    <n v="0"/>
  </r>
  <r>
    <x v="0"/>
    <x v="0"/>
    <n v="0"/>
  </r>
  <r>
    <x v="1"/>
    <x v="1"/>
    <n v="0"/>
  </r>
  <r>
    <x v="0"/>
    <x v="0"/>
    <n v="0"/>
  </r>
  <r>
    <x v="0"/>
    <x v="0"/>
    <n v="0"/>
  </r>
  <r>
    <x v="0"/>
    <x v="0"/>
    <n v="0"/>
  </r>
  <r>
    <x v="1"/>
    <x v="1"/>
    <n v="0"/>
  </r>
  <r>
    <x v="0"/>
    <x v="0"/>
    <n v="0"/>
  </r>
  <r>
    <x v="1"/>
    <x v="1"/>
    <n v="0"/>
  </r>
  <r>
    <x v="1"/>
    <x v="1"/>
    <n v="0"/>
  </r>
  <r>
    <x v="0"/>
    <x v="0"/>
    <n v="0"/>
  </r>
  <r>
    <x v="1"/>
    <x v="1"/>
    <n v="0"/>
  </r>
  <r>
    <x v="1"/>
    <x v="1"/>
    <n v="0"/>
  </r>
  <r>
    <x v="1"/>
    <x v="1"/>
    <n v="0"/>
  </r>
  <r>
    <x v="1"/>
    <x v="1"/>
    <n v="0"/>
  </r>
  <r>
    <x v="1"/>
    <x v="1"/>
    <n v="0"/>
  </r>
  <r>
    <x v="0"/>
    <x v="0"/>
    <n v="0"/>
  </r>
  <r>
    <x v="0"/>
    <x v="0"/>
    <n v="0"/>
  </r>
  <r>
    <x v="1"/>
    <x v="1"/>
    <n v="0"/>
  </r>
  <r>
    <x v="1"/>
    <x v="1"/>
    <n v="0"/>
  </r>
  <r>
    <x v="1"/>
    <x v="1"/>
    <n v="0"/>
  </r>
  <r>
    <x v="1"/>
    <x v="1"/>
    <n v="0"/>
  </r>
  <r>
    <x v="1"/>
    <x v="1"/>
    <n v="0"/>
  </r>
  <r>
    <x v="1"/>
    <x v="1"/>
    <n v="0"/>
  </r>
  <r>
    <x v="1"/>
    <x v="1"/>
    <n v="0"/>
  </r>
  <r>
    <x v="0"/>
    <x v="0"/>
    <n v="0"/>
  </r>
  <r>
    <x v="0"/>
    <x v="0"/>
    <n v="0"/>
  </r>
  <r>
    <x v="1"/>
    <x v="1"/>
    <n v="0"/>
  </r>
  <r>
    <x v="0"/>
    <x v="0"/>
    <n v="0"/>
  </r>
  <r>
    <x v="0"/>
    <x v="0"/>
    <n v="0"/>
  </r>
  <r>
    <x v="1"/>
    <x v="1"/>
    <n v="0"/>
  </r>
  <r>
    <x v="0"/>
    <x v="0"/>
    <n v="0"/>
  </r>
  <r>
    <x v="0"/>
    <x v="0"/>
    <n v="0"/>
  </r>
  <r>
    <x v="0"/>
    <x v="0"/>
    <n v="0"/>
  </r>
  <r>
    <x v="1"/>
    <x v="1"/>
    <n v="0"/>
  </r>
  <r>
    <x v="1"/>
    <x v="1"/>
    <n v="0"/>
  </r>
  <r>
    <x v="1"/>
    <x v="1"/>
    <n v="0"/>
  </r>
  <r>
    <x v="1"/>
    <x v="1"/>
    <n v="0"/>
  </r>
  <r>
    <x v="1"/>
    <x v="1"/>
    <n v="0"/>
  </r>
  <r>
    <x v="1"/>
    <x v="1"/>
    <n v="1"/>
  </r>
  <r>
    <x v="0"/>
    <x v="0"/>
    <n v="0"/>
  </r>
  <r>
    <x v="0"/>
    <x v="0"/>
    <n v="0"/>
  </r>
  <r>
    <x v="0"/>
    <x v="0"/>
    <n v="0"/>
  </r>
  <r>
    <x v="0"/>
    <x v="0"/>
    <n v="0"/>
  </r>
  <r>
    <x v="1"/>
    <x v="1"/>
    <n v="0"/>
  </r>
  <r>
    <x v="1"/>
    <x v="1"/>
    <n v="0"/>
  </r>
  <r>
    <x v="1"/>
    <x v="1"/>
    <n v="0"/>
  </r>
  <r>
    <x v="1"/>
    <x v="1"/>
    <n v="0"/>
  </r>
  <r>
    <x v="1"/>
    <x v="1"/>
    <n v="0"/>
  </r>
  <r>
    <x v="1"/>
    <x v="1"/>
    <n v="0"/>
  </r>
  <r>
    <x v="0"/>
    <x v="0"/>
    <n v="1"/>
  </r>
  <r>
    <x v="1"/>
    <x v="1"/>
    <n v="0"/>
  </r>
  <r>
    <x v="0"/>
    <x v="0"/>
    <n v="0"/>
  </r>
  <r>
    <x v="1"/>
    <x v="1"/>
    <n v="0"/>
  </r>
  <r>
    <x v="1"/>
    <x v="1"/>
    <n v="0"/>
  </r>
  <r>
    <x v="0"/>
    <x v="0"/>
    <n v="0"/>
  </r>
  <r>
    <x v="1"/>
    <x v="1"/>
    <n v="0"/>
  </r>
  <r>
    <x v="1"/>
    <x v="1"/>
    <n v="0"/>
  </r>
  <r>
    <x v="1"/>
    <x v="1"/>
    <n v="1"/>
  </r>
  <r>
    <x v="1"/>
    <x v="1"/>
    <n v="0"/>
  </r>
  <r>
    <x v="1"/>
    <x v="1"/>
    <n v="0"/>
  </r>
  <r>
    <x v="1"/>
    <x v="1"/>
    <n v="0"/>
  </r>
  <r>
    <x v="0"/>
    <x v="0"/>
    <n v="0"/>
  </r>
  <r>
    <x v="1"/>
    <x v="1"/>
    <n v="0"/>
  </r>
  <r>
    <x v="1"/>
    <x v="1"/>
    <n v="0"/>
  </r>
  <r>
    <x v="0"/>
    <x v="0"/>
    <n v="0"/>
  </r>
  <r>
    <x v="1"/>
    <x v="1"/>
    <n v="0"/>
  </r>
  <r>
    <x v="0"/>
    <x v="0"/>
    <n v="0"/>
  </r>
  <r>
    <x v="1"/>
    <x v="1"/>
    <n v="0"/>
  </r>
  <r>
    <x v="0"/>
    <x v="0"/>
    <n v="0"/>
  </r>
  <r>
    <x v="0"/>
    <x v="0"/>
    <n v="0"/>
  </r>
  <r>
    <x v="1"/>
    <x v="1"/>
    <n v="0"/>
  </r>
  <r>
    <x v="0"/>
    <x v="0"/>
    <n v="0"/>
  </r>
  <r>
    <x v="1"/>
    <x v="1"/>
    <n v="0"/>
  </r>
  <r>
    <x v="1"/>
    <x v="1"/>
    <n v="0"/>
  </r>
  <r>
    <x v="1"/>
    <x v="1"/>
    <n v="0"/>
  </r>
  <r>
    <x v="1"/>
    <x v="1"/>
    <n v="0"/>
  </r>
  <r>
    <x v="1"/>
    <x v="1"/>
    <n v="0"/>
  </r>
  <r>
    <x v="1"/>
    <x v="1"/>
    <n v="0"/>
  </r>
  <r>
    <x v="1"/>
    <x v="1"/>
    <n v="0"/>
  </r>
  <r>
    <x v="1"/>
    <x v="1"/>
    <n v="0"/>
  </r>
  <r>
    <x v="1"/>
    <x v="1"/>
    <n v="0"/>
  </r>
  <r>
    <x v="1"/>
    <x v="1"/>
    <n v="0"/>
  </r>
  <r>
    <x v="0"/>
    <x v="0"/>
    <n v="0"/>
  </r>
  <r>
    <x v="1"/>
    <x v="1"/>
    <n v="0"/>
  </r>
  <r>
    <x v="1"/>
    <x v="1"/>
    <n v="0"/>
  </r>
  <r>
    <x v="0"/>
    <x v="0"/>
    <n v="0"/>
  </r>
  <r>
    <x v="0"/>
    <x v="0"/>
    <n v="0"/>
  </r>
  <r>
    <x v="1"/>
    <x v="1"/>
    <n v="0"/>
  </r>
  <r>
    <x v="0"/>
    <x v="0"/>
    <n v="0"/>
  </r>
  <r>
    <x v="1"/>
    <x v="1"/>
    <n v="0"/>
  </r>
  <r>
    <x v="0"/>
    <x v="0"/>
    <n v="0"/>
  </r>
  <r>
    <x v="0"/>
    <x v="0"/>
    <n v="0"/>
  </r>
  <r>
    <x v="1"/>
    <x v="1"/>
    <n v="0"/>
  </r>
  <r>
    <x v="0"/>
    <x v="0"/>
    <n v="0"/>
  </r>
  <r>
    <x v="0"/>
    <x v="0"/>
    <n v="0"/>
  </r>
  <r>
    <x v="0"/>
    <x v="0"/>
    <n v="0"/>
  </r>
  <r>
    <x v="0"/>
    <x v="0"/>
    <n v="0"/>
  </r>
  <r>
    <x v="1"/>
    <x v="1"/>
    <n v="0"/>
  </r>
  <r>
    <x v="0"/>
    <x v="0"/>
    <n v="0"/>
  </r>
  <r>
    <x v="0"/>
    <x v="0"/>
    <n v="1"/>
  </r>
  <r>
    <x v="0"/>
    <x v="0"/>
    <n v="0"/>
  </r>
  <r>
    <x v="0"/>
    <x v="0"/>
    <n v="0"/>
  </r>
  <r>
    <x v="0"/>
    <x v="0"/>
    <n v="0"/>
  </r>
  <r>
    <x v="1"/>
    <x v="1"/>
    <n v="0"/>
  </r>
  <r>
    <x v="0"/>
    <x v="0"/>
    <n v="0"/>
  </r>
  <r>
    <x v="0"/>
    <x v="0"/>
    <n v="0"/>
  </r>
  <r>
    <x v="1"/>
    <x v="1"/>
    <n v="0"/>
  </r>
  <r>
    <x v="1"/>
    <x v="1"/>
    <n v="0"/>
  </r>
  <r>
    <x v="1"/>
    <x v="1"/>
    <n v="1"/>
  </r>
  <r>
    <x v="1"/>
    <x v="1"/>
    <n v="0"/>
  </r>
  <r>
    <x v="1"/>
    <x v="1"/>
    <n v="0"/>
  </r>
  <r>
    <x v="0"/>
    <x v="0"/>
    <n v="1"/>
  </r>
  <r>
    <x v="1"/>
    <x v="1"/>
    <n v="0"/>
  </r>
  <r>
    <x v="1"/>
    <x v="1"/>
    <n v="0"/>
  </r>
  <r>
    <x v="0"/>
    <x v="0"/>
    <n v="0"/>
  </r>
  <r>
    <x v="1"/>
    <x v="1"/>
    <n v="0"/>
  </r>
  <r>
    <x v="0"/>
    <x v="0"/>
    <n v="0"/>
  </r>
  <r>
    <x v="1"/>
    <x v="1"/>
    <n v="0"/>
  </r>
  <r>
    <x v="1"/>
    <x v="1"/>
    <n v="0"/>
  </r>
  <r>
    <x v="0"/>
    <x v="0"/>
    <n v="0"/>
  </r>
  <r>
    <x v="0"/>
    <x v="0"/>
    <n v="0"/>
  </r>
  <r>
    <x v="0"/>
    <x v="0"/>
    <n v="0"/>
  </r>
  <r>
    <x v="0"/>
    <x v="0"/>
    <n v="0"/>
  </r>
  <r>
    <x v="1"/>
    <x v="1"/>
    <n v="0"/>
  </r>
  <r>
    <x v="1"/>
    <x v="1"/>
    <n v="1"/>
  </r>
  <r>
    <x v="1"/>
    <x v="1"/>
    <n v="0"/>
  </r>
  <r>
    <x v="0"/>
    <x v="0"/>
    <n v="0"/>
  </r>
  <r>
    <x v="1"/>
    <x v="1"/>
    <n v="0"/>
  </r>
  <r>
    <x v="0"/>
    <x v="0"/>
    <n v="0"/>
  </r>
  <r>
    <x v="0"/>
    <x v="0"/>
    <n v="0"/>
  </r>
  <r>
    <x v="1"/>
    <x v="1"/>
    <n v="0"/>
  </r>
  <r>
    <x v="0"/>
    <x v="0"/>
    <n v="0"/>
  </r>
  <r>
    <x v="1"/>
    <x v="1"/>
    <n v="0"/>
  </r>
  <r>
    <x v="0"/>
    <x v="0"/>
    <n v="0"/>
  </r>
  <r>
    <x v="1"/>
    <x v="1"/>
    <n v="0"/>
  </r>
  <r>
    <x v="1"/>
    <x v="1"/>
    <n v="0"/>
  </r>
  <r>
    <x v="0"/>
    <x v="0"/>
    <n v="0"/>
  </r>
  <r>
    <x v="0"/>
    <x v="0"/>
    <n v="0"/>
  </r>
  <r>
    <x v="0"/>
    <x v="0"/>
    <n v="0"/>
  </r>
  <r>
    <x v="0"/>
    <x v="0"/>
    <n v="0"/>
  </r>
  <r>
    <x v="1"/>
    <x v="1"/>
    <n v="0"/>
  </r>
  <r>
    <x v="1"/>
    <x v="1"/>
    <n v="0"/>
  </r>
  <r>
    <x v="1"/>
    <x v="1"/>
    <n v="0"/>
  </r>
  <r>
    <x v="1"/>
    <x v="1"/>
    <n v="0"/>
  </r>
  <r>
    <x v="0"/>
    <x v="0"/>
    <n v="0"/>
  </r>
  <r>
    <x v="1"/>
    <x v="1"/>
    <n v="0"/>
  </r>
  <r>
    <x v="1"/>
    <x v="1"/>
    <n v="0"/>
  </r>
  <r>
    <x v="1"/>
    <x v="1"/>
    <n v="0"/>
  </r>
  <r>
    <x v="1"/>
    <x v="1"/>
    <n v="0"/>
  </r>
  <r>
    <x v="0"/>
    <x v="0"/>
    <n v="0"/>
  </r>
  <r>
    <x v="0"/>
    <x v="0"/>
    <n v="0"/>
  </r>
  <r>
    <x v="1"/>
    <x v="1"/>
    <n v="0"/>
  </r>
  <r>
    <x v="1"/>
    <x v="1"/>
    <n v="0"/>
  </r>
  <r>
    <x v="1"/>
    <x v="1"/>
    <n v="0"/>
  </r>
  <r>
    <x v="0"/>
    <x v="0"/>
    <n v="0"/>
  </r>
  <r>
    <x v="0"/>
    <x v="0"/>
    <n v="0"/>
  </r>
  <r>
    <x v="1"/>
    <x v="1"/>
    <n v="0"/>
  </r>
  <r>
    <x v="0"/>
    <x v="0"/>
    <n v="0"/>
  </r>
  <r>
    <x v="1"/>
    <x v="1"/>
    <n v="0"/>
  </r>
  <r>
    <x v="0"/>
    <x v="0"/>
    <n v="0"/>
  </r>
  <r>
    <x v="1"/>
    <x v="1"/>
    <n v="0"/>
  </r>
  <r>
    <x v="1"/>
    <x v="1"/>
    <n v="1"/>
  </r>
  <r>
    <x v="0"/>
    <x v="0"/>
    <n v="0"/>
  </r>
  <r>
    <x v="1"/>
    <x v="1"/>
    <n v="1"/>
  </r>
  <r>
    <x v="1"/>
    <x v="1"/>
    <n v="0"/>
  </r>
  <r>
    <x v="1"/>
    <x v="1"/>
    <n v="0"/>
  </r>
  <r>
    <x v="1"/>
    <x v="1"/>
    <n v="1"/>
  </r>
  <r>
    <x v="0"/>
    <x v="0"/>
    <n v="0"/>
  </r>
  <r>
    <x v="0"/>
    <x v="0"/>
    <n v="0"/>
  </r>
  <r>
    <x v="1"/>
    <x v="1"/>
    <n v="0"/>
  </r>
  <r>
    <x v="1"/>
    <x v="1"/>
    <n v="0"/>
  </r>
  <r>
    <x v="0"/>
    <x v="0"/>
    <n v="0"/>
  </r>
  <r>
    <x v="0"/>
    <x v="0"/>
    <n v="0"/>
  </r>
  <r>
    <x v="1"/>
    <x v="1"/>
    <n v="0"/>
  </r>
  <r>
    <x v="1"/>
    <x v="1"/>
    <n v="0"/>
  </r>
  <r>
    <x v="1"/>
    <x v="1"/>
    <n v="0"/>
  </r>
  <r>
    <x v="1"/>
    <x v="1"/>
    <n v="0"/>
  </r>
  <r>
    <x v="0"/>
    <x v="0"/>
    <n v="0"/>
  </r>
  <r>
    <x v="0"/>
    <x v="0"/>
    <n v="0"/>
  </r>
  <r>
    <x v="1"/>
    <x v="1"/>
    <n v="1"/>
  </r>
  <r>
    <x v="0"/>
    <x v="0"/>
    <n v="0"/>
  </r>
  <r>
    <x v="0"/>
    <x v="0"/>
    <n v="0"/>
  </r>
  <r>
    <x v="0"/>
    <x v="0"/>
    <n v="0"/>
  </r>
  <r>
    <x v="1"/>
    <x v="1"/>
    <n v="0"/>
  </r>
  <r>
    <x v="1"/>
    <x v="1"/>
    <n v="0"/>
  </r>
  <r>
    <x v="1"/>
    <x v="1"/>
    <n v="0"/>
  </r>
  <r>
    <x v="0"/>
    <x v="0"/>
    <n v="0"/>
  </r>
  <r>
    <x v="1"/>
    <x v="1"/>
    <n v="0"/>
  </r>
  <r>
    <x v="1"/>
    <x v="1"/>
    <n v="0"/>
  </r>
  <r>
    <x v="0"/>
    <x v="0"/>
    <n v="0"/>
  </r>
  <r>
    <x v="1"/>
    <x v="1"/>
    <n v="0"/>
  </r>
  <r>
    <x v="1"/>
    <x v="1"/>
    <n v="0"/>
  </r>
  <r>
    <x v="1"/>
    <x v="1"/>
    <n v="0"/>
  </r>
  <r>
    <x v="1"/>
    <x v="1"/>
    <n v="0"/>
  </r>
  <r>
    <x v="1"/>
    <x v="1"/>
    <n v="0"/>
  </r>
  <r>
    <x v="0"/>
    <x v="0"/>
    <n v="0"/>
  </r>
  <r>
    <x v="1"/>
    <x v="1"/>
    <n v="0"/>
  </r>
  <r>
    <x v="0"/>
    <x v="0"/>
    <n v="0"/>
  </r>
  <r>
    <x v="1"/>
    <x v="1"/>
    <n v="0"/>
  </r>
  <r>
    <x v="1"/>
    <x v="1"/>
    <n v="0"/>
  </r>
  <r>
    <x v="0"/>
    <x v="0"/>
    <n v="0"/>
  </r>
  <r>
    <x v="1"/>
    <x v="1"/>
    <n v="0"/>
  </r>
  <r>
    <x v="0"/>
    <x v="0"/>
    <n v="0"/>
  </r>
  <r>
    <x v="1"/>
    <x v="1"/>
    <n v="0"/>
  </r>
  <r>
    <x v="1"/>
    <x v="1"/>
    <n v="0"/>
  </r>
  <r>
    <x v="0"/>
    <x v="0"/>
    <n v="0"/>
  </r>
  <r>
    <x v="1"/>
    <x v="1"/>
    <n v="0"/>
  </r>
  <r>
    <x v="1"/>
    <x v="1"/>
    <n v="0"/>
  </r>
  <r>
    <x v="0"/>
    <x v="0"/>
    <n v="0"/>
  </r>
  <r>
    <x v="0"/>
    <x v="0"/>
    <n v="0"/>
  </r>
  <r>
    <x v="0"/>
    <x v="0"/>
    <n v="0"/>
  </r>
  <r>
    <x v="1"/>
    <x v="1"/>
    <n v="0"/>
  </r>
  <r>
    <x v="0"/>
    <x v="0"/>
    <n v="0"/>
  </r>
  <r>
    <x v="1"/>
    <x v="1"/>
    <n v="0"/>
  </r>
  <r>
    <x v="0"/>
    <x v="0"/>
    <n v="0"/>
  </r>
  <r>
    <x v="1"/>
    <x v="1"/>
    <n v="0"/>
  </r>
  <r>
    <x v="0"/>
    <x v="0"/>
    <n v="0"/>
  </r>
  <r>
    <x v="1"/>
    <x v="1"/>
    <n v="0"/>
  </r>
  <r>
    <x v="0"/>
    <x v="0"/>
    <n v="0"/>
  </r>
  <r>
    <x v="1"/>
    <x v="1"/>
    <n v="0"/>
  </r>
  <r>
    <x v="0"/>
    <x v="0"/>
    <n v="0"/>
  </r>
  <r>
    <x v="0"/>
    <x v="0"/>
    <n v="0"/>
  </r>
  <r>
    <x v="0"/>
    <x v="0"/>
    <n v="0"/>
  </r>
  <r>
    <x v="1"/>
    <x v="1"/>
    <n v="0"/>
  </r>
  <r>
    <x v="1"/>
    <x v="1"/>
    <n v="0"/>
  </r>
  <r>
    <x v="1"/>
    <x v="1"/>
    <n v="0"/>
  </r>
  <r>
    <x v="0"/>
    <x v="0"/>
    <n v="0"/>
  </r>
  <r>
    <x v="1"/>
    <x v="1"/>
    <n v="0"/>
  </r>
  <r>
    <x v="1"/>
    <x v="1"/>
    <n v="0"/>
  </r>
  <r>
    <x v="1"/>
    <x v="1"/>
    <n v="0"/>
  </r>
  <r>
    <x v="0"/>
    <x v="0"/>
    <n v="0"/>
  </r>
  <r>
    <x v="1"/>
    <x v="1"/>
    <n v="0"/>
  </r>
  <r>
    <x v="0"/>
    <x v="0"/>
    <n v="0"/>
  </r>
  <r>
    <x v="1"/>
    <x v="1"/>
    <n v="0"/>
  </r>
  <r>
    <x v="0"/>
    <x v="0"/>
    <n v="0"/>
  </r>
  <r>
    <x v="0"/>
    <x v="0"/>
    <n v="0"/>
  </r>
  <r>
    <x v="0"/>
    <x v="0"/>
    <n v="0"/>
  </r>
  <r>
    <x v="0"/>
    <x v="0"/>
    <n v="0"/>
  </r>
  <r>
    <x v="0"/>
    <x v="0"/>
    <n v="1"/>
  </r>
  <r>
    <x v="1"/>
    <x v="1"/>
    <n v="0"/>
  </r>
  <r>
    <x v="1"/>
    <x v="1"/>
    <n v="0"/>
  </r>
  <r>
    <x v="0"/>
    <x v="0"/>
    <n v="0"/>
  </r>
  <r>
    <x v="1"/>
    <x v="1"/>
    <n v="0"/>
  </r>
  <r>
    <x v="1"/>
    <x v="1"/>
    <n v="0"/>
  </r>
  <r>
    <x v="1"/>
    <x v="1"/>
    <n v="0"/>
  </r>
  <r>
    <x v="0"/>
    <x v="0"/>
    <n v="0"/>
  </r>
  <r>
    <x v="1"/>
    <x v="1"/>
    <n v="0"/>
  </r>
  <r>
    <x v="1"/>
    <x v="1"/>
    <n v="0"/>
  </r>
  <r>
    <x v="1"/>
    <x v="1"/>
    <n v="0"/>
  </r>
  <r>
    <x v="1"/>
    <x v="1"/>
    <n v="0"/>
  </r>
  <r>
    <x v="1"/>
    <x v="1"/>
    <n v="0"/>
  </r>
  <r>
    <x v="0"/>
    <x v="0"/>
    <n v="0"/>
  </r>
  <r>
    <x v="0"/>
    <x v="0"/>
    <n v="0"/>
  </r>
  <r>
    <x v="0"/>
    <x v="0"/>
    <n v="0"/>
  </r>
  <r>
    <x v="0"/>
    <x v="0"/>
    <n v="0"/>
  </r>
  <r>
    <x v="1"/>
    <x v="1"/>
    <n v="0"/>
  </r>
  <r>
    <x v="0"/>
    <x v="0"/>
    <n v="0"/>
  </r>
  <r>
    <x v="0"/>
    <x v="0"/>
    <n v="0"/>
  </r>
  <r>
    <x v="0"/>
    <x v="0"/>
    <n v="0"/>
  </r>
  <r>
    <x v="1"/>
    <x v="1"/>
    <n v="0"/>
  </r>
  <r>
    <x v="1"/>
    <x v="1"/>
    <n v="0"/>
  </r>
  <r>
    <x v="1"/>
    <x v="1"/>
    <n v="0"/>
  </r>
  <r>
    <x v="1"/>
    <x v="1"/>
    <n v="0"/>
  </r>
  <r>
    <x v="1"/>
    <x v="1"/>
    <n v="0"/>
  </r>
  <r>
    <x v="1"/>
    <x v="1"/>
    <n v="0"/>
  </r>
  <r>
    <x v="1"/>
    <x v="1"/>
    <n v="0"/>
  </r>
  <r>
    <x v="1"/>
    <x v="1"/>
    <n v="0"/>
  </r>
  <r>
    <x v="1"/>
    <x v="1"/>
    <n v="0"/>
  </r>
  <r>
    <x v="0"/>
    <x v="0"/>
    <n v="0"/>
  </r>
  <r>
    <x v="1"/>
    <x v="1"/>
    <n v="0"/>
  </r>
  <r>
    <x v="0"/>
    <x v="0"/>
    <n v="0"/>
  </r>
  <r>
    <x v="1"/>
    <x v="1"/>
    <n v="0"/>
  </r>
  <r>
    <x v="1"/>
    <x v="1"/>
    <n v="0"/>
  </r>
  <r>
    <x v="0"/>
    <x v="0"/>
    <n v="0"/>
  </r>
  <r>
    <x v="1"/>
    <x v="1"/>
    <n v="0"/>
  </r>
  <r>
    <x v="1"/>
    <x v="1"/>
    <n v="0"/>
  </r>
  <r>
    <x v="1"/>
    <x v="1"/>
    <n v="1"/>
  </r>
  <r>
    <x v="0"/>
    <x v="0"/>
    <n v="0"/>
  </r>
  <r>
    <x v="1"/>
    <x v="1"/>
    <n v="0"/>
  </r>
  <r>
    <x v="1"/>
    <x v="1"/>
    <n v="0"/>
  </r>
  <r>
    <x v="0"/>
    <x v="0"/>
    <n v="0"/>
  </r>
  <r>
    <x v="1"/>
    <x v="1"/>
    <n v="0"/>
  </r>
  <r>
    <x v="0"/>
    <x v="0"/>
    <n v="0"/>
  </r>
  <r>
    <x v="1"/>
    <x v="1"/>
    <n v="0"/>
  </r>
  <r>
    <x v="0"/>
    <x v="0"/>
    <n v="0"/>
  </r>
  <r>
    <x v="1"/>
    <x v="1"/>
    <n v="0"/>
  </r>
  <r>
    <x v="1"/>
    <x v="1"/>
    <n v="0"/>
  </r>
  <r>
    <x v="1"/>
    <x v="1"/>
    <n v="0"/>
  </r>
  <r>
    <x v="1"/>
    <x v="1"/>
    <n v="0"/>
  </r>
  <r>
    <x v="0"/>
    <x v="0"/>
    <n v="0"/>
  </r>
  <r>
    <x v="0"/>
    <x v="0"/>
    <n v="0"/>
  </r>
  <r>
    <x v="0"/>
    <x v="0"/>
    <n v="0"/>
  </r>
  <r>
    <x v="0"/>
    <x v="0"/>
    <n v="1"/>
  </r>
  <r>
    <x v="0"/>
    <x v="0"/>
    <n v="0"/>
  </r>
  <r>
    <x v="1"/>
    <x v="1"/>
    <n v="0"/>
  </r>
  <r>
    <x v="1"/>
    <x v="1"/>
    <n v="0"/>
  </r>
  <r>
    <x v="0"/>
    <x v="0"/>
    <n v="1"/>
  </r>
  <r>
    <x v="0"/>
    <x v="0"/>
    <n v="0"/>
  </r>
  <r>
    <x v="0"/>
    <x v="0"/>
    <n v="0"/>
  </r>
  <r>
    <x v="0"/>
    <x v="0"/>
    <n v="0"/>
  </r>
  <r>
    <x v="0"/>
    <x v="0"/>
    <n v="0"/>
  </r>
  <r>
    <x v="1"/>
    <x v="1"/>
    <n v="0"/>
  </r>
  <r>
    <x v="0"/>
    <x v="0"/>
    <n v="0"/>
  </r>
  <r>
    <x v="1"/>
    <x v="1"/>
    <n v="0"/>
  </r>
  <r>
    <x v="0"/>
    <x v="0"/>
    <n v="0"/>
  </r>
  <r>
    <x v="1"/>
    <x v="1"/>
    <n v="0"/>
  </r>
  <r>
    <x v="0"/>
    <x v="0"/>
    <n v="1"/>
  </r>
  <r>
    <x v="0"/>
    <x v="0"/>
    <n v="0"/>
  </r>
  <r>
    <x v="1"/>
    <x v="1"/>
    <n v="0"/>
  </r>
  <r>
    <x v="1"/>
    <x v="1"/>
    <n v="0"/>
  </r>
  <r>
    <x v="0"/>
    <x v="0"/>
    <n v="0"/>
  </r>
  <r>
    <x v="1"/>
    <x v="1"/>
    <n v="0"/>
  </r>
  <r>
    <x v="0"/>
    <x v="0"/>
    <n v="0"/>
  </r>
  <r>
    <x v="1"/>
    <x v="1"/>
    <n v="0"/>
  </r>
  <r>
    <x v="1"/>
    <x v="1"/>
    <n v="0"/>
  </r>
  <r>
    <x v="0"/>
    <x v="0"/>
    <n v="0"/>
  </r>
  <r>
    <x v="0"/>
    <x v="0"/>
    <n v="0"/>
  </r>
  <r>
    <x v="1"/>
    <x v="1"/>
    <n v="0"/>
  </r>
  <r>
    <x v="1"/>
    <x v="1"/>
    <n v="0"/>
  </r>
  <r>
    <x v="1"/>
    <x v="1"/>
    <n v="0"/>
  </r>
  <r>
    <x v="1"/>
    <x v="1"/>
    <n v="0"/>
  </r>
  <r>
    <x v="0"/>
    <x v="0"/>
    <n v="0"/>
  </r>
  <r>
    <x v="0"/>
    <x v="0"/>
    <n v="0"/>
  </r>
  <r>
    <x v="0"/>
    <x v="0"/>
    <n v="0"/>
  </r>
  <r>
    <x v="0"/>
    <x v="0"/>
    <n v="0"/>
  </r>
  <r>
    <x v="0"/>
    <x v="0"/>
    <n v="0"/>
  </r>
  <r>
    <x v="1"/>
    <x v="1"/>
    <n v="1"/>
  </r>
  <r>
    <x v="0"/>
    <x v="0"/>
    <n v="0"/>
  </r>
  <r>
    <x v="1"/>
    <x v="1"/>
    <n v="0"/>
  </r>
  <r>
    <x v="1"/>
    <x v="1"/>
    <n v="0"/>
  </r>
  <r>
    <x v="1"/>
    <x v="1"/>
    <n v="0"/>
  </r>
  <r>
    <x v="0"/>
    <x v="0"/>
    <n v="0"/>
  </r>
  <r>
    <x v="0"/>
    <x v="0"/>
    <n v="0"/>
  </r>
  <r>
    <x v="0"/>
    <x v="0"/>
    <n v="0"/>
  </r>
  <r>
    <x v="1"/>
    <x v="1"/>
    <n v="0"/>
  </r>
  <r>
    <x v="1"/>
    <x v="1"/>
    <n v="0"/>
  </r>
  <r>
    <x v="0"/>
    <x v="0"/>
    <n v="0"/>
  </r>
  <r>
    <x v="0"/>
    <x v="0"/>
    <n v="0"/>
  </r>
  <r>
    <x v="0"/>
    <x v="0"/>
    <n v="0"/>
  </r>
  <r>
    <x v="1"/>
    <x v="1"/>
    <n v="0"/>
  </r>
  <r>
    <x v="0"/>
    <x v="0"/>
    <n v="0"/>
  </r>
  <r>
    <x v="1"/>
    <x v="1"/>
    <n v="0"/>
  </r>
  <r>
    <x v="0"/>
    <x v="0"/>
    <n v="0"/>
  </r>
  <r>
    <x v="0"/>
    <x v="0"/>
    <n v="0"/>
  </r>
  <r>
    <x v="1"/>
    <x v="1"/>
    <n v="0"/>
  </r>
  <r>
    <x v="1"/>
    <x v="1"/>
    <n v="0"/>
  </r>
  <r>
    <x v="1"/>
    <x v="1"/>
    <n v="0"/>
  </r>
  <r>
    <x v="1"/>
    <x v="1"/>
    <n v="0"/>
  </r>
  <r>
    <x v="1"/>
    <x v="1"/>
    <n v="0"/>
  </r>
  <r>
    <x v="0"/>
    <x v="0"/>
    <n v="0"/>
  </r>
  <r>
    <x v="0"/>
    <x v="0"/>
    <n v="0"/>
  </r>
  <r>
    <x v="1"/>
    <x v="1"/>
    <n v="0"/>
  </r>
  <r>
    <x v="1"/>
    <x v="1"/>
    <n v="0"/>
  </r>
  <r>
    <x v="1"/>
    <x v="1"/>
    <n v="0"/>
  </r>
  <r>
    <x v="0"/>
    <x v="0"/>
    <n v="0"/>
  </r>
  <r>
    <x v="0"/>
    <x v="0"/>
    <n v="0"/>
  </r>
  <r>
    <x v="0"/>
    <x v="0"/>
    <n v="0"/>
  </r>
  <r>
    <x v="0"/>
    <x v="0"/>
    <n v="0"/>
  </r>
  <r>
    <x v="1"/>
    <x v="1"/>
    <n v="0"/>
  </r>
  <r>
    <x v="0"/>
    <x v="0"/>
    <n v="0"/>
  </r>
  <r>
    <x v="1"/>
    <x v="1"/>
    <n v="0"/>
  </r>
  <r>
    <x v="1"/>
    <x v="1"/>
    <n v="0"/>
  </r>
  <r>
    <x v="0"/>
    <x v="0"/>
    <n v="0"/>
  </r>
  <r>
    <x v="0"/>
    <x v="0"/>
    <n v="0"/>
  </r>
  <r>
    <x v="0"/>
    <x v="0"/>
    <n v="0"/>
  </r>
  <r>
    <x v="0"/>
    <x v="0"/>
    <n v="0"/>
  </r>
  <r>
    <x v="0"/>
    <x v="0"/>
    <n v="1"/>
  </r>
  <r>
    <x v="1"/>
    <x v="1"/>
    <n v="1"/>
  </r>
  <r>
    <x v="0"/>
    <x v="0"/>
    <n v="0"/>
  </r>
  <r>
    <x v="0"/>
    <x v="0"/>
    <n v="0"/>
  </r>
  <r>
    <x v="1"/>
    <x v="1"/>
    <n v="0"/>
  </r>
  <r>
    <x v="1"/>
    <x v="1"/>
    <n v="0"/>
  </r>
  <r>
    <x v="0"/>
    <x v="0"/>
    <n v="0"/>
  </r>
  <r>
    <x v="1"/>
    <x v="1"/>
    <n v="0"/>
  </r>
  <r>
    <x v="0"/>
    <x v="0"/>
    <n v="0"/>
  </r>
  <r>
    <x v="1"/>
    <x v="1"/>
    <n v="0"/>
  </r>
  <r>
    <x v="1"/>
    <x v="1"/>
    <n v="0"/>
  </r>
  <r>
    <x v="0"/>
    <x v="0"/>
    <n v="0"/>
  </r>
  <r>
    <x v="1"/>
    <x v="1"/>
    <n v="0"/>
  </r>
  <r>
    <x v="1"/>
    <x v="1"/>
    <n v="0"/>
  </r>
  <r>
    <x v="1"/>
    <x v="1"/>
    <n v="0"/>
  </r>
  <r>
    <x v="1"/>
    <x v="1"/>
    <n v="0"/>
  </r>
  <r>
    <x v="0"/>
    <x v="0"/>
    <n v="0"/>
  </r>
  <r>
    <x v="1"/>
    <x v="1"/>
    <n v="0"/>
  </r>
  <r>
    <x v="1"/>
    <x v="1"/>
    <n v="0"/>
  </r>
  <r>
    <x v="0"/>
    <x v="0"/>
    <n v="0"/>
  </r>
  <r>
    <x v="0"/>
    <x v="0"/>
    <n v="0"/>
  </r>
  <r>
    <x v="0"/>
    <x v="0"/>
    <n v="0"/>
  </r>
  <r>
    <x v="1"/>
    <x v="1"/>
    <n v="0"/>
  </r>
  <r>
    <x v="0"/>
    <x v="0"/>
    <n v="0"/>
  </r>
  <r>
    <x v="1"/>
    <x v="1"/>
    <n v="0"/>
  </r>
  <r>
    <x v="1"/>
    <x v="1"/>
    <n v="1"/>
  </r>
  <r>
    <x v="1"/>
    <x v="1"/>
    <n v="0"/>
  </r>
  <r>
    <x v="0"/>
    <x v="0"/>
    <n v="0"/>
  </r>
  <r>
    <x v="1"/>
    <x v="1"/>
    <n v="0"/>
  </r>
  <r>
    <x v="1"/>
    <x v="1"/>
    <n v="0"/>
  </r>
  <r>
    <x v="1"/>
    <x v="1"/>
    <n v="0"/>
  </r>
  <r>
    <x v="1"/>
    <x v="1"/>
    <n v="0"/>
  </r>
  <r>
    <x v="0"/>
    <x v="0"/>
    <n v="0"/>
  </r>
  <r>
    <x v="1"/>
    <x v="1"/>
    <n v="0"/>
  </r>
  <r>
    <x v="0"/>
    <x v="0"/>
    <n v="0"/>
  </r>
  <r>
    <x v="0"/>
    <x v="0"/>
    <n v="0"/>
  </r>
  <r>
    <x v="1"/>
    <x v="1"/>
    <n v="0"/>
  </r>
  <r>
    <x v="0"/>
    <x v="0"/>
    <n v="0"/>
  </r>
  <r>
    <x v="0"/>
    <x v="0"/>
    <n v="0"/>
  </r>
  <r>
    <x v="1"/>
    <x v="1"/>
    <n v="0"/>
  </r>
  <r>
    <x v="0"/>
    <x v="0"/>
    <n v="0"/>
  </r>
  <r>
    <x v="1"/>
    <x v="1"/>
    <n v="0"/>
  </r>
  <r>
    <x v="0"/>
    <x v="0"/>
    <n v="0"/>
  </r>
  <r>
    <x v="1"/>
    <x v="1"/>
    <n v="0"/>
  </r>
  <r>
    <x v="0"/>
    <x v="0"/>
    <n v="0"/>
  </r>
  <r>
    <x v="1"/>
    <x v="1"/>
    <n v="0"/>
  </r>
  <r>
    <x v="0"/>
    <x v="0"/>
    <n v="0"/>
  </r>
  <r>
    <x v="0"/>
    <x v="0"/>
    <n v="0"/>
  </r>
  <r>
    <x v="0"/>
    <x v="0"/>
    <n v="0"/>
  </r>
  <r>
    <x v="1"/>
    <x v="1"/>
    <n v="0"/>
  </r>
  <r>
    <x v="1"/>
    <x v="1"/>
    <n v="0"/>
  </r>
  <r>
    <x v="1"/>
    <x v="1"/>
    <n v="0"/>
  </r>
  <r>
    <x v="0"/>
    <x v="0"/>
    <n v="0"/>
  </r>
  <r>
    <x v="1"/>
    <x v="1"/>
    <n v="0"/>
  </r>
  <r>
    <x v="1"/>
    <x v="1"/>
    <n v="0"/>
  </r>
  <r>
    <x v="0"/>
    <x v="0"/>
    <n v="1"/>
  </r>
  <r>
    <x v="1"/>
    <x v="1"/>
    <n v="0"/>
  </r>
  <r>
    <x v="1"/>
    <x v="1"/>
    <n v="0"/>
  </r>
  <r>
    <x v="1"/>
    <x v="1"/>
    <n v="0"/>
  </r>
  <r>
    <x v="0"/>
    <x v="0"/>
    <n v="0"/>
  </r>
  <r>
    <x v="0"/>
    <x v="0"/>
    <n v="0"/>
  </r>
  <r>
    <x v="0"/>
    <x v="0"/>
    <n v="0"/>
  </r>
  <r>
    <x v="0"/>
    <x v="0"/>
    <n v="0"/>
  </r>
  <r>
    <x v="0"/>
    <x v="0"/>
    <n v="0"/>
  </r>
  <r>
    <x v="1"/>
    <x v="1"/>
    <n v="0"/>
  </r>
  <r>
    <x v="0"/>
    <x v="0"/>
    <n v="0"/>
  </r>
  <r>
    <x v="0"/>
    <x v="0"/>
    <n v="0"/>
  </r>
  <r>
    <x v="0"/>
    <x v="0"/>
    <n v="0"/>
  </r>
  <r>
    <x v="0"/>
    <x v="0"/>
    <n v="0"/>
  </r>
  <r>
    <x v="1"/>
    <x v="1"/>
    <n v="0"/>
  </r>
  <r>
    <x v="0"/>
    <x v="0"/>
    <n v="0"/>
  </r>
  <r>
    <x v="1"/>
    <x v="1"/>
    <n v="0"/>
  </r>
  <r>
    <x v="0"/>
    <x v="0"/>
    <n v="0"/>
  </r>
  <r>
    <x v="0"/>
    <x v="0"/>
    <n v="0"/>
  </r>
  <r>
    <x v="1"/>
    <x v="1"/>
    <n v="0"/>
  </r>
  <r>
    <x v="1"/>
    <x v="1"/>
    <n v="0"/>
  </r>
  <r>
    <x v="0"/>
    <x v="0"/>
    <n v="0"/>
  </r>
  <r>
    <x v="1"/>
    <x v="1"/>
    <n v="0"/>
  </r>
  <r>
    <x v="0"/>
    <x v="0"/>
    <n v="0"/>
  </r>
  <r>
    <x v="0"/>
    <x v="0"/>
    <n v="0"/>
  </r>
  <r>
    <x v="1"/>
    <x v="1"/>
    <n v="0"/>
  </r>
  <r>
    <x v="0"/>
    <x v="0"/>
    <n v="0"/>
  </r>
  <r>
    <x v="1"/>
    <x v="1"/>
    <n v="0"/>
  </r>
  <r>
    <x v="0"/>
    <x v="0"/>
    <n v="0"/>
  </r>
  <r>
    <x v="0"/>
    <x v="0"/>
    <n v="0"/>
  </r>
  <r>
    <x v="1"/>
    <x v="1"/>
    <n v="0"/>
  </r>
  <r>
    <x v="0"/>
    <x v="0"/>
    <n v="0"/>
  </r>
  <r>
    <x v="0"/>
    <x v="0"/>
    <n v="0"/>
  </r>
  <r>
    <x v="0"/>
    <x v="0"/>
    <n v="0"/>
  </r>
  <r>
    <x v="0"/>
    <x v="0"/>
    <n v="0"/>
  </r>
  <r>
    <x v="1"/>
    <x v="1"/>
    <n v="0"/>
  </r>
  <r>
    <x v="0"/>
    <x v="0"/>
    <n v="0"/>
  </r>
  <r>
    <x v="1"/>
    <x v="1"/>
    <n v="0"/>
  </r>
  <r>
    <x v="1"/>
    <x v="1"/>
    <n v="0"/>
  </r>
  <r>
    <x v="1"/>
    <x v="1"/>
    <n v="0"/>
  </r>
  <r>
    <x v="1"/>
    <x v="1"/>
    <n v="0"/>
  </r>
  <r>
    <x v="0"/>
    <x v="0"/>
    <n v="0"/>
  </r>
  <r>
    <x v="1"/>
    <x v="1"/>
    <n v="0"/>
  </r>
  <r>
    <x v="1"/>
    <x v="1"/>
    <n v="0"/>
  </r>
  <r>
    <x v="1"/>
    <x v="1"/>
    <n v="0"/>
  </r>
  <r>
    <x v="0"/>
    <x v="0"/>
    <n v="0"/>
  </r>
  <r>
    <x v="0"/>
    <x v="0"/>
    <n v="0"/>
  </r>
  <r>
    <x v="1"/>
    <x v="1"/>
    <n v="0"/>
  </r>
  <r>
    <x v="0"/>
    <x v="0"/>
    <n v="0"/>
  </r>
  <r>
    <x v="1"/>
    <x v="1"/>
    <n v="0"/>
  </r>
  <r>
    <x v="1"/>
    <x v="1"/>
    <n v="0"/>
  </r>
  <r>
    <x v="1"/>
    <x v="1"/>
    <n v="0"/>
  </r>
  <r>
    <x v="0"/>
    <x v="0"/>
    <n v="0"/>
  </r>
  <r>
    <x v="0"/>
    <x v="0"/>
    <n v="0"/>
  </r>
  <r>
    <x v="1"/>
    <x v="1"/>
    <n v="0"/>
  </r>
  <r>
    <x v="0"/>
    <x v="0"/>
    <n v="0"/>
  </r>
  <r>
    <x v="1"/>
    <x v="1"/>
    <n v="0"/>
  </r>
  <r>
    <x v="0"/>
    <x v="0"/>
    <n v="0"/>
  </r>
  <r>
    <x v="0"/>
    <x v="0"/>
    <n v="0"/>
  </r>
  <r>
    <x v="1"/>
    <x v="1"/>
    <n v="0"/>
  </r>
  <r>
    <x v="0"/>
    <x v="0"/>
    <n v="0"/>
  </r>
  <r>
    <x v="1"/>
    <x v="1"/>
    <n v="0"/>
  </r>
  <r>
    <x v="0"/>
    <x v="0"/>
    <n v="0"/>
  </r>
  <r>
    <x v="1"/>
    <x v="1"/>
    <n v="0"/>
  </r>
  <r>
    <x v="1"/>
    <x v="1"/>
    <n v="0"/>
  </r>
  <r>
    <x v="0"/>
    <x v="0"/>
    <n v="0"/>
  </r>
  <r>
    <x v="0"/>
    <x v="0"/>
    <n v="1"/>
  </r>
  <r>
    <x v="0"/>
    <x v="0"/>
    <n v="0"/>
  </r>
  <r>
    <x v="1"/>
    <x v="1"/>
    <n v="0"/>
  </r>
  <r>
    <x v="1"/>
    <x v="1"/>
    <n v="0"/>
  </r>
  <r>
    <x v="1"/>
    <x v="1"/>
    <n v="0"/>
  </r>
  <r>
    <x v="1"/>
    <x v="1"/>
    <n v="0"/>
  </r>
  <r>
    <x v="1"/>
    <x v="1"/>
    <n v="0"/>
  </r>
  <r>
    <x v="1"/>
    <x v="1"/>
    <n v="1"/>
  </r>
  <r>
    <x v="1"/>
    <x v="1"/>
    <n v="0"/>
  </r>
  <r>
    <x v="0"/>
    <x v="0"/>
    <n v="0"/>
  </r>
  <r>
    <x v="1"/>
    <x v="1"/>
    <n v="0"/>
  </r>
  <r>
    <x v="1"/>
    <x v="1"/>
    <n v="0"/>
  </r>
  <r>
    <x v="1"/>
    <x v="1"/>
    <n v="0"/>
  </r>
  <r>
    <x v="0"/>
    <x v="0"/>
    <n v="0"/>
  </r>
  <r>
    <x v="0"/>
    <x v="0"/>
    <n v="0"/>
  </r>
  <r>
    <x v="1"/>
    <x v="1"/>
    <n v="0"/>
  </r>
  <r>
    <x v="1"/>
    <x v="1"/>
    <n v="0"/>
  </r>
  <r>
    <x v="1"/>
    <x v="1"/>
    <n v="0"/>
  </r>
  <r>
    <x v="0"/>
    <x v="0"/>
    <n v="0"/>
  </r>
  <r>
    <x v="0"/>
    <x v="0"/>
    <n v="0"/>
  </r>
  <r>
    <x v="0"/>
    <x v="0"/>
    <n v="0"/>
  </r>
  <r>
    <x v="1"/>
    <x v="1"/>
    <n v="0"/>
  </r>
  <r>
    <x v="1"/>
    <x v="1"/>
    <n v="0"/>
  </r>
  <r>
    <x v="0"/>
    <x v="0"/>
    <n v="0"/>
  </r>
  <r>
    <x v="1"/>
    <x v="1"/>
    <n v="0"/>
  </r>
  <r>
    <x v="1"/>
    <x v="1"/>
    <n v="0"/>
  </r>
  <r>
    <x v="0"/>
    <x v="0"/>
    <n v="0"/>
  </r>
  <r>
    <x v="0"/>
    <x v="0"/>
    <n v="0"/>
  </r>
  <r>
    <x v="1"/>
    <x v="1"/>
    <n v="0"/>
  </r>
  <r>
    <x v="0"/>
    <x v="0"/>
    <n v="0"/>
  </r>
  <r>
    <x v="0"/>
    <x v="0"/>
    <n v="0"/>
  </r>
  <r>
    <x v="1"/>
    <x v="1"/>
    <n v="0"/>
  </r>
  <r>
    <x v="1"/>
    <x v="1"/>
    <n v="0"/>
  </r>
  <r>
    <x v="0"/>
    <x v="0"/>
    <n v="0"/>
  </r>
  <r>
    <x v="1"/>
    <x v="1"/>
    <n v="0"/>
  </r>
  <r>
    <x v="1"/>
    <x v="1"/>
    <n v="0"/>
  </r>
  <r>
    <x v="0"/>
    <x v="0"/>
    <n v="0"/>
  </r>
  <r>
    <x v="1"/>
    <x v="1"/>
    <n v="0"/>
  </r>
  <r>
    <x v="1"/>
    <x v="1"/>
    <n v="0"/>
  </r>
  <r>
    <x v="1"/>
    <x v="1"/>
    <n v="0"/>
  </r>
  <r>
    <x v="1"/>
    <x v="1"/>
    <n v="0"/>
  </r>
  <r>
    <x v="1"/>
    <x v="1"/>
    <n v="0"/>
  </r>
  <r>
    <x v="0"/>
    <x v="0"/>
    <n v="0"/>
  </r>
  <r>
    <x v="1"/>
    <x v="1"/>
    <n v="0"/>
  </r>
  <r>
    <x v="0"/>
    <x v="0"/>
    <n v="0"/>
  </r>
  <r>
    <x v="1"/>
    <x v="1"/>
    <n v="0"/>
  </r>
  <r>
    <x v="0"/>
    <x v="0"/>
    <n v="0"/>
  </r>
  <r>
    <x v="0"/>
    <x v="0"/>
    <n v="0"/>
  </r>
  <r>
    <x v="0"/>
    <x v="0"/>
    <n v="0"/>
  </r>
  <r>
    <x v="0"/>
    <x v="0"/>
    <n v="0"/>
  </r>
  <r>
    <x v="1"/>
    <x v="1"/>
    <n v="0"/>
  </r>
  <r>
    <x v="1"/>
    <x v="1"/>
    <n v="0"/>
  </r>
  <r>
    <x v="1"/>
    <x v="1"/>
    <n v="0"/>
  </r>
  <r>
    <x v="0"/>
    <x v="0"/>
    <n v="0"/>
  </r>
  <r>
    <x v="1"/>
    <x v="1"/>
    <n v="0"/>
  </r>
  <r>
    <x v="1"/>
    <x v="1"/>
    <n v="0"/>
  </r>
  <r>
    <x v="1"/>
    <x v="1"/>
    <n v="0"/>
  </r>
  <r>
    <x v="1"/>
    <x v="1"/>
    <n v="0"/>
  </r>
  <r>
    <x v="1"/>
    <x v="1"/>
    <n v="0"/>
  </r>
  <r>
    <x v="0"/>
    <x v="0"/>
    <n v="0"/>
  </r>
  <r>
    <x v="0"/>
    <x v="0"/>
    <n v="0"/>
  </r>
  <r>
    <x v="0"/>
    <x v="0"/>
    <n v="0"/>
  </r>
  <r>
    <x v="0"/>
    <x v="0"/>
    <n v="0"/>
  </r>
  <r>
    <x v="1"/>
    <x v="1"/>
    <n v="0"/>
  </r>
  <r>
    <x v="1"/>
    <x v="1"/>
    <n v="0"/>
  </r>
  <r>
    <x v="1"/>
    <x v="1"/>
    <n v="1"/>
  </r>
  <r>
    <x v="0"/>
    <x v="0"/>
    <n v="0"/>
  </r>
  <r>
    <x v="1"/>
    <x v="1"/>
    <n v="0"/>
  </r>
  <r>
    <x v="0"/>
    <x v="0"/>
    <n v="0"/>
  </r>
  <r>
    <x v="1"/>
    <x v="1"/>
    <n v="0"/>
  </r>
  <r>
    <x v="0"/>
    <x v="0"/>
    <n v="0"/>
  </r>
  <r>
    <x v="1"/>
    <x v="1"/>
    <n v="0"/>
  </r>
  <r>
    <x v="0"/>
    <x v="0"/>
    <n v="0"/>
  </r>
  <r>
    <x v="1"/>
    <x v="1"/>
    <n v="0"/>
  </r>
  <r>
    <x v="1"/>
    <x v="1"/>
    <n v="0"/>
  </r>
  <r>
    <x v="0"/>
    <x v="0"/>
    <n v="0"/>
  </r>
  <r>
    <x v="1"/>
    <x v="1"/>
    <n v="0"/>
  </r>
  <r>
    <x v="0"/>
    <x v="0"/>
    <n v="0"/>
  </r>
  <r>
    <x v="0"/>
    <x v="0"/>
    <n v="0"/>
  </r>
  <r>
    <x v="0"/>
    <x v="0"/>
    <n v="0"/>
  </r>
  <r>
    <x v="1"/>
    <x v="1"/>
    <n v="0"/>
  </r>
  <r>
    <x v="0"/>
    <x v="0"/>
    <n v="0"/>
  </r>
  <r>
    <x v="1"/>
    <x v="1"/>
    <n v="0"/>
  </r>
  <r>
    <x v="1"/>
    <x v="1"/>
    <n v="0"/>
  </r>
  <r>
    <x v="0"/>
    <x v="0"/>
    <n v="0"/>
  </r>
  <r>
    <x v="1"/>
    <x v="1"/>
    <n v="0"/>
  </r>
  <r>
    <x v="1"/>
    <x v="1"/>
    <n v="0"/>
  </r>
  <r>
    <x v="1"/>
    <x v="1"/>
    <n v="0"/>
  </r>
  <r>
    <x v="0"/>
    <x v="0"/>
    <n v="0"/>
  </r>
  <r>
    <x v="0"/>
    <x v="0"/>
    <n v="0"/>
  </r>
  <r>
    <x v="0"/>
    <x v="0"/>
    <n v="0"/>
  </r>
  <r>
    <x v="1"/>
    <x v="1"/>
    <n v="0"/>
  </r>
  <r>
    <x v="0"/>
    <x v="0"/>
    <n v="0"/>
  </r>
  <r>
    <x v="1"/>
    <x v="1"/>
    <n v="0"/>
  </r>
  <r>
    <x v="1"/>
    <x v="1"/>
    <n v="0"/>
  </r>
  <r>
    <x v="1"/>
    <x v="1"/>
    <n v="0"/>
  </r>
  <r>
    <x v="1"/>
    <x v="1"/>
    <n v="0"/>
  </r>
  <r>
    <x v="1"/>
    <x v="1"/>
    <n v="1"/>
  </r>
  <r>
    <x v="0"/>
    <x v="0"/>
    <n v="0"/>
  </r>
  <r>
    <x v="1"/>
    <x v="1"/>
    <n v="0"/>
  </r>
  <r>
    <x v="0"/>
    <x v="0"/>
    <n v="0"/>
  </r>
  <r>
    <x v="0"/>
    <x v="0"/>
    <n v="0"/>
  </r>
  <r>
    <x v="1"/>
    <x v="1"/>
    <n v="0"/>
  </r>
  <r>
    <x v="1"/>
    <x v="1"/>
    <n v="0"/>
  </r>
  <r>
    <x v="1"/>
    <x v="1"/>
    <n v="0"/>
  </r>
  <r>
    <x v="0"/>
    <x v="0"/>
    <n v="0"/>
  </r>
  <r>
    <x v="0"/>
    <x v="0"/>
    <n v="0"/>
  </r>
  <r>
    <x v="0"/>
    <x v="0"/>
    <n v="0"/>
  </r>
  <r>
    <x v="1"/>
    <x v="1"/>
    <n v="0"/>
  </r>
  <r>
    <x v="1"/>
    <x v="1"/>
    <n v="0"/>
  </r>
  <r>
    <x v="0"/>
    <x v="0"/>
    <n v="0"/>
  </r>
  <r>
    <x v="1"/>
    <x v="1"/>
    <n v="0"/>
  </r>
  <r>
    <x v="0"/>
    <x v="0"/>
    <n v="0"/>
  </r>
  <r>
    <x v="1"/>
    <x v="1"/>
    <n v="0"/>
  </r>
  <r>
    <x v="1"/>
    <x v="1"/>
    <n v="0"/>
  </r>
  <r>
    <x v="0"/>
    <x v="0"/>
    <n v="0"/>
  </r>
  <r>
    <x v="0"/>
    <x v="0"/>
    <n v="0"/>
  </r>
  <r>
    <x v="0"/>
    <x v="0"/>
    <n v="0"/>
  </r>
  <r>
    <x v="0"/>
    <x v="0"/>
    <n v="0"/>
  </r>
  <r>
    <x v="1"/>
    <x v="1"/>
    <n v="0"/>
  </r>
  <r>
    <x v="1"/>
    <x v="1"/>
    <n v="0"/>
  </r>
  <r>
    <x v="1"/>
    <x v="1"/>
    <n v="0"/>
  </r>
  <r>
    <x v="1"/>
    <x v="1"/>
    <n v="0"/>
  </r>
  <r>
    <x v="1"/>
    <x v="1"/>
    <n v="0"/>
  </r>
  <r>
    <x v="1"/>
    <x v="1"/>
    <n v="0"/>
  </r>
  <r>
    <x v="1"/>
    <x v="1"/>
    <n v="0"/>
  </r>
  <r>
    <x v="1"/>
    <x v="1"/>
    <n v="0"/>
  </r>
  <r>
    <x v="0"/>
    <x v="0"/>
    <n v="0"/>
  </r>
  <r>
    <x v="0"/>
    <x v="0"/>
    <n v="0"/>
  </r>
  <r>
    <x v="1"/>
    <x v="1"/>
    <n v="0"/>
  </r>
  <r>
    <x v="0"/>
    <x v="0"/>
    <n v="0"/>
  </r>
  <r>
    <x v="1"/>
    <x v="1"/>
    <n v="0"/>
  </r>
  <r>
    <x v="0"/>
    <x v="0"/>
    <n v="0"/>
  </r>
  <r>
    <x v="0"/>
    <x v="0"/>
    <n v="0"/>
  </r>
  <r>
    <x v="0"/>
    <x v="0"/>
    <n v="0"/>
  </r>
  <r>
    <x v="0"/>
    <x v="0"/>
    <n v="0"/>
  </r>
  <r>
    <x v="0"/>
    <x v="0"/>
    <n v="0"/>
  </r>
  <r>
    <x v="0"/>
    <x v="0"/>
    <n v="0"/>
  </r>
  <r>
    <x v="0"/>
    <x v="0"/>
    <n v="0"/>
  </r>
  <r>
    <x v="0"/>
    <x v="0"/>
    <n v="0"/>
  </r>
  <r>
    <x v="0"/>
    <x v="0"/>
    <n v="0"/>
  </r>
  <r>
    <x v="0"/>
    <x v="0"/>
    <n v="1"/>
  </r>
  <r>
    <x v="1"/>
    <x v="1"/>
    <n v="0"/>
  </r>
  <r>
    <x v="0"/>
    <x v="0"/>
    <n v="0"/>
  </r>
  <r>
    <x v="0"/>
    <x v="0"/>
    <n v="0"/>
  </r>
  <r>
    <x v="1"/>
    <x v="1"/>
    <n v="0"/>
  </r>
  <r>
    <x v="1"/>
    <x v="1"/>
    <n v="0"/>
  </r>
  <r>
    <x v="0"/>
    <x v="0"/>
    <n v="0"/>
  </r>
  <r>
    <x v="1"/>
    <x v="1"/>
    <n v="0"/>
  </r>
  <r>
    <x v="1"/>
    <x v="1"/>
    <n v="0"/>
  </r>
  <r>
    <x v="0"/>
    <x v="0"/>
    <n v="0"/>
  </r>
  <r>
    <x v="0"/>
    <x v="0"/>
    <n v="0"/>
  </r>
  <r>
    <x v="1"/>
    <x v="1"/>
    <n v="0"/>
  </r>
  <r>
    <x v="0"/>
    <x v="0"/>
    <n v="0"/>
  </r>
  <r>
    <x v="1"/>
    <x v="1"/>
    <n v="0"/>
  </r>
  <r>
    <x v="0"/>
    <x v="0"/>
    <n v="0"/>
  </r>
  <r>
    <x v="1"/>
    <x v="1"/>
    <n v="0"/>
  </r>
  <r>
    <x v="0"/>
    <x v="0"/>
    <n v="0"/>
  </r>
  <r>
    <x v="1"/>
    <x v="1"/>
    <n v="0"/>
  </r>
  <r>
    <x v="1"/>
    <x v="1"/>
    <n v="0"/>
  </r>
  <r>
    <x v="0"/>
    <x v="0"/>
    <n v="0"/>
  </r>
  <r>
    <x v="1"/>
    <x v="1"/>
    <n v="0"/>
  </r>
  <r>
    <x v="0"/>
    <x v="0"/>
    <n v="0"/>
  </r>
  <r>
    <x v="0"/>
    <x v="0"/>
    <n v="0"/>
  </r>
  <r>
    <x v="0"/>
    <x v="0"/>
    <n v="0"/>
  </r>
  <r>
    <x v="1"/>
    <x v="1"/>
    <n v="0"/>
  </r>
  <r>
    <x v="0"/>
    <x v="0"/>
    <n v="0"/>
  </r>
  <r>
    <x v="1"/>
    <x v="1"/>
    <n v="0"/>
  </r>
  <r>
    <x v="0"/>
    <x v="0"/>
    <n v="0"/>
  </r>
  <r>
    <x v="0"/>
    <x v="0"/>
    <n v="0"/>
  </r>
  <r>
    <x v="1"/>
    <x v="1"/>
    <n v="0"/>
  </r>
  <r>
    <x v="0"/>
    <x v="0"/>
    <n v="0"/>
  </r>
  <r>
    <x v="1"/>
    <x v="1"/>
    <n v="0"/>
  </r>
  <r>
    <x v="0"/>
    <x v="0"/>
    <n v="0"/>
  </r>
  <r>
    <x v="0"/>
    <x v="0"/>
    <n v="0"/>
  </r>
  <r>
    <x v="1"/>
    <x v="1"/>
    <n v="0"/>
  </r>
  <r>
    <x v="1"/>
    <x v="1"/>
    <n v="0"/>
  </r>
  <r>
    <x v="1"/>
    <x v="1"/>
    <n v="0"/>
  </r>
  <r>
    <x v="0"/>
    <x v="0"/>
    <n v="0"/>
  </r>
  <r>
    <x v="0"/>
    <x v="0"/>
    <n v="0"/>
  </r>
  <r>
    <x v="0"/>
    <x v="0"/>
    <n v="0"/>
  </r>
  <r>
    <x v="1"/>
    <x v="1"/>
    <n v="0"/>
  </r>
  <r>
    <x v="0"/>
    <x v="0"/>
    <n v="0"/>
  </r>
  <r>
    <x v="1"/>
    <x v="1"/>
    <n v="0"/>
  </r>
  <r>
    <x v="0"/>
    <x v="0"/>
    <n v="0"/>
  </r>
  <r>
    <x v="1"/>
    <x v="1"/>
    <n v="0"/>
  </r>
  <r>
    <x v="1"/>
    <x v="1"/>
    <n v="0"/>
  </r>
  <r>
    <x v="1"/>
    <x v="1"/>
    <n v="0"/>
  </r>
  <r>
    <x v="0"/>
    <x v="0"/>
    <n v="0"/>
  </r>
  <r>
    <x v="1"/>
    <x v="1"/>
    <n v="0"/>
  </r>
  <r>
    <x v="1"/>
    <x v="1"/>
    <n v="0"/>
  </r>
  <r>
    <x v="0"/>
    <x v="0"/>
    <n v="0"/>
  </r>
  <r>
    <x v="0"/>
    <x v="0"/>
    <n v="0"/>
  </r>
  <r>
    <x v="1"/>
    <x v="1"/>
    <n v="0"/>
  </r>
  <r>
    <x v="0"/>
    <x v="0"/>
    <n v="0"/>
  </r>
  <r>
    <x v="0"/>
    <x v="0"/>
    <n v="0"/>
  </r>
  <r>
    <x v="1"/>
    <x v="1"/>
    <n v="0"/>
  </r>
  <r>
    <x v="1"/>
    <x v="1"/>
    <n v="0"/>
  </r>
  <r>
    <x v="0"/>
    <x v="0"/>
    <n v="0"/>
  </r>
  <r>
    <x v="1"/>
    <x v="1"/>
    <n v="0"/>
  </r>
  <r>
    <x v="0"/>
    <x v="0"/>
    <n v="0"/>
  </r>
  <r>
    <x v="0"/>
    <x v="0"/>
    <n v="0"/>
  </r>
  <r>
    <x v="1"/>
    <x v="1"/>
    <n v="0"/>
  </r>
  <r>
    <x v="1"/>
    <x v="1"/>
    <n v="0"/>
  </r>
  <r>
    <x v="1"/>
    <x v="1"/>
    <n v="0"/>
  </r>
  <r>
    <x v="1"/>
    <x v="1"/>
    <n v="0"/>
  </r>
  <r>
    <x v="0"/>
    <x v="0"/>
    <n v="0"/>
  </r>
  <r>
    <x v="0"/>
    <x v="0"/>
    <n v="0"/>
  </r>
  <r>
    <x v="1"/>
    <x v="1"/>
    <n v="0"/>
  </r>
  <r>
    <x v="0"/>
    <x v="0"/>
    <n v="0"/>
  </r>
  <r>
    <x v="1"/>
    <x v="1"/>
    <n v="0"/>
  </r>
  <r>
    <x v="1"/>
    <x v="1"/>
    <n v="0"/>
  </r>
  <r>
    <x v="0"/>
    <x v="0"/>
    <n v="0"/>
  </r>
  <r>
    <x v="1"/>
    <x v="1"/>
    <n v="0"/>
  </r>
  <r>
    <x v="0"/>
    <x v="0"/>
    <n v="0"/>
  </r>
  <r>
    <x v="1"/>
    <x v="1"/>
    <n v="0"/>
  </r>
  <r>
    <x v="1"/>
    <x v="1"/>
    <n v="0"/>
  </r>
  <r>
    <x v="1"/>
    <x v="1"/>
    <n v="0"/>
  </r>
  <r>
    <x v="1"/>
    <x v="1"/>
    <n v="0"/>
  </r>
  <r>
    <x v="1"/>
    <x v="1"/>
    <n v="0"/>
  </r>
  <r>
    <x v="1"/>
    <x v="1"/>
    <n v="0"/>
  </r>
  <r>
    <x v="1"/>
    <x v="1"/>
    <n v="0"/>
  </r>
  <r>
    <x v="1"/>
    <x v="1"/>
    <n v="0"/>
  </r>
  <r>
    <x v="1"/>
    <x v="1"/>
    <n v="0"/>
  </r>
  <r>
    <x v="0"/>
    <x v="0"/>
    <n v="0"/>
  </r>
  <r>
    <x v="1"/>
    <x v="1"/>
    <n v="0"/>
  </r>
  <r>
    <x v="0"/>
    <x v="0"/>
    <n v="1"/>
  </r>
  <r>
    <x v="1"/>
    <x v="1"/>
    <n v="0"/>
  </r>
  <r>
    <x v="0"/>
    <x v="0"/>
    <n v="0"/>
  </r>
  <r>
    <x v="1"/>
    <x v="1"/>
    <n v="0"/>
  </r>
  <r>
    <x v="1"/>
    <x v="1"/>
    <n v="0"/>
  </r>
  <r>
    <x v="1"/>
    <x v="1"/>
    <n v="0"/>
  </r>
  <r>
    <x v="1"/>
    <x v="1"/>
    <n v="0"/>
  </r>
  <r>
    <x v="1"/>
    <x v="1"/>
    <n v="0"/>
  </r>
  <r>
    <x v="0"/>
    <x v="0"/>
    <n v="0"/>
  </r>
  <r>
    <x v="0"/>
    <x v="0"/>
    <n v="0"/>
  </r>
  <r>
    <x v="0"/>
    <x v="0"/>
    <n v="0"/>
  </r>
  <r>
    <x v="1"/>
    <x v="1"/>
    <n v="0"/>
  </r>
  <r>
    <x v="0"/>
    <x v="0"/>
    <n v="0"/>
  </r>
  <r>
    <x v="0"/>
    <x v="0"/>
    <n v="0"/>
  </r>
  <r>
    <x v="0"/>
    <x v="0"/>
    <n v="0"/>
  </r>
  <r>
    <x v="0"/>
    <x v="0"/>
    <n v="0"/>
  </r>
  <r>
    <x v="0"/>
    <x v="0"/>
    <n v="0"/>
  </r>
  <r>
    <x v="1"/>
    <x v="1"/>
    <n v="0"/>
  </r>
  <r>
    <x v="1"/>
    <x v="1"/>
    <n v="0"/>
  </r>
  <r>
    <x v="1"/>
    <x v="1"/>
    <n v="0"/>
  </r>
  <r>
    <x v="0"/>
    <x v="0"/>
    <n v="0"/>
  </r>
  <r>
    <x v="0"/>
    <x v="0"/>
    <n v="0"/>
  </r>
  <r>
    <x v="1"/>
    <x v="1"/>
    <n v="0"/>
  </r>
  <r>
    <x v="1"/>
    <x v="1"/>
    <n v="0"/>
  </r>
  <r>
    <x v="1"/>
    <x v="1"/>
    <n v="0"/>
  </r>
  <r>
    <x v="1"/>
    <x v="1"/>
    <n v="0"/>
  </r>
  <r>
    <x v="0"/>
    <x v="0"/>
    <n v="0"/>
  </r>
  <r>
    <x v="1"/>
    <x v="1"/>
    <n v="0"/>
  </r>
  <r>
    <x v="1"/>
    <x v="1"/>
    <n v="0"/>
  </r>
  <r>
    <x v="1"/>
    <x v="1"/>
    <n v="0"/>
  </r>
  <r>
    <x v="0"/>
    <x v="0"/>
    <n v="0"/>
  </r>
  <r>
    <x v="0"/>
    <x v="0"/>
    <n v="0"/>
  </r>
  <r>
    <x v="1"/>
    <x v="1"/>
    <n v="0"/>
  </r>
  <r>
    <x v="1"/>
    <x v="1"/>
    <n v="0"/>
  </r>
  <r>
    <x v="1"/>
    <x v="1"/>
    <n v="0"/>
  </r>
  <r>
    <x v="1"/>
    <x v="1"/>
    <n v="0"/>
  </r>
  <r>
    <x v="1"/>
    <x v="1"/>
    <n v="0"/>
  </r>
  <r>
    <x v="1"/>
    <x v="1"/>
    <n v="1"/>
  </r>
  <r>
    <x v="0"/>
    <x v="0"/>
    <n v="0"/>
  </r>
  <r>
    <x v="0"/>
    <x v="0"/>
    <n v="0"/>
  </r>
  <r>
    <x v="1"/>
    <x v="1"/>
    <n v="0"/>
  </r>
  <r>
    <x v="1"/>
    <x v="1"/>
    <n v="0"/>
  </r>
  <r>
    <x v="0"/>
    <x v="0"/>
    <n v="0"/>
  </r>
  <r>
    <x v="0"/>
    <x v="0"/>
    <n v="0"/>
  </r>
  <r>
    <x v="0"/>
    <x v="0"/>
    <n v="0"/>
  </r>
  <r>
    <x v="0"/>
    <x v="0"/>
    <n v="0"/>
  </r>
  <r>
    <x v="1"/>
    <x v="1"/>
    <n v="0"/>
  </r>
  <r>
    <x v="0"/>
    <x v="0"/>
    <n v="0"/>
  </r>
  <r>
    <x v="1"/>
    <x v="1"/>
    <n v="0"/>
  </r>
  <r>
    <x v="1"/>
    <x v="1"/>
    <n v="0"/>
  </r>
  <r>
    <x v="0"/>
    <x v="0"/>
    <n v="0"/>
  </r>
  <r>
    <x v="1"/>
    <x v="1"/>
    <n v="0"/>
  </r>
  <r>
    <x v="1"/>
    <x v="1"/>
    <n v="0"/>
  </r>
  <r>
    <x v="0"/>
    <x v="0"/>
    <n v="0"/>
  </r>
  <r>
    <x v="0"/>
    <x v="0"/>
    <n v="0"/>
  </r>
  <r>
    <x v="1"/>
    <x v="1"/>
    <n v="0"/>
  </r>
  <r>
    <x v="0"/>
    <x v="0"/>
    <n v="0"/>
  </r>
  <r>
    <x v="0"/>
    <x v="0"/>
    <n v="1"/>
  </r>
  <r>
    <x v="1"/>
    <x v="1"/>
    <n v="0"/>
  </r>
  <r>
    <x v="1"/>
    <x v="1"/>
    <n v="0"/>
  </r>
  <r>
    <x v="1"/>
    <x v="1"/>
    <n v="0"/>
  </r>
  <r>
    <x v="1"/>
    <x v="1"/>
    <n v="1"/>
  </r>
  <r>
    <x v="0"/>
    <x v="0"/>
    <n v="0"/>
  </r>
  <r>
    <x v="1"/>
    <x v="1"/>
    <n v="0"/>
  </r>
  <r>
    <x v="1"/>
    <x v="1"/>
    <n v="0"/>
  </r>
  <r>
    <x v="1"/>
    <x v="1"/>
    <n v="0"/>
  </r>
  <r>
    <x v="0"/>
    <x v="0"/>
    <n v="0"/>
  </r>
  <r>
    <x v="1"/>
    <x v="1"/>
    <n v="0"/>
  </r>
  <r>
    <x v="1"/>
    <x v="1"/>
    <n v="0"/>
  </r>
  <r>
    <x v="0"/>
    <x v="0"/>
    <n v="0"/>
  </r>
  <r>
    <x v="0"/>
    <x v="0"/>
    <n v="0"/>
  </r>
  <r>
    <x v="1"/>
    <x v="1"/>
    <n v="0"/>
  </r>
  <r>
    <x v="0"/>
    <x v="0"/>
    <n v="0"/>
  </r>
  <r>
    <x v="0"/>
    <x v="0"/>
    <n v="0"/>
  </r>
  <r>
    <x v="1"/>
    <x v="1"/>
    <n v="0"/>
  </r>
  <r>
    <x v="1"/>
    <x v="1"/>
    <n v="0"/>
  </r>
  <r>
    <x v="1"/>
    <x v="1"/>
    <n v="0"/>
  </r>
  <r>
    <x v="1"/>
    <x v="1"/>
    <n v="0"/>
  </r>
  <r>
    <x v="1"/>
    <x v="1"/>
    <n v="0"/>
  </r>
  <r>
    <x v="0"/>
    <x v="0"/>
    <n v="0"/>
  </r>
  <r>
    <x v="1"/>
    <x v="1"/>
    <n v="0"/>
  </r>
  <r>
    <x v="1"/>
    <x v="1"/>
    <n v="0"/>
  </r>
  <r>
    <x v="1"/>
    <x v="1"/>
    <n v="0"/>
  </r>
  <r>
    <x v="1"/>
    <x v="1"/>
    <n v="0"/>
  </r>
  <r>
    <x v="0"/>
    <x v="0"/>
    <n v="0"/>
  </r>
  <r>
    <x v="1"/>
    <x v="1"/>
    <n v="0"/>
  </r>
  <r>
    <x v="0"/>
    <x v="0"/>
    <n v="0"/>
  </r>
  <r>
    <x v="1"/>
    <x v="1"/>
    <n v="0"/>
  </r>
  <r>
    <x v="0"/>
    <x v="0"/>
    <n v="0"/>
  </r>
  <r>
    <x v="0"/>
    <x v="0"/>
    <n v="0"/>
  </r>
  <r>
    <x v="0"/>
    <x v="0"/>
    <n v="0"/>
  </r>
  <r>
    <x v="1"/>
    <x v="1"/>
    <n v="0"/>
  </r>
  <r>
    <x v="1"/>
    <x v="1"/>
    <n v="0"/>
  </r>
  <r>
    <x v="0"/>
    <x v="0"/>
    <n v="0"/>
  </r>
  <r>
    <x v="0"/>
    <x v="0"/>
    <n v="0"/>
  </r>
  <r>
    <x v="1"/>
    <x v="1"/>
    <n v="0"/>
  </r>
  <r>
    <x v="0"/>
    <x v="0"/>
    <n v="0"/>
  </r>
  <r>
    <x v="0"/>
    <x v="0"/>
    <n v="0"/>
  </r>
  <r>
    <x v="1"/>
    <x v="1"/>
    <n v="0"/>
  </r>
  <r>
    <x v="0"/>
    <x v="0"/>
    <n v="0"/>
  </r>
  <r>
    <x v="1"/>
    <x v="1"/>
    <n v="0"/>
  </r>
  <r>
    <x v="0"/>
    <x v="0"/>
    <n v="0"/>
  </r>
  <r>
    <x v="0"/>
    <x v="0"/>
    <n v="0"/>
  </r>
  <r>
    <x v="0"/>
    <x v="0"/>
    <n v="1"/>
  </r>
  <r>
    <x v="1"/>
    <x v="1"/>
    <n v="0"/>
  </r>
  <r>
    <x v="1"/>
    <x v="1"/>
    <n v="0"/>
  </r>
  <r>
    <x v="1"/>
    <x v="1"/>
    <n v="0"/>
  </r>
  <r>
    <x v="1"/>
    <x v="1"/>
    <n v="0"/>
  </r>
  <r>
    <x v="0"/>
    <x v="0"/>
    <n v="0"/>
  </r>
  <r>
    <x v="1"/>
    <x v="1"/>
    <n v="0"/>
  </r>
  <r>
    <x v="1"/>
    <x v="1"/>
    <n v="0"/>
  </r>
  <r>
    <x v="1"/>
    <x v="1"/>
    <n v="0"/>
  </r>
  <r>
    <x v="0"/>
    <x v="0"/>
    <n v="0"/>
  </r>
  <r>
    <x v="1"/>
    <x v="1"/>
    <n v="0"/>
  </r>
  <r>
    <x v="0"/>
    <x v="0"/>
    <n v="0"/>
  </r>
  <r>
    <x v="0"/>
    <x v="0"/>
    <n v="0"/>
  </r>
  <r>
    <x v="0"/>
    <x v="0"/>
    <n v="0"/>
  </r>
  <r>
    <x v="1"/>
    <x v="1"/>
    <n v="0"/>
  </r>
  <r>
    <x v="0"/>
    <x v="0"/>
    <n v="0"/>
  </r>
  <r>
    <x v="0"/>
    <x v="0"/>
    <n v="0"/>
  </r>
  <r>
    <x v="1"/>
    <x v="1"/>
    <n v="0"/>
  </r>
  <r>
    <x v="0"/>
    <x v="0"/>
    <n v="0"/>
  </r>
  <r>
    <x v="1"/>
    <x v="1"/>
    <n v="0"/>
  </r>
  <r>
    <x v="0"/>
    <x v="0"/>
    <n v="0"/>
  </r>
  <r>
    <x v="1"/>
    <x v="1"/>
    <n v="0"/>
  </r>
  <r>
    <x v="0"/>
    <x v="0"/>
    <n v="0"/>
  </r>
  <r>
    <x v="1"/>
    <x v="1"/>
    <n v="0"/>
  </r>
  <r>
    <x v="1"/>
    <x v="1"/>
    <n v="0"/>
  </r>
  <r>
    <x v="0"/>
    <x v="0"/>
    <n v="0"/>
  </r>
  <r>
    <x v="1"/>
    <x v="1"/>
    <n v="0"/>
  </r>
  <r>
    <x v="1"/>
    <x v="1"/>
    <n v="0"/>
  </r>
  <r>
    <x v="1"/>
    <x v="1"/>
    <n v="0"/>
  </r>
  <r>
    <x v="1"/>
    <x v="1"/>
    <n v="0"/>
  </r>
  <r>
    <x v="1"/>
    <x v="1"/>
    <n v="0"/>
  </r>
  <r>
    <x v="0"/>
    <x v="0"/>
    <n v="1"/>
  </r>
  <r>
    <x v="1"/>
    <x v="1"/>
    <n v="0"/>
  </r>
  <r>
    <x v="1"/>
    <x v="1"/>
    <n v="0"/>
  </r>
  <r>
    <x v="0"/>
    <x v="0"/>
    <n v="0"/>
  </r>
  <r>
    <x v="0"/>
    <x v="0"/>
    <n v="0"/>
  </r>
  <r>
    <x v="1"/>
    <x v="1"/>
    <n v="0"/>
  </r>
  <r>
    <x v="1"/>
    <x v="1"/>
    <n v="0"/>
  </r>
  <r>
    <x v="1"/>
    <x v="1"/>
    <n v="0"/>
  </r>
  <r>
    <x v="1"/>
    <x v="1"/>
    <n v="0"/>
  </r>
  <r>
    <x v="0"/>
    <x v="0"/>
    <n v="0"/>
  </r>
  <r>
    <x v="1"/>
    <x v="1"/>
    <n v="0"/>
  </r>
  <r>
    <x v="0"/>
    <x v="0"/>
    <n v="0"/>
  </r>
  <r>
    <x v="1"/>
    <x v="1"/>
    <n v="0"/>
  </r>
  <r>
    <x v="1"/>
    <x v="1"/>
    <n v="0"/>
  </r>
  <r>
    <x v="0"/>
    <x v="0"/>
    <n v="0"/>
  </r>
  <r>
    <x v="1"/>
    <x v="1"/>
    <n v="0"/>
  </r>
  <r>
    <x v="0"/>
    <x v="0"/>
    <n v="0"/>
  </r>
  <r>
    <x v="0"/>
    <x v="0"/>
    <n v="0"/>
  </r>
  <r>
    <x v="1"/>
    <x v="1"/>
    <n v="0"/>
  </r>
  <r>
    <x v="0"/>
    <x v="0"/>
    <n v="0"/>
  </r>
  <r>
    <x v="1"/>
    <x v="1"/>
    <n v="0"/>
  </r>
  <r>
    <x v="1"/>
    <x v="1"/>
    <n v="0"/>
  </r>
  <r>
    <x v="1"/>
    <x v="1"/>
    <n v="0"/>
  </r>
  <r>
    <x v="1"/>
    <x v="1"/>
    <n v="0"/>
  </r>
  <r>
    <x v="1"/>
    <x v="1"/>
    <n v="0"/>
  </r>
  <r>
    <x v="1"/>
    <x v="1"/>
    <n v="0"/>
  </r>
  <r>
    <x v="1"/>
    <x v="1"/>
    <n v="0"/>
  </r>
  <r>
    <x v="1"/>
    <x v="1"/>
    <n v="0"/>
  </r>
  <r>
    <x v="0"/>
    <x v="0"/>
    <n v="0"/>
  </r>
  <r>
    <x v="0"/>
    <x v="0"/>
    <n v="0"/>
  </r>
  <r>
    <x v="1"/>
    <x v="1"/>
    <n v="0"/>
  </r>
  <r>
    <x v="1"/>
    <x v="1"/>
    <n v="0"/>
  </r>
  <r>
    <x v="1"/>
    <x v="1"/>
    <n v="0"/>
  </r>
  <r>
    <x v="1"/>
    <x v="1"/>
    <n v="0"/>
  </r>
  <r>
    <x v="0"/>
    <x v="0"/>
    <n v="0"/>
  </r>
  <r>
    <x v="1"/>
    <x v="1"/>
    <n v="1"/>
  </r>
  <r>
    <x v="0"/>
    <x v="0"/>
    <n v="0"/>
  </r>
  <r>
    <x v="1"/>
    <x v="1"/>
    <n v="0"/>
  </r>
  <r>
    <x v="1"/>
    <x v="1"/>
    <n v="0"/>
  </r>
  <r>
    <x v="0"/>
    <x v="0"/>
    <n v="0"/>
  </r>
  <r>
    <x v="1"/>
    <x v="1"/>
    <n v="0"/>
  </r>
  <r>
    <x v="1"/>
    <x v="1"/>
    <n v="0"/>
  </r>
  <r>
    <x v="0"/>
    <x v="0"/>
    <n v="0"/>
  </r>
  <r>
    <x v="1"/>
    <x v="1"/>
    <n v="1"/>
  </r>
  <r>
    <x v="0"/>
    <x v="0"/>
    <n v="0"/>
  </r>
  <r>
    <x v="1"/>
    <x v="1"/>
    <n v="0"/>
  </r>
  <r>
    <x v="1"/>
    <x v="1"/>
    <n v="0"/>
  </r>
  <r>
    <x v="1"/>
    <x v="1"/>
    <n v="0"/>
  </r>
  <r>
    <x v="0"/>
    <x v="0"/>
    <n v="0"/>
  </r>
  <r>
    <x v="1"/>
    <x v="1"/>
    <n v="0"/>
  </r>
  <r>
    <x v="0"/>
    <x v="0"/>
    <n v="0"/>
  </r>
  <r>
    <x v="0"/>
    <x v="0"/>
    <n v="0"/>
  </r>
  <r>
    <x v="1"/>
    <x v="1"/>
    <n v="0"/>
  </r>
  <r>
    <x v="1"/>
    <x v="1"/>
    <n v="0"/>
  </r>
  <r>
    <x v="0"/>
    <x v="0"/>
    <n v="0"/>
  </r>
  <r>
    <x v="0"/>
    <x v="0"/>
    <n v="0"/>
  </r>
  <r>
    <x v="0"/>
    <x v="0"/>
    <n v="0"/>
  </r>
  <r>
    <x v="0"/>
    <x v="0"/>
    <n v="0"/>
  </r>
  <r>
    <x v="0"/>
    <x v="0"/>
    <n v="0"/>
  </r>
  <r>
    <x v="1"/>
    <x v="1"/>
    <n v="0"/>
  </r>
  <r>
    <x v="0"/>
    <x v="0"/>
    <n v="0"/>
  </r>
  <r>
    <x v="1"/>
    <x v="1"/>
    <n v="0"/>
  </r>
  <r>
    <x v="1"/>
    <x v="1"/>
    <n v="0"/>
  </r>
  <r>
    <x v="0"/>
    <x v="0"/>
    <n v="0"/>
  </r>
  <r>
    <x v="0"/>
    <x v="0"/>
    <n v="0"/>
  </r>
  <r>
    <x v="1"/>
    <x v="1"/>
    <n v="0"/>
  </r>
  <r>
    <x v="1"/>
    <x v="1"/>
    <n v="0"/>
  </r>
  <r>
    <x v="0"/>
    <x v="0"/>
    <n v="0"/>
  </r>
  <r>
    <x v="0"/>
    <x v="0"/>
    <n v="0"/>
  </r>
  <r>
    <x v="1"/>
    <x v="1"/>
    <n v="0"/>
  </r>
  <r>
    <x v="1"/>
    <x v="1"/>
    <n v="0"/>
  </r>
  <r>
    <x v="0"/>
    <x v="0"/>
    <n v="0"/>
  </r>
  <r>
    <x v="1"/>
    <x v="1"/>
    <n v="0"/>
  </r>
  <r>
    <x v="0"/>
    <x v="0"/>
    <n v="0"/>
  </r>
  <r>
    <x v="0"/>
    <x v="0"/>
    <n v="0"/>
  </r>
  <r>
    <x v="0"/>
    <x v="0"/>
    <n v="1"/>
  </r>
  <r>
    <x v="0"/>
    <x v="0"/>
    <n v="0"/>
  </r>
  <r>
    <x v="1"/>
    <x v="1"/>
    <n v="0"/>
  </r>
  <r>
    <x v="1"/>
    <x v="1"/>
    <n v="0"/>
  </r>
  <r>
    <x v="0"/>
    <x v="0"/>
    <n v="0"/>
  </r>
  <r>
    <x v="1"/>
    <x v="1"/>
    <n v="0"/>
  </r>
  <r>
    <x v="0"/>
    <x v="0"/>
    <n v="0"/>
  </r>
  <r>
    <x v="1"/>
    <x v="1"/>
    <n v="0"/>
  </r>
  <r>
    <x v="1"/>
    <x v="1"/>
    <n v="0"/>
  </r>
  <r>
    <x v="0"/>
    <x v="0"/>
    <n v="0"/>
  </r>
  <r>
    <x v="1"/>
    <x v="1"/>
    <n v="0"/>
  </r>
  <r>
    <x v="1"/>
    <x v="1"/>
    <n v="0"/>
  </r>
  <r>
    <x v="0"/>
    <x v="0"/>
    <n v="0"/>
  </r>
  <r>
    <x v="0"/>
    <x v="0"/>
    <n v="0"/>
  </r>
  <r>
    <x v="1"/>
    <x v="1"/>
    <n v="0"/>
  </r>
  <r>
    <x v="0"/>
    <x v="0"/>
    <n v="0"/>
  </r>
  <r>
    <x v="1"/>
    <x v="1"/>
    <n v="0"/>
  </r>
  <r>
    <x v="1"/>
    <x v="1"/>
    <n v="0"/>
  </r>
  <r>
    <x v="0"/>
    <x v="0"/>
    <n v="0"/>
  </r>
  <r>
    <x v="1"/>
    <x v="1"/>
    <n v="0"/>
  </r>
  <r>
    <x v="0"/>
    <x v="0"/>
    <n v="0"/>
  </r>
  <r>
    <x v="0"/>
    <x v="0"/>
    <n v="0"/>
  </r>
  <r>
    <x v="0"/>
    <x v="0"/>
    <n v="0"/>
  </r>
  <r>
    <x v="0"/>
    <x v="0"/>
    <n v="0"/>
  </r>
  <r>
    <x v="0"/>
    <x v="0"/>
    <n v="0"/>
  </r>
  <r>
    <x v="0"/>
    <x v="0"/>
    <n v="0"/>
  </r>
  <r>
    <x v="1"/>
    <x v="1"/>
    <n v="0"/>
  </r>
  <r>
    <x v="1"/>
    <x v="1"/>
    <n v="0"/>
  </r>
  <r>
    <x v="1"/>
    <x v="1"/>
    <n v="0"/>
  </r>
  <r>
    <x v="1"/>
    <x v="1"/>
    <n v="1"/>
  </r>
  <r>
    <x v="0"/>
    <x v="0"/>
    <n v="0"/>
  </r>
  <r>
    <x v="1"/>
    <x v="1"/>
    <n v="0"/>
  </r>
  <r>
    <x v="0"/>
    <x v="0"/>
    <n v="0"/>
  </r>
  <r>
    <x v="0"/>
    <x v="0"/>
    <n v="0"/>
  </r>
  <r>
    <x v="1"/>
    <x v="1"/>
    <n v="0"/>
  </r>
  <r>
    <x v="0"/>
    <x v="0"/>
    <n v="0"/>
  </r>
  <r>
    <x v="0"/>
    <x v="0"/>
    <n v="0"/>
  </r>
  <r>
    <x v="0"/>
    <x v="0"/>
    <n v="0"/>
  </r>
  <r>
    <x v="0"/>
    <x v="0"/>
    <n v="0"/>
  </r>
  <r>
    <x v="0"/>
    <x v="0"/>
    <n v="0"/>
  </r>
  <r>
    <x v="0"/>
    <x v="0"/>
    <n v="0"/>
  </r>
  <r>
    <x v="0"/>
    <x v="0"/>
    <n v="0"/>
  </r>
  <r>
    <x v="1"/>
    <x v="1"/>
    <n v="0"/>
  </r>
  <r>
    <x v="0"/>
    <x v="0"/>
    <n v="0"/>
  </r>
  <r>
    <x v="0"/>
    <x v="0"/>
    <n v="0"/>
  </r>
  <r>
    <x v="0"/>
    <x v="0"/>
    <n v="0"/>
  </r>
  <r>
    <x v="1"/>
    <x v="1"/>
    <n v="0"/>
  </r>
  <r>
    <x v="0"/>
    <x v="0"/>
    <n v="0"/>
  </r>
  <r>
    <x v="1"/>
    <x v="1"/>
    <n v="0"/>
  </r>
  <r>
    <x v="1"/>
    <x v="1"/>
    <n v="0"/>
  </r>
  <r>
    <x v="0"/>
    <x v="0"/>
    <n v="0"/>
  </r>
  <r>
    <x v="1"/>
    <x v="1"/>
    <n v="0"/>
  </r>
  <r>
    <x v="0"/>
    <x v="0"/>
    <n v="0"/>
  </r>
  <r>
    <x v="1"/>
    <x v="1"/>
    <n v="0"/>
  </r>
  <r>
    <x v="0"/>
    <x v="0"/>
    <n v="0"/>
  </r>
  <r>
    <x v="0"/>
    <x v="0"/>
    <n v="0"/>
  </r>
  <r>
    <x v="1"/>
    <x v="1"/>
    <n v="0"/>
  </r>
  <r>
    <x v="1"/>
    <x v="1"/>
    <n v="0"/>
  </r>
  <r>
    <x v="1"/>
    <x v="1"/>
    <n v="0"/>
  </r>
  <r>
    <x v="1"/>
    <x v="1"/>
    <n v="0"/>
  </r>
  <r>
    <x v="0"/>
    <x v="0"/>
    <n v="0"/>
  </r>
  <r>
    <x v="1"/>
    <x v="1"/>
    <n v="0"/>
  </r>
  <r>
    <x v="0"/>
    <x v="0"/>
    <n v="0"/>
  </r>
  <r>
    <x v="1"/>
    <x v="1"/>
    <n v="0"/>
  </r>
  <r>
    <x v="1"/>
    <x v="1"/>
    <n v="0"/>
  </r>
  <r>
    <x v="1"/>
    <x v="1"/>
    <n v="0"/>
  </r>
  <r>
    <x v="0"/>
    <x v="0"/>
    <n v="0"/>
  </r>
  <r>
    <x v="1"/>
    <x v="1"/>
    <n v="0"/>
  </r>
  <r>
    <x v="1"/>
    <x v="1"/>
    <n v="0"/>
  </r>
  <r>
    <x v="0"/>
    <x v="0"/>
    <n v="0"/>
  </r>
  <r>
    <x v="0"/>
    <x v="0"/>
    <n v="0"/>
  </r>
  <r>
    <x v="1"/>
    <x v="1"/>
    <n v="0"/>
  </r>
  <r>
    <x v="0"/>
    <x v="0"/>
    <n v="0"/>
  </r>
  <r>
    <x v="1"/>
    <x v="1"/>
    <n v="0"/>
  </r>
  <r>
    <x v="1"/>
    <x v="1"/>
    <n v="0"/>
  </r>
  <r>
    <x v="1"/>
    <x v="1"/>
    <n v="0"/>
  </r>
  <r>
    <x v="1"/>
    <x v="1"/>
    <n v="0"/>
  </r>
  <r>
    <x v="0"/>
    <x v="0"/>
    <n v="0"/>
  </r>
  <r>
    <x v="1"/>
    <x v="1"/>
    <n v="0"/>
  </r>
  <r>
    <x v="1"/>
    <x v="1"/>
    <n v="0"/>
  </r>
  <r>
    <x v="0"/>
    <x v="0"/>
    <n v="0"/>
  </r>
  <r>
    <x v="1"/>
    <x v="1"/>
    <n v="0"/>
  </r>
  <r>
    <x v="1"/>
    <x v="1"/>
    <n v="0"/>
  </r>
  <r>
    <x v="1"/>
    <x v="1"/>
    <n v="0"/>
  </r>
  <r>
    <x v="1"/>
    <x v="1"/>
    <n v="0"/>
  </r>
  <r>
    <x v="1"/>
    <x v="1"/>
    <n v="0"/>
  </r>
  <r>
    <x v="0"/>
    <x v="0"/>
    <n v="0"/>
  </r>
  <r>
    <x v="1"/>
    <x v="1"/>
    <n v="0"/>
  </r>
  <r>
    <x v="1"/>
    <x v="1"/>
    <n v="0"/>
  </r>
  <r>
    <x v="0"/>
    <x v="0"/>
    <n v="0"/>
  </r>
  <r>
    <x v="0"/>
    <x v="0"/>
    <n v="0"/>
  </r>
  <r>
    <x v="1"/>
    <x v="1"/>
    <n v="0"/>
  </r>
  <r>
    <x v="1"/>
    <x v="1"/>
    <n v="0"/>
  </r>
  <r>
    <x v="1"/>
    <x v="1"/>
    <n v="0"/>
  </r>
  <r>
    <x v="1"/>
    <x v="1"/>
    <n v="0"/>
  </r>
  <r>
    <x v="0"/>
    <x v="0"/>
    <n v="0"/>
  </r>
  <r>
    <x v="0"/>
    <x v="0"/>
    <n v="0"/>
  </r>
  <r>
    <x v="1"/>
    <x v="1"/>
    <n v="0"/>
  </r>
  <r>
    <x v="0"/>
    <x v="0"/>
    <n v="0"/>
  </r>
  <r>
    <x v="0"/>
    <x v="0"/>
    <n v="0"/>
  </r>
  <r>
    <x v="1"/>
    <x v="1"/>
    <n v="0"/>
  </r>
  <r>
    <x v="1"/>
    <x v="1"/>
    <n v="0"/>
  </r>
  <r>
    <x v="1"/>
    <x v="1"/>
    <n v="0"/>
  </r>
  <r>
    <x v="1"/>
    <x v="1"/>
    <n v="0"/>
  </r>
  <r>
    <x v="0"/>
    <x v="0"/>
    <n v="0"/>
  </r>
  <r>
    <x v="0"/>
    <x v="0"/>
    <n v="0"/>
  </r>
  <r>
    <x v="0"/>
    <x v="0"/>
    <n v="0"/>
  </r>
  <r>
    <x v="0"/>
    <x v="0"/>
    <n v="0"/>
  </r>
  <r>
    <x v="0"/>
    <x v="0"/>
    <n v="0"/>
  </r>
  <r>
    <x v="0"/>
    <x v="0"/>
    <n v="0"/>
  </r>
  <r>
    <x v="0"/>
    <x v="0"/>
    <n v="0"/>
  </r>
  <r>
    <x v="0"/>
    <x v="0"/>
    <n v="0"/>
  </r>
  <r>
    <x v="0"/>
    <x v="0"/>
    <n v="0"/>
  </r>
  <r>
    <x v="1"/>
    <x v="1"/>
    <n v="0"/>
  </r>
  <r>
    <x v="0"/>
    <x v="0"/>
    <n v="0"/>
  </r>
  <r>
    <x v="0"/>
    <x v="0"/>
    <n v="0"/>
  </r>
  <r>
    <x v="1"/>
    <x v="1"/>
    <n v="0"/>
  </r>
  <r>
    <x v="1"/>
    <x v="1"/>
    <n v="0"/>
  </r>
  <r>
    <x v="1"/>
    <x v="1"/>
    <n v="0"/>
  </r>
  <r>
    <x v="0"/>
    <x v="0"/>
    <n v="0"/>
  </r>
  <r>
    <x v="1"/>
    <x v="1"/>
    <n v="0"/>
  </r>
  <r>
    <x v="0"/>
    <x v="0"/>
    <n v="0"/>
  </r>
  <r>
    <x v="0"/>
    <x v="0"/>
    <n v="0"/>
  </r>
  <r>
    <x v="1"/>
    <x v="1"/>
    <n v="0"/>
  </r>
  <r>
    <x v="0"/>
    <x v="0"/>
    <n v="0"/>
  </r>
  <r>
    <x v="1"/>
    <x v="1"/>
    <n v="0"/>
  </r>
  <r>
    <x v="1"/>
    <x v="1"/>
    <n v="0"/>
  </r>
  <r>
    <x v="1"/>
    <x v="1"/>
    <n v="0"/>
  </r>
  <r>
    <x v="0"/>
    <x v="0"/>
    <n v="1"/>
  </r>
  <r>
    <x v="0"/>
    <x v="0"/>
    <n v="0"/>
  </r>
  <r>
    <x v="1"/>
    <x v="1"/>
    <n v="0"/>
  </r>
  <r>
    <x v="0"/>
    <x v="0"/>
    <n v="0"/>
  </r>
  <r>
    <x v="0"/>
    <x v="0"/>
    <n v="0"/>
  </r>
  <r>
    <x v="1"/>
    <x v="1"/>
    <n v="0"/>
  </r>
  <r>
    <x v="1"/>
    <x v="1"/>
    <n v="0"/>
  </r>
  <r>
    <x v="1"/>
    <x v="1"/>
    <n v="0"/>
  </r>
  <r>
    <x v="0"/>
    <x v="0"/>
    <n v="0"/>
  </r>
  <r>
    <x v="0"/>
    <x v="0"/>
    <n v="0"/>
  </r>
  <r>
    <x v="1"/>
    <x v="1"/>
    <n v="0"/>
  </r>
  <r>
    <x v="0"/>
    <x v="0"/>
    <n v="0"/>
  </r>
  <r>
    <x v="1"/>
    <x v="1"/>
    <n v="0"/>
  </r>
  <r>
    <x v="0"/>
    <x v="0"/>
    <n v="0"/>
  </r>
  <r>
    <x v="1"/>
    <x v="1"/>
    <n v="0"/>
  </r>
  <r>
    <x v="1"/>
    <x v="1"/>
    <n v="0"/>
  </r>
  <r>
    <x v="0"/>
    <x v="0"/>
    <n v="0"/>
  </r>
  <r>
    <x v="0"/>
    <x v="0"/>
    <n v="0"/>
  </r>
  <r>
    <x v="1"/>
    <x v="1"/>
    <n v="0"/>
  </r>
  <r>
    <x v="0"/>
    <x v="0"/>
    <n v="0"/>
  </r>
  <r>
    <x v="1"/>
    <x v="1"/>
    <n v="0"/>
  </r>
  <r>
    <x v="1"/>
    <x v="1"/>
    <n v="0"/>
  </r>
  <r>
    <x v="1"/>
    <x v="1"/>
    <n v="0"/>
  </r>
  <r>
    <x v="1"/>
    <x v="1"/>
    <n v="0"/>
  </r>
  <r>
    <x v="0"/>
    <x v="0"/>
    <n v="0"/>
  </r>
  <r>
    <x v="1"/>
    <x v="1"/>
    <n v="0"/>
  </r>
  <r>
    <x v="0"/>
    <x v="0"/>
    <n v="0"/>
  </r>
  <r>
    <x v="0"/>
    <x v="0"/>
    <n v="0"/>
  </r>
  <r>
    <x v="1"/>
    <x v="1"/>
    <n v="0"/>
  </r>
  <r>
    <x v="0"/>
    <x v="0"/>
    <n v="0"/>
  </r>
  <r>
    <x v="1"/>
    <x v="1"/>
    <n v="0"/>
  </r>
  <r>
    <x v="1"/>
    <x v="1"/>
    <n v="0"/>
  </r>
  <r>
    <x v="0"/>
    <x v="0"/>
    <n v="0"/>
  </r>
  <r>
    <x v="0"/>
    <x v="0"/>
    <n v="0"/>
  </r>
  <r>
    <x v="0"/>
    <x v="0"/>
    <n v="0"/>
  </r>
  <r>
    <x v="0"/>
    <x v="0"/>
    <n v="0"/>
  </r>
  <r>
    <x v="1"/>
    <x v="1"/>
    <n v="0"/>
  </r>
  <r>
    <x v="0"/>
    <x v="0"/>
    <n v="0"/>
  </r>
  <r>
    <x v="0"/>
    <x v="0"/>
    <n v="0"/>
  </r>
  <r>
    <x v="0"/>
    <x v="0"/>
    <n v="0"/>
  </r>
  <r>
    <x v="0"/>
    <x v="0"/>
    <n v="0"/>
  </r>
  <r>
    <x v="0"/>
    <x v="0"/>
    <n v="0"/>
  </r>
  <r>
    <x v="0"/>
    <x v="0"/>
    <n v="0"/>
  </r>
  <r>
    <x v="1"/>
    <x v="1"/>
    <n v="0"/>
  </r>
  <r>
    <x v="1"/>
    <x v="1"/>
    <n v="0"/>
  </r>
  <r>
    <x v="1"/>
    <x v="1"/>
    <n v="0"/>
  </r>
  <r>
    <x v="0"/>
    <x v="0"/>
    <n v="0"/>
  </r>
  <r>
    <x v="1"/>
    <x v="1"/>
    <n v="0"/>
  </r>
  <r>
    <x v="1"/>
    <x v="1"/>
    <n v="0"/>
  </r>
  <r>
    <x v="0"/>
    <x v="0"/>
    <n v="0"/>
  </r>
  <r>
    <x v="1"/>
    <x v="1"/>
    <n v="0"/>
  </r>
  <r>
    <x v="1"/>
    <x v="1"/>
    <n v="0"/>
  </r>
  <r>
    <x v="1"/>
    <x v="1"/>
    <n v="0"/>
  </r>
  <r>
    <x v="1"/>
    <x v="1"/>
    <n v="0"/>
  </r>
  <r>
    <x v="1"/>
    <x v="1"/>
    <n v="0"/>
  </r>
  <r>
    <x v="1"/>
    <x v="1"/>
    <n v="0"/>
  </r>
  <r>
    <x v="0"/>
    <x v="0"/>
    <n v="0"/>
  </r>
  <r>
    <x v="1"/>
    <x v="1"/>
    <n v="0"/>
  </r>
  <r>
    <x v="1"/>
    <x v="1"/>
    <n v="0"/>
  </r>
  <r>
    <x v="0"/>
    <x v="0"/>
    <n v="0"/>
  </r>
  <r>
    <x v="1"/>
    <x v="1"/>
    <n v="0"/>
  </r>
  <r>
    <x v="0"/>
    <x v="0"/>
    <n v="0"/>
  </r>
  <r>
    <x v="0"/>
    <x v="0"/>
    <n v="0"/>
  </r>
  <r>
    <x v="1"/>
    <x v="1"/>
    <n v="0"/>
  </r>
  <r>
    <x v="0"/>
    <x v="0"/>
    <n v="0"/>
  </r>
  <r>
    <x v="0"/>
    <x v="0"/>
    <n v="0"/>
  </r>
  <r>
    <x v="1"/>
    <x v="1"/>
    <n v="0"/>
  </r>
  <r>
    <x v="1"/>
    <x v="1"/>
    <n v="0"/>
  </r>
  <r>
    <x v="1"/>
    <x v="1"/>
    <n v="0"/>
  </r>
  <r>
    <x v="0"/>
    <x v="0"/>
    <n v="0"/>
  </r>
  <r>
    <x v="1"/>
    <x v="1"/>
    <n v="0"/>
  </r>
  <r>
    <x v="1"/>
    <x v="1"/>
    <n v="0"/>
  </r>
  <r>
    <x v="0"/>
    <x v="0"/>
    <n v="0"/>
  </r>
  <r>
    <x v="1"/>
    <x v="1"/>
    <n v="0"/>
  </r>
  <r>
    <x v="1"/>
    <x v="1"/>
    <n v="0"/>
  </r>
  <r>
    <x v="0"/>
    <x v="0"/>
    <n v="0"/>
  </r>
  <r>
    <x v="0"/>
    <x v="0"/>
    <n v="0"/>
  </r>
  <r>
    <x v="0"/>
    <x v="0"/>
    <n v="0"/>
  </r>
  <r>
    <x v="1"/>
    <x v="1"/>
    <n v="0"/>
  </r>
  <r>
    <x v="0"/>
    <x v="0"/>
    <n v="0"/>
  </r>
  <r>
    <x v="0"/>
    <x v="0"/>
    <n v="0"/>
  </r>
  <r>
    <x v="0"/>
    <x v="0"/>
    <n v="0"/>
  </r>
  <r>
    <x v="1"/>
    <x v="1"/>
    <n v="0"/>
  </r>
  <r>
    <x v="1"/>
    <x v="1"/>
    <n v="0"/>
  </r>
  <r>
    <x v="0"/>
    <x v="0"/>
    <n v="0"/>
  </r>
  <r>
    <x v="1"/>
    <x v="1"/>
    <n v="0"/>
  </r>
  <r>
    <x v="0"/>
    <x v="0"/>
    <n v="0"/>
  </r>
  <r>
    <x v="1"/>
    <x v="1"/>
    <n v="0"/>
  </r>
  <r>
    <x v="1"/>
    <x v="1"/>
    <n v="0"/>
  </r>
  <r>
    <x v="0"/>
    <x v="0"/>
    <n v="0"/>
  </r>
  <r>
    <x v="0"/>
    <x v="0"/>
    <n v="0"/>
  </r>
  <r>
    <x v="1"/>
    <x v="1"/>
    <n v="0"/>
  </r>
  <r>
    <x v="0"/>
    <x v="0"/>
    <n v="0"/>
  </r>
  <r>
    <x v="1"/>
    <x v="1"/>
    <n v="0"/>
  </r>
  <r>
    <x v="1"/>
    <x v="1"/>
    <n v="0"/>
  </r>
  <r>
    <x v="0"/>
    <x v="0"/>
    <n v="0"/>
  </r>
  <r>
    <x v="0"/>
    <x v="0"/>
    <n v="0"/>
  </r>
  <r>
    <x v="1"/>
    <x v="1"/>
    <n v="0"/>
  </r>
  <r>
    <x v="1"/>
    <x v="1"/>
    <n v="0"/>
  </r>
  <r>
    <x v="0"/>
    <x v="0"/>
    <n v="0"/>
  </r>
  <r>
    <x v="1"/>
    <x v="1"/>
    <n v="0"/>
  </r>
  <r>
    <x v="0"/>
    <x v="0"/>
    <n v="0"/>
  </r>
  <r>
    <x v="1"/>
    <x v="1"/>
    <n v="0"/>
  </r>
  <r>
    <x v="0"/>
    <x v="0"/>
    <n v="0"/>
  </r>
  <r>
    <x v="1"/>
    <x v="1"/>
    <n v="0"/>
  </r>
  <r>
    <x v="0"/>
    <x v="0"/>
    <n v="0"/>
  </r>
  <r>
    <x v="1"/>
    <x v="1"/>
    <n v="0"/>
  </r>
  <r>
    <x v="1"/>
    <x v="1"/>
    <n v="0"/>
  </r>
  <r>
    <x v="0"/>
    <x v="0"/>
    <n v="0"/>
  </r>
  <r>
    <x v="1"/>
    <x v="1"/>
    <n v="0"/>
  </r>
  <r>
    <x v="1"/>
    <x v="1"/>
    <n v="0"/>
  </r>
  <r>
    <x v="1"/>
    <x v="1"/>
    <n v="0"/>
  </r>
  <r>
    <x v="1"/>
    <x v="1"/>
    <n v="0"/>
  </r>
  <r>
    <x v="1"/>
    <x v="1"/>
    <n v="1"/>
  </r>
  <r>
    <x v="1"/>
    <x v="1"/>
    <n v="0"/>
  </r>
  <r>
    <x v="0"/>
    <x v="0"/>
    <n v="0"/>
  </r>
  <r>
    <x v="1"/>
    <x v="1"/>
    <n v="0"/>
  </r>
  <r>
    <x v="1"/>
    <x v="1"/>
    <n v="0"/>
  </r>
  <r>
    <x v="0"/>
    <x v="0"/>
    <n v="0"/>
  </r>
  <r>
    <x v="1"/>
    <x v="1"/>
    <n v="0"/>
  </r>
  <r>
    <x v="0"/>
    <x v="0"/>
    <n v="0"/>
  </r>
  <r>
    <x v="0"/>
    <x v="0"/>
    <n v="0"/>
  </r>
  <r>
    <x v="0"/>
    <x v="0"/>
    <n v="0"/>
  </r>
  <r>
    <x v="0"/>
    <x v="0"/>
    <n v="0"/>
  </r>
  <r>
    <x v="1"/>
    <x v="1"/>
    <n v="0"/>
  </r>
  <r>
    <x v="0"/>
    <x v="0"/>
    <n v="0"/>
  </r>
  <r>
    <x v="1"/>
    <x v="1"/>
    <n v="1"/>
  </r>
  <r>
    <x v="0"/>
    <x v="0"/>
    <n v="0"/>
  </r>
  <r>
    <x v="1"/>
    <x v="1"/>
    <n v="0"/>
  </r>
  <r>
    <x v="1"/>
    <x v="1"/>
    <n v="0"/>
  </r>
  <r>
    <x v="1"/>
    <x v="1"/>
    <n v="1"/>
  </r>
  <r>
    <x v="1"/>
    <x v="1"/>
    <n v="1"/>
  </r>
  <r>
    <x v="0"/>
    <x v="0"/>
    <n v="0"/>
  </r>
  <r>
    <x v="1"/>
    <x v="1"/>
    <n v="0"/>
  </r>
  <r>
    <x v="0"/>
    <x v="0"/>
    <n v="0"/>
  </r>
  <r>
    <x v="0"/>
    <x v="0"/>
    <n v="1"/>
  </r>
  <r>
    <x v="1"/>
    <x v="1"/>
    <n v="0"/>
  </r>
  <r>
    <x v="0"/>
    <x v="0"/>
    <n v="0"/>
  </r>
  <r>
    <x v="0"/>
    <x v="0"/>
    <n v="0"/>
  </r>
  <r>
    <x v="0"/>
    <x v="0"/>
    <n v="0"/>
  </r>
  <r>
    <x v="0"/>
    <x v="0"/>
    <n v="0"/>
  </r>
  <r>
    <x v="0"/>
    <x v="0"/>
    <n v="0"/>
  </r>
  <r>
    <x v="1"/>
    <x v="1"/>
    <n v="0"/>
  </r>
  <r>
    <x v="1"/>
    <x v="1"/>
    <n v="1"/>
  </r>
  <r>
    <x v="0"/>
    <x v="0"/>
    <n v="0"/>
  </r>
  <r>
    <x v="1"/>
    <x v="1"/>
    <n v="0"/>
  </r>
  <r>
    <x v="0"/>
    <x v="0"/>
    <n v="0"/>
  </r>
  <r>
    <x v="1"/>
    <x v="1"/>
    <n v="0"/>
  </r>
  <r>
    <x v="1"/>
    <x v="1"/>
    <n v="0"/>
  </r>
  <r>
    <x v="0"/>
    <x v="0"/>
    <n v="0"/>
  </r>
  <r>
    <x v="1"/>
    <x v="1"/>
    <n v="0"/>
  </r>
  <r>
    <x v="1"/>
    <x v="1"/>
    <n v="0"/>
  </r>
  <r>
    <x v="1"/>
    <x v="1"/>
    <n v="0"/>
  </r>
  <r>
    <x v="0"/>
    <x v="0"/>
    <n v="0"/>
  </r>
  <r>
    <x v="1"/>
    <x v="1"/>
    <n v="0"/>
  </r>
  <r>
    <x v="0"/>
    <x v="0"/>
    <n v="0"/>
  </r>
  <r>
    <x v="0"/>
    <x v="0"/>
    <n v="0"/>
  </r>
  <r>
    <x v="0"/>
    <x v="0"/>
    <n v="0"/>
  </r>
  <r>
    <x v="0"/>
    <x v="0"/>
    <n v="0"/>
  </r>
  <r>
    <x v="0"/>
    <x v="0"/>
    <n v="0"/>
  </r>
  <r>
    <x v="1"/>
    <x v="1"/>
    <n v="0"/>
  </r>
  <r>
    <x v="1"/>
    <x v="1"/>
    <n v="0"/>
  </r>
  <r>
    <x v="1"/>
    <x v="1"/>
    <n v="0"/>
  </r>
  <r>
    <x v="0"/>
    <x v="0"/>
    <n v="0"/>
  </r>
  <r>
    <x v="1"/>
    <x v="1"/>
    <n v="0"/>
  </r>
  <r>
    <x v="0"/>
    <x v="0"/>
    <n v="0"/>
  </r>
  <r>
    <x v="1"/>
    <x v="1"/>
    <n v="0"/>
  </r>
  <r>
    <x v="1"/>
    <x v="1"/>
    <n v="1"/>
  </r>
  <r>
    <x v="0"/>
    <x v="0"/>
    <n v="0"/>
  </r>
  <r>
    <x v="0"/>
    <x v="0"/>
    <n v="0"/>
  </r>
  <r>
    <x v="0"/>
    <x v="0"/>
    <n v="0"/>
  </r>
  <r>
    <x v="1"/>
    <x v="1"/>
    <n v="0"/>
  </r>
  <r>
    <x v="1"/>
    <x v="1"/>
    <n v="0"/>
  </r>
  <r>
    <x v="1"/>
    <x v="1"/>
    <n v="0"/>
  </r>
  <r>
    <x v="0"/>
    <x v="0"/>
    <n v="0"/>
  </r>
  <r>
    <x v="1"/>
    <x v="1"/>
    <n v="0"/>
  </r>
  <r>
    <x v="0"/>
    <x v="0"/>
    <n v="0"/>
  </r>
  <r>
    <x v="0"/>
    <x v="0"/>
    <n v="0"/>
  </r>
  <r>
    <x v="1"/>
    <x v="1"/>
    <n v="0"/>
  </r>
  <r>
    <x v="1"/>
    <x v="1"/>
    <n v="0"/>
  </r>
  <r>
    <x v="0"/>
    <x v="0"/>
    <n v="0"/>
  </r>
  <r>
    <x v="1"/>
    <x v="1"/>
    <n v="0"/>
  </r>
  <r>
    <x v="1"/>
    <x v="1"/>
    <n v="0"/>
  </r>
  <r>
    <x v="1"/>
    <x v="1"/>
    <n v="0"/>
  </r>
  <r>
    <x v="1"/>
    <x v="1"/>
    <n v="0"/>
  </r>
  <r>
    <x v="1"/>
    <x v="1"/>
    <n v="0"/>
  </r>
  <r>
    <x v="0"/>
    <x v="0"/>
    <n v="0"/>
  </r>
  <r>
    <x v="0"/>
    <x v="0"/>
    <n v="0"/>
  </r>
  <r>
    <x v="0"/>
    <x v="0"/>
    <n v="0"/>
  </r>
  <r>
    <x v="0"/>
    <x v="0"/>
    <n v="0"/>
  </r>
  <r>
    <x v="1"/>
    <x v="1"/>
    <n v="0"/>
  </r>
  <r>
    <x v="0"/>
    <x v="0"/>
    <n v="0"/>
  </r>
  <r>
    <x v="1"/>
    <x v="1"/>
    <n v="0"/>
  </r>
  <r>
    <x v="0"/>
    <x v="0"/>
    <n v="0"/>
  </r>
  <r>
    <x v="0"/>
    <x v="0"/>
    <n v="0"/>
  </r>
  <r>
    <x v="1"/>
    <x v="1"/>
    <n v="0"/>
  </r>
  <r>
    <x v="0"/>
    <x v="0"/>
    <n v="0"/>
  </r>
  <r>
    <x v="0"/>
    <x v="0"/>
    <n v="0"/>
  </r>
  <r>
    <x v="0"/>
    <x v="0"/>
    <n v="0"/>
  </r>
  <r>
    <x v="0"/>
    <x v="0"/>
    <n v="0"/>
  </r>
  <r>
    <x v="1"/>
    <x v="1"/>
    <n v="0"/>
  </r>
  <r>
    <x v="1"/>
    <x v="1"/>
    <n v="0"/>
  </r>
  <r>
    <x v="1"/>
    <x v="1"/>
    <n v="0"/>
  </r>
  <r>
    <x v="1"/>
    <x v="1"/>
    <n v="0"/>
  </r>
  <r>
    <x v="0"/>
    <x v="0"/>
    <n v="0"/>
  </r>
  <r>
    <x v="1"/>
    <x v="1"/>
    <n v="0"/>
  </r>
  <r>
    <x v="1"/>
    <x v="1"/>
    <n v="0"/>
  </r>
  <r>
    <x v="0"/>
    <x v="0"/>
    <n v="0"/>
  </r>
  <r>
    <x v="1"/>
    <x v="1"/>
    <n v="0"/>
  </r>
  <r>
    <x v="1"/>
    <x v="1"/>
    <n v="0"/>
  </r>
  <r>
    <x v="1"/>
    <x v="1"/>
    <n v="1"/>
  </r>
  <r>
    <x v="0"/>
    <x v="0"/>
    <n v="0"/>
  </r>
  <r>
    <x v="0"/>
    <x v="0"/>
    <n v="0"/>
  </r>
  <r>
    <x v="1"/>
    <x v="1"/>
    <n v="0"/>
  </r>
  <r>
    <x v="0"/>
    <x v="0"/>
    <n v="0"/>
  </r>
  <r>
    <x v="1"/>
    <x v="1"/>
    <n v="0"/>
  </r>
  <r>
    <x v="1"/>
    <x v="1"/>
    <n v="0"/>
  </r>
  <r>
    <x v="1"/>
    <x v="1"/>
    <n v="0"/>
  </r>
  <r>
    <x v="1"/>
    <x v="1"/>
    <n v="0"/>
  </r>
  <r>
    <x v="0"/>
    <x v="0"/>
    <n v="0"/>
  </r>
  <r>
    <x v="0"/>
    <x v="0"/>
    <n v="0"/>
  </r>
  <r>
    <x v="0"/>
    <x v="0"/>
    <n v="0"/>
  </r>
  <r>
    <x v="1"/>
    <x v="1"/>
    <n v="0"/>
  </r>
  <r>
    <x v="0"/>
    <x v="0"/>
    <n v="0"/>
  </r>
  <r>
    <x v="1"/>
    <x v="1"/>
    <n v="0"/>
  </r>
  <r>
    <x v="1"/>
    <x v="1"/>
    <n v="0"/>
  </r>
  <r>
    <x v="0"/>
    <x v="0"/>
    <n v="0"/>
  </r>
  <r>
    <x v="1"/>
    <x v="1"/>
    <n v="0"/>
  </r>
  <r>
    <x v="0"/>
    <x v="0"/>
    <n v="0"/>
  </r>
  <r>
    <x v="1"/>
    <x v="1"/>
    <n v="0"/>
  </r>
  <r>
    <x v="0"/>
    <x v="0"/>
    <n v="0"/>
  </r>
  <r>
    <x v="0"/>
    <x v="0"/>
    <n v="0"/>
  </r>
  <r>
    <x v="1"/>
    <x v="1"/>
    <n v="0"/>
  </r>
  <r>
    <x v="1"/>
    <x v="1"/>
    <n v="0"/>
  </r>
  <r>
    <x v="0"/>
    <x v="0"/>
    <n v="0"/>
  </r>
  <r>
    <x v="1"/>
    <x v="1"/>
    <n v="0"/>
  </r>
  <r>
    <x v="0"/>
    <x v="0"/>
    <n v="0"/>
  </r>
  <r>
    <x v="1"/>
    <x v="1"/>
    <n v="0"/>
  </r>
  <r>
    <x v="0"/>
    <x v="0"/>
    <n v="0"/>
  </r>
  <r>
    <x v="0"/>
    <x v="0"/>
    <n v="0"/>
  </r>
  <r>
    <x v="0"/>
    <x v="0"/>
    <n v="0"/>
  </r>
  <r>
    <x v="1"/>
    <x v="1"/>
    <n v="0"/>
  </r>
  <r>
    <x v="0"/>
    <x v="0"/>
    <n v="0"/>
  </r>
  <r>
    <x v="1"/>
    <x v="1"/>
    <n v="0"/>
  </r>
  <r>
    <x v="0"/>
    <x v="0"/>
    <n v="0"/>
  </r>
  <r>
    <x v="0"/>
    <x v="0"/>
    <n v="1"/>
  </r>
  <r>
    <x v="1"/>
    <x v="1"/>
    <n v="0"/>
  </r>
  <r>
    <x v="0"/>
    <x v="0"/>
    <n v="0"/>
  </r>
  <r>
    <x v="0"/>
    <x v="0"/>
    <n v="1"/>
  </r>
  <r>
    <x v="1"/>
    <x v="1"/>
    <n v="0"/>
  </r>
  <r>
    <x v="0"/>
    <x v="0"/>
    <n v="0"/>
  </r>
  <r>
    <x v="1"/>
    <x v="1"/>
    <n v="0"/>
  </r>
  <r>
    <x v="1"/>
    <x v="1"/>
    <n v="0"/>
  </r>
  <r>
    <x v="1"/>
    <x v="1"/>
    <n v="0"/>
  </r>
  <r>
    <x v="0"/>
    <x v="0"/>
    <n v="0"/>
  </r>
  <r>
    <x v="0"/>
    <x v="0"/>
    <n v="0"/>
  </r>
  <r>
    <x v="0"/>
    <x v="0"/>
    <n v="0"/>
  </r>
  <r>
    <x v="0"/>
    <x v="0"/>
    <n v="0"/>
  </r>
  <r>
    <x v="1"/>
    <x v="1"/>
    <n v="0"/>
  </r>
  <r>
    <x v="1"/>
    <x v="1"/>
    <n v="0"/>
  </r>
  <r>
    <x v="1"/>
    <x v="1"/>
    <n v="0"/>
  </r>
  <r>
    <x v="1"/>
    <x v="1"/>
    <n v="0"/>
  </r>
  <r>
    <x v="1"/>
    <x v="1"/>
    <n v="0"/>
  </r>
  <r>
    <x v="0"/>
    <x v="0"/>
    <n v="0"/>
  </r>
  <r>
    <x v="1"/>
    <x v="1"/>
    <n v="0"/>
  </r>
  <r>
    <x v="1"/>
    <x v="1"/>
    <n v="0"/>
  </r>
  <r>
    <x v="1"/>
    <x v="1"/>
    <n v="0"/>
  </r>
  <r>
    <x v="1"/>
    <x v="1"/>
    <n v="0"/>
  </r>
  <r>
    <x v="0"/>
    <x v="0"/>
    <n v="0"/>
  </r>
  <r>
    <x v="0"/>
    <x v="0"/>
    <n v="0"/>
  </r>
  <r>
    <x v="1"/>
    <x v="1"/>
    <n v="0"/>
  </r>
  <r>
    <x v="0"/>
    <x v="0"/>
    <n v="0"/>
  </r>
  <r>
    <x v="0"/>
    <x v="0"/>
    <n v="0"/>
  </r>
  <r>
    <x v="1"/>
    <x v="1"/>
    <n v="0"/>
  </r>
  <r>
    <x v="1"/>
    <x v="1"/>
    <n v="0"/>
  </r>
  <r>
    <x v="1"/>
    <x v="1"/>
    <n v="0"/>
  </r>
  <r>
    <x v="0"/>
    <x v="0"/>
    <n v="0"/>
  </r>
  <r>
    <x v="1"/>
    <x v="1"/>
    <n v="0"/>
  </r>
  <r>
    <x v="1"/>
    <x v="1"/>
    <n v="0"/>
  </r>
  <r>
    <x v="0"/>
    <x v="0"/>
    <n v="0"/>
  </r>
  <r>
    <x v="0"/>
    <x v="0"/>
    <n v="0"/>
  </r>
  <r>
    <x v="1"/>
    <x v="1"/>
    <n v="0"/>
  </r>
  <r>
    <x v="1"/>
    <x v="1"/>
    <n v="0"/>
  </r>
  <r>
    <x v="1"/>
    <x v="1"/>
    <n v="0"/>
  </r>
  <r>
    <x v="1"/>
    <x v="1"/>
    <n v="0"/>
  </r>
  <r>
    <x v="0"/>
    <x v="0"/>
    <n v="0"/>
  </r>
  <r>
    <x v="1"/>
    <x v="1"/>
    <n v="0"/>
  </r>
  <r>
    <x v="0"/>
    <x v="0"/>
    <n v="0"/>
  </r>
  <r>
    <x v="0"/>
    <x v="0"/>
    <n v="0"/>
  </r>
  <r>
    <x v="1"/>
    <x v="1"/>
    <n v="0"/>
  </r>
  <r>
    <x v="0"/>
    <x v="0"/>
    <n v="0"/>
  </r>
  <r>
    <x v="1"/>
    <x v="1"/>
    <n v="0"/>
  </r>
  <r>
    <x v="1"/>
    <x v="1"/>
    <n v="0"/>
  </r>
  <r>
    <x v="0"/>
    <x v="0"/>
    <n v="0"/>
  </r>
  <r>
    <x v="0"/>
    <x v="0"/>
    <n v="0"/>
  </r>
  <r>
    <x v="0"/>
    <x v="0"/>
    <n v="0"/>
  </r>
  <r>
    <x v="0"/>
    <x v="0"/>
    <n v="0"/>
  </r>
  <r>
    <x v="0"/>
    <x v="0"/>
    <n v="0"/>
  </r>
  <r>
    <x v="0"/>
    <x v="0"/>
    <n v="0"/>
  </r>
  <r>
    <x v="0"/>
    <x v="0"/>
    <n v="0"/>
  </r>
  <r>
    <x v="1"/>
    <x v="1"/>
    <n v="0"/>
  </r>
  <r>
    <x v="1"/>
    <x v="1"/>
    <n v="0"/>
  </r>
  <r>
    <x v="1"/>
    <x v="1"/>
    <n v="1"/>
  </r>
  <r>
    <x v="1"/>
    <x v="1"/>
    <n v="0"/>
  </r>
  <r>
    <x v="0"/>
    <x v="0"/>
    <n v="0"/>
  </r>
  <r>
    <x v="0"/>
    <x v="0"/>
    <n v="0"/>
  </r>
  <r>
    <x v="1"/>
    <x v="1"/>
    <n v="0"/>
  </r>
  <r>
    <x v="0"/>
    <x v="0"/>
    <n v="0"/>
  </r>
  <r>
    <x v="1"/>
    <x v="1"/>
    <n v="0"/>
  </r>
  <r>
    <x v="0"/>
    <x v="0"/>
    <n v="0"/>
  </r>
  <r>
    <x v="1"/>
    <x v="1"/>
    <n v="0"/>
  </r>
  <r>
    <x v="1"/>
    <x v="1"/>
    <n v="0"/>
  </r>
  <r>
    <x v="1"/>
    <x v="1"/>
    <n v="0"/>
  </r>
  <r>
    <x v="0"/>
    <x v="0"/>
    <n v="0"/>
  </r>
  <r>
    <x v="0"/>
    <x v="0"/>
    <n v="0"/>
  </r>
  <r>
    <x v="1"/>
    <x v="1"/>
    <n v="0"/>
  </r>
  <r>
    <x v="1"/>
    <x v="1"/>
    <n v="0"/>
  </r>
  <r>
    <x v="0"/>
    <x v="0"/>
    <n v="0"/>
  </r>
  <r>
    <x v="0"/>
    <x v="0"/>
    <n v="0"/>
  </r>
  <r>
    <x v="0"/>
    <x v="0"/>
    <n v="0"/>
  </r>
  <r>
    <x v="1"/>
    <x v="1"/>
    <n v="0"/>
  </r>
  <r>
    <x v="1"/>
    <x v="1"/>
    <n v="0"/>
  </r>
  <r>
    <x v="0"/>
    <x v="0"/>
    <n v="0"/>
  </r>
  <r>
    <x v="1"/>
    <x v="1"/>
    <n v="0"/>
  </r>
  <r>
    <x v="1"/>
    <x v="1"/>
    <n v="0"/>
  </r>
  <r>
    <x v="0"/>
    <x v="0"/>
    <n v="0"/>
  </r>
  <r>
    <x v="0"/>
    <x v="0"/>
    <n v="0"/>
  </r>
  <r>
    <x v="0"/>
    <x v="0"/>
    <n v="0"/>
  </r>
  <r>
    <x v="1"/>
    <x v="1"/>
    <n v="0"/>
  </r>
  <r>
    <x v="1"/>
    <x v="1"/>
    <n v="0"/>
  </r>
  <r>
    <x v="1"/>
    <x v="1"/>
    <n v="0"/>
  </r>
  <r>
    <x v="1"/>
    <x v="1"/>
    <n v="0"/>
  </r>
  <r>
    <x v="1"/>
    <x v="1"/>
    <n v="0"/>
  </r>
  <r>
    <x v="0"/>
    <x v="0"/>
    <n v="0"/>
  </r>
  <r>
    <x v="0"/>
    <x v="0"/>
    <n v="0"/>
  </r>
  <r>
    <x v="1"/>
    <x v="1"/>
    <n v="0"/>
  </r>
  <r>
    <x v="1"/>
    <x v="1"/>
    <n v="0"/>
  </r>
  <r>
    <x v="0"/>
    <x v="0"/>
    <n v="1"/>
  </r>
  <r>
    <x v="0"/>
    <x v="0"/>
    <n v="0"/>
  </r>
  <r>
    <x v="1"/>
    <x v="1"/>
    <n v="0"/>
  </r>
  <r>
    <x v="1"/>
    <x v="1"/>
    <n v="0"/>
  </r>
  <r>
    <x v="0"/>
    <x v="0"/>
    <n v="0"/>
  </r>
  <r>
    <x v="1"/>
    <x v="1"/>
    <n v="0"/>
  </r>
  <r>
    <x v="0"/>
    <x v="0"/>
    <n v="0"/>
  </r>
  <r>
    <x v="1"/>
    <x v="1"/>
    <n v="0"/>
  </r>
  <r>
    <x v="1"/>
    <x v="1"/>
    <n v="0"/>
  </r>
  <r>
    <x v="0"/>
    <x v="0"/>
    <n v="0"/>
  </r>
  <r>
    <x v="1"/>
    <x v="1"/>
    <n v="0"/>
  </r>
  <r>
    <x v="1"/>
    <x v="1"/>
    <n v="0"/>
  </r>
  <r>
    <x v="1"/>
    <x v="1"/>
    <n v="0"/>
  </r>
  <r>
    <x v="1"/>
    <x v="1"/>
    <n v="0"/>
  </r>
  <r>
    <x v="1"/>
    <x v="1"/>
    <n v="0"/>
  </r>
  <r>
    <x v="1"/>
    <x v="1"/>
    <n v="0"/>
  </r>
  <r>
    <x v="0"/>
    <x v="0"/>
    <n v="0"/>
  </r>
  <r>
    <x v="1"/>
    <x v="1"/>
    <n v="0"/>
  </r>
  <r>
    <x v="0"/>
    <x v="0"/>
    <n v="0"/>
  </r>
  <r>
    <x v="0"/>
    <x v="0"/>
    <n v="0"/>
  </r>
  <r>
    <x v="0"/>
    <x v="0"/>
    <n v="0"/>
  </r>
  <r>
    <x v="0"/>
    <x v="0"/>
    <n v="0"/>
  </r>
  <r>
    <x v="0"/>
    <x v="0"/>
    <n v="0"/>
  </r>
  <r>
    <x v="1"/>
    <x v="1"/>
    <n v="0"/>
  </r>
  <r>
    <x v="1"/>
    <x v="1"/>
    <n v="0"/>
  </r>
  <r>
    <x v="1"/>
    <x v="1"/>
    <n v="0"/>
  </r>
  <r>
    <x v="1"/>
    <x v="1"/>
    <n v="0"/>
  </r>
  <r>
    <x v="0"/>
    <x v="0"/>
    <n v="0"/>
  </r>
  <r>
    <x v="1"/>
    <x v="1"/>
    <n v="0"/>
  </r>
  <r>
    <x v="0"/>
    <x v="0"/>
    <n v="0"/>
  </r>
  <r>
    <x v="1"/>
    <x v="1"/>
    <n v="0"/>
  </r>
  <r>
    <x v="1"/>
    <x v="1"/>
    <n v="0"/>
  </r>
  <r>
    <x v="0"/>
    <x v="0"/>
    <n v="0"/>
  </r>
  <r>
    <x v="0"/>
    <x v="0"/>
    <n v="0"/>
  </r>
  <r>
    <x v="1"/>
    <x v="1"/>
    <n v="0"/>
  </r>
  <r>
    <x v="1"/>
    <x v="1"/>
    <n v="0"/>
  </r>
  <r>
    <x v="1"/>
    <x v="1"/>
    <n v="0"/>
  </r>
  <r>
    <x v="1"/>
    <x v="1"/>
    <n v="0"/>
  </r>
  <r>
    <x v="0"/>
    <x v="0"/>
    <n v="0"/>
  </r>
  <r>
    <x v="1"/>
    <x v="1"/>
    <n v="0"/>
  </r>
  <r>
    <x v="0"/>
    <x v="0"/>
    <n v="0"/>
  </r>
  <r>
    <x v="1"/>
    <x v="1"/>
    <n v="0"/>
  </r>
  <r>
    <x v="1"/>
    <x v="1"/>
    <n v="0"/>
  </r>
  <r>
    <x v="0"/>
    <x v="0"/>
    <n v="0"/>
  </r>
  <r>
    <x v="1"/>
    <x v="1"/>
    <n v="0"/>
  </r>
  <r>
    <x v="1"/>
    <x v="1"/>
    <n v="0"/>
  </r>
  <r>
    <x v="0"/>
    <x v="0"/>
    <n v="0"/>
  </r>
  <r>
    <x v="0"/>
    <x v="0"/>
    <n v="0"/>
  </r>
  <r>
    <x v="1"/>
    <x v="1"/>
    <n v="0"/>
  </r>
  <r>
    <x v="1"/>
    <x v="1"/>
    <n v="0"/>
  </r>
  <r>
    <x v="1"/>
    <x v="1"/>
    <n v="0"/>
  </r>
  <r>
    <x v="1"/>
    <x v="1"/>
    <n v="0"/>
  </r>
  <r>
    <x v="0"/>
    <x v="0"/>
    <n v="0"/>
  </r>
  <r>
    <x v="1"/>
    <x v="1"/>
    <n v="0"/>
  </r>
  <r>
    <x v="0"/>
    <x v="0"/>
    <n v="0"/>
  </r>
  <r>
    <x v="1"/>
    <x v="1"/>
    <n v="0"/>
  </r>
  <r>
    <x v="1"/>
    <x v="1"/>
    <n v="0"/>
  </r>
  <r>
    <x v="1"/>
    <x v="1"/>
    <n v="1"/>
  </r>
  <r>
    <x v="1"/>
    <x v="1"/>
    <n v="0"/>
  </r>
  <r>
    <x v="1"/>
    <x v="1"/>
    <n v="0"/>
  </r>
  <r>
    <x v="0"/>
    <x v="0"/>
    <n v="0"/>
  </r>
  <r>
    <x v="0"/>
    <x v="0"/>
    <n v="0"/>
  </r>
  <r>
    <x v="0"/>
    <x v="0"/>
    <n v="0"/>
  </r>
  <r>
    <x v="1"/>
    <x v="1"/>
    <n v="0"/>
  </r>
  <r>
    <x v="0"/>
    <x v="0"/>
    <n v="0"/>
  </r>
  <r>
    <x v="1"/>
    <x v="1"/>
    <n v="0"/>
  </r>
  <r>
    <x v="1"/>
    <x v="1"/>
    <n v="0"/>
  </r>
  <r>
    <x v="1"/>
    <x v="1"/>
    <n v="0"/>
  </r>
  <r>
    <x v="0"/>
    <x v="0"/>
    <n v="0"/>
  </r>
  <r>
    <x v="1"/>
    <x v="1"/>
    <n v="0"/>
  </r>
  <r>
    <x v="0"/>
    <x v="0"/>
    <n v="0"/>
  </r>
  <r>
    <x v="1"/>
    <x v="1"/>
    <n v="0"/>
  </r>
  <r>
    <x v="1"/>
    <x v="1"/>
    <n v="0"/>
  </r>
  <r>
    <x v="1"/>
    <x v="1"/>
    <n v="0"/>
  </r>
  <r>
    <x v="0"/>
    <x v="0"/>
    <n v="0"/>
  </r>
  <r>
    <x v="1"/>
    <x v="1"/>
    <n v="0"/>
  </r>
  <r>
    <x v="1"/>
    <x v="1"/>
    <n v="0"/>
  </r>
  <r>
    <x v="1"/>
    <x v="1"/>
    <n v="0"/>
  </r>
  <r>
    <x v="0"/>
    <x v="0"/>
    <n v="0"/>
  </r>
  <r>
    <x v="1"/>
    <x v="1"/>
    <n v="0"/>
  </r>
  <r>
    <x v="0"/>
    <x v="0"/>
    <n v="0"/>
  </r>
  <r>
    <x v="1"/>
    <x v="1"/>
    <n v="0"/>
  </r>
  <r>
    <x v="1"/>
    <x v="1"/>
    <n v="0"/>
  </r>
  <r>
    <x v="0"/>
    <x v="0"/>
    <n v="0"/>
  </r>
  <r>
    <x v="0"/>
    <x v="0"/>
    <n v="0"/>
  </r>
  <r>
    <x v="0"/>
    <x v="0"/>
    <n v="0"/>
  </r>
  <r>
    <x v="1"/>
    <x v="1"/>
    <n v="0"/>
  </r>
  <r>
    <x v="1"/>
    <x v="1"/>
    <n v="0"/>
  </r>
  <r>
    <x v="0"/>
    <x v="0"/>
    <n v="0"/>
  </r>
  <r>
    <x v="1"/>
    <x v="1"/>
    <n v="0"/>
  </r>
  <r>
    <x v="0"/>
    <x v="0"/>
    <n v="0"/>
  </r>
  <r>
    <x v="0"/>
    <x v="0"/>
    <n v="0"/>
  </r>
  <r>
    <x v="0"/>
    <x v="0"/>
    <n v="0"/>
  </r>
  <r>
    <x v="1"/>
    <x v="1"/>
    <n v="0"/>
  </r>
  <r>
    <x v="0"/>
    <x v="0"/>
    <n v="0"/>
  </r>
  <r>
    <x v="1"/>
    <x v="1"/>
    <n v="0"/>
  </r>
  <r>
    <x v="0"/>
    <x v="0"/>
    <n v="0"/>
  </r>
  <r>
    <x v="0"/>
    <x v="0"/>
    <n v="0"/>
  </r>
  <r>
    <x v="1"/>
    <x v="1"/>
    <n v="0"/>
  </r>
  <r>
    <x v="0"/>
    <x v="0"/>
    <n v="0"/>
  </r>
  <r>
    <x v="1"/>
    <x v="1"/>
    <n v="0"/>
  </r>
  <r>
    <x v="1"/>
    <x v="1"/>
    <n v="0"/>
  </r>
  <r>
    <x v="0"/>
    <x v="0"/>
    <n v="0"/>
  </r>
  <r>
    <x v="1"/>
    <x v="1"/>
    <n v="1"/>
  </r>
  <r>
    <x v="1"/>
    <x v="1"/>
    <n v="0"/>
  </r>
  <r>
    <x v="1"/>
    <x v="1"/>
    <n v="0"/>
  </r>
  <r>
    <x v="0"/>
    <x v="0"/>
    <n v="0"/>
  </r>
  <r>
    <x v="1"/>
    <x v="1"/>
    <n v="0"/>
  </r>
  <r>
    <x v="1"/>
    <x v="1"/>
    <n v="0"/>
  </r>
  <r>
    <x v="1"/>
    <x v="1"/>
    <n v="0"/>
  </r>
  <r>
    <x v="0"/>
    <x v="0"/>
    <n v="0"/>
  </r>
  <r>
    <x v="0"/>
    <x v="0"/>
    <n v="0"/>
  </r>
  <r>
    <x v="1"/>
    <x v="1"/>
    <n v="0"/>
  </r>
  <r>
    <x v="1"/>
    <x v="1"/>
    <n v="0"/>
  </r>
  <r>
    <x v="1"/>
    <x v="1"/>
    <n v="0"/>
  </r>
  <r>
    <x v="0"/>
    <x v="0"/>
    <n v="0"/>
  </r>
  <r>
    <x v="1"/>
    <x v="1"/>
    <n v="0"/>
  </r>
  <r>
    <x v="0"/>
    <x v="0"/>
    <n v="0"/>
  </r>
  <r>
    <x v="0"/>
    <x v="0"/>
    <n v="0"/>
  </r>
  <r>
    <x v="1"/>
    <x v="1"/>
    <n v="0"/>
  </r>
  <r>
    <x v="0"/>
    <x v="0"/>
    <n v="0"/>
  </r>
  <r>
    <x v="1"/>
    <x v="1"/>
    <n v="0"/>
  </r>
  <r>
    <x v="1"/>
    <x v="1"/>
    <n v="0"/>
  </r>
  <r>
    <x v="0"/>
    <x v="0"/>
    <n v="0"/>
  </r>
  <r>
    <x v="0"/>
    <x v="0"/>
    <n v="0"/>
  </r>
  <r>
    <x v="0"/>
    <x v="0"/>
    <n v="0"/>
  </r>
  <r>
    <x v="1"/>
    <x v="1"/>
    <n v="0"/>
  </r>
  <r>
    <x v="0"/>
    <x v="0"/>
    <n v="0"/>
  </r>
  <r>
    <x v="1"/>
    <x v="1"/>
    <n v="1"/>
  </r>
  <r>
    <x v="1"/>
    <x v="1"/>
    <n v="0"/>
  </r>
  <r>
    <x v="0"/>
    <x v="0"/>
    <n v="0"/>
  </r>
  <r>
    <x v="1"/>
    <x v="1"/>
    <n v="0"/>
  </r>
  <r>
    <x v="1"/>
    <x v="1"/>
    <n v="0"/>
  </r>
  <r>
    <x v="0"/>
    <x v="0"/>
    <n v="0"/>
  </r>
  <r>
    <x v="1"/>
    <x v="1"/>
    <n v="0"/>
  </r>
  <r>
    <x v="0"/>
    <x v="0"/>
    <n v="0"/>
  </r>
  <r>
    <x v="1"/>
    <x v="1"/>
    <n v="1"/>
  </r>
  <r>
    <x v="0"/>
    <x v="0"/>
    <n v="0"/>
  </r>
  <r>
    <x v="1"/>
    <x v="1"/>
    <n v="0"/>
  </r>
  <r>
    <x v="1"/>
    <x v="1"/>
    <n v="0"/>
  </r>
  <r>
    <x v="1"/>
    <x v="1"/>
    <n v="0"/>
  </r>
  <r>
    <x v="0"/>
    <x v="0"/>
    <n v="0"/>
  </r>
  <r>
    <x v="1"/>
    <x v="1"/>
    <n v="1"/>
  </r>
  <r>
    <x v="1"/>
    <x v="1"/>
    <n v="0"/>
  </r>
  <r>
    <x v="0"/>
    <x v="0"/>
    <n v="0"/>
  </r>
  <r>
    <x v="1"/>
    <x v="1"/>
    <n v="0"/>
  </r>
  <r>
    <x v="0"/>
    <x v="0"/>
    <n v="0"/>
  </r>
  <r>
    <x v="0"/>
    <x v="0"/>
    <n v="0"/>
  </r>
  <r>
    <x v="0"/>
    <x v="0"/>
    <n v="0"/>
  </r>
  <r>
    <x v="0"/>
    <x v="0"/>
    <n v="0"/>
  </r>
  <r>
    <x v="1"/>
    <x v="1"/>
    <n v="0"/>
  </r>
  <r>
    <x v="0"/>
    <x v="0"/>
    <n v="0"/>
  </r>
  <r>
    <x v="1"/>
    <x v="1"/>
    <n v="0"/>
  </r>
  <r>
    <x v="0"/>
    <x v="0"/>
    <n v="0"/>
  </r>
  <r>
    <x v="1"/>
    <x v="1"/>
    <n v="0"/>
  </r>
  <r>
    <x v="1"/>
    <x v="1"/>
    <n v="0"/>
  </r>
  <r>
    <x v="1"/>
    <x v="1"/>
    <n v="0"/>
  </r>
  <r>
    <x v="1"/>
    <x v="1"/>
    <n v="1"/>
  </r>
  <r>
    <x v="1"/>
    <x v="1"/>
    <n v="0"/>
  </r>
  <r>
    <x v="1"/>
    <x v="1"/>
    <n v="0"/>
  </r>
  <r>
    <x v="1"/>
    <x v="1"/>
    <n v="0"/>
  </r>
  <r>
    <x v="0"/>
    <x v="0"/>
    <n v="0"/>
  </r>
  <r>
    <x v="0"/>
    <x v="0"/>
    <n v="0"/>
  </r>
  <r>
    <x v="1"/>
    <x v="1"/>
    <n v="0"/>
  </r>
  <r>
    <x v="1"/>
    <x v="1"/>
    <n v="0"/>
  </r>
  <r>
    <x v="1"/>
    <x v="1"/>
    <n v="0"/>
  </r>
  <r>
    <x v="1"/>
    <x v="1"/>
    <n v="0"/>
  </r>
  <r>
    <x v="0"/>
    <x v="0"/>
    <n v="0"/>
  </r>
  <r>
    <x v="0"/>
    <x v="0"/>
    <n v="0"/>
  </r>
  <r>
    <x v="1"/>
    <x v="1"/>
    <n v="0"/>
  </r>
  <r>
    <x v="0"/>
    <x v="0"/>
    <n v="0"/>
  </r>
  <r>
    <x v="1"/>
    <x v="1"/>
    <n v="0"/>
  </r>
  <r>
    <x v="0"/>
    <x v="0"/>
    <n v="0"/>
  </r>
  <r>
    <x v="0"/>
    <x v="0"/>
    <n v="0"/>
  </r>
  <r>
    <x v="0"/>
    <x v="0"/>
    <n v="0"/>
  </r>
  <r>
    <x v="1"/>
    <x v="1"/>
    <n v="0"/>
  </r>
  <r>
    <x v="0"/>
    <x v="0"/>
    <n v="0"/>
  </r>
  <r>
    <x v="0"/>
    <x v="0"/>
    <n v="0"/>
  </r>
  <r>
    <x v="0"/>
    <x v="0"/>
    <n v="0"/>
  </r>
  <r>
    <x v="1"/>
    <x v="1"/>
    <n v="0"/>
  </r>
  <r>
    <x v="1"/>
    <x v="1"/>
    <n v="1"/>
  </r>
  <r>
    <x v="0"/>
    <x v="0"/>
    <n v="0"/>
  </r>
  <r>
    <x v="0"/>
    <x v="0"/>
    <n v="0"/>
  </r>
  <r>
    <x v="1"/>
    <x v="1"/>
    <n v="0"/>
  </r>
  <r>
    <x v="1"/>
    <x v="1"/>
    <n v="0"/>
  </r>
  <r>
    <x v="1"/>
    <x v="1"/>
    <n v="0"/>
  </r>
  <r>
    <x v="0"/>
    <x v="0"/>
    <n v="1"/>
  </r>
  <r>
    <x v="0"/>
    <x v="0"/>
    <n v="0"/>
  </r>
  <r>
    <x v="0"/>
    <x v="0"/>
    <n v="0"/>
  </r>
  <r>
    <x v="1"/>
    <x v="1"/>
    <n v="0"/>
  </r>
  <r>
    <x v="1"/>
    <x v="1"/>
    <n v="0"/>
  </r>
  <r>
    <x v="1"/>
    <x v="1"/>
    <n v="0"/>
  </r>
  <r>
    <x v="0"/>
    <x v="0"/>
    <n v="0"/>
  </r>
  <r>
    <x v="0"/>
    <x v="0"/>
    <n v="0"/>
  </r>
  <r>
    <x v="0"/>
    <x v="0"/>
    <n v="0"/>
  </r>
  <r>
    <x v="0"/>
    <x v="0"/>
    <n v="0"/>
  </r>
  <r>
    <x v="1"/>
    <x v="1"/>
    <n v="0"/>
  </r>
  <r>
    <x v="1"/>
    <x v="1"/>
    <n v="0"/>
  </r>
  <r>
    <x v="0"/>
    <x v="0"/>
    <n v="0"/>
  </r>
  <r>
    <x v="0"/>
    <x v="0"/>
    <n v="0"/>
  </r>
  <r>
    <x v="1"/>
    <x v="1"/>
    <n v="0"/>
  </r>
  <r>
    <x v="1"/>
    <x v="1"/>
    <n v="0"/>
  </r>
  <r>
    <x v="0"/>
    <x v="0"/>
    <n v="0"/>
  </r>
  <r>
    <x v="0"/>
    <x v="0"/>
    <n v="0"/>
  </r>
  <r>
    <x v="0"/>
    <x v="0"/>
    <n v="0"/>
  </r>
  <r>
    <x v="0"/>
    <x v="0"/>
    <n v="0"/>
  </r>
  <r>
    <x v="0"/>
    <x v="0"/>
    <n v="0"/>
  </r>
  <r>
    <x v="1"/>
    <x v="1"/>
    <n v="0"/>
  </r>
  <r>
    <x v="1"/>
    <x v="1"/>
    <n v="0"/>
  </r>
  <r>
    <x v="0"/>
    <x v="0"/>
    <n v="0"/>
  </r>
  <r>
    <x v="0"/>
    <x v="0"/>
    <n v="0"/>
  </r>
  <r>
    <x v="1"/>
    <x v="1"/>
    <n v="0"/>
  </r>
  <r>
    <x v="0"/>
    <x v="0"/>
    <n v="0"/>
  </r>
  <r>
    <x v="0"/>
    <x v="0"/>
    <n v="0"/>
  </r>
  <r>
    <x v="0"/>
    <x v="0"/>
    <n v="0"/>
  </r>
  <r>
    <x v="1"/>
    <x v="1"/>
    <n v="0"/>
  </r>
  <r>
    <x v="1"/>
    <x v="1"/>
    <n v="0"/>
  </r>
  <r>
    <x v="0"/>
    <x v="0"/>
    <n v="0"/>
  </r>
  <r>
    <x v="1"/>
    <x v="1"/>
    <n v="0"/>
  </r>
  <r>
    <x v="1"/>
    <x v="1"/>
    <n v="0"/>
  </r>
  <r>
    <x v="1"/>
    <x v="1"/>
    <n v="0"/>
  </r>
  <r>
    <x v="0"/>
    <x v="0"/>
    <n v="0"/>
  </r>
  <r>
    <x v="0"/>
    <x v="0"/>
    <n v="0"/>
  </r>
  <r>
    <x v="1"/>
    <x v="1"/>
    <n v="0"/>
  </r>
  <r>
    <x v="0"/>
    <x v="0"/>
    <n v="0"/>
  </r>
  <r>
    <x v="1"/>
    <x v="1"/>
    <n v="0"/>
  </r>
  <r>
    <x v="0"/>
    <x v="0"/>
    <n v="0"/>
  </r>
  <r>
    <x v="1"/>
    <x v="1"/>
    <n v="0"/>
  </r>
  <r>
    <x v="0"/>
    <x v="0"/>
    <n v="0"/>
  </r>
  <r>
    <x v="1"/>
    <x v="1"/>
    <n v="0"/>
  </r>
  <r>
    <x v="0"/>
    <x v="0"/>
    <n v="0"/>
  </r>
  <r>
    <x v="0"/>
    <x v="0"/>
    <n v="0"/>
  </r>
  <r>
    <x v="1"/>
    <x v="1"/>
    <n v="0"/>
  </r>
  <r>
    <x v="1"/>
    <x v="1"/>
    <n v="1"/>
  </r>
  <r>
    <x v="0"/>
    <x v="0"/>
    <n v="0"/>
  </r>
  <r>
    <x v="1"/>
    <x v="1"/>
    <n v="0"/>
  </r>
  <r>
    <x v="0"/>
    <x v="0"/>
    <n v="0"/>
  </r>
  <r>
    <x v="1"/>
    <x v="1"/>
    <n v="0"/>
  </r>
  <r>
    <x v="0"/>
    <x v="0"/>
    <n v="0"/>
  </r>
  <r>
    <x v="0"/>
    <x v="0"/>
    <n v="0"/>
  </r>
  <r>
    <x v="0"/>
    <x v="0"/>
    <n v="0"/>
  </r>
  <r>
    <x v="0"/>
    <x v="0"/>
    <n v="0"/>
  </r>
  <r>
    <x v="1"/>
    <x v="1"/>
    <n v="0"/>
  </r>
  <r>
    <x v="1"/>
    <x v="1"/>
    <n v="0"/>
  </r>
  <r>
    <x v="1"/>
    <x v="1"/>
    <n v="0"/>
  </r>
  <r>
    <x v="1"/>
    <x v="1"/>
    <n v="0"/>
  </r>
  <r>
    <x v="0"/>
    <x v="0"/>
    <n v="0"/>
  </r>
  <r>
    <x v="0"/>
    <x v="0"/>
    <n v="0"/>
  </r>
  <r>
    <x v="1"/>
    <x v="1"/>
    <n v="0"/>
  </r>
  <r>
    <x v="1"/>
    <x v="1"/>
    <n v="1"/>
  </r>
  <r>
    <x v="0"/>
    <x v="0"/>
    <n v="0"/>
  </r>
  <r>
    <x v="1"/>
    <x v="1"/>
    <n v="0"/>
  </r>
  <r>
    <x v="0"/>
    <x v="0"/>
    <n v="0"/>
  </r>
  <r>
    <x v="1"/>
    <x v="1"/>
    <n v="0"/>
  </r>
  <r>
    <x v="1"/>
    <x v="1"/>
    <n v="0"/>
  </r>
  <r>
    <x v="0"/>
    <x v="0"/>
    <n v="0"/>
  </r>
  <r>
    <x v="0"/>
    <x v="0"/>
    <n v="0"/>
  </r>
  <r>
    <x v="0"/>
    <x v="0"/>
    <n v="0"/>
  </r>
  <r>
    <x v="1"/>
    <x v="1"/>
    <n v="0"/>
  </r>
  <r>
    <x v="1"/>
    <x v="1"/>
    <n v="0"/>
  </r>
  <r>
    <x v="1"/>
    <x v="1"/>
    <n v="0"/>
  </r>
  <r>
    <x v="0"/>
    <x v="0"/>
    <n v="0"/>
  </r>
  <r>
    <x v="1"/>
    <x v="1"/>
    <n v="0"/>
  </r>
  <r>
    <x v="1"/>
    <x v="1"/>
    <n v="0"/>
  </r>
  <r>
    <x v="0"/>
    <x v="0"/>
    <n v="0"/>
  </r>
  <r>
    <x v="1"/>
    <x v="1"/>
    <n v="0"/>
  </r>
  <r>
    <x v="0"/>
    <x v="0"/>
    <n v="0"/>
  </r>
  <r>
    <x v="0"/>
    <x v="0"/>
    <n v="0"/>
  </r>
  <r>
    <x v="1"/>
    <x v="1"/>
    <n v="0"/>
  </r>
  <r>
    <x v="1"/>
    <x v="1"/>
    <n v="0"/>
  </r>
  <r>
    <x v="1"/>
    <x v="1"/>
    <n v="0"/>
  </r>
  <r>
    <x v="1"/>
    <x v="1"/>
    <n v="0"/>
  </r>
  <r>
    <x v="1"/>
    <x v="1"/>
    <n v="0"/>
  </r>
  <r>
    <x v="1"/>
    <x v="1"/>
    <n v="0"/>
  </r>
  <r>
    <x v="1"/>
    <x v="1"/>
    <n v="0"/>
  </r>
  <r>
    <x v="0"/>
    <x v="0"/>
    <n v="0"/>
  </r>
  <r>
    <x v="1"/>
    <x v="1"/>
    <n v="1"/>
  </r>
  <r>
    <x v="1"/>
    <x v="1"/>
    <n v="0"/>
  </r>
  <r>
    <x v="1"/>
    <x v="1"/>
    <n v="0"/>
  </r>
  <r>
    <x v="0"/>
    <x v="0"/>
    <n v="0"/>
  </r>
  <r>
    <x v="1"/>
    <x v="1"/>
    <n v="0"/>
  </r>
  <r>
    <x v="1"/>
    <x v="1"/>
    <n v="0"/>
  </r>
  <r>
    <x v="1"/>
    <x v="1"/>
    <n v="0"/>
  </r>
  <r>
    <x v="0"/>
    <x v="0"/>
    <n v="0"/>
  </r>
  <r>
    <x v="0"/>
    <x v="0"/>
    <n v="1"/>
  </r>
  <r>
    <x v="0"/>
    <x v="0"/>
    <n v="1"/>
  </r>
  <r>
    <x v="0"/>
    <x v="0"/>
    <n v="0"/>
  </r>
  <r>
    <x v="1"/>
    <x v="1"/>
    <n v="0"/>
  </r>
  <r>
    <x v="0"/>
    <x v="0"/>
    <n v="0"/>
  </r>
  <r>
    <x v="1"/>
    <x v="1"/>
    <n v="1"/>
  </r>
  <r>
    <x v="0"/>
    <x v="0"/>
    <n v="1"/>
  </r>
  <r>
    <x v="0"/>
    <x v="0"/>
    <n v="0"/>
  </r>
  <r>
    <x v="0"/>
    <x v="0"/>
    <n v="0"/>
  </r>
  <r>
    <x v="1"/>
    <x v="1"/>
    <n v="0"/>
  </r>
  <r>
    <x v="0"/>
    <x v="0"/>
    <n v="0"/>
  </r>
  <r>
    <x v="1"/>
    <x v="1"/>
    <n v="0"/>
  </r>
  <r>
    <x v="1"/>
    <x v="1"/>
    <n v="0"/>
  </r>
  <r>
    <x v="1"/>
    <x v="1"/>
    <n v="0"/>
  </r>
  <r>
    <x v="0"/>
    <x v="0"/>
    <n v="0"/>
  </r>
  <r>
    <x v="1"/>
    <x v="1"/>
    <n v="0"/>
  </r>
  <r>
    <x v="0"/>
    <x v="0"/>
    <n v="0"/>
  </r>
  <r>
    <x v="1"/>
    <x v="1"/>
    <n v="0"/>
  </r>
  <r>
    <x v="1"/>
    <x v="1"/>
    <n v="0"/>
  </r>
  <r>
    <x v="1"/>
    <x v="1"/>
    <n v="0"/>
  </r>
  <r>
    <x v="1"/>
    <x v="1"/>
    <n v="0"/>
  </r>
  <r>
    <x v="0"/>
    <x v="0"/>
    <n v="0"/>
  </r>
  <r>
    <x v="1"/>
    <x v="1"/>
    <n v="0"/>
  </r>
  <r>
    <x v="1"/>
    <x v="1"/>
    <n v="0"/>
  </r>
  <r>
    <x v="0"/>
    <x v="0"/>
    <n v="0"/>
  </r>
  <r>
    <x v="1"/>
    <x v="1"/>
    <n v="0"/>
  </r>
  <r>
    <x v="1"/>
    <x v="1"/>
    <n v="0"/>
  </r>
  <r>
    <x v="1"/>
    <x v="1"/>
    <n v="0"/>
  </r>
  <r>
    <x v="1"/>
    <x v="1"/>
    <n v="0"/>
  </r>
  <r>
    <x v="1"/>
    <x v="1"/>
    <n v="0"/>
  </r>
  <r>
    <x v="1"/>
    <x v="1"/>
    <n v="0"/>
  </r>
  <r>
    <x v="1"/>
    <x v="1"/>
    <n v="0"/>
  </r>
  <r>
    <x v="1"/>
    <x v="1"/>
    <n v="0"/>
  </r>
  <r>
    <x v="0"/>
    <x v="0"/>
    <n v="0"/>
  </r>
  <r>
    <x v="1"/>
    <x v="1"/>
    <n v="1"/>
  </r>
  <r>
    <x v="1"/>
    <x v="1"/>
    <n v="0"/>
  </r>
  <r>
    <x v="0"/>
    <x v="0"/>
    <n v="0"/>
  </r>
  <r>
    <x v="0"/>
    <x v="0"/>
    <n v="0"/>
  </r>
  <r>
    <x v="0"/>
    <x v="0"/>
    <n v="0"/>
  </r>
  <r>
    <x v="1"/>
    <x v="1"/>
    <n v="0"/>
  </r>
  <r>
    <x v="1"/>
    <x v="1"/>
    <n v="0"/>
  </r>
  <r>
    <x v="0"/>
    <x v="0"/>
    <n v="0"/>
  </r>
  <r>
    <x v="1"/>
    <x v="1"/>
    <n v="0"/>
  </r>
  <r>
    <x v="0"/>
    <x v="0"/>
    <n v="0"/>
  </r>
  <r>
    <x v="1"/>
    <x v="1"/>
    <n v="0"/>
  </r>
  <r>
    <x v="1"/>
    <x v="1"/>
    <n v="0"/>
  </r>
  <r>
    <x v="0"/>
    <x v="0"/>
    <n v="0"/>
  </r>
  <r>
    <x v="0"/>
    <x v="0"/>
    <n v="0"/>
  </r>
  <r>
    <x v="0"/>
    <x v="0"/>
    <n v="0"/>
  </r>
  <r>
    <x v="0"/>
    <x v="0"/>
    <n v="0"/>
  </r>
  <r>
    <x v="0"/>
    <x v="0"/>
    <n v="0"/>
  </r>
  <r>
    <x v="1"/>
    <x v="1"/>
    <n v="1"/>
  </r>
  <r>
    <x v="1"/>
    <x v="1"/>
    <n v="0"/>
  </r>
  <r>
    <x v="1"/>
    <x v="1"/>
    <n v="0"/>
  </r>
  <r>
    <x v="1"/>
    <x v="1"/>
    <n v="0"/>
  </r>
  <r>
    <x v="1"/>
    <x v="1"/>
    <n v="0"/>
  </r>
  <r>
    <x v="1"/>
    <x v="1"/>
    <n v="0"/>
  </r>
  <r>
    <x v="1"/>
    <x v="1"/>
    <n v="0"/>
  </r>
  <r>
    <x v="1"/>
    <x v="1"/>
    <n v="0"/>
  </r>
  <r>
    <x v="1"/>
    <x v="1"/>
    <n v="0"/>
  </r>
  <r>
    <x v="0"/>
    <x v="0"/>
    <n v="0"/>
  </r>
  <r>
    <x v="1"/>
    <x v="1"/>
    <n v="0"/>
  </r>
  <r>
    <x v="0"/>
    <x v="0"/>
    <n v="0"/>
  </r>
  <r>
    <x v="1"/>
    <x v="1"/>
    <n v="0"/>
  </r>
  <r>
    <x v="0"/>
    <x v="0"/>
    <n v="0"/>
  </r>
  <r>
    <x v="1"/>
    <x v="1"/>
    <n v="0"/>
  </r>
  <r>
    <x v="1"/>
    <x v="1"/>
    <n v="0"/>
  </r>
  <r>
    <x v="1"/>
    <x v="1"/>
    <n v="0"/>
  </r>
  <r>
    <x v="1"/>
    <x v="1"/>
    <n v="0"/>
  </r>
  <r>
    <x v="1"/>
    <x v="1"/>
    <n v="0"/>
  </r>
  <r>
    <x v="1"/>
    <x v="1"/>
    <n v="0"/>
  </r>
  <r>
    <x v="1"/>
    <x v="1"/>
    <n v="0"/>
  </r>
  <r>
    <x v="1"/>
    <x v="1"/>
    <n v="0"/>
  </r>
  <r>
    <x v="1"/>
    <x v="1"/>
    <n v="0"/>
  </r>
  <r>
    <x v="1"/>
    <x v="1"/>
    <n v="0"/>
  </r>
  <r>
    <x v="1"/>
    <x v="1"/>
    <n v="0"/>
  </r>
  <r>
    <x v="0"/>
    <x v="0"/>
    <n v="0"/>
  </r>
  <r>
    <x v="1"/>
    <x v="1"/>
    <n v="0"/>
  </r>
  <r>
    <x v="0"/>
    <x v="0"/>
    <n v="0"/>
  </r>
  <r>
    <x v="1"/>
    <x v="1"/>
    <n v="0"/>
  </r>
  <r>
    <x v="1"/>
    <x v="1"/>
    <n v="0"/>
  </r>
  <r>
    <x v="0"/>
    <x v="0"/>
    <n v="0"/>
  </r>
  <r>
    <x v="0"/>
    <x v="0"/>
    <n v="0"/>
  </r>
  <r>
    <x v="1"/>
    <x v="1"/>
    <n v="0"/>
  </r>
  <r>
    <x v="1"/>
    <x v="1"/>
    <n v="0"/>
  </r>
  <r>
    <x v="1"/>
    <x v="1"/>
    <n v="0"/>
  </r>
  <r>
    <x v="0"/>
    <x v="0"/>
    <n v="0"/>
  </r>
  <r>
    <x v="1"/>
    <x v="1"/>
    <n v="0"/>
  </r>
  <r>
    <x v="1"/>
    <x v="1"/>
    <n v="0"/>
  </r>
  <r>
    <x v="1"/>
    <x v="1"/>
    <n v="0"/>
  </r>
  <r>
    <x v="1"/>
    <x v="1"/>
    <n v="0"/>
  </r>
  <r>
    <x v="0"/>
    <x v="0"/>
    <n v="0"/>
  </r>
  <r>
    <x v="1"/>
    <x v="1"/>
    <n v="0"/>
  </r>
  <r>
    <x v="1"/>
    <x v="1"/>
    <n v="0"/>
  </r>
  <r>
    <x v="0"/>
    <x v="0"/>
    <n v="0"/>
  </r>
  <r>
    <x v="1"/>
    <x v="1"/>
    <n v="0"/>
  </r>
  <r>
    <x v="1"/>
    <x v="1"/>
    <n v="0"/>
  </r>
  <r>
    <x v="1"/>
    <x v="1"/>
    <n v="0"/>
  </r>
  <r>
    <x v="1"/>
    <x v="1"/>
    <n v="0"/>
  </r>
  <r>
    <x v="1"/>
    <x v="1"/>
    <n v="0"/>
  </r>
  <r>
    <x v="0"/>
    <x v="0"/>
    <n v="0"/>
  </r>
  <r>
    <x v="1"/>
    <x v="1"/>
    <n v="0"/>
  </r>
  <r>
    <x v="1"/>
    <x v="1"/>
    <n v="0"/>
  </r>
  <r>
    <x v="0"/>
    <x v="0"/>
    <n v="0"/>
  </r>
  <r>
    <x v="0"/>
    <x v="0"/>
    <n v="0"/>
  </r>
  <r>
    <x v="1"/>
    <x v="1"/>
    <n v="0"/>
  </r>
  <r>
    <x v="0"/>
    <x v="0"/>
    <n v="0"/>
  </r>
  <r>
    <x v="0"/>
    <x v="0"/>
    <n v="0"/>
  </r>
  <r>
    <x v="1"/>
    <x v="1"/>
    <n v="0"/>
  </r>
  <r>
    <x v="1"/>
    <x v="1"/>
    <n v="0"/>
  </r>
  <r>
    <x v="0"/>
    <x v="0"/>
    <n v="0"/>
  </r>
  <r>
    <x v="1"/>
    <x v="1"/>
    <n v="1"/>
  </r>
  <r>
    <x v="1"/>
    <x v="1"/>
    <n v="0"/>
  </r>
  <r>
    <x v="1"/>
    <x v="1"/>
    <n v="0"/>
  </r>
  <r>
    <x v="1"/>
    <x v="1"/>
    <n v="0"/>
  </r>
  <r>
    <x v="0"/>
    <x v="0"/>
    <n v="0"/>
  </r>
  <r>
    <x v="1"/>
    <x v="1"/>
    <n v="0"/>
  </r>
  <r>
    <x v="0"/>
    <x v="0"/>
    <n v="0"/>
  </r>
  <r>
    <x v="1"/>
    <x v="1"/>
    <n v="0"/>
  </r>
  <r>
    <x v="1"/>
    <x v="1"/>
    <n v="0"/>
  </r>
  <r>
    <x v="1"/>
    <x v="1"/>
    <n v="0"/>
  </r>
  <r>
    <x v="0"/>
    <x v="0"/>
    <n v="0"/>
  </r>
  <r>
    <x v="1"/>
    <x v="1"/>
    <n v="0"/>
  </r>
  <r>
    <x v="1"/>
    <x v="1"/>
    <n v="0"/>
  </r>
  <r>
    <x v="1"/>
    <x v="1"/>
    <n v="0"/>
  </r>
  <r>
    <x v="1"/>
    <x v="1"/>
    <n v="0"/>
  </r>
  <r>
    <x v="0"/>
    <x v="0"/>
    <n v="0"/>
  </r>
  <r>
    <x v="1"/>
    <x v="1"/>
    <n v="0"/>
  </r>
  <r>
    <x v="0"/>
    <x v="0"/>
    <n v="0"/>
  </r>
  <r>
    <x v="0"/>
    <x v="0"/>
    <n v="0"/>
  </r>
  <r>
    <x v="0"/>
    <x v="0"/>
    <n v="0"/>
  </r>
  <r>
    <x v="0"/>
    <x v="0"/>
    <n v="0"/>
  </r>
  <r>
    <x v="1"/>
    <x v="1"/>
    <n v="0"/>
  </r>
  <r>
    <x v="0"/>
    <x v="0"/>
    <n v="0"/>
  </r>
  <r>
    <x v="0"/>
    <x v="0"/>
    <n v="0"/>
  </r>
  <r>
    <x v="1"/>
    <x v="1"/>
    <n v="0"/>
  </r>
  <r>
    <x v="0"/>
    <x v="0"/>
    <n v="0"/>
  </r>
  <r>
    <x v="0"/>
    <x v="0"/>
    <n v="0"/>
  </r>
  <r>
    <x v="1"/>
    <x v="1"/>
    <n v="0"/>
  </r>
  <r>
    <x v="0"/>
    <x v="0"/>
    <n v="0"/>
  </r>
  <r>
    <x v="1"/>
    <x v="1"/>
    <n v="0"/>
  </r>
  <r>
    <x v="1"/>
    <x v="1"/>
    <n v="0"/>
  </r>
  <r>
    <x v="0"/>
    <x v="0"/>
    <n v="0"/>
  </r>
  <r>
    <x v="1"/>
    <x v="1"/>
    <n v="0"/>
  </r>
  <r>
    <x v="1"/>
    <x v="1"/>
    <n v="0"/>
  </r>
  <r>
    <x v="1"/>
    <x v="1"/>
    <n v="0"/>
  </r>
  <r>
    <x v="0"/>
    <x v="0"/>
    <n v="0"/>
  </r>
  <r>
    <x v="1"/>
    <x v="1"/>
    <n v="1"/>
  </r>
  <r>
    <x v="1"/>
    <x v="1"/>
    <n v="0"/>
  </r>
  <r>
    <x v="0"/>
    <x v="0"/>
    <n v="0"/>
  </r>
  <r>
    <x v="0"/>
    <x v="0"/>
    <n v="0"/>
  </r>
  <r>
    <x v="0"/>
    <x v="0"/>
    <n v="0"/>
  </r>
  <r>
    <x v="0"/>
    <x v="0"/>
    <n v="0"/>
  </r>
  <r>
    <x v="1"/>
    <x v="1"/>
    <n v="0"/>
  </r>
  <r>
    <x v="0"/>
    <x v="0"/>
    <n v="0"/>
  </r>
  <r>
    <x v="1"/>
    <x v="1"/>
    <n v="0"/>
  </r>
  <r>
    <x v="0"/>
    <x v="0"/>
    <n v="1"/>
  </r>
  <r>
    <x v="0"/>
    <x v="0"/>
    <n v="0"/>
  </r>
  <r>
    <x v="0"/>
    <x v="0"/>
    <n v="0"/>
  </r>
  <r>
    <x v="1"/>
    <x v="1"/>
    <n v="0"/>
  </r>
  <r>
    <x v="1"/>
    <x v="1"/>
    <n v="0"/>
  </r>
  <r>
    <x v="1"/>
    <x v="1"/>
    <n v="0"/>
  </r>
  <r>
    <x v="1"/>
    <x v="1"/>
    <n v="0"/>
  </r>
  <r>
    <x v="0"/>
    <x v="0"/>
    <n v="0"/>
  </r>
  <r>
    <x v="0"/>
    <x v="0"/>
    <n v="0"/>
  </r>
  <r>
    <x v="1"/>
    <x v="1"/>
    <n v="0"/>
  </r>
  <r>
    <x v="0"/>
    <x v="0"/>
    <n v="0"/>
  </r>
  <r>
    <x v="1"/>
    <x v="1"/>
    <n v="0"/>
  </r>
  <r>
    <x v="0"/>
    <x v="0"/>
    <n v="0"/>
  </r>
  <r>
    <x v="1"/>
    <x v="1"/>
    <n v="0"/>
  </r>
  <r>
    <x v="0"/>
    <x v="0"/>
    <n v="0"/>
  </r>
  <r>
    <x v="0"/>
    <x v="0"/>
    <n v="0"/>
  </r>
  <r>
    <x v="0"/>
    <x v="0"/>
    <n v="0"/>
  </r>
  <r>
    <x v="0"/>
    <x v="0"/>
    <n v="0"/>
  </r>
  <r>
    <x v="1"/>
    <x v="1"/>
    <n v="0"/>
  </r>
  <r>
    <x v="1"/>
    <x v="1"/>
    <n v="0"/>
  </r>
  <r>
    <x v="1"/>
    <x v="1"/>
    <n v="0"/>
  </r>
  <r>
    <x v="1"/>
    <x v="1"/>
    <n v="0"/>
  </r>
  <r>
    <x v="1"/>
    <x v="1"/>
    <n v="0"/>
  </r>
  <r>
    <x v="0"/>
    <x v="0"/>
    <n v="0"/>
  </r>
  <r>
    <x v="0"/>
    <x v="0"/>
    <n v="0"/>
  </r>
  <r>
    <x v="0"/>
    <x v="0"/>
    <n v="0"/>
  </r>
  <r>
    <x v="0"/>
    <x v="0"/>
    <n v="0"/>
  </r>
  <r>
    <x v="1"/>
    <x v="1"/>
    <n v="0"/>
  </r>
  <r>
    <x v="0"/>
    <x v="0"/>
    <n v="0"/>
  </r>
  <r>
    <x v="0"/>
    <x v="0"/>
    <n v="0"/>
  </r>
  <r>
    <x v="1"/>
    <x v="1"/>
    <n v="0"/>
  </r>
  <r>
    <x v="0"/>
    <x v="0"/>
    <n v="0"/>
  </r>
  <r>
    <x v="0"/>
    <x v="0"/>
    <n v="0"/>
  </r>
  <r>
    <x v="1"/>
    <x v="1"/>
    <n v="0"/>
  </r>
  <r>
    <x v="1"/>
    <x v="1"/>
    <n v="0"/>
  </r>
  <r>
    <x v="1"/>
    <x v="1"/>
    <n v="0"/>
  </r>
  <r>
    <x v="1"/>
    <x v="1"/>
    <n v="0"/>
  </r>
  <r>
    <x v="1"/>
    <x v="1"/>
    <n v="0"/>
  </r>
  <r>
    <x v="1"/>
    <x v="1"/>
    <n v="0"/>
  </r>
  <r>
    <x v="1"/>
    <x v="1"/>
    <n v="0"/>
  </r>
  <r>
    <x v="1"/>
    <x v="1"/>
    <n v="0"/>
  </r>
  <r>
    <x v="1"/>
    <x v="1"/>
    <n v="0"/>
  </r>
  <r>
    <x v="1"/>
    <x v="1"/>
    <n v="0"/>
  </r>
  <r>
    <x v="0"/>
    <x v="0"/>
    <n v="0"/>
  </r>
  <r>
    <x v="1"/>
    <x v="1"/>
    <n v="0"/>
  </r>
  <r>
    <x v="1"/>
    <x v="1"/>
    <n v="0"/>
  </r>
  <r>
    <x v="1"/>
    <x v="1"/>
    <n v="0"/>
  </r>
  <r>
    <x v="0"/>
    <x v="0"/>
    <n v="0"/>
  </r>
  <r>
    <x v="0"/>
    <x v="0"/>
    <n v="0"/>
  </r>
  <r>
    <x v="0"/>
    <x v="0"/>
    <n v="0"/>
  </r>
  <r>
    <x v="0"/>
    <x v="0"/>
    <n v="0"/>
  </r>
  <r>
    <x v="0"/>
    <x v="0"/>
    <n v="0"/>
  </r>
  <r>
    <x v="0"/>
    <x v="0"/>
    <n v="0"/>
  </r>
  <r>
    <x v="1"/>
    <x v="1"/>
    <n v="0"/>
  </r>
  <r>
    <x v="1"/>
    <x v="1"/>
    <n v="0"/>
  </r>
  <r>
    <x v="0"/>
    <x v="0"/>
    <n v="0"/>
  </r>
  <r>
    <x v="1"/>
    <x v="1"/>
    <n v="0"/>
  </r>
  <r>
    <x v="1"/>
    <x v="1"/>
    <n v="0"/>
  </r>
  <r>
    <x v="1"/>
    <x v="1"/>
    <n v="0"/>
  </r>
  <r>
    <x v="1"/>
    <x v="1"/>
    <n v="0"/>
  </r>
  <r>
    <x v="1"/>
    <x v="1"/>
    <n v="0"/>
  </r>
  <r>
    <x v="1"/>
    <x v="1"/>
    <n v="0"/>
  </r>
  <r>
    <x v="0"/>
    <x v="0"/>
    <n v="0"/>
  </r>
  <r>
    <x v="0"/>
    <x v="0"/>
    <n v="1"/>
  </r>
  <r>
    <x v="0"/>
    <x v="0"/>
    <n v="0"/>
  </r>
  <r>
    <x v="1"/>
    <x v="1"/>
    <n v="0"/>
  </r>
  <r>
    <x v="0"/>
    <x v="0"/>
    <n v="0"/>
  </r>
  <r>
    <x v="0"/>
    <x v="0"/>
    <n v="0"/>
  </r>
  <r>
    <x v="0"/>
    <x v="0"/>
    <n v="0"/>
  </r>
  <r>
    <x v="0"/>
    <x v="0"/>
    <n v="0"/>
  </r>
  <r>
    <x v="1"/>
    <x v="1"/>
    <n v="0"/>
  </r>
  <r>
    <x v="0"/>
    <x v="0"/>
    <n v="0"/>
  </r>
  <r>
    <x v="0"/>
    <x v="0"/>
    <n v="0"/>
  </r>
  <r>
    <x v="1"/>
    <x v="1"/>
    <n v="0"/>
  </r>
  <r>
    <x v="0"/>
    <x v="0"/>
    <n v="0"/>
  </r>
  <r>
    <x v="1"/>
    <x v="1"/>
    <n v="0"/>
  </r>
  <r>
    <x v="1"/>
    <x v="1"/>
    <n v="0"/>
  </r>
  <r>
    <x v="0"/>
    <x v="0"/>
    <n v="0"/>
  </r>
  <r>
    <x v="1"/>
    <x v="1"/>
    <n v="0"/>
  </r>
  <r>
    <x v="0"/>
    <x v="0"/>
    <n v="0"/>
  </r>
  <r>
    <x v="1"/>
    <x v="1"/>
    <n v="0"/>
  </r>
  <r>
    <x v="0"/>
    <x v="0"/>
    <n v="0"/>
  </r>
  <r>
    <x v="1"/>
    <x v="1"/>
    <n v="0"/>
  </r>
  <r>
    <x v="1"/>
    <x v="1"/>
    <n v="0"/>
  </r>
  <r>
    <x v="0"/>
    <x v="0"/>
    <n v="0"/>
  </r>
  <r>
    <x v="1"/>
    <x v="1"/>
    <n v="0"/>
  </r>
  <r>
    <x v="1"/>
    <x v="1"/>
    <n v="0"/>
  </r>
  <r>
    <x v="0"/>
    <x v="0"/>
    <n v="0"/>
  </r>
  <r>
    <x v="1"/>
    <x v="1"/>
    <n v="0"/>
  </r>
  <r>
    <x v="0"/>
    <x v="0"/>
    <n v="0"/>
  </r>
  <r>
    <x v="0"/>
    <x v="0"/>
    <n v="0"/>
  </r>
  <r>
    <x v="1"/>
    <x v="1"/>
    <n v="0"/>
  </r>
  <r>
    <x v="0"/>
    <x v="0"/>
    <n v="0"/>
  </r>
  <r>
    <x v="0"/>
    <x v="0"/>
    <n v="0"/>
  </r>
  <r>
    <x v="1"/>
    <x v="1"/>
    <n v="0"/>
  </r>
  <r>
    <x v="1"/>
    <x v="1"/>
    <n v="0"/>
  </r>
  <r>
    <x v="1"/>
    <x v="1"/>
    <n v="0"/>
  </r>
  <r>
    <x v="0"/>
    <x v="0"/>
    <n v="0"/>
  </r>
  <r>
    <x v="1"/>
    <x v="1"/>
    <n v="0"/>
  </r>
  <r>
    <x v="1"/>
    <x v="1"/>
    <n v="0"/>
  </r>
  <r>
    <x v="0"/>
    <x v="0"/>
    <n v="0"/>
  </r>
  <r>
    <x v="0"/>
    <x v="0"/>
    <n v="0"/>
  </r>
  <r>
    <x v="0"/>
    <x v="0"/>
    <n v="0"/>
  </r>
  <r>
    <x v="0"/>
    <x v="0"/>
    <n v="0"/>
  </r>
  <r>
    <x v="1"/>
    <x v="1"/>
    <n v="0"/>
  </r>
  <r>
    <x v="0"/>
    <x v="0"/>
    <n v="0"/>
  </r>
  <r>
    <x v="1"/>
    <x v="1"/>
    <n v="0"/>
  </r>
  <r>
    <x v="1"/>
    <x v="1"/>
    <n v="0"/>
  </r>
  <r>
    <x v="0"/>
    <x v="0"/>
    <n v="0"/>
  </r>
  <r>
    <x v="1"/>
    <x v="1"/>
    <n v="0"/>
  </r>
  <r>
    <x v="1"/>
    <x v="1"/>
    <n v="0"/>
  </r>
  <r>
    <x v="1"/>
    <x v="1"/>
    <n v="0"/>
  </r>
  <r>
    <x v="1"/>
    <x v="1"/>
    <n v="0"/>
  </r>
  <r>
    <x v="1"/>
    <x v="1"/>
    <n v="0"/>
  </r>
  <r>
    <x v="0"/>
    <x v="0"/>
    <n v="0"/>
  </r>
  <r>
    <x v="0"/>
    <x v="0"/>
    <n v="0"/>
  </r>
  <r>
    <x v="1"/>
    <x v="1"/>
    <n v="0"/>
  </r>
  <r>
    <x v="1"/>
    <x v="1"/>
    <n v="0"/>
  </r>
  <r>
    <x v="0"/>
    <x v="0"/>
    <n v="0"/>
  </r>
  <r>
    <x v="0"/>
    <x v="0"/>
    <n v="0"/>
  </r>
  <r>
    <x v="1"/>
    <x v="1"/>
    <n v="0"/>
  </r>
  <r>
    <x v="1"/>
    <x v="1"/>
    <n v="0"/>
  </r>
  <r>
    <x v="1"/>
    <x v="1"/>
    <n v="0"/>
  </r>
  <r>
    <x v="1"/>
    <x v="1"/>
    <n v="0"/>
  </r>
  <r>
    <x v="0"/>
    <x v="0"/>
    <n v="1"/>
  </r>
  <r>
    <x v="0"/>
    <x v="0"/>
    <n v="0"/>
  </r>
  <r>
    <x v="0"/>
    <x v="0"/>
    <n v="0"/>
  </r>
  <r>
    <x v="1"/>
    <x v="1"/>
    <n v="0"/>
  </r>
  <r>
    <x v="1"/>
    <x v="1"/>
    <n v="0"/>
  </r>
  <r>
    <x v="1"/>
    <x v="1"/>
    <n v="0"/>
  </r>
  <r>
    <x v="0"/>
    <x v="0"/>
    <n v="0"/>
  </r>
  <r>
    <x v="0"/>
    <x v="0"/>
    <n v="0"/>
  </r>
  <r>
    <x v="1"/>
    <x v="1"/>
    <n v="0"/>
  </r>
  <r>
    <x v="1"/>
    <x v="1"/>
    <n v="0"/>
  </r>
  <r>
    <x v="1"/>
    <x v="1"/>
    <n v="0"/>
  </r>
  <r>
    <x v="0"/>
    <x v="0"/>
    <n v="0"/>
  </r>
  <r>
    <x v="1"/>
    <x v="1"/>
    <n v="0"/>
  </r>
  <r>
    <x v="0"/>
    <x v="0"/>
    <n v="0"/>
  </r>
  <r>
    <x v="1"/>
    <x v="1"/>
    <n v="0"/>
  </r>
  <r>
    <x v="1"/>
    <x v="1"/>
    <n v="0"/>
  </r>
  <r>
    <x v="1"/>
    <x v="1"/>
    <n v="0"/>
  </r>
  <r>
    <x v="0"/>
    <x v="0"/>
    <n v="0"/>
  </r>
  <r>
    <x v="0"/>
    <x v="0"/>
    <n v="0"/>
  </r>
  <r>
    <x v="1"/>
    <x v="1"/>
    <n v="0"/>
  </r>
  <r>
    <x v="1"/>
    <x v="1"/>
    <n v="0"/>
  </r>
  <r>
    <x v="1"/>
    <x v="1"/>
    <n v="0"/>
  </r>
  <r>
    <x v="1"/>
    <x v="1"/>
    <n v="0"/>
  </r>
  <r>
    <x v="0"/>
    <x v="0"/>
    <n v="0"/>
  </r>
  <r>
    <x v="0"/>
    <x v="0"/>
    <n v="0"/>
  </r>
  <r>
    <x v="1"/>
    <x v="1"/>
    <n v="0"/>
  </r>
  <r>
    <x v="0"/>
    <x v="0"/>
    <n v="0"/>
  </r>
  <r>
    <x v="1"/>
    <x v="1"/>
    <n v="0"/>
  </r>
  <r>
    <x v="0"/>
    <x v="0"/>
    <n v="0"/>
  </r>
  <r>
    <x v="0"/>
    <x v="0"/>
    <n v="1"/>
  </r>
  <r>
    <x v="0"/>
    <x v="0"/>
    <n v="0"/>
  </r>
  <r>
    <x v="0"/>
    <x v="0"/>
    <n v="0"/>
  </r>
  <r>
    <x v="1"/>
    <x v="1"/>
    <n v="0"/>
  </r>
  <r>
    <x v="1"/>
    <x v="1"/>
    <n v="0"/>
  </r>
  <r>
    <x v="0"/>
    <x v="0"/>
    <n v="0"/>
  </r>
  <r>
    <x v="1"/>
    <x v="1"/>
    <n v="0"/>
  </r>
  <r>
    <x v="1"/>
    <x v="1"/>
    <n v="0"/>
  </r>
  <r>
    <x v="1"/>
    <x v="1"/>
    <n v="0"/>
  </r>
  <r>
    <x v="0"/>
    <x v="0"/>
    <n v="0"/>
  </r>
  <r>
    <x v="0"/>
    <x v="0"/>
    <n v="0"/>
  </r>
  <r>
    <x v="1"/>
    <x v="1"/>
    <n v="0"/>
  </r>
  <r>
    <x v="0"/>
    <x v="0"/>
    <n v="0"/>
  </r>
  <r>
    <x v="0"/>
    <x v="0"/>
    <n v="0"/>
  </r>
  <r>
    <x v="1"/>
    <x v="1"/>
    <n v="0"/>
  </r>
  <r>
    <x v="0"/>
    <x v="0"/>
    <n v="0"/>
  </r>
  <r>
    <x v="1"/>
    <x v="1"/>
    <n v="0"/>
  </r>
  <r>
    <x v="0"/>
    <x v="0"/>
    <n v="0"/>
  </r>
  <r>
    <x v="0"/>
    <x v="0"/>
    <n v="0"/>
  </r>
  <r>
    <x v="0"/>
    <x v="0"/>
    <n v="0"/>
  </r>
  <r>
    <x v="0"/>
    <x v="0"/>
    <n v="0"/>
  </r>
  <r>
    <x v="1"/>
    <x v="1"/>
    <n v="0"/>
  </r>
  <r>
    <x v="1"/>
    <x v="1"/>
    <n v="0"/>
  </r>
  <r>
    <x v="1"/>
    <x v="1"/>
    <n v="0"/>
  </r>
  <r>
    <x v="1"/>
    <x v="1"/>
    <n v="0"/>
  </r>
  <r>
    <x v="1"/>
    <x v="1"/>
    <n v="0"/>
  </r>
  <r>
    <x v="0"/>
    <x v="0"/>
    <n v="0"/>
  </r>
  <r>
    <x v="1"/>
    <x v="1"/>
    <n v="0"/>
  </r>
  <r>
    <x v="1"/>
    <x v="1"/>
    <n v="0"/>
  </r>
  <r>
    <x v="0"/>
    <x v="0"/>
    <n v="0"/>
  </r>
  <r>
    <x v="0"/>
    <x v="0"/>
    <n v="0"/>
  </r>
  <r>
    <x v="1"/>
    <x v="1"/>
    <n v="0"/>
  </r>
  <r>
    <x v="1"/>
    <x v="1"/>
    <n v="0"/>
  </r>
  <r>
    <x v="1"/>
    <x v="1"/>
    <n v="0"/>
  </r>
  <r>
    <x v="0"/>
    <x v="0"/>
    <n v="0"/>
  </r>
  <r>
    <x v="0"/>
    <x v="0"/>
    <n v="0"/>
  </r>
  <r>
    <x v="0"/>
    <x v="0"/>
    <n v="0"/>
  </r>
  <r>
    <x v="0"/>
    <x v="0"/>
    <n v="0"/>
  </r>
  <r>
    <x v="1"/>
    <x v="1"/>
    <n v="0"/>
  </r>
  <r>
    <x v="0"/>
    <x v="0"/>
    <n v="0"/>
  </r>
  <r>
    <x v="0"/>
    <x v="0"/>
    <n v="0"/>
  </r>
  <r>
    <x v="0"/>
    <x v="0"/>
    <n v="0"/>
  </r>
  <r>
    <x v="0"/>
    <x v="0"/>
    <n v="0"/>
  </r>
  <r>
    <x v="1"/>
    <x v="1"/>
    <n v="0"/>
  </r>
  <r>
    <x v="0"/>
    <x v="0"/>
    <n v="0"/>
  </r>
  <r>
    <x v="0"/>
    <x v="0"/>
    <n v="0"/>
  </r>
  <r>
    <x v="1"/>
    <x v="1"/>
    <n v="0"/>
  </r>
  <r>
    <x v="0"/>
    <x v="0"/>
    <n v="0"/>
  </r>
  <r>
    <x v="0"/>
    <x v="0"/>
    <n v="0"/>
  </r>
  <r>
    <x v="0"/>
    <x v="0"/>
    <n v="1"/>
  </r>
  <r>
    <x v="0"/>
    <x v="0"/>
    <n v="0"/>
  </r>
  <r>
    <x v="1"/>
    <x v="1"/>
    <n v="0"/>
  </r>
  <r>
    <x v="1"/>
    <x v="1"/>
    <n v="0"/>
  </r>
  <r>
    <x v="0"/>
    <x v="0"/>
    <n v="0"/>
  </r>
  <r>
    <x v="1"/>
    <x v="1"/>
    <n v="0"/>
  </r>
  <r>
    <x v="0"/>
    <x v="0"/>
    <n v="0"/>
  </r>
  <r>
    <x v="0"/>
    <x v="0"/>
    <n v="0"/>
  </r>
  <r>
    <x v="1"/>
    <x v="1"/>
    <n v="0"/>
  </r>
  <r>
    <x v="1"/>
    <x v="1"/>
    <n v="0"/>
  </r>
  <r>
    <x v="0"/>
    <x v="0"/>
    <n v="0"/>
  </r>
  <r>
    <x v="0"/>
    <x v="0"/>
    <n v="0"/>
  </r>
  <r>
    <x v="1"/>
    <x v="1"/>
    <n v="0"/>
  </r>
  <r>
    <x v="1"/>
    <x v="1"/>
    <n v="0"/>
  </r>
  <r>
    <x v="0"/>
    <x v="0"/>
    <n v="0"/>
  </r>
  <r>
    <x v="0"/>
    <x v="0"/>
    <n v="0"/>
  </r>
  <r>
    <x v="0"/>
    <x v="0"/>
    <n v="0"/>
  </r>
  <r>
    <x v="1"/>
    <x v="1"/>
    <n v="0"/>
  </r>
  <r>
    <x v="1"/>
    <x v="1"/>
    <n v="0"/>
  </r>
  <r>
    <x v="1"/>
    <x v="1"/>
    <n v="0"/>
  </r>
  <r>
    <x v="1"/>
    <x v="1"/>
    <n v="0"/>
  </r>
  <r>
    <x v="1"/>
    <x v="1"/>
    <n v="0"/>
  </r>
  <r>
    <x v="0"/>
    <x v="0"/>
    <n v="0"/>
  </r>
  <r>
    <x v="1"/>
    <x v="1"/>
    <n v="0"/>
  </r>
  <r>
    <x v="0"/>
    <x v="0"/>
    <n v="0"/>
  </r>
  <r>
    <x v="0"/>
    <x v="0"/>
    <n v="0"/>
  </r>
  <r>
    <x v="1"/>
    <x v="1"/>
    <n v="0"/>
  </r>
  <r>
    <x v="0"/>
    <x v="0"/>
    <n v="0"/>
  </r>
  <r>
    <x v="0"/>
    <x v="0"/>
    <n v="0"/>
  </r>
  <r>
    <x v="1"/>
    <x v="1"/>
    <n v="0"/>
  </r>
  <r>
    <x v="1"/>
    <x v="1"/>
    <n v="0"/>
  </r>
  <r>
    <x v="0"/>
    <x v="0"/>
    <n v="0"/>
  </r>
  <r>
    <x v="0"/>
    <x v="0"/>
    <n v="0"/>
  </r>
  <r>
    <x v="0"/>
    <x v="0"/>
    <n v="0"/>
  </r>
  <r>
    <x v="1"/>
    <x v="1"/>
    <n v="0"/>
  </r>
  <r>
    <x v="0"/>
    <x v="0"/>
    <n v="0"/>
  </r>
  <r>
    <x v="1"/>
    <x v="1"/>
    <n v="0"/>
  </r>
  <r>
    <x v="1"/>
    <x v="1"/>
    <n v="0"/>
  </r>
  <r>
    <x v="0"/>
    <x v="0"/>
    <n v="0"/>
  </r>
  <r>
    <x v="0"/>
    <x v="0"/>
    <n v="0"/>
  </r>
  <r>
    <x v="0"/>
    <x v="0"/>
    <n v="0"/>
  </r>
  <r>
    <x v="0"/>
    <x v="0"/>
    <n v="0"/>
  </r>
  <r>
    <x v="1"/>
    <x v="1"/>
    <n v="0"/>
  </r>
  <r>
    <x v="0"/>
    <x v="0"/>
    <n v="0"/>
  </r>
  <r>
    <x v="0"/>
    <x v="0"/>
    <n v="0"/>
  </r>
  <r>
    <x v="0"/>
    <x v="0"/>
    <n v="0"/>
  </r>
  <r>
    <x v="1"/>
    <x v="1"/>
    <n v="0"/>
  </r>
  <r>
    <x v="1"/>
    <x v="1"/>
    <n v="0"/>
  </r>
  <r>
    <x v="0"/>
    <x v="0"/>
    <n v="0"/>
  </r>
  <r>
    <x v="0"/>
    <x v="0"/>
    <n v="0"/>
  </r>
  <r>
    <x v="0"/>
    <x v="0"/>
    <n v="0"/>
  </r>
  <r>
    <x v="1"/>
    <x v="1"/>
    <n v="0"/>
  </r>
  <r>
    <x v="1"/>
    <x v="1"/>
    <n v="0"/>
  </r>
  <r>
    <x v="1"/>
    <x v="1"/>
    <n v="0"/>
  </r>
  <r>
    <x v="1"/>
    <x v="1"/>
    <n v="0"/>
  </r>
  <r>
    <x v="0"/>
    <x v="0"/>
    <n v="0"/>
  </r>
  <r>
    <x v="1"/>
    <x v="1"/>
    <n v="0"/>
  </r>
  <r>
    <x v="0"/>
    <x v="0"/>
    <n v="0"/>
  </r>
  <r>
    <x v="0"/>
    <x v="0"/>
    <n v="0"/>
  </r>
  <r>
    <x v="1"/>
    <x v="1"/>
    <n v="0"/>
  </r>
  <r>
    <x v="0"/>
    <x v="0"/>
    <n v="0"/>
  </r>
  <r>
    <x v="0"/>
    <x v="0"/>
    <n v="0"/>
  </r>
  <r>
    <x v="1"/>
    <x v="1"/>
    <n v="0"/>
  </r>
  <r>
    <x v="1"/>
    <x v="1"/>
    <n v="0"/>
  </r>
  <r>
    <x v="1"/>
    <x v="1"/>
    <n v="0"/>
  </r>
  <r>
    <x v="0"/>
    <x v="0"/>
    <n v="0"/>
  </r>
  <r>
    <x v="1"/>
    <x v="1"/>
    <n v="0"/>
  </r>
  <r>
    <x v="1"/>
    <x v="1"/>
    <n v="0"/>
  </r>
  <r>
    <x v="0"/>
    <x v="0"/>
    <n v="0"/>
  </r>
  <r>
    <x v="1"/>
    <x v="1"/>
    <n v="0"/>
  </r>
  <r>
    <x v="1"/>
    <x v="1"/>
    <n v="0"/>
  </r>
  <r>
    <x v="1"/>
    <x v="1"/>
    <n v="0"/>
  </r>
  <r>
    <x v="1"/>
    <x v="1"/>
    <n v="0"/>
  </r>
  <r>
    <x v="1"/>
    <x v="1"/>
    <n v="0"/>
  </r>
  <r>
    <x v="1"/>
    <x v="1"/>
    <n v="0"/>
  </r>
  <r>
    <x v="1"/>
    <x v="1"/>
    <n v="0"/>
  </r>
  <r>
    <x v="0"/>
    <x v="0"/>
    <n v="0"/>
  </r>
  <r>
    <x v="1"/>
    <x v="1"/>
    <n v="0"/>
  </r>
  <r>
    <x v="1"/>
    <x v="1"/>
    <n v="0"/>
  </r>
  <r>
    <x v="1"/>
    <x v="1"/>
    <n v="0"/>
  </r>
  <r>
    <x v="0"/>
    <x v="0"/>
    <n v="0"/>
  </r>
  <r>
    <x v="1"/>
    <x v="1"/>
    <n v="0"/>
  </r>
  <r>
    <x v="1"/>
    <x v="1"/>
    <n v="0"/>
  </r>
  <r>
    <x v="1"/>
    <x v="1"/>
    <n v="0"/>
  </r>
  <r>
    <x v="1"/>
    <x v="1"/>
    <n v="0"/>
  </r>
  <r>
    <x v="1"/>
    <x v="1"/>
    <n v="0"/>
  </r>
  <r>
    <x v="0"/>
    <x v="0"/>
    <n v="0"/>
  </r>
  <r>
    <x v="0"/>
    <x v="0"/>
    <n v="0"/>
  </r>
  <r>
    <x v="0"/>
    <x v="0"/>
    <n v="0"/>
  </r>
  <r>
    <x v="1"/>
    <x v="1"/>
    <n v="0"/>
  </r>
  <r>
    <x v="0"/>
    <x v="0"/>
    <n v="0"/>
  </r>
  <r>
    <x v="1"/>
    <x v="1"/>
    <n v="0"/>
  </r>
  <r>
    <x v="1"/>
    <x v="1"/>
    <n v="0"/>
  </r>
  <r>
    <x v="1"/>
    <x v="1"/>
    <n v="0"/>
  </r>
  <r>
    <x v="0"/>
    <x v="0"/>
    <n v="0"/>
  </r>
  <r>
    <x v="1"/>
    <x v="1"/>
    <n v="0"/>
  </r>
  <r>
    <x v="0"/>
    <x v="0"/>
    <n v="0"/>
  </r>
  <r>
    <x v="0"/>
    <x v="0"/>
    <n v="0"/>
  </r>
  <r>
    <x v="1"/>
    <x v="1"/>
    <n v="0"/>
  </r>
  <r>
    <x v="1"/>
    <x v="1"/>
    <n v="0"/>
  </r>
  <r>
    <x v="0"/>
    <x v="0"/>
    <n v="0"/>
  </r>
  <r>
    <x v="1"/>
    <x v="1"/>
    <n v="0"/>
  </r>
  <r>
    <x v="1"/>
    <x v="1"/>
    <n v="0"/>
  </r>
  <r>
    <x v="1"/>
    <x v="1"/>
    <n v="0"/>
  </r>
  <r>
    <x v="0"/>
    <x v="0"/>
    <n v="0"/>
  </r>
  <r>
    <x v="1"/>
    <x v="1"/>
    <n v="0"/>
  </r>
  <r>
    <x v="0"/>
    <x v="0"/>
    <n v="0"/>
  </r>
  <r>
    <x v="1"/>
    <x v="1"/>
    <n v="0"/>
  </r>
  <r>
    <x v="1"/>
    <x v="1"/>
    <n v="0"/>
  </r>
  <r>
    <x v="1"/>
    <x v="1"/>
    <n v="0"/>
  </r>
  <r>
    <x v="1"/>
    <x v="1"/>
    <n v="0"/>
  </r>
  <r>
    <x v="1"/>
    <x v="1"/>
    <n v="0"/>
  </r>
  <r>
    <x v="1"/>
    <x v="1"/>
    <n v="0"/>
  </r>
  <r>
    <x v="0"/>
    <x v="0"/>
    <n v="0"/>
  </r>
  <r>
    <x v="0"/>
    <x v="0"/>
    <n v="0"/>
  </r>
  <r>
    <x v="0"/>
    <x v="0"/>
    <n v="0"/>
  </r>
  <r>
    <x v="1"/>
    <x v="1"/>
    <n v="0"/>
  </r>
  <r>
    <x v="0"/>
    <x v="0"/>
    <n v="0"/>
  </r>
  <r>
    <x v="0"/>
    <x v="0"/>
    <n v="0"/>
  </r>
  <r>
    <x v="0"/>
    <x v="0"/>
    <n v="0"/>
  </r>
  <r>
    <x v="0"/>
    <x v="0"/>
    <n v="0"/>
  </r>
  <r>
    <x v="1"/>
    <x v="1"/>
    <n v="0"/>
  </r>
  <r>
    <x v="1"/>
    <x v="1"/>
    <n v="0"/>
  </r>
  <r>
    <x v="1"/>
    <x v="1"/>
    <n v="1"/>
  </r>
  <r>
    <x v="0"/>
    <x v="0"/>
    <n v="0"/>
  </r>
  <r>
    <x v="1"/>
    <x v="1"/>
    <n v="0"/>
  </r>
  <r>
    <x v="1"/>
    <x v="1"/>
    <n v="0"/>
  </r>
  <r>
    <x v="1"/>
    <x v="1"/>
    <n v="0"/>
  </r>
  <r>
    <x v="0"/>
    <x v="0"/>
    <n v="0"/>
  </r>
  <r>
    <x v="1"/>
    <x v="1"/>
    <n v="0"/>
  </r>
  <r>
    <x v="0"/>
    <x v="0"/>
    <n v="0"/>
  </r>
  <r>
    <x v="1"/>
    <x v="1"/>
    <n v="0"/>
  </r>
  <r>
    <x v="0"/>
    <x v="0"/>
    <n v="0"/>
  </r>
  <r>
    <x v="0"/>
    <x v="0"/>
    <n v="0"/>
  </r>
  <r>
    <x v="0"/>
    <x v="0"/>
    <n v="0"/>
  </r>
  <r>
    <x v="0"/>
    <x v="0"/>
    <n v="0"/>
  </r>
  <r>
    <x v="0"/>
    <x v="0"/>
    <n v="0"/>
  </r>
  <r>
    <x v="1"/>
    <x v="1"/>
    <n v="0"/>
  </r>
  <r>
    <x v="0"/>
    <x v="0"/>
    <n v="0"/>
  </r>
  <r>
    <x v="1"/>
    <x v="1"/>
    <n v="0"/>
  </r>
  <r>
    <x v="1"/>
    <x v="1"/>
    <n v="0"/>
  </r>
  <r>
    <x v="1"/>
    <x v="1"/>
    <n v="0"/>
  </r>
  <r>
    <x v="0"/>
    <x v="0"/>
    <n v="0"/>
  </r>
  <r>
    <x v="0"/>
    <x v="0"/>
    <n v="0"/>
  </r>
  <r>
    <x v="0"/>
    <x v="0"/>
    <n v="0"/>
  </r>
  <r>
    <x v="0"/>
    <x v="0"/>
    <n v="0"/>
  </r>
  <r>
    <x v="0"/>
    <x v="0"/>
    <n v="0"/>
  </r>
  <r>
    <x v="0"/>
    <x v="0"/>
    <n v="0"/>
  </r>
  <r>
    <x v="1"/>
    <x v="1"/>
    <n v="0"/>
  </r>
  <r>
    <x v="1"/>
    <x v="1"/>
    <n v="0"/>
  </r>
  <r>
    <x v="1"/>
    <x v="1"/>
    <n v="0"/>
  </r>
  <r>
    <x v="1"/>
    <x v="1"/>
    <n v="0"/>
  </r>
  <r>
    <x v="0"/>
    <x v="0"/>
    <n v="0"/>
  </r>
  <r>
    <x v="1"/>
    <x v="1"/>
    <n v="0"/>
  </r>
  <r>
    <x v="1"/>
    <x v="1"/>
    <n v="0"/>
  </r>
  <r>
    <x v="0"/>
    <x v="0"/>
    <n v="0"/>
  </r>
  <r>
    <x v="0"/>
    <x v="0"/>
    <n v="0"/>
  </r>
  <r>
    <x v="1"/>
    <x v="1"/>
    <n v="0"/>
  </r>
  <r>
    <x v="1"/>
    <x v="1"/>
    <n v="0"/>
  </r>
  <r>
    <x v="1"/>
    <x v="1"/>
    <n v="0"/>
  </r>
  <r>
    <x v="0"/>
    <x v="0"/>
    <n v="0"/>
  </r>
  <r>
    <x v="0"/>
    <x v="0"/>
    <n v="0"/>
  </r>
  <r>
    <x v="1"/>
    <x v="1"/>
    <n v="0"/>
  </r>
  <r>
    <x v="1"/>
    <x v="1"/>
    <n v="0"/>
  </r>
  <r>
    <x v="0"/>
    <x v="0"/>
    <n v="0"/>
  </r>
  <r>
    <x v="0"/>
    <x v="0"/>
    <n v="0"/>
  </r>
  <r>
    <x v="1"/>
    <x v="1"/>
    <n v="0"/>
  </r>
  <r>
    <x v="0"/>
    <x v="0"/>
    <n v="1"/>
  </r>
  <r>
    <x v="1"/>
    <x v="1"/>
    <n v="0"/>
  </r>
  <r>
    <x v="0"/>
    <x v="0"/>
    <n v="0"/>
  </r>
  <r>
    <x v="0"/>
    <x v="0"/>
    <n v="0"/>
  </r>
  <r>
    <x v="0"/>
    <x v="0"/>
    <n v="0"/>
  </r>
  <r>
    <x v="0"/>
    <x v="0"/>
    <n v="0"/>
  </r>
  <r>
    <x v="0"/>
    <x v="0"/>
    <n v="0"/>
  </r>
  <r>
    <x v="1"/>
    <x v="1"/>
    <n v="0"/>
  </r>
  <r>
    <x v="0"/>
    <x v="0"/>
    <n v="0"/>
  </r>
  <r>
    <x v="0"/>
    <x v="0"/>
    <n v="0"/>
  </r>
  <r>
    <x v="0"/>
    <x v="0"/>
    <n v="0"/>
  </r>
  <r>
    <x v="0"/>
    <x v="0"/>
    <n v="0"/>
  </r>
  <r>
    <x v="1"/>
    <x v="1"/>
    <n v="0"/>
  </r>
  <r>
    <x v="0"/>
    <x v="0"/>
    <n v="0"/>
  </r>
  <r>
    <x v="1"/>
    <x v="1"/>
    <n v="1"/>
  </r>
  <r>
    <x v="0"/>
    <x v="0"/>
    <n v="0"/>
  </r>
  <r>
    <x v="0"/>
    <x v="0"/>
    <n v="0"/>
  </r>
  <r>
    <x v="1"/>
    <x v="1"/>
    <n v="0"/>
  </r>
  <r>
    <x v="1"/>
    <x v="1"/>
    <n v="0"/>
  </r>
  <r>
    <x v="0"/>
    <x v="0"/>
    <n v="0"/>
  </r>
  <r>
    <x v="0"/>
    <x v="0"/>
    <n v="0"/>
  </r>
  <r>
    <x v="1"/>
    <x v="1"/>
    <n v="0"/>
  </r>
  <r>
    <x v="1"/>
    <x v="1"/>
    <n v="1"/>
  </r>
  <r>
    <x v="1"/>
    <x v="1"/>
    <n v="0"/>
  </r>
  <r>
    <x v="1"/>
    <x v="1"/>
    <n v="0"/>
  </r>
  <r>
    <x v="1"/>
    <x v="1"/>
    <n v="0"/>
  </r>
  <r>
    <x v="1"/>
    <x v="1"/>
    <n v="0"/>
  </r>
  <r>
    <x v="1"/>
    <x v="1"/>
    <n v="0"/>
  </r>
  <r>
    <x v="1"/>
    <x v="1"/>
    <n v="0"/>
  </r>
  <r>
    <x v="0"/>
    <x v="0"/>
    <n v="0"/>
  </r>
  <r>
    <x v="0"/>
    <x v="0"/>
    <n v="0"/>
  </r>
  <r>
    <x v="1"/>
    <x v="1"/>
    <n v="0"/>
  </r>
  <r>
    <x v="0"/>
    <x v="0"/>
    <n v="0"/>
  </r>
  <r>
    <x v="1"/>
    <x v="1"/>
    <n v="0"/>
  </r>
  <r>
    <x v="1"/>
    <x v="1"/>
    <n v="0"/>
  </r>
  <r>
    <x v="1"/>
    <x v="1"/>
    <n v="0"/>
  </r>
  <r>
    <x v="1"/>
    <x v="1"/>
    <n v="0"/>
  </r>
  <r>
    <x v="1"/>
    <x v="1"/>
    <n v="0"/>
  </r>
  <r>
    <x v="0"/>
    <x v="0"/>
    <n v="0"/>
  </r>
  <r>
    <x v="0"/>
    <x v="0"/>
    <n v="0"/>
  </r>
  <r>
    <x v="0"/>
    <x v="0"/>
    <n v="0"/>
  </r>
  <r>
    <x v="0"/>
    <x v="0"/>
    <n v="0"/>
  </r>
  <r>
    <x v="0"/>
    <x v="0"/>
    <n v="0"/>
  </r>
  <r>
    <x v="1"/>
    <x v="1"/>
    <n v="0"/>
  </r>
  <r>
    <x v="0"/>
    <x v="0"/>
    <n v="0"/>
  </r>
  <r>
    <x v="1"/>
    <x v="1"/>
    <n v="0"/>
  </r>
  <r>
    <x v="0"/>
    <x v="0"/>
    <n v="0"/>
  </r>
  <r>
    <x v="1"/>
    <x v="1"/>
    <n v="0"/>
  </r>
  <r>
    <x v="1"/>
    <x v="1"/>
    <n v="0"/>
  </r>
  <r>
    <x v="1"/>
    <x v="1"/>
    <n v="0"/>
  </r>
  <r>
    <x v="0"/>
    <x v="0"/>
    <n v="0"/>
  </r>
  <r>
    <x v="0"/>
    <x v="0"/>
    <n v="0"/>
  </r>
  <r>
    <x v="1"/>
    <x v="1"/>
    <n v="0"/>
  </r>
  <r>
    <x v="0"/>
    <x v="0"/>
    <n v="0"/>
  </r>
  <r>
    <x v="1"/>
    <x v="1"/>
    <n v="0"/>
  </r>
  <r>
    <x v="0"/>
    <x v="0"/>
    <n v="0"/>
  </r>
  <r>
    <x v="0"/>
    <x v="0"/>
    <n v="0"/>
  </r>
  <r>
    <x v="1"/>
    <x v="1"/>
    <n v="0"/>
  </r>
  <r>
    <x v="1"/>
    <x v="1"/>
    <n v="0"/>
  </r>
  <r>
    <x v="0"/>
    <x v="0"/>
    <n v="0"/>
  </r>
  <r>
    <x v="1"/>
    <x v="1"/>
    <n v="0"/>
  </r>
  <r>
    <x v="1"/>
    <x v="1"/>
    <n v="0"/>
  </r>
  <r>
    <x v="1"/>
    <x v="1"/>
    <n v="0"/>
  </r>
  <r>
    <x v="1"/>
    <x v="1"/>
    <n v="0"/>
  </r>
  <r>
    <x v="0"/>
    <x v="0"/>
    <n v="0"/>
  </r>
  <r>
    <x v="1"/>
    <x v="1"/>
    <n v="0"/>
  </r>
  <r>
    <x v="1"/>
    <x v="1"/>
    <n v="0"/>
  </r>
  <r>
    <x v="0"/>
    <x v="0"/>
    <n v="0"/>
  </r>
  <r>
    <x v="1"/>
    <x v="1"/>
    <n v="0"/>
  </r>
  <r>
    <x v="1"/>
    <x v="1"/>
    <n v="0"/>
  </r>
  <r>
    <x v="1"/>
    <x v="1"/>
    <n v="0"/>
  </r>
  <r>
    <x v="1"/>
    <x v="1"/>
    <n v="0"/>
  </r>
  <r>
    <x v="0"/>
    <x v="0"/>
    <n v="1"/>
  </r>
  <r>
    <x v="0"/>
    <x v="0"/>
    <n v="0"/>
  </r>
  <r>
    <x v="0"/>
    <x v="0"/>
    <n v="0"/>
  </r>
  <r>
    <x v="1"/>
    <x v="1"/>
    <n v="0"/>
  </r>
  <r>
    <x v="1"/>
    <x v="1"/>
    <n v="0"/>
  </r>
  <r>
    <x v="1"/>
    <x v="1"/>
    <n v="0"/>
  </r>
  <r>
    <x v="1"/>
    <x v="1"/>
    <n v="0"/>
  </r>
  <r>
    <x v="0"/>
    <x v="0"/>
    <n v="0"/>
  </r>
  <r>
    <x v="1"/>
    <x v="1"/>
    <n v="0"/>
  </r>
  <r>
    <x v="0"/>
    <x v="0"/>
    <n v="0"/>
  </r>
  <r>
    <x v="1"/>
    <x v="1"/>
    <n v="0"/>
  </r>
  <r>
    <x v="0"/>
    <x v="0"/>
    <n v="0"/>
  </r>
  <r>
    <x v="0"/>
    <x v="0"/>
    <n v="0"/>
  </r>
  <r>
    <x v="0"/>
    <x v="0"/>
    <n v="0"/>
  </r>
  <r>
    <x v="1"/>
    <x v="1"/>
    <n v="0"/>
  </r>
  <r>
    <x v="0"/>
    <x v="0"/>
    <n v="0"/>
  </r>
  <r>
    <x v="0"/>
    <x v="0"/>
    <n v="0"/>
  </r>
  <r>
    <x v="1"/>
    <x v="1"/>
    <n v="0"/>
  </r>
  <r>
    <x v="0"/>
    <x v="0"/>
    <n v="0"/>
  </r>
  <r>
    <x v="0"/>
    <x v="0"/>
    <n v="0"/>
  </r>
  <r>
    <x v="1"/>
    <x v="1"/>
    <n v="0"/>
  </r>
  <r>
    <x v="0"/>
    <x v="0"/>
    <n v="0"/>
  </r>
  <r>
    <x v="0"/>
    <x v="0"/>
    <n v="0"/>
  </r>
  <r>
    <x v="1"/>
    <x v="1"/>
    <n v="0"/>
  </r>
  <r>
    <x v="1"/>
    <x v="1"/>
    <n v="1"/>
  </r>
  <r>
    <x v="1"/>
    <x v="1"/>
    <n v="0"/>
  </r>
  <r>
    <x v="1"/>
    <x v="1"/>
    <n v="0"/>
  </r>
  <r>
    <x v="1"/>
    <x v="1"/>
    <n v="0"/>
  </r>
  <r>
    <x v="0"/>
    <x v="0"/>
    <n v="0"/>
  </r>
  <r>
    <x v="0"/>
    <x v="0"/>
    <n v="0"/>
  </r>
  <r>
    <x v="1"/>
    <x v="1"/>
    <n v="0"/>
  </r>
  <r>
    <x v="0"/>
    <x v="0"/>
    <n v="0"/>
  </r>
  <r>
    <x v="1"/>
    <x v="1"/>
    <n v="0"/>
  </r>
  <r>
    <x v="0"/>
    <x v="0"/>
    <n v="0"/>
  </r>
  <r>
    <x v="0"/>
    <x v="0"/>
    <n v="0"/>
  </r>
  <r>
    <x v="0"/>
    <x v="0"/>
    <n v="0"/>
  </r>
  <r>
    <x v="1"/>
    <x v="1"/>
    <n v="0"/>
  </r>
  <r>
    <x v="0"/>
    <x v="0"/>
    <n v="0"/>
  </r>
  <r>
    <x v="0"/>
    <x v="0"/>
    <n v="0"/>
  </r>
  <r>
    <x v="1"/>
    <x v="1"/>
    <n v="0"/>
  </r>
  <r>
    <x v="1"/>
    <x v="1"/>
    <n v="0"/>
  </r>
  <r>
    <x v="1"/>
    <x v="1"/>
    <n v="0"/>
  </r>
  <r>
    <x v="1"/>
    <x v="1"/>
    <n v="0"/>
  </r>
  <r>
    <x v="1"/>
    <x v="1"/>
    <n v="0"/>
  </r>
  <r>
    <x v="0"/>
    <x v="0"/>
    <n v="0"/>
  </r>
  <r>
    <x v="0"/>
    <x v="0"/>
    <n v="0"/>
  </r>
  <r>
    <x v="1"/>
    <x v="1"/>
    <n v="0"/>
  </r>
  <r>
    <x v="0"/>
    <x v="0"/>
    <n v="0"/>
  </r>
  <r>
    <x v="0"/>
    <x v="0"/>
    <n v="0"/>
  </r>
  <r>
    <x v="1"/>
    <x v="1"/>
    <n v="1"/>
  </r>
  <r>
    <x v="1"/>
    <x v="1"/>
    <n v="0"/>
  </r>
  <r>
    <x v="1"/>
    <x v="1"/>
    <n v="0"/>
  </r>
  <r>
    <x v="1"/>
    <x v="1"/>
    <n v="0"/>
  </r>
  <r>
    <x v="0"/>
    <x v="0"/>
    <n v="0"/>
  </r>
  <r>
    <x v="1"/>
    <x v="1"/>
    <n v="0"/>
  </r>
  <r>
    <x v="1"/>
    <x v="1"/>
    <n v="0"/>
  </r>
  <r>
    <x v="1"/>
    <x v="1"/>
    <n v="0"/>
  </r>
  <r>
    <x v="1"/>
    <x v="1"/>
    <n v="0"/>
  </r>
  <r>
    <x v="1"/>
    <x v="1"/>
    <n v="0"/>
  </r>
  <r>
    <x v="0"/>
    <x v="0"/>
    <n v="1"/>
  </r>
  <r>
    <x v="0"/>
    <x v="0"/>
    <n v="0"/>
  </r>
  <r>
    <x v="1"/>
    <x v="1"/>
    <n v="0"/>
  </r>
  <r>
    <x v="0"/>
    <x v="0"/>
    <n v="0"/>
  </r>
  <r>
    <x v="0"/>
    <x v="0"/>
    <n v="0"/>
  </r>
  <r>
    <x v="0"/>
    <x v="0"/>
    <n v="0"/>
  </r>
  <r>
    <x v="1"/>
    <x v="1"/>
    <n v="0"/>
  </r>
  <r>
    <x v="0"/>
    <x v="0"/>
    <n v="0"/>
  </r>
  <r>
    <x v="0"/>
    <x v="0"/>
    <n v="0"/>
  </r>
  <r>
    <x v="0"/>
    <x v="0"/>
    <n v="0"/>
  </r>
  <r>
    <x v="0"/>
    <x v="0"/>
    <n v="0"/>
  </r>
  <r>
    <x v="1"/>
    <x v="1"/>
    <n v="0"/>
  </r>
  <r>
    <x v="1"/>
    <x v="1"/>
    <n v="0"/>
  </r>
  <r>
    <x v="0"/>
    <x v="0"/>
    <n v="0"/>
  </r>
  <r>
    <x v="0"/>
    <x v="0"/>
    <n v="0"/>
  </r>
  <r>
    <x v="1"/>
    <x v="1"/>
    <n v="0"/>
  </r>
  <r>
    <x v="1"/>
    <x v="1"/>
    <n v="0"/>
  </r>
  <r>
    <x v="1"/>
    <x v="1"/>
    <n v="0"/>
  </r>
  <r>
    <x v="1"/>
    <x v="1"/>
    <n v="0"/>
  </r>
  <r>
    <x v="0"/>
    <x v="0"/>
    <n v="0"/>
  </r>
  <r>
    <x v="1"/>
    <x v="1"/>
    <n v="0"/>
  </r>
  <r>
    <x v="1"/>
    <x v="1"/>
    <n v="0"/>
  </r>
  <r>
    <x v="0"/>
    <x v="0"/>
    <n v="0"/>
  </r>
  <r>
    <x v="0"/>
    <x v="0"/>
    <n v="0"/>
  </r>
  <r>
    <x v="0"/>
    <x v="0"/>
    <n v="0"/>
  </r>
  <r>
    <x v="1"/>
    <x v="1"/>
    <n v="0"/>
  </r>
  <r>
    <x v="1"/>
    <x v="1"/>
    <n v="0"/>
  </r>
  <r>
    <x v="0"/>
    <x v="0"/>
    <n v="0"/>
  </r>
  <r>
    <x v="0"/>
    <x v="0"/>
    <n v="0"/>
  </r>
  <r>
    <x v="1"/>
    <x v="1"/>
    <n v="0"/>
  </r>
  <r>
    <x v="0"/>
    <x v="0"/>
    <n v="0"/>
  </r>
  <r>
    <x v="0"/>
    <x v="0"/>
    <n v="0"/>
  </r>
  <r>
    <x v="0"/>
    <x v="0"/>
    <n v="0"/>
  </r>
  <r>
    <x v="1"/>
    <x v="1"/>
    <n v="0"/>
  </r>
  <r>
    <x v="1"/>
    <x v="1"/>
    <n v="0"/>
  </r>
  <r>
    <x v="0"/>
    <x v="0"/>
    <n v="0"/>
  </r>
  <r>
    <x v="1"/>
    <x v="1"/>
    <n v="0"/>
  </r>
  <r>
    <x v="1"/>
    <x v="1"/>
    <n v="0"/>
  </r>
  <r>
    <x v="0"/>
    <x v="0"/>
    <n v="0"/>
  </r>
  <r>
    <x v="0"/>
    <x v="0"/>
    <n v="0"/>
  </r>
  <r>
    <x v="1"/>
    <x v="1"/>
    <n v="0"/>
  </r>
  <r>
    <x v="1"/>
    <x v="1"/>
    <n v="0"/>
  </r>
  <r>
    <x v="0"/>
    <x v="0"/>
    <n v="0"/>
  </r>
  <r>
    <x v="1"/>
    <x v="1"/>
    <n v="0"/>
  </r>
  <r>
    <x v="0"/>
    <x v="0"/>
    <n v="0"/>
  </r>
  <r>
    <x v="1"/>
    <x v="1"/>
    <n v="0"/>
  </r>
  <r>
    <x v="0"/>
    <x v="0"/>
    <n v="0"/>
  </r>
  <r>
    <x v="0"/>
    <x v="0"/>
    <n v="0"/>
  </r>
  <r>
    <x v="1"/>
    <x v="1"/>
    <n v="0"/>
  </r>
  <r>
    <x v="0"/>
    <x v="0"/>
    <n v="0"/>
  </r>
  <r>
    <x v="0"/>
    <x v="0"/>
    <n v="0"/>
  </r>
  <r>
    <x v="0"/>
    <x v="0"/>
    <n v="0"/>
  </r>
  <r>
    <x v="1"/>
    <x v="1"/>
    <n v="0"/>
  </r>
  <r>
    <x v="1"/>
    <x v="1"/>
    <n v="0"/>
  </r>
  <r>
    <x v="1"/>
    <x v="1"/>
    <n v="0"/>
  </r>
  <r>
    <x v="1"/>
    <x v="1"/>
    <n v="0"/>
  </r>
  <r>
    <x v="1"/>
    <x v="1"/>
    <n v="0"/>
  </r>
  <r>
    <x v="1"/>
    <x v="1"/>
    <n v="0"/>
  </r>
  <r>
    <x v="1"/>
    <x v="1"/>
    <n v="0"/>
  </r>
  <r>
    <x v="1"/>
    <x v="1"/>
    <n v="0"/>
  </r>
  <r>
    <x v="1"/>
    <x v="1"/>
    <n v="0"/>
  </r>
  <r>
    <x v="0"/>
    <x v="0"/>
    <n v="0"/>
  </r>
  <r>
    <x v="0"/>
    <x v="0"/>
    <n v="0"/>
  </r>
  <r>
    <x v="0"/>
    <x v="0"/>
    <n v="0"/>
  </r>
  <r>
    <x v="0"/>
    <x v="0"/>
    <n v="0"/>
  </r>
  <r>
    <x v="0"/>
    <x v="0"/>
    <n v="0"/>
  </r>
  <r>
    <x v="1"/>
    <x v="1"/>
    <n v="0"/>
  </r>
  <r>
    <x v="1"/>
    <x v="1"/>
    <n v="0"/>
  </r>
  <r>
    <x v="0"/>
    <x v="0"/>
    <n v="0"/>
  </r>
  <r>
    <x v="0"/>
    <x v="0"/>
    <n v="0"/>
  </r>
  <r>
    <x v="1"/>
    <x v="1"/>
    <n v="0"/>
  </r>
  <r>
    <x v="0"/>
    <x v="0"/>
    <n v="0"/>
  </r>
  <r>
    <x v="1"/>
    <x v="1"/>
    <n v="0"/>
  </r>
  <r>
    <x v="1"/>
    <x v="1"/>
    <n v="0"/>
  </r>
  <r>
    <x v="0"/>
    <x v="0"/>
    <n v="0"/>
  </r>
  <r>
    <x v="0"/>
    <x v="0"/>
    <n v="0"/>
  </r>
  <r>
    <x v="0"/>
    <x v="0"/>
    <n v="0"/>
  </r>
  <r>
    <x v="0"/>
    <x v="0"/>
    <n v="0"/>
  </r>
  <r>
    <x v="1"/>
    <x v="1"/>
    <n v="0"/>
  </r>
  <r>
    <x v="0"/>
    <x v="0"/>
    <n v="0"/>
  </r>
  <r>
    <x v="0"/>
    <x v="0"/>
    <n v="0"/>
  </r>
  <r>
    <x v="1"/>
    <x v="1"/>
    <n v="0"/>
  </r>
  <r>
    <x v="0"/>
    <x v="0"/>
    <n v="0"/>
  </r>
  <r>
    <x v="1"/>
    <x v="1"/>
    <n v="0"/>
  </r>
  <r>
    <x v="0"/>
    <x v="0"/>
    <n v="0"/>
  </r>
  <r>
    <x v="0"/>
    <x v="0"/>
    <n v="0"/>
  </r>
  <r>
    <x v="0"/>
    <x v="0"/>
    <n v="0"/>
  </r>
  <r>
    <x v="1"/>
    <x v="1"/>
    <n v="0"/>
  </r>
  <r>
    <x v="0"/>
    <x v="0"/>
    <n v="0"/>
  </r>
  <r>
    <x v="0"/>
    <x v="0"/>
    <n v="0"/>
  </r>
  <r>
    <x v="0"/>
    <x v="0"/>
    <n v="0"/>
  </r>
  <r>
    <x v="0"/>
    <x v="0"/>
    <n v="0"/>
  </r>
  <r>
    <x v="1"/>
    <x v="1"/>
    <n v="0"/>
  </r>
  <r>
    <x v="1"/>
    <x v="1"/>
    <n v="0"/>
  </r>
  <r>
    <x v="1"/>
    <x v="1"/>
    <n v="0"/>
  </r>
  <r>
    <x v="1"/>
    <x v="1"/>
    <n v="1"/>
  </r>
  <r>
    <x v="1"/>
    <x v="1"/>
    <n v="1"/>
  </r>
  <r>
    <x v="1"/>
    <x v="1"/>
    <n v="0"/>
  </r>
  <r>
    <x v="0"/>
    <x v="0"/>
    <n v="0"/>
  </r>
  <r>
    <x v="1"/>
    <x v="1"/>
    <n v="0"/>
  </r>
  <r>
    <x v="0"/>
    <x v="0"/>
    <n v="0"/>
  </r>
  <r>
    <x v="1"/>
    <x v="1"/>
    <n v="0"/>
  </r>
  <r>
    <x v="1"/>
    <x v="1"/>
    <n v="0"/>
  </r>
  <r>
    <x v="0"/>
    <x v="0"/>
    <n v="0"/>
  </r>
  <r>
    <x v="0"/>
    <x v="0"/>
    <n v="0"/>
  </r>
  <r>
    <x v="0"/>
    <x v="0"/>
    <n v="1"/>
  </r>
  <r>
    <x v="1"/>
    <x v="1"/>
    <n v="0"/>
  </r>
  <r>
    <x v="0"/>
    <x v="0"/>
    <n v="0"/>
  </r>
  <r>
    <x v="1"/>
    <x v="1"/>
    <n v="0"/>
  </r>
  <r>
    <x v="1"/>
    <x v="1"/>
    <n v="0"/>
  </r>
  <r>
    <x v="1"/>
    <x v="1"/>
    <n v="0"/>
  </r>
  <r>
    <x v="0"/>
    <x v="0"/>
    <n v="0"/>
  </r>
  <r>
    <x v="0"/>
    <x v="0"/>
    <n v="0"/>
  </r>
  <r>
    <x v="1"/>
    <x v="1"/>
    <n v="0"/>
  </r>
  <r>
    <x v="0"/>
    <x v="0"/>
    <n v="0"/>
  </r>
  <r>
    <x v="1"/>
    <x v="1"/>
    <n v="0"/>
  </r>
  <r>
    <x v="1"/>
    <x v="1"/>
    <n v="0"/>
  </r>
  <r>
    <x v="0"/>
    <x v="0"/>
    <n v="0"/>
  </r>
  <r>
    <x v="0"/>
    <x v="0"/>
    <n v="0"/>
  </r>
  <r>
    <x v="1"/>
    <x v="1"/>
    <n v="0"/>
  </r>
  <r>
    <x v="1"/>
    <x v="1"/>
    <n v="0"/>
  </r>
  <r>
    <x v="0"/>
    <x v="0"/>
    <n v="0"/>
  </r>
  <r>
    <x v="0"/>
    <x v="0"/>
    <n v="0"/>
  </r>
  <r>
    <x v="1"/>
    <x v="1"/>
    <n v="1"/>
  </r>
  <r>
    <x v="0"/>
    <x v="0"/>
    <n v="0"/>
  </r>
  <r>
    <x v="0"/>
    <x v="0"/>
    <n v="0"/>
  </r>
  <r>
    <x v="0"/>
    <x v="0"/>
    <n v="1"/>
  </r>
  <r>
    <x v="0"/>
    <x v="0"/>
    <n v="0"/>
  </r>
  <r>
    <x v="0"/>
    <x v="0"/>
    <n v="0"/>
  </r>
  <r>
    <x v="0"/>
    <x v="0"/>
    <n v="0"/>
  </r>
  <r>
    <x v="1"/>
    <x v="1"/>
    <n v="0"/>
  </r>
  <r>
    <x v="1"/>
    <x v="1"/>
    <n v="0"/>
  </r>
  <r>
    <x v="1"/>
    <x v="1"/>
    <n v="0"/>
  </r>
  <r>
    <x v="1"/>
    <x v="1"/>
    <n v="0"/>
  </r>
  <r>
    <x v="0"/>
    <x v="0"/>
    <n v="0"/>
  </r>
  <r>
    <x v="1"/>
    <x v="1"/>
    <n v="0"/>
  </r>
  <r>
    <x v="0"/>
    <x v="0"/>
    <n v="0"/>
  </r>
  <r>
    <x v="0"/>
    <x v="0"/>
    <n v="0"/>
  </r>
  <r>
    <x v="0"/>
    <x v="0"/>
    <n v="0"/>
  </r>
  <r>
    <x v="0"/>
    <x v="0"/>
    <n v="0"/>
  </r>
  <r>
    <x v="1"/>
    <x v="1"/>
    <n v="0"/>
  </r>
  <r>
    <x v="1"/>
    <x v="1"/>
    <n v="0"/>
  </r>
  <r>
    <x v="0"/>
    <x v="0"/>
    <n v="0"/>
  </r>
  <r>
    <x v="0"/>
    <x v="0"/>
    <n v="0"/>
  </r>
  <r>
    <x v="0"/>
    <x v="0"/>
    <n v="0"/>
  </r>
  <r>
    <x v="0"/>
    <x v="0"/>
    <n v="0"/>
  </r>
  <r>
    <x v="1"/>
    <x v="1"/>
    <n v="0"/>
  </r>
  <r>
    <x v="1"/>
    <x v="1"/>
    <n v="0"/>
  </r>
  <r>
    <x v="1"/>
    <x v="1"/>
    <n v="0"/>
  </r>
  <r>
    <x v="0"/>
    <x v="0"/>
    <n v="0"/>
  </r>
  <r>
    <x v="1"/>
    <x v="1"/>
    <n v="0"/>
  </r>
  <r>
    <x v="0"/>
    <x v="0"/>
    <n v="0"/>
  </r>
  <r>
    <x v="0"/>
    <x v="0"/>
    <n v="0"/>
  </r>
  <r>
    <x v="0"/>
    <x v="0"/>
    <n v="0"/>
  </r>
  <r>
    <x v="0"/>
    <x v="0"/>
    <n v="0"/>
  </r>
  <r>
    <x v="0"/>
    <x v="0"/>
    <n v="0"/>
  </r>
  <r>
    <x v="1"/>
    <x v="1"/>
    <n v="0"/>
  </r>
  <r>
    <x v="0"/>
    <x v="0"/>
    <n v="0"/>
  </r>
  <r>
    <x v="0"/>
    <x v="0"/>
    <n v="1"/>
  </r>
  <r>
    <x v="1"/>
    <x v="1"/>
    <n v="0"/>
  </r>
  <r>
    <x v="0"/>
    <x v="0"/>
    <n v="1"/>
  </r>
  <r>
    <x v="1"/>
    <x v="1"/>
    <n v="0"/>
  </r>
  <r>
    <x v="0"/>
    <x v="0"/>
    <n v="0"/>
  </r>
  <r>
    <x v="0"/>
    <x v="0"/>
    <n v="0"/>
  </r>
  <r>
    <x v="1"/>
    <x v="1"/>
    <n v="0"/>
  </r>
  <r>
    <x v="1"/>
    <x v="1"/>
    <n v="0"/>
  </r>
  <r>
    <x v="0"/>
    <x v="0"/>
    <n v="0"/>
  </r>
  <r>
    <x v="1"/>
    <x v="1"/>
    <n v="0"/>
  </r>
  <r>
    <x v="0"/>
    <x v="0"/>
    <n v="0"/>
  </r>
  <r>
    <x v="1"/>
    <x v="1"/>
    <n v="0"/>
  </r>
  <r>
    <x v="0"/>
    <x v="0"/>
    <n v="0"/>
  </r>
  <r>
    <x v="1"/>
    <x v="1"/>
    <n v="0"/>
  </r>
  <r>
    <x v="1"/>
    <x v="1"/>
    <n v="0"/>
  </r>
  <r>
    <x v="1"/>
    <x v="1"/>
    <n v="0"/>
  </r>
  <r>
    <x v="0"/>
    <x v="0"/>
    <n v="0"/>
  </r>
  <r>
    <x v="1"/>
    <x v="1"/>
    <n v="0"/>
  </r>
  <r>
    <x v="0"/>
    <x v="0"/>
    <n v="0"/>
  </r>
  <r>
    <x v="1"/>
    <x v="1"/>
    <n v="0"/>
  </r>
  <r>
    <x v="1"/>
    <x v="1"/>
    <n v="0"/>
  </r>
  <r>
    <x v="0"/>
    <x v="0"/>
    <n v="0"/>
  </r>
  <r>
    <x v="0"/>
    <x v="0"/>
    <n v="0"/>
  </r>
  <r>
    <x v="1"/>
    <x v="1"/>
    <n v="0"/>
  </r>
  <r>
    <x v="1"/>
    <x v="1"/>
    <n v="0"/>
  </r>
  <r>
    <x v="0"/>
    <x v="0"/>
    <n v="0"/>
  </r>
  <r>
    <x v="1"/>
    <x v="1"/>
    <n v="0"/>
  </r>
  <r>
    <x v="1"/>
    <x v="1"/>
    <n v="0"/>
  </r>
  <r>
    <x v="0"/>
    <x v="0"/>
    <n v="0"/>
  </r>
  <r>
    <x v="1"/>
    <x v="1"/>
    <n v="0"/>
  </r>
  <r>
    <x v="1"/>
    <x v="1"/>
    <n v="0"/>
  </r>
  <r>
    <x v="0"/>
    <x v="0"/>
    <n v="0"/>
  </r>
  <r>
    <x v="1"/>
    <x v="1"/>
    <n v="0"/>
  </r>
  <r>
    <x v="1"/>
    <x v="1"/>
    <n v="0"/>
  </r>
  <r>
    <x v="1"/>
    <x v="1"/>
    <n v="0"/>
  </r>
  <r>
    <x v="0"/>
    <x v="0"/>
    <n v="0"/>
  </r>
  <r>
    <x v="1"/>
    <x v="1"/>
    <n v="0"/>
  </r>
  <r>
    <x v="0"/>
    <x v="0"/>
    <n v="0"/>
  </r>
  <r>
    <x v="1"/>
    <x v="1"/>
    <n v="0"/>
  </r>
  <r>
    <x v="0"/>
    <x v="0"/>
    <n v="0"/>
  </r>
  <r>
    <x v="1"/>
    <x v="1"/>
    <n v="0"/>
  </r>
  <r>
    <x v="0"/>
    <x v="0"/>
    <n v="0"/>
  </r>
  <r>
    <x v="1"/>
    <x v="1"/>
    <n v="0"/>
  </r>
  <r>
    <x v="1"/>
    <x v="1"/>
    <n v="1"/>
  </r>
  <r>
    <x v="1"/>
    <x v="1"/>
    <n v="0"/>
  </r>
  <r>
    <x v="1"/>
    <x v="1"/>
    <n v="0"/>
  </r>
  <r>
    <x v="1"/>
    <x v="1"/>
    <n v="0"/>
  </r>
  <r>
    <x v="1"/>
    <x v="1"/>
    <n v="0"/>
  </r>
  <r>
    <x v="0"/>
    <x v="0"/>
    <n v="0"/>
  </r>
  <r>
    <x v="0"/>
    <x v="0"/>
    <n v="0"/>
  </r>
  <r>
    <x v="0"/>
    <x v="0"/>
    <n v="0"/>
  </r>
  <r>
    <x v="1"/>
    <x v="1"/>
    <n v="0"/>
  </r>
  <r>
    <x v="1"/>
    <x v="1"/>
    <n v="0"/>
  </r>
  <r>
    <x v="0"/>
    <x v="0"/>
    <n v="0"/>
  </r>
  <r>
    <x v="0"/>
    <x v="0"/>
    <n v="0"/>
  </r>
  <r>
    <x v="1"/>
    <x v="1"/>
    <n v="0"/>
  </r>
  <r>
    <x v="1"/>
    <x v="1"/>
    <n v="0"/>
  </r>
  <r>
    <x v="0"/>
    <x v="0"/>
    <n v="0"/>
  </r>
  <r>
    <x v="1"/>
    <x v="1"/>
    <n v="0"/>
  </r>
  <r>
    <x v="1"/>
    <x v="1"/>
    <n v="0"/>
  </r>
  <r>
    <x v="1"/>
    <x v="1"/>
    <n v="0"/>
  </r>
  <r>
    <x v="1"/>
    <x v="1"/>
    <n v="0"/>
  </r>
  <r>
    <x v="1"/>
    <x v="1"/>
    <n v="1"/>
  </r>
  <r>
    <x v="0"/>
    <x v="0"/>
    <n v="0"/>
  </r>
  <r>
    <x v="0"/>
    <x v="0"/>
    <n v="0"/>
  </r>
  <r>
    <x v="1"/>
    <x v="1"/>
    <n v="0"/>
  </r>
  <r>
    <x v="1"/>
    <x v="1"/>
    <n v="0"/>
  </r>
  <r>
    <x v="1"/>
    <x v="1"/>
    <n v="0"/>
  </r>
  <r>
    <x v="1"/>
    <x v="1"/>
    <n v="0"/>
  </r>
  <r>
    <x v="1"/>
    <x v="1"/>
    <n v="0"/>
  </r>
  <r>
    <x v="1"/>
    <x v="1"/>
    <n v="0"/>
  </r>
  <r>
    <x v="1"/>
    <x v="1"/>
    <n v="0"/>
  </r>
  <r>
    <x v="1"/>
    <x v="1"/>
    <n v="0"/>
  </r>
  <r>
    <x v="1"/>
    <x v="1"/>
    <n v="0"/>
  </r>
  <r>
    <x v="1"/>
    <x v="1"/>
    <n v="0"/>
  </r>
  <r>
    <x v="1"/>
    <x v="1"/>
    <n v="0"/>
  </r>
  <r>
    <x v="0"/>
    <x v="0"/>
    <n v="0"/>
  </r>
  <r>
    <x v="0"/>
    <x v="0"/>
    <n v="0"/>
  </r>
  <r>
    <x v="0"/>
    <x v="0"/>
    <n v="0"/>
  </r>
  <r>
    <x v="0"/>
    <x v="0"/>
    <n v="0"/>
  </r>
  <r>
    <x v="1"/>
    <x v="1"/>
    <n v="0"/>
  </r>
  <r>
    <x v="0"/>
    <x v="0"/>
    <n v="0"/>
  </r>
  <r>
    <x v="1"/>
    <x v="1"/>
    <n v="0"/>
  </r>
  <r>
    <x v="1"/>
    <x v="1"/>
    <n v="0"/>
  </r>
  <r>
    <x v="0"/>
    <x v="0"/>
    <n v="0"/>
  </r>
  <r>
    <x v="0"/>
    <x v="0"/>
    <n v="0"/>
  </r>
  <r>
    <x v="0"/>
    <x v="0"/>
    <n v="0"/>
  </r>
  <r>
    <x v="1"/>
    <x v="1"/>
    <n v="0"/>
  </r>
  <r>
    <x v="0"/>
    <x v="0"/>
    <n v="0"/>
  </r>
  <r>
    <x v="1"/>
    <x v="1"/>
    <n v="0"/>
  </r>
  <r>
    <x v="1"/>
    <x v="1"/>
    <n v="0"/>
  </r>
  <r>
    <x v="0"/>
    <x v="0"/>
    <n v="0"/>
  </r>
  <r>
    <x v="1"/>
    <x v="1"/>
    <n v="0"/>
  </r>
  <r>
    <x v="1"/>
    <x v="1"/>
    <n v="0"/>
  </r>
  <r>
    <x v="1"/>
    <x v="1"/>
    <n v="0"/>
  </r>
  <r>
    <x v="1"/>
    <x v="1"/>
    <n v="0"/>
  </r>
  <r>
    <x v="0"/>
    <x v="0"/>
    <n v="0"/>
  </r>
  <r>
    <x v="0"/>
    <x v="0"/>
    <n v="0"/>
  </r>
  <r>
    <x v="0"/>
    <x v="0"/>
    <n v="0"/>
  </r>
  <r>
    <x v="1"/>
    <x v="1"/>
    <n v="0"/>
  </r>
  <r>
    <x v="1"/>
    <x v="1"/>
    <n v="0"/>
  </r>
  <r>
    <x v="0"/>
    <x v="0"/>
    <n v="0"/>
  </r>
  <r>
    <x v="0"/>
    <x v="0"/>
    <n v="0"/>
  </r>
  <r>
    <x v="1"/>
    <x v="1"/>
    <n v="0"/>
  </r>
  <r>
    <x v="0"/>
    <x v="0"/>
    <n v="0"/>
  </r>
  <r>
    <x v="0"/>
    <x v="0"/>
    <n v="1"/>
  </r>
  <r>
    <x v="1"/>
    <x v="1"/>
    <n v="0"/>
  </r>
  <r>
    <x v="1"/>
    <x v="1"/>
    <n v="1"/>
  </r>
  <r>
    <x v="1"/>
    <x v="1"/>
    <n v="0"/>
  </r>
  <r>
    <x v="0"/>
    <x v="0"/>
    <n v="0"/>
  </r>
  <r>
    <x v="0"/>
    <x v="0"/>
    <n v="0"/>
  </r>
  <r>
    <x v="0"/>
    <x v="0"/>
    <n v="0"/>
  </r>
  <r>
    <x v="0"/>
    <x v="0"/>
    <n v="0"/>
  </r>
  <r>
    <x v="1"/>
    <x v="1"/>
    <n v="0"/>
  </r>
  <r>
    <x v="1"/>
    <x v="1"/>
    <n v="0"/>
  </r>
  <r>
    <x v="1"/>
    <x v="1"/>
    <n v="0"/>
  </r>
  <r>
    <x v="1"/>
    <x v="1"/>
    <n v="0"/>
  </r>
  <r>
    <x v="0"/>
    <x v="0"/>
    <n v="0"/>
  </r>
  <r>
    <x v="1"/>
    <x v="1"/>
    <n v="0"/>
  </r>
  <r>
    <x v="0"/>
    <x v="0"/>
    <n v="0"/>
  </r>
  <r>
    <x v="0"/>
    <x v="0"/>
    <n v="0"/>
  </r>
  <r>
    <x v="1"/>
    <x v="1"/>
    <n v="0"/>
  </r>
  <r>
    <x v="1"/>
    <x v="1"/>
    <n v="0"/>
  </r>
  <r>
    <x v="0"/>
    <x v="0"/>
    <n v="0"/>
  </r>
  <r>
    <x v="1"/>
    <x v="1"/>
    <n v="0"/>
  </r>
  <r>
    <x v="0"/>
    <x v="0"/>
    <n v="0"/>
  </r>
  <r>
    <x v="1"/>
    <x v="1"/>
    <n v="0"/>
  </r>
  <r>
    <x v="1"/>
    <x v="1"/>
    <n v="0"/>
  </r>
  <r>
    <x v="0"/>
    <x v="0"/>
    <n v="0"/>
  </r>
  <r>
    <x v="0"/>
    <x v="0"/>
    <n v="0"/>
  </r>
  <r>
    <x v="0"/>
    <x v="0"/>
    <n v="0"/>
  </r>
  <r>
    <x v="1"/>
    <x v="1"/>
    <n v="0"/>
  </r>
  <r>
    <x v="1"/>
    <x v="1"/>
    <n v="0"/>
  </r>
  <r>
    <x v="0"/>
    <x v="0"/>
    <n v="0"/>
  </r>
  <r>
    <x v="1"/>
    <x v="1"/>
    <n v="0"/>
  </r>
  <r>
    <x v="1"/>
    <x v="1"/>
    <n v="0"/>
  </r>
  <r>
    <x v="1"/>
    <x v="1"/>
    <n v="0"/>
  </r>
  <r>
    <x v="0"/>
    <x v="0"/>
    <n v="1"/>
  </r>
  <r>
    <x v="0"/>
    <x v="0"/>
    <n v="0"/>
  </r>
  <r>
    <x v="0"/>
    <x v="0"/>
    <n v="0"/>
  </r>
  <r>
    <x v="1"/>
    <x v="1"/>
    <n v="0"/>
  </r>
  <r>
    <x v="1"/>
    <x v="1"/>
    <n v="0"/>
  </r>
  <r>
    <x v="0"/>
    <x v="0"/>
    <n v="1"/>
  </r>
  <r>
    <x v="0"/>
    <x v="0"/>
    <n v="1"/>
  </r>
  <r>
    <x v="1"/>
    <x v="1"/>
    <n v="0"/>
  </r>
  <r>
    <x v="1"/>
    <x v="1"/>
    <n v="0"/>
  </r>
  <r>
    <x v="1"/>
    <x v="1"/>
    <n v="0"/>
  </r>
  <r>
    <x v="1"/>
    <x v="1"/>
    <n v="0"/>
  </r>
  <r>
    <x v="0"/>
    <x v="0"/>
    <n v="0"/>
  </r>
  <r>
    <x v="0"/>
    <x v="0"/>
    <n v="0"/>
  </r>
  <r>
    <x v="0"/>
    <x v="0"/>
    <n v="0"/>
  </r>
  <r>
    <x v="1"/>
    <x v="1"/>
    <n v="0"/>
  </r>
  <r>
    <x v="1"/>
    <x v="1"/>
    <n v="0"/>
  </r>
  <r>
    <x v="1"/>
    <x v="1"/>
    <n v="0"/>
  </r>
  <r>
    <x v="0"/>
    <x v="0"/>
    <n v="0"/>
  </r>
  <r>
    <x v="1"/>
    <x v="1"/>
    <n v="0"/>
  </r>
  <r>
    <x v="0"/>
    <x v="0"/>
    <n v="0"/>
  </r>
  <r>
    <x v="0"/>
    <x v="0"/>
    <n v="0"/>
  </r>
  <r>
    <x v="0"/>
    <x v="0"/>
    <n v="0"/>
  </r>
  <r>
    <x v="0"/>
    <x v="0"/>
    <n v="0"/>
  </r>
  <r>
    <x v="0"/>
    <x v="0"/>
    <n v="0"/>
  </r>
  <r>
    <x v="1"/>
    <x v="1"/>
    <n v="0"/>
  </r>
  <r>
    <x v="1"/>
    <x v="1"/>
    <n v="0"/>
  </r>
  <r>
    <x v="0"/>
    <x v="0"/>
    <n v="0"/>
  </r>
  <r>
    <x v="0"/>
    <x v="0"/>
    <n v="0"/>
  </r>
  <r>
    <x v="0"/>
    <x v="0"/>
    <n v="0"/>
  </r>
  <r>
    <x v="1"/>
    <x v="1"/>
    <n v="0"/>
  </r>
  <r>
    <x v="1"/>
    <x v="1"/>
    <n v="0"/>
  </r>
  <r>
    <x v="1"/>
    <x v="1"/>
    <n v="0"/>
  </r>
  <r>
    <x v="0"/>
    <x v="0"/>
    <n v="0"/>
  </r>
  <r>
    <x v="0"/>
    <x v="0"/>
    <n v="0"/>
  </r>
  <r>
    <x v="1"/>
    <x v="1"/>
    <n v="0"/>
  </r>
  <r>
    <x v="0"/>
    <x v="0"/>
    <n v="0"/>
  </r>
  <r>
    <x v="0"/>
    <x v="0"/>
    <n v="0"/>
  </r>
  <r>
    <x v="1"/>
    <x v="1"/>
    <n v="0"/>
  </r>
  <r>
    <x v="1"/>
    <x v="1"/>
    <n v="0"/>
  </r>
  <r>
    <x v="0"/>
    <x v="0"/>
    <n v="0"/>
  </r>
  <r>
    <x v="1"/>
    <x v="1"/>
    <n v="0"/>
  </r>
  <r>
    <x v="1"/>
    <x v="1"/>
    <n v="1"/>
  </r>
  <r>
    <x v="1"/>
    <x v="1"/>
    <n v="0"/>
  </r>
  <r>
    <x v="0"/>
    <x v="0"/>
    <n v="0"/>
  </r>
  <r>
    <x v="0"/>
    <x v="0"/>
    <n v="0"/>
  </r>
  <r>
    <x v="1"/>
    <x v="1"/>
    <n v="1"/>
  </r>
  <r>
    <x v="0"/>
    <x v="0"/>
    <n v="0"/>
  </r>
  <r>
    <x v="1"/>
    <x v="1"/>
    <n v="0"/>
  </r>
  <r>
    <x v="0"/>
    <x v="0"/>
    <n v="0"/>
  </r>
  <r>
    <x v="0"/>
    <x v="0"/>
    <n v="0"/>
  </r>
  <r>
    <x v="0"/>
    <x v="0"/>
    <n v="0"/>
  </r>
  <r>
    <x v="0"/>
    <x v="0"/>
    <n v="0"/>
  </r>
  <r>
    <x v="0"/>
    <x v="0"/>
    <n v="0"/>
  </r>
  <r>
    <x v="0"/>
    <x v="0"/>
    <n v="0"/>
  </r>
  <r>
    <x v="1"/>
    <x v="1"/>
    <n v="0"/>
  </r>
  <r>
    <x v="1"/>
    <x v="1"/>
    <n v="0"/>
  </r>
  <r>
    <x v="0"/>
    <x v="0"/>
    <n v="0"/>
  </r>
  <r>
    <x v="0"/>
    <x v="0"/>
    <n v="0"/>
  </r>
  <r>
    <x v="0"/>
    <x v="0"/>
    <n v="0"/>
  </r>
  <r>
    <x v="1"/>
    <x v="1"/>
    <n v="0"/>
  </r>
  <r>
    <x v="0"/>
    <x v="0"/>
    <n v="0"/>
  </r>
  <r>
    <x v="1"/>
    <x v="1"/>
    <n v="0"/>
  </r>
  <r>
    <x v="1"/>
    <x v="1"/>
    <n v="0"/>
  </r>
  <r>
    <x v="1"/>
    <x v="1"/>
    <n v="0"/>
  </r>
  <r>
    <x v="0"/>
    <x v="0"/>
    <n v="0"/>
  </r>
  <r>
    <x v="1"/>
    <x v="1"/>
    <n v="0"/>
  </r>
  <r>
    <x v="0"/>
    <x v="0"/>
    <n v="0"/>
  </r>
  <r>
    <x v="1"/>
    <x v="1"/>
    <n v="0"/>
  </r>
  <r>
    <x v="1"/>
    <x v="1"/>
    <n v="0"/>
  </r>
  <r>
    <x v="0"/>
    <x v="0"/>
    <n v="0"/>
  </r>
  <r>
    <x v="0"/>
    <x v="0"/>
    <n v="0"/>
  </r>
  <r>
    <x v="0"/>
    <x v="0"/>
    <n v="0"/>
  </r>
  <r>
    <x v="0"/>
    <x v="0"/>
    <n v="0"/>
  </r>
  <r>
    <x v="1"/>
    <x v="1"/>
    <n v="0"/>
  </r>
  <r>
    <x v="0"/>
    <x v="0"/>
    <n v="0"/>
  </r>
  <r>
    <x v="0"/>
    <x v="0"/>
    <n v="0"/>
  </r>
  <r>
    <x v="0"/>
    <x v="0"/>
    <n v="0"/>
  </r>
  <r>
    <x v="1"/>
    <x v="1"/>
    <n v="0"/>
  </r>
  <r>
    <x v="0"/>
    <x v="0"/>
    <n v="0"/>
  </r>
  <r>
    <x v="0"/>
    <x v="0"/>
    <n v="0"/>
  </r>
  <r>
    <x v="0"/>
    <x v="0"/>
    <n v="1"/>
  </r>
  <r>
    <x v="1"/>
    <x v="1"/>
    <n v="0"/>
  </r>
  <r>
    <x v="0"/>
    <x v="0"/>
    <n v="0"/>
  </r>
  <r>
    <x v="0"/>
    <x v="0"/>
    <n v="0"/>
  </r>
  <r>
    <x v="0"/>
    <x v="0"/>
    <n v="0"/>
  </r>
  <r>
    <x v="0"/>
    <x v="0"/>
    <n v="0"/>
  </r>
  <r>
    <x v="1"/>
    <x v="1"/>
    <n v="0"/>
  </r>
  <r>
    <x v="1"/>
    <x v="1"/>
    <n v="0"/>
  </r>
  <r>
    <x v="1"/>
    <x v="1"/>
    <n v="0"/>
  </r>
  <r>
    <x v="1"/>
    <x v="1"/>
    <n v="0"/>
  </r>
  <r>
    <x v="1"/>
    <x v="1"/>
    <n v="0"/>
  </r>
  <r>
    <x v="1"/>
    <x v="1"/>
    <n v="0"/>
  </r>
  <r>
    <x v="1"/>
    <x v="1"/>
    <n v="0"/>
  </r>
  <r>
    <x v="0"/>
    <x v="0"/>
    <n v="0"/>
  </r>
  <r>
    <x v="1"/>
    <x v="1"/>
    <n v="0"/>
  </r>
  <r>
    <x v="0"/>
    <x v="0"/>
    <n v="0"/>
  </r>
  <r>
    <x v="0"/>
    <x v="0"/>
    <n v="0"/>
  </r>
  <r>
    <x v="1"/>
    <x v="1"/>
    <n v="0"/>
  </r>
  <r>
    <x v="1"/>
    <x v="1"/>
    <n v="0"/>
  </r>
  <r>
    <x v="0"/>
    <x v="0"/>
    <n v="0"/>
  </r>
  <r>
    <x v="0"/>
    <x v="0"/>
    <n v="0"/>
  </r>
  <r>
    <x v="1"/>
    <x v="1"/>
    <n v="0"/>
  </r>
  <r>
    <x v="1"/>
    <x v="1"/>
    <n v="0"/>
  </r>
  <r>
    <x v="0"/>
    <x v="0"/>
    <n v="0"/>
  </r>
  <r>
    <x v="0"/>
    <x v="0"/>
    <n v="1"/>
  </r>
  <r>
    <x v="0"/>
    <x v="0"/>
    <n v="0"/>
  </r>
  <r>
    <x v="1"/>
    <x v="1"/>
    <n v="0"/>
  </r>
  <r>
    <x v="0"/>
    <x v="0"/>
    <n v="0"/>
  </r>
  <r>
    <x v="0"/>
    <x v="0"/>
    <n v="0"/>
  </r>
  <r>
    <x v="0"/>
    <x v="0"/>
    <n v="0"/>
  </r>
  <r>
    <x v="0"/>
    <x v="0"/>
    <n v="0"/>
  </r>
  <r>
    <x v="0"/>
    <x v="0"/>
    <n v="0"/>
  </r>
  <r>
    <x v="1"/>
    <x v="1"/>
    <n v="0"/>
  </r>
  <r>
    <x v="0"/>
    <x v="0"/>
    <n v="0"/>
  </r>
  <r>
    <x v="0"/>
    <x v="0"/>
    <n v="0"/>
  </r>
  <r>
    <x v="0"/>
    <x v="0"/>
    <n v="0"/>
  </r>
  <r>
    <x v="0"/>
    <x v="0"/>
    <n v="0"/>
  </r>
  <r>
    <x v="1"/>
    <x v="1"/>
    <n v="0"/>
  </r>
  <r>
    <x v="0"/>
    <x v="0"/>
    <n v="0"/>
  </r>
  <r>
    <x v="1"/>
    <x v="1"/>
    <n v="0"/>
  </r>
  <r>
    <x v="0"/>
    <x v="0"/>
    <n v="0"/>
  </r>
  <r>
    <x v="1"/>
    <x v="1"/>
    <n v="0"/>
  </r>
  <r>
    <x v="1"/>
    <x v="1"/>
    <n v="0"/>
  </r>
  <r>
    <x v="1"/>
    <x v="1"/>
    <n v="0"/>
  </r>
  <r>
    <x v="0"/>
    <x v="0"/>
    <n v="0"/>
  </r>
  <r>
    <x v="0"/>
    <x v="0"/>
    <n v="0"/>
  </r>
  <r>
    <x v="1"/>
    <x v="1"/>
    <n v="0"/>
  </r>
  <r>
    <x v="1"/>
    <x v="1"/>
    <n v="0"/>
  </r>
  <r>
    <x v="0"/>
    <x v="0"/>
    <n v="0"/>
  </r>
  <r>
    <x v="0"/>
    <x v="0"/>
    <n v="0"/>
  </r>
  <r>
    <x v="0"/>
    <x v="0"/>
    <n v="0"/>
  </r>
  <r>
    <x v="0"/>
    <x v="0"/>
    <n v="0"/>
  </r>
  <r>
    <x v="0"/>
    <x v="0"/>
    <n v="0"/>
  </r>
  <r>
    <x v="0"/>
    <x v="0"/>
    <n v="0"/>
  </r>
  <r>
    <x v="1"/>
    <x v="1"/>
    <n v="0"/>
  </r>
  <r>
    <x v="1"/>
    <x v="1"/>
    <n v="0"/>
  </r>
  <r>
    <x v="1"/>
    <x v="1"/>
    <n v="0"/>
  </r>
  <r>
    <x v="1"/>
    <x v="1"/>
    <n v="0"/>
  </r>
  <r>
    <x v="1"/>
    <x v="1"/>
    <n v="0"/>
  </r>
  <r>
    <x v="0"/>
    <x v="0"/>
    <n v="0"/>
  </r>
  <r>
    <x v="1"/>
    <x v="1"/>
    <n v="0"/>
  </r>
  <r>
    <x v="1"/>
    <x v="1"/>
    <n v="0"/>
  </r>
  <r>
    <x v="1"/>
    <x v="1"/>
    <n v="0"/>
  </r>
  <r>
    <x v="1"/>
    <x v="1"/>
    <n v="0"/>
  </r>
  <r>
    <x v="0"/>
    <x v="0"/>
    <n v="0"/>
  </r>
  <r>
    <x v="0"/>
    <x v="0"/>
    <n v="0"/>
  </r>
  <r>
    <x v="1"/>
    <x v="1"/>
    <n v="0"/>
  </r>
  <r>
    <x v="1"/>
    <x v="1"/>
    <n v="0"/>
  </r>
  <r>
    <x v="1"/>
    <x v="1"/>
    <n v="0"/>
  </r>
  <r>
    <x v="1"/>
    <x v="1"/>
    <n v="0"/>
  </r>
  <r>
    <x v="1"/>
    <x v="1"/>
    <n v="0"/>
  </r>
  <r>
    <x v="0"/>
    <x v="0"/>
    <n v="0"/>
  </r>
  <r>
    <x v="1"/>
    <x v="1"/>
    <n v="0"/>
  </r>
  <r>
    <x v="0"/>
    <x v="0"/>
    <n v="0"/>
  </r>
  <r>
    <x v="1"/>
    <x v="1"/>
    <n v="0"/>
  </r>
  <r>
    <x v="1"/>
    <x v="1"/>
    <n v="0"/>
  </r>
  <r>
    <x v="1"/>
    <x v="1"/>
    <n v="0"/>
  </r>
  <r>
    <x v="1"/>
    <x v="1"/>
    <n v="0"/>
  </r>
  <r>
    <x v="0"/>
    <x v="0"/>
    <n v="0"/>
  </r>
  <r>
    <x v="1"/>
    <x v="1"/>
    <n v="0"/>
  </r>
  <r>
    <x v="0"/>
    <x v="0"/>
    <n v="0"/>
  </r>
  <r>
    <x v="0"/>
    <x v="0"/>
    <n v="0"/>
  </r>
  <r>
    <x v="1"/>
    <x v="1"/>
    <n v="0"/>
  </r>
  <r>
    <x v="0"/>
    <x v="0"/>
    <n v="0"/>
  </r>
  <r>
    <x v="0"/>
    <x v="0"/>
    <n v="0"/>
  </r>
  <r>
    <x v="1"/>
    <x v="1"/>
    <n v="0"/>
  </r>
  <r>
    <x v="1"/>
    <x v="1"/>
    <n v="0"/>
  </r>
  <r>
    <x v="0"/>
    <x v="0"/>
    <n v="0"/>
  </r>
  <r>
    <x v="0"/>
    <x v="0"/>
    <n v="0"/>
  </r>
  <r>
    <x v="0"/>
    <x v="0"/>
    <n v="0"/>
  </r>
  <r>
    <x v="0"/>
    <x v="0"/>
    <n v="0"/>
  </r>
  <r>
    <x v="0"/>
    <x v="0"/>
    <n v="0"/>
  </r>
  <r>
    <x v="0"/>
    <x v="0"/>
    <n v="0"/>
  </r>
  <r>
    <x v="1"/>
    <x v="1"/>
    <n v="0"/>
  </r>
  <r>
    <x v="0"/>
    <x v="0"/>
    <n v="0"/>
  </r>
  <r>
    <x v="0"/>
    <x v="0"/>
    <n v="0"/>
  </r>
  <r>
    <x v="0"/>
    <x v="0"/>
    <n v="0"/>
  </r>
  <r>
    <x v="1"/>
    <x v="1"/>
    <n v="0"/>
  </r>
  <r>
    <x v="1"/>
    <x v="1"/>
    <n v="0"/>
  </r>
  <r>
    <x v="0"/>
    <x v="0"/>
    <n v="0"/>
  </r>
  <r>
    <x v="0"/>
    <x v="0"/>
    <n v="0"/>
  </r>
  <r>
    <x v="1"/>
    <x v="1"/>
    <n v="0"/>
  </r>
  <r>
    <x v="1"/>
    <x v="1"/>
    <n v="0"/>
  </r>
  <r>
    <x v="1"/>
    <x v="1"/>
    <n v="0"/>
  </r>
  <r>
    <x v="0"/>
    <x v="0"/>
    <n v="0"/>
  </r>
  <r>
    <x v="0"/>
    <x v="0"/>
    <n v="0"/>
  </r>
  <r>
    <x v="0"/>
    <x v="0"/>
    <n v="0"/>
  </r>
  <r>
    <x v="1"/>
    <x v="1"/>
    <n v="0"/>
  </r>
  <r>
    <x v="0"/>
    <x v="0"/>
    <n v="0"/>
  </r>
  <r>
    <x v="0"/>
    <x v="0"/>
    <n v="0"/>
  </r>
  <r>
    <x v="1"/>
    <x v="1"/>
    <n v="0"/>
  </r>
  <r>
    <x v="1"/>
    <x v="1"/>
    <n v="0"/>
  </r>
  <r>
    <x v="1"/>
    <x v="1"/>
    <n v="0"/>
  </r>
  <r>
    <x v="0"/>
    <x v="0"/>
    <n v="0"/>
  </r>
  <r>
    <x v="0"/>
    <x v="0"/>
    <n v="0"/>
  </r>
  <r>
    <x v="1"/>
    <x v="1"/>
    <n v="0"/>
  </r>
  <r>
    <x v="1"/>
    <x v="1"/>
    <n v="0"/>
  </r>
  <r>
    <x v="1"/>
    <x v="1"/>
    <n v="0"/>
  </r>
  <r>
    <x v="1"/>
    <x v="1"/>
    <n v="0"/>
  </r>
  <r>
    <x v="0"/>
    <x v="0"/>
    <n v="0"/>
  </r>
  <r>
    <x v="1"/>
    <x v="1"/>
    <n v="0"/>
  </r>
  <r>
    <x v="1"/>
    <x v="1"/>
    <n v="0"/>
  </r>
  <r>
    <x v="1"/>
    <x v="1"/>
    <n v="0"/>
  </r>
  <r>
    <x v="1"/>
    <x v="1"/>
    <n v="0"/>
  </r>
  <r>
    <x v="1"/>
    <x v="1"/>
    <n v="0"/>
  </r>
  <r>
    <x v="0"/>
    <x v="0"/>
    <n v="0"/>
  </r>
  <r>
    <x v="1"/>
    <x v="1"/>
    <n v="0"/>
  </r>
  <r>
    <x v="0"/>
    <x v="0"/>
    <n v="0"/>
  </r>
  <r>
    <x v="1"/>
    <x v="1"/>
    <n v="0"/>
  </r>
  <r>
    <x v="1"/>
    <x v="1"/>
    <n v="0"/>
  </r>
  <r>
    <x v="1"/>
    <x v="1"/>
    <n v="0"/>
  </r>
  <r>
    <x v="1"/>
    <x v="1"/>
    <n v="0"/>
  </r>
  <r>
    <x v="1"/>
    <x v="1"/>
    <n v="0"/>
  </r>
  <r>
    <x v="1"/>
    <x v="1"/>
    <n v="0"/>
  </r>
  <r>
    <x v="0"/>
    <x v="0"/>
    <n v="0"/>
  </r>
  <r>
    <x v="0"/>
    <x v="0"/>
    <n v="0"/>
  </r>
  <r>
    <x v="1"/>
    <x v="1"/>
    <n v="1"/>
  </r>
  <r>
    <x v="1"/>
    <x v="1"/>
    <n v="0"/>
  </r>
  <r>
    <x v="1"/>
    <x v="1"/>
    <n v="0"/>
  </r>
  <r>
    <x v="1"/>
    <x v="1"/>
    <n v="0"/>
  </r>
  <r>
    <x v="1"/>
    <x v="1"/>
    <n v="0"/>
  </r>
  <r>
    <x v="0"/>
    <x v="0"/>
    <n v="0"/>
  </r>
  <r>
    <x v="0"/>
    <x v="0"/>
    <n v="0"/>
  </r>
  <r>
    <x v="1"/>
    <x v="1"/>
    <n v="0"/>
  </r>
  <r>
    <x v="0"/>
    <x v="0"/>
    <n v="0"/>
  </r>
  <r>
    <x v="1"/>
    <x v="1"/>
    <n v="0"/>
  </r>
  <r>
    <x v="0"/>
    <x v="0"/>
    <n v="0"/>
  </r>
  <r>
    <x v="1"/>
    <x v="1"/>
    <n v="0"/>
  </r>
  <r>
    <x v="0"/>
    <x v="0"/>
    <n v="0"/>
  </r>
  <r>
    <x v="1"/>
    <x v="1"/>
    <n v="0"/>
  </r>
  <r>
    <x v="1"/>
    <x v="1"/>
    <n v="0"/>
  </r>
  <r>
    <x v="0"/>
    <x v="0"/>
    <n v="0"/>
  </r>
  <r>
    <x v="0"/>
    <x v="0"/>
    <n v="0"/>
  </r>
  <r>
    <x v="1"/>
    <x v="1"/>
    <n v="0"/>
  </r>
  <r>
    <x v="1"/>
    <x v="1"/>
    <n v="0"/>
  </r>
  <r>
    <x v="0"/>
    <x v="0"/>
    <n v="0"/>
  </r>
  <r>
    <x v="1"/>
    <x v="1"/>
    <n v="0"/>
  </r>
  <r>
    <x v="1"/>
    <x v="1"/>
    <n v="0"/>
  </r>
  <r>
    <x v="1"/>
    <x v="1"/>
    <n v="0"/>
  </r>
  <r>
    <x v="1"/>
    <x v="1"/>
    <n v="0"/>
  </r>
  <r>
    <x v="0"/>
    <x v="0"/>
    <n v="1"/>
  </r>
  <r>
    <x v="1"/>
    <x v="1"/>
    <n v="0"/>
  </r>
  <r>
    <x v="0"/>
    <x v="0"/>
    <n v="0"/>
  </r>
  <r>
    <x v="0"/>
    <x v="0"/>
    <n v="0"/>
  </r>
  <r>
    <x v="0"/>
    <x v="0"/>
    <n v="0"/>
  </r>
  <r>
    <x v="0"/>
    <x v="0"/>
    <n v="0"/>
  </r>
  <r>
    <x v="1"/>
    <x v="1"/>
    <n v="0"/>
  </r>
  <r>
    <x v="1"/>
    <x v="1"/>
    <n v="0"/>
  </r>
  <r>
    <x v="0"/>
    <x v="0"/>
    <n v="0"/>
  </r>
  <r>
    <x v="0"/>
    <x v="0"/>
    <n v="0"/>
  </r>
  <r>
    <x v="0"/>
    <x v="0"/>
    <n v="0"/>
  </r>
  <r>
    <x v="0"/>
    <x v="0"/>
    <n v="0"/>
  </r>
  <r>
    <x v="0"/>
    <x v="0"/>
    <n v="0"/>
  </r>
  <r>
    <x v="0"/>
    <x v="0"/>
    <n v="0"/>
  </r>
  <r>
    <x v="1"/>
    <x v="1"/>
    <n v="0"/>
  </r>
  <r>
    <x v="0"/>
    <x v="0"/>
    <n v="0"/>
  </r>
  <r>
    <x v="1"/>
    <x v="1"/>
    <n v="0"/>
  </r>
  <r>
    <x v="0"/>
    <x v="0"/>
    <n v="0"/>
  </r>
  <r>
    <x v="1"/>
    <x v="1"/>
    <n v="0"/>
  </r>
  <r>
    <x v="1"/>
    <x v="1"/>
    <n v="0"/>
  </r>
  <r>
    <x v="1"/>
    <x v="1"/>
    <n v="0"/>
  </r>
  <r>
    <x v="1"/>
    <x v="1"/>
    <n v="0"/>
  </r>
  <r>
    <x v="1"/>
    <x v="1"/>
    <n v="0"/>
  </r>
  <r>
    <x v="1"/>
    <x v="1"/>
    <n v="0"/>
  </r>
  <r>
    <x v="1"/>
    <x v="1"/>
    <n v="0"/>
  </r>
  <r>
    <x v="0"/>
    <x v="0"/>
    <n v="0"/>
  </r>
  <r>
    <x v="1"/>
    <x v="1"/>
    <n v="0"/>
  </r>
  <r>
    <x v="0"/>
    <x v="0"/>
    <n v="0"/>
  </r>
  <r>
    <x v="0"/>
    <x v="0"/>
    <n v="0"/>
  </r>
  <r>
    <x v="1"/>
    <x v="1"/>
    <n v="0"/>
  </r>
  <r>
    <x v="1"/>
    <x v="1"/>
    <n v="0"/>
  </r>
  <r>
    <x v="0"/>
    <x v="0"/>
    <n v="0"/>
  </r>
  <r>
    <x v="1"/>
    <x v="1"/>
    <n v="0"/>
  </r>
  <r>
    <x v="1"/>
    <x v="1"/>
    <n v="0"/>
  </r>
  <r>
    <x v="1"/>
    <x v="1"/>
    <n v="0"/>
  </r>
  <r>
    <x v="0"/>
    <x v="0"/>
    <n v="0"/>
  </r>
  <r>
    <x v="1"/>
    <x v="1"/>
    <n v="0"/>
  </r>
  <r>
    <x v="0"/>
    <x v="0"/>
    <n v="0"/>
  </r>
  <r>
    <x v="1"/>
    <x v="1"/>
    <n v="0"/>
  </r>
  <r>
    <x v="1"/>
    <x v="1"/>
    <n v="0"/>
  </r>
  <r>
    <x v="1"/>
    <x v="1"/>
    <n v="0"/>
  </r>
  <r>
    <x v="0"/>
    <x v="0"/>
    <n v="0"/>
  </r>
  <r>
    <x v="0"/>
    <x v="0"/>
    <n v="0"/>
  </r>
  <r>
    <x v="0"/>
    <x v="0"/>
    <n v="0"/>
  </r>
  <r>
    <x v="0"/>
    <x v="0"/>
    <n v="0"/>
  </r>
  <r>
    <x v="0"/>
    <x v="0"/>
    <n v="0"/>
  </r>
  <r>
    <x v="1"/>
    <x v="1"/>
    <n v="0"/>
  </r>
  <r>
    <x v="0"/>
    <x v="0"/>
    <n v="0"/>
  </r>
  <r>
    <x v="1"/>
    <x v="1"/>
    <n v="0"/>
  </r>
  <r>
    <x v="0"/>
    <x v="0"/>
    <n v="0"/>
  </r>
  <r>
    <x v="1"/>
    <x v="1"/>
    <n v="0"/>
  </r>
  <r>
    <x v="1"/>
    <x v="1"/>
    <n v="1"/>
  </r>
  <r>
    <x v="1"/>
    <x v="1"/>
    <n v="0"/>
  </r>
  <r>
    <x v="0"/>
    <x v="0"/>
    <n v="0"/>
  </r>
  <r>
    <x v="0"/>
    <x v="0"/>
    <n v="0"/>
  </r>
  <r>
    <x v="0"/>
    <x v="0"/>
    <n v="0"/>
  </r>
  <r>
    <x v="1"/>
    <x v="1"/>
    <n v="0"/>
  </r>
  <r>
    <x v="1"/>
    <x v="1"/>
    <n v="0"/>
  </r>
  <r>
    <x v="0"/>
    <x v="0"/>
    <n v="0"/>
  </r>
  <r>
    <x v="0"/>
    <x v="0"/>
    <n v="0"/>
  </r>
  <r>
    <x v="0"/>
    <x v="0"/>
    <n v="0"/>
  </r>
  <r>
    <x v="0"/>
    <x v="0"/>
    <n v="0"/>
  </r>
  <r>
    <x v="0"/>
    <x v="0"/>
    <n v="0"/>
  </r>
  <r>
    <x v="0"/>
    <x v="0"/>
    <n v="0"/>
  </r>
  <r>
    <x v="1"/>
    <x v="1"/>
    <n v="0"/>
  </r>
  <r>
    <x v="0"/>
    <x v="0"/>
    <n v="0"/>
  </r>
  <r>
    <x v="1"/>
    <x v="1"/>
    <n v="0"/>
  </r>
  <r>
    <x v="0"/>
    <x v="0"/>
    <n v="0"/>
  </r>
  <r>
    <x v="0"/>
    <x v="0"/>
    <n v="0"/>
  </r>
  <r>
    <x v="0"/>
    <x v="0"/>
    <n v="0"/>
  </r>
  <r>
    <x v="1"/>
    <x v="1"/>
    <n v="0"/>
  </r>
  <r>
    <x v="0"/>
    <x v="0"/>
    <n v="0"/>
  </r>
  <r>
    <x v="1"/>
    <x v="1"/>
    <n v="0"/>
  </r>
  <r>
    <x v="1"/>
    <x v="1"/>
    <n v="0"/>
  </r>
  <r>
    <x v="1"/>
    <x v="1"/>
    <n v="0"/>
  </r>
  <r>
    <x v="0"/>
    <x v="0"/>
    <n v="0"/>
  </r>
  <r>
    <x v="1"/>
    <x v="1"/>
    <n v="0"/>
  </r>
  <r>
    <x v="0"/>
    <x v="0"/>
    <n v="0"/>
  </r>
  <r>
    <x v="0"/>
    <x v="0"/>
    <n v="0"/>
  </r>
  <r>
    <x v="1"/>
    <x v="1"/>
    <n v="0"/>
  </r>
  <r>
    <x v="0"/>
    <x v="0"/>
    <n v="0"/>
  </r>
  <r>
    <x v="0"/>
    <x v="0"/>
    <n v="0"/>
  </r>
  <r>
    <x v="0"/>
    <x v="0"/>
    <n v="0"/>
  </r>
  <r>
    <x v="1"/>
    <x v="1"/>
    <n v="0"/>
  </r>
  <r>
    <x v="0"/>
    <x v="0"/>
    <n v="0"/>
  </r>
  <r>
    <x v="1"/>
    <x v="1"/>
    <n v="0"/>
  </r>
  <r>
    <x v="0"/>
    <x v="0"/>
    <n v="0"/>
  </r>
  <r>
    <x v="1"/>
    <x v="1"/>
    <n v="1"/>
  </r>
  <r>
    <x v="0"/>
    <x v="0"/>
    <n v="1"/>
  </r>
  <r>
    <x v="0"/>
    <x v="0"/>
    <n v="0"/>
  </r>
  <r>
    <x v="1"/>
    <x v="1"/>
    <n v="0"/>
  </r>
  <r>
    <x v="1"/>
    <x v="1"/>
    <n v="0"/>
  </r>
  <r>
    <x v="1"/>
    <x v="1"/>
    <n v="0"/>
  </r>
  <r>
    <x v="0"/>
    <x v="0"/>
    <n v="0"/>
  </r>
  <r>
    <x v="1"/>
    <x v="1"/>
    <n v="0"/>
  </r>
  <r>
    <x v="1"/>
    <x v="1"/>
    <n v="0"/>
  </r>
  <r>
    <x v="0"/>
    <x v="0"/>
    <n v="0"/>
  </r>
  <r>
    <x v="1"/>
    <x v="1"/>
    <n v="0"/>
  </r>
  <r>
    <x v="1"/>
    <x v="1"/>
    <n v="0"/>
  </r>
  <r>
    <x v="1"/>
    <x v="1"/>
    <n v="0"/>
  </r>
  <r>
    <x v="1"/>
    <x v="1"/>
    <n v="0"/>
  </r>
  <r>
    <x v="0"/>
    <x v="0"/>
    <n v="0"/>
  </r>
  <r>
    <x v="0"/>
    <x v="0"/>
    <n v="0"/>
  </r>
  <r>
    <x v="1"/>
    <x v="1"/>
    <n v="0"/>
  </r>
  <r>
    <x v="1"/>
    <x v="1"/>
    <n v="0"/>
  </r>
  <r>
    <x v="1"/>
    <x v="1"/>
    <n v="0"/>
  </r>
  <r>
    <x v="1"/>
    <x v="1"/>
    <n v="0"/>
  </r>
  <r>
    <x v="0"/>
    <x v="0"/>
    <n v="0"/>
  </r>
  <r>
    <x v="1"/>
    <x v="1"/>
    <n v="0"/>
  </r>
  <r>
    <x v="1"/>
    <x v="1"/>
    <n v="0"/>
  </r>
  <r>
    <x v="1"/>
    <x v="1"/>
    <n v="0"/>
  </r>
  <r>
    <x v="0"/>
    <x v="0"/>
    <n v="0"/>
  </r>
  <r>
    <x v="1"/>
    <x v="1"/>
    <n v="0"/>
  </r>
  <r>
    <x v="1"/>
    <x v="1"/>
    <n v="0"/>
  </r>
  <r>
    <x v="1"/>
    <x v="1"/>
    <n v="0"/>
  </r>
  <r>
    <x v="1"/>
    <x v="1"/>
    <n v="0"/>
  </r>
  <r>
    <x v="1"/>
    <x v="1"/>
    <n v="0"/>
  </r>
  <r>
    <x v="1"/>
    <x v="1"/>
    <n v="0"/>
  </r>
  <r>
    <x v="0"/>
    <x v="0"/>
    <n v="0"/>
  </r>
  <r>
    <x v="0"/>
    <x v="0"/>
    <n v="0"/>
  </r>
  <r>
    <x v="1"/>
    <x v="1"/>
    <n v="0"/>
  </r>
  <r>
    <x v="1"/>
    <x v="1"/>
    <n v="0"/>
  </r>
  <r>
    <x v="0"/>
    <x v="0"/>
    <n v="0"/>
  </r>
  <r>
    <x v="1"/>
    <x v="1"/>
    <n v="0"/>
  </r>
  <r>
    <x v="0"/>
    <x v="0"/>
    <n v="1"/>
  </r>
  <r>
    <x v="1"/>
    <x v="1"/>
    <n v="0"/>
  </r>
  <r>
    <x v="0"/>
    <x v="0"/>
    <n v="0"/>
  </r>
  <r>
    <x v="1"/>
    <x v="1"/>
    <n v="1"/>
  </r>
  <r>
    <x v="1"/>
    <x v="1"/>
    <n v="0"/>
  </r>
  <r>
    <x v="1"/>
    <x v="1"/>
    <n v="0"/>
  </r>
  <r>
    <x v="0"/>
    <x v="0"/>
    <n v="0"/>
  </r>
  <r>
    <x v="0"/>
    <x v="0"/>
    <n v="0"/>
  </r>
  <r>
    <x v="1"/>
    <x v="1"/>
    <n v="0"/>
  </r>
  <r>
    <x v="0"/>
    <x v="0"/>
    <n v="0"/>
  </r>
  <r>
    <x v="1"/>
    <x v="1"/>
    <n v="0"/>
  </r>
  <r>
    <x v="0"/>
    <x v="0"/>
    <n v="0"/>
  </r>
  <r>
    <x v="0"/>
    <x v="0"/>
    <n v="0"/>
  </r>
  <r>
    <x v="1"/>
    <x v="1"/>
    <n v="0"/>
  </r>
  <r>
    <x v="1"/>
    <x v="1"/>
    <n v="0"/>
  </r>
  <r>
    <x v="1"/>
    <x v="1"/>
    <n v="0"/>
  </r>
  <r>
    <x v="1"/>
    <x v="1"/>
    <n v="0"/>
  </r>
  <r>
    <x v="0"/>
    <x v="0"/>
    <n v="0"/>
  </r>
  <r>
    <x v="0"/>
    <x v="0"/>
    <n v="0"/>
  </r>
  <r>
    <x v="1"/>
    <x v="1"/>
    <n v="0"/>
  </r>
  <r>
    <x v="0"/>
    <x v="0"/>
    <n v="0"/>
  </r>
  <r>
    <x v="0"/>
    <x v="0"/>
    <n v="0"/>
  </r>
  <r>
    <x v="0"/>
    <x v="0"/>
    <n v="0"/>
  </r>
  <r>
    <x v="1"/>
    <x v="1"/>
    <n v="0"/>
  </r>
  <r>
    <x v="1"/>
    <x v="1"/>
    <n v="0"/>
  </r>
  <r>
    <x v="1"/>
    <x v="1"/>
    <n v="1"/>
  </r>
  <r>
    <x v="0"/>
    <x v="0"/>
    <n v="0"/>
  </r>
  <r>
    <x v="0"/>
    <x v="0"/>
    <n v="0"/>
  </r>
  <r>
    <x v="1"/>
    <x v="1"/>
    <n v="0"/>
  </r>
  <r>
    <x v="0"/>
    <x v="0"/>
    <n v="0"/>
  </r>
  <r>
    <x v="0"/>
    <x v="0"/>
    <n v="0"/>
  </r>
  <r>
    <x v="1"/>
    <x v="1"/>
    <n v="1"/>
  </r>
  <r>
    <x v="1"/>
    <x v="1"/>
    <n v="0"/>
  </r>
  <r>
    <x v="0"/>
    <x v="0"/>
    <n v="0"/>
  </r>
  <r>
    <x v="0"/>
    <x v="0"/>
    <n v="0"/>
  </r>
  <r>
    <x v="0"/>
    <x v="0"/>
    <n v="0"/>
  </r>
  <r>
    <x v="1"/>
    <x v="1"/>
    <n v="0"/>
  </r>
  <r>
    <x v="1"/>
    <x v="1"/>
    <n v="0"/>
  </r>
  <r>
    <x v="1"/>
    <x v="1"/>
    <n v="0"/>
  </r>
  <r>
    <x v="0"/>
    <x v="0"/>
    <n v="0"/>
  </r>
  <r>
    <x v="1"/>
    <x v="1"/>
    <n v="0"/>
  </r>
  <r>
    <x v="1"/>
    <x v="1"/>
    <n v="0"/>
  </r>
  <r>
    <x v="1"/>
    <x v="1"/>
    <n v="0"/>
  </r>
  <r>
    <x v="1"/>
    <x v="1"/>
    <n v="0"/>
  </r>
  <r>
    <x v="1"/>
    <x v="1"/>
    <n v="0"/>
  </r>
  <r>
    <x v="1"/>
    <x v="1"/>
    <n v="0"/>
  </r>
  <r>
    <x v="1"/>
    <x v="1"/>
    <n v="0"/>
  </r>
  <r>
    <x v="1"/>
    <x v="1"/>
    <n v="0"/>
  </r>
  <r>
    <x v="0"/>
    <x v="0"/>
    <n v="0"/>
  </r>
  <r>
    <x v="1"/>
    <x v="1"/>
    <n v="0"/>
  </r>
  <r>
    <x v="1"/>
    <x v="1"/>
    <n v="0"/>
  </r>
  <r>
    <x v="1"/>
    <x v="1"/>
    <n v="0"/>
  </r>
  <r>
    <x v="1"/>
    <x v="1"/>
    <n v="0"/>
  </r>
  <r>
    <x v="1"/>
    <x v="1"/>
    <n v="0"/>
  </r>
  <r>
    <x v="1"/>
    <x v="1"/>
    <n v="0"/>
  </r>
  <r>
    <x v="1"/>
    <x v="1"/>
    <n v="0"/>
  </r>
  <r>
    <x v="1"/>
    <x v="1"/>
    <n v="0"/>
  </r>
  <r>
    <x v="1"/>
    <x v="1"/>
    <n v="0"/>
  </r>
  <r>
    <x v="1"/>
    <x v="1"/>
    <n v="1"/>
  </r>
  <r>
    <x v="1"/>
    <x v="1"/>
    <n v="0"/>
  </r>
  <r>
    <x v="1"/>
    <x v="1"/>
    <n v="0"/>
  </r>
  <r>
    <x v="0"/>
    <x v="0"/>
    <n v="0"/>
  </r>
  <r>
    <x v="0"/>
    <x v="0"/>
    <n v="0"/>
  </r>
  <r>
    <x v="0"/>
    <x v="0"/>
    <n v="0"/>
  </r>
  <r>
    <x v="1"/>
    <x v="1"/>
    <n v="0"/>
  </r>
  <r>
    <x v="1"/>
    <x v="1"/>
    <n v="0"/>
  </r>
  <r>
    <x v="0"/>
    <x v="0"/>
    <n v="0"/>
  </r>
  <r>
    <x v="1"/>
    <x v="1"/>
    <n v="0"/>
  </r>
  <r>
    <x v="0"/>
    <x v="0"/>
    <n v="0"/>
  </r>
  <r>
    <x v="1"/>
    <x v="1"/>
    <n v="0"/>
  </r>
  <r>
    <x v="0"/>
    <x v="0"/>
    <n v="0"/>
  </r>
  <r>
    <x v="0"/>
    <x v="0"/>
    <n v="0"/>
  </r>
  <r>
    <x v="1"/>
    <x v="1"/>
    <n v="0"/>
  </r>
  <r>
    <x v="0"/>
    <x v="0"/>
    <n v="0"/>
  </r>
  <r>
    <x v="0"/>
    <x v="0"/>
    <n v="0"/>
  </r>
  <r>
    <x v="0"/>
    <x v="0"/>
    <n v="0"/>
  </r>
  <r>
    <x v="0"/>
    <x v="0"/>
    <n v="0"/>
  </r>
  <r>
    <x v="0"/>
    <x v="0"/>
    <n v="0"/>
  </r>
  <r>
    <x v="0"/>
    <x v="0"/>
    <n v="0"/>
  </r>
  <r>
    <x v="1"/>
    <x v="1"/>
    <n v="0"/>
  </r>
  <r>
    <x v="1"/>
    <x v="1"/>
    <n v="0"/>
  </r>
  <r>
    <x v="1"/>
    <x v="1"/>
    <n v="0"/>
  </r>
  <r>
    <x v="0"/>
    <x v="0"/>
    <n v="0"/>
  </r>
  <r>
    <x v="1"/>
    <x v="1"/>
    <n v="0"/>
  </r>
  <r>
    <x v="0"/>
    <x v="0"/>
    <n v="0"/>
  </r>
  <r>
    <x v="0"/>
    <x v="0"/>
    <n v="0"/>
  </r>
  <r>
    <x v="1"/>
    <x v="1"/>
    <n v="0"/>
  </r>
  <r>
    <x v="0"/>
    <x v="0"/>
    <n v="0"/>
  </r>
  <r>
    <x v="1"/>
    <x v="1"/>
    <n v="0"/>
  </r>
  <r>
    <x v="1"/>
    <x v="1"/>
    <n v="0"/>
  </r>
  <r>
    <x v="0"/>
    <x v="0"/>
    <n v="0"/>
  </r>
  <r>
    <x v="1"/>
    <x v="1"/>
    <n v="0"/>
  </r>
  <r>
    <x v="1"/>
    <x v="1"/>
    <n v="0"/>
  </r>
  <r>
    <x v="0"/>
    <x v="0"/>
    <n v="0"/>
  </r>
  <r>
    <x v="1"/>
    <x v="1"/>
    <n v="0"/>
  </r>
  <r>
    <x v="0"/>
    <x v="0"/>
    <n v="0"/>
  </r>
  <r>
    <x v="1"/>
    <x v="1"/>
    <n v="0"/>
  </r>
  <r>
    <x v="0"/>
    <x v="0"/>
    <n v="0"/>
  </r>
  <r>
    <x v="0"/>
    <x v="0"/>
    <n v="0"/>
  </r>
  <r>
    <x v="1"/>
    <x v="1"/>
    <n v="0"/>
  </r>
  <r>
    <x v="1"/>
    <x v="1"/>
    <n v="0"/>
  </r>
  <r>
    <x v="0"/>
    <x v="0"/>
    <n v="0"/>
  </r>
  <r>
    <x v="1"/>
    <x v="1"/>
    <n v="0"/>
  </r>
  <r>
    <x v="0"/>
    <x v="0"/>
    <n v="0"/>
  </r>
  <r>
    <x v="1"/>
    <x v="1"/>
    <n v="0"/>
  </r>
  <r>
    <x v="0"/>
    <x v="0"/>
    <n v="0"/>
  </r>
  <r>
    <x v="0"/>
    <x v="0"/>
    <n v="0"/>
  </r>
  <r>
    <x v="0"/>
    <x v="0"/>
    <n v="0"/>
  </r>
  <r>
    <x v="0"/>
    <x v="0"/>
    <n v="0"/>
  </r>
  <r>
    <x v="1"/>
    <x v="1"/>
    <n v="0"/>
  </r>
  <r>
    <x v="1"/>
    <x v="1"/>
    <n v="0"/>
  </r>
  <r>
    <x v="0"/>
    <x v="0"/>
    <n v="0"/>
  </r>
  <r>
    <x v="0"/>
    <x v="0"/>
    <n v="0"/>
  </r>
  <r>
    <x v="1"/>
    <x v="1"/>
    <n v="0"/>
  </r>
  <r>
    <x v="0"/>
    <x v="0"/>
    <n v="0"/>
  </r>
  <r>
    <x v="1"/>
    <x v="1"/>
    <n v="0"/>
  </r>
  <r>
    <x v="0"/>
    <x v="0"/>
    <n v="0"/>
  </r>
  <r>
    <x v="0"/>
    <x v="0"/>
    <n v="0"/>
  </r>
  <r>
    <x v="1"/>
    <x v="1"/>
    <n v="1"/>
  </r>
  <r>
    <x v="1"/>
    <x v="1"/>
    <n v="0"/>
  </r>
  <r>
    <x v="1"/>
    <x v="1"/>
    <n v="0"/>
  </r>
  <r>
    <x v="1"/>
    <x v="1"/>
    <n v="0"/>
  </r>
  <r>
    <x v="0"/>
    <x v="0"/>
    <n v="0"/>
  </r>
  <r>
    <x v="0"/>
    <x v="0"/>
    <n v="0"/>
  </r>
  <r>
    <x v="1"/>
    <x v="1"/>
    <n v="0"/>
  </r>
  <r>
    <x v="0"/>
    <x v="0"/>
    <n v="0"/>
  </r>
  <r>
    <x v="1"/>
    <x v="1"/>
    <n v="0"/>
  </r>
  <r>
    <x v="1"/>
    <x v="1"/>
    <n v="0"/>
  </r>
  <r>
    <x v="1"/>
    <x v="1"/>
    <n v="0"/>
  </r>
  <r>
    <x v="1"/>
    <x v="1"/>
    <n v="0"/>
  </r>
  <r>
    <x v="0"/>
    <x v="0"/>
    <n v="0"/>
  </r>
  <r>
    <x v="1"/>
    <x v="1"/>
    <n v="0"/>
  </r>
  <r>
    <x v="0"/>
    <x v="0"/>
    <n v="0"/>
  </r>
  <r>
    <x v="1"/>
    <x v="1"/>
    <n v="0"/>
  </r>
  <r>
    <x v="1"/>
    <x v="1"/>
    <n v="0"/>
  </r>
  <r>
    <x v="1"/>
    <x v="1"/>
    <n v="0"/>
  </r>
  <r>
    <x v="0"/>
    <x v="0"/>
    <n v="0"/>
  </r>
  <r>
    <x v="0"/>
    <x v="0"/>
    <n v="0"/>
  </r>
  <r>
    <x v="0"/>
    <x v="0"/>
    <n v="0"/>
  </r>
  <r>
    <x v="1"/>
    <x v="1"/>
    <n v="0"/>
  </r>
  <r>
    <x v="0"/>
    <x v="0"/>
    <n v="0"/>
  </r>
  <r>
    <x v="1"/>
    <x v="1"/>
    <n v="0"/>
  </r>
  <r>
    <x v="0"/>
    <x v="0"/>
    <n v="0"/>
  </r>
  <r>
    <x v="0"/>
    <x v="0"/>
    <n v="0"/>
  </r>
  <r>
    <x v="1"/>
    <x v="1"/>
    <n v="0"/>
  </r>
  <r>
    <x v="1"/>
    <x v="1"/>
    <n v="0"/>
  </r>
  <r>
    <x v="0"/>
    <x v="0"/>
    <n v="1"/>
  </r>
  <r>
    <x v="0"/>
    <x v="0"/>
    <n v="1"/>
  </r>
  <r>
    <x v="1"/>
    <x v="1"/>
    <n v="1"/>
  </r>
  <r>
    <x v="0"/>
    <x v="0"/>
    <n v="0"/>
  </r>
  <r>
    <x v="1"/>
    <x v="1"/>
    <n v="0"/>
  </r>
  <r>
    <x v="0"/>
    <x v="0"/>
    <n v="0"/>
  </r>
  <r>
    <x v="1"/>
    <x v="1"/>
    <n v="0"/>
  </r>
  <r>
    <x v="0"/>
    <x v="0"/>
    <n v="0"/>
  </r>
  <r>
    <x v="1"/>
    <x v="1"/>
    <n v="0"/>
  </r>
  <r>
    <x v="0"/>
    <x v="0"/>
    <n v="0"/>
  </r>
  <r>
    <x v="1"/>
    <x v="1"/>
    <n v="0"/>
  </r>
  <r>
    <x v="0"/>
    <x v="0"/>
    <n v="0"/>
  </r>
  <r>
    <x v="0"/>
    <x v="0"/>
    <n v="0"/>
  </r>
  <r>
    <x v="0"/>
    <x v="0"/>
    <n v="0"/>
  </r>
  <r>
    <x v="1"/>
    <x v="1"/>
    <n v="0"/>
  </r>
  <r>
    <x v="1"/>
    <x v="1"/>
    <n v="0"/>
  </r>
  <r>
    <x v="0"/>
    <x v="0"/>
    <n v="0"/>
  </r>
  <r>
    <x v="1"/>
    <x v="1"/>
    <n v="0"/>
  </r>
  <r>
    <x v="0"/>
    <x v="0"/>
    <n v="0"/>
  </r>
  <r>
    <x v="0"/>
    <x v="0"/>
    <n v="0"/>
  </r>
  <r>
    <x v="0"/>
    <x v="0"/>
    <n v="0"/>
  </r>
  <r>
    <x v="0"/>
    <x v="0"/>
    <n v="0"/>
  </r>
  <r>
    <x v="1"/>
    <x v="1"/>
    <n v="1"/>
  </r>
  <r>
    <x v="1"/>
    <x v="1"/>
    <n v="0"/>
  </r>
  <r>
    <x v="1"/>
    <x v="1"/>
    <n v="0"/>
  </r>
  <r>
    <x v="0"/>
    <x v="0"/>
    <n v="0"/>
  </r>
  <r>
    <x v="0"/>
    <x v="0"/>
    <n v="0"/>
  </r>
  <r>
    <x v="0"/>
    <x v="0"/>
    <n v="0"/>
  </r>
  <r>
    <x v="1"/>
    <x v="1"/>
    <n v="0"/>
  </r>
  <r>
    <x v="1"/>
    <x v="1"/>
    <n v="0"/>
  </r>
  <r>
    <x v="0"/>
    <x v="0"/>
    <n v="0"/>
  </r>
  <r>
    <x v="1"/>
    <x v="1"/>
    <n v="0"/>
  </r>
  <r>
    <x v="0"/>
    <x v="0"/>
    <n v="0"/>
  </r>
  <r>
    <x v="1"/>
    <x v="1"/>
    <n v="0"/>
  </r>
  <r>
    <x v="0"/>
    <x v="0"/>
    <n v="0"/>
  </r>
  <r>
    <x v="1"/>
    <x v="1"/>
    <n v="0"/>
  </r>
  <r>
    <x v="1"/>
    <x v="1"/>
    <n v="0"/>
  </r>
  <r>
    <x v="0"/>
    <x v="0"/>
    <n v="0"/>
  </r>
  <r>
    <x v="1"/>
    <x v="1"/>
    <n v="0"/>
  </r>
  <r>
    <x v="1"/>
    <x v="1"/>
    <n v="0"/>
  </r>
  <r>
    <x v="1"/>
    <x v="1"/>
    <n v="0"/>
  </r>
  <r>
    <x v="0"/>
    <x v="0"/>
    <n v="0"/>
  </r>
  <r>
    <x v="0"/>
    <x v="0"/>
    <n v="0"/>
  </r>
  <r>
    <x v="0"/>
    <x v="0"/>
    <n v="0"/>
  </r>
  <r>
    <x v="0"/>
    <x v="0"/>
    <n v="0"/>
  </r>
  <r>
    <x v="0"/>
    <x v="0"/>
    <n v="0"/>
  </r>
  <r>
    <x v="1"/>
    <x v="1"/>
    <n v="0"/>
  </r>
  <r>
    <x v="1"/>
    <x v="1"/>
    <n v="0"/>
  </r>
  <r>
    <x v="0"/>
    <x v="0"/>
    <n v="0"/>
  </r>
  <r>
    <x v="0"/>
    <x v="0"/>
    <n v="0"/>
  </r>
  <r>
    <x v="0"/>
    <x v="0"/>
    <n v="0"/>
  </r>
  <r>
    <x v="1"/>
    <x v="1"/>
    <n v="0"/>
  </r>
  <r>
    <x v="0"/>
    <x v="0"/>
    <n v="0"/>
  </r>
  <r>
    <x v="1"/>
    <x v="1"/>
    <n v="0"/>
  </r>
  <r>
    <x v="1"/>
    <x v="1"/>
    <n v="0"/>
  </r>
  <r>
    <x v="0"/>
    <x v="0"/>
    <n v="0"/>
  </r>
  <r>
    <x v="1"/>
    <x v="1"/>
    <n v="0"/>
  </r>
  <r>
    <x v="1"/>
    <x v="1"/>
    <n v="0"/>
  </r>
  <r>
    <x v="0"/>
    <x v="0"/>
    <n v="0"/>
  </r>
  <r>
    <x v="0"/>
    <x v="0"/>
    <n v="0"/>
  </r>
  <r>
    <x v="0"/>
    <x v="0"/>
    <n v="0"/>
  </r>
  <r>
    <x v="1"/>
    <x v="1"/>
    <n v="0"/>
  </r>
  <r>
    <x v="0"/>
    <x v="0"/>
    <n v="1"/>
  </r>
  <r>
    <x v="0"/>
    <x v="0"/>
    <n v="0"/>
  </r>
  <r>
    <x v="0"/>
    <x v="0"/>
    <n v="0"/>
  </r>
  <r>
    <x v="1"/>
    <x v="1"/>
    <n v="0"/>
  </r>
  <r>
    <x v="0"/>
    <x v="0"/>
    <n v="0"/>
  </r>
  <r>
    <x v="0"/>
    <x v="0"/>
    <n v="0"/>
  </r>
  <r>
    <x v="1"/>
    <x v="1"/>
    <n v="0"/>
  </r>
  <r>
    <x v="0"/>
    <x v="0"/>
    <n v="0"/>
  </r>
  <r>
    <x v="0"/>
    <x v="0"/>
    <n v="0"/>
  </r>
  <r>
    <x v="0"/>
    <x v="0"/>
    <n v="0"/>
  </r>
  <r>
    <x v="1"/>
    <x v="1"/>
    <n v="0"/>
  </r>
  <r>
    <x v="0"/>
    <x v="0"/>
    <n v="0"/>
  </r>
  <r>
    <x v="0"/>
    <x v="0"/>
    <n v="0"/>
  </r>
  <r>
    <x v="0"/>
    <x v="0"/>
    <n v="0"/>
  </r>
  <r>
    <x v="1"/>
    <x v="1"/>
    <n v="0"/>
  </r>
  <r>
    <x v="1"/>
    <x v="1"/>
    <n v="0"/>
  </r>
  <r>
    <x v="0"/>
    <x v="0"/>
    <n v="0"/>
  </r>
  <r>
    <x v="1"/>
    <x v="1"/>
    <n v="0"/>
  </r>
  <r>
    <x v="1"/>
    <x v="1"/>
    <n v="0"/>
  </r>
  <r>
    <x v="1"/>
    <x v="1"/>
    <n v="0"/>
  </r>
  <r>
    <x v="1"/>
    <x v="1"/>
    <n v="0"/>
  </r>
  <r>
    <x v="1"/>
    <x v="1"/>
    <n v="0"/>
  </r>
  <r>
    <x v="0"/>
    <x v="0"/>
    <n v="0"/>
  </r>
  <r>
    <x v="0"/>
    <x v="0"/>
    <n v="0"/>
  </r>
  <r>
    <x v="1"/>
    <x v="1"/>
    <n v="1"/>
  </r>
  <r>
    <x v="1"/>
    <x v="1"/>
    <n v="0"/>
  </r>
  <r>
    <x v="0"/>
    <x v="0"/>
    <n v="0"/>
  </r>
  <r>
    <x v="1"/>
    <x v="1"/>
    <n v="0"/>
  </r>
  <r>
    <x v="0"/>
    <x v="0"/>
    <n v="0"/>
  </r>
  <r>
    <x v="0"/>
    <x v="0"/>
    <n v="0"/>
  </r>
  <r>
    <x v="1"/>
    <x v="1"/>
    <n v="0"/>
  </r>
  <r>
    <x v="1"/>
    <x v="1"/>
    <n v="0"/>
  </r>
  <r>
    <x v="0"/>
    <x v="0"/>
    <n v="0"/>
  </r>
  <r>
    <x v="1"/>
    <x v="1"/>
    <n v="0"/>
  </r>
  <r>
    <x v="0"/>
    <x v="0"/>
    <n v="0"/>
  </r>
  <r>
    <x v="1"/>
    <x v="1"/>
    <n v="0"/>
  </r>
  <r>
    <x v="1"/>
    <x v="1"/>
    <n v="0"/>
  </r>
  <r>
    <x v="1"/>
    <x v="1"/>
    <n v="0"/>
  </r>
  <r>
    <x v="0"/>
    <x v="0"/>
    <n v="0"/>
  </r>
  <r>
    <x v="0"/>
    <x v="0"/>
    <n v="0"/>
  </r>
  <r>
    <x v="0"/>
    <x v="0"/>
    <n v="0"/>
  </r>
  <r>
    <x v="0"/>
    <x v="0"/>
    <n v="0"/>
  </r>
  <r>
    <x v="0"/>
    <x v="0"/>
    <n v="0"/>
  </r>
  <r>
    <x v="1"/>
    <x v="1"/>
    <n v="0"/>
  </r>
  <r>
    <x v="1"/>
    <x v="1"/>
    <n v="0"/>
  </r>
  <r>
    <x v="1"/>
    <x v="1"/>
    <n v="0"/>
  </r>
  <r>
    <x v="0"/>
    <x v="0"/>
    <n v="0"/>
  </r>
  <r>
    <x v="1"/>
    <x v="1"/>
    <n v="0"/>
  </r>
  <r>
    <x v="0"/>
    <x v="0"/>
    <n v="0"/>
  </r>
  <r>
    <x v="0"/>
    <x v="0"/>
    <n v="0"/>
  </r>
  <r>
    <x v="1"/>
    <x v="1"/>
    <n v="0"/>
  </r>
  <r>
    <x v="1"/>
    <x v="1"/>
    <n v="0"/>
  </r>
  <r>
    <x v="1"/>
    <x v="1"/>
    <n v="0"/>
  </r>
  <r>
    <x v="1"/>
    <x v="1"/>
    <n v="0"/>
  </r>
  <r>
    <x v="1"/>
    <x v="1"/>
    <n v="0"/>
  </r>
  <r>
    <x v="0"/>
    <x v="0"/>
    <n v="0"/>
  </r>
  <r>
    <x v="0"/>
    <x v="0"/>
    <n v="0"/>
  </r>
  <r>
    <x v="1"/>
    <x v="1"/>
    <n v="0"/>
  </r>
  <r>
    <x v="1"/>
    <x v="1"/>
    <n v="1"/>
  </r>
  <r>
    <x v="1"/>
    <x v="1"/>
    <n v="0"/>
  </r>
  <r>
    <x v="0"/>
    <x v="0"/>
    <n v="0"/>
  </r>
  <r>
    <x v="1"/>
    <x v="1"/>
    <n v="0"/>
  </r>
  <r>
    <x v="0"/>
    <x v="0"/>
    <n v="0"/>
  </r>
  <r>
    <x v="1"/>
    <x v="1"/>
    <n v="0"/>
  </r>
  <r>
    <x v="1"/>
    <x v="1"/>
    <n v="0"/>
  </r>
  <r>
    <x v="1"/>
    <x v="1"/>
    <n v="0"/>
  </r>
  <r>
    <x v="0"/>
    <x v="0"/>
    <n v="0"/>
  </r>
  <r>
    <x v="1"/>
    <x v="1"/>
    <n v="0"/>
  </r>
  <r>
    <x v="1"/>
    <x v="1"/>
    <n v="0"/>
  </r>
  <r>
    <x v="0"/>
    <x v="0"/>
    <n v="1"/>
  </r>
  <r>
    <x v="0"/>
    <x v="0"/>
    <n v="1"/>
  </r>
  <r>
    <x v="1"/>
    <x v="1"/>
    <n v="0"/>
  </r>
  <r>
    <x v="0"/>
    <x v="0"/>
    <n v="0"/>
  </r>
  <r>
    <x v="0"/>
    <x v="0"/>
    <n v="0"/>
  </r>
  <r>
    <x v="1"/>
    <x v="1"/>
    <n v="0"/>
  </r>
  <r>
    <x v="1"/>
    <x v="1"/>
    <n v="0"/>
  </r>
  <r>
    <x v="0"/>
    <x v="0"/>
    <n v="0"/>
  </r>
  <r>
    <x v="1"/>
    <x v="1"/>
    <n v="0"/>
  </r>
  <r>
    <x v="1"/>
    <x v="1"/>
    <n v="0"/>
  </r>
  <r>
    <x v="0"/>
    <x v="0"/>
    <n v="0"/>
  </r>
  <r>
    <x v="0"/>
    <x v="0"/>
    <n v="0"/>
  </r>
  <r>
    <x v="1"/>
    <x v="1"/>
    <n v="0"/>
  </r>
  <r>
    <x v="0"/>
    <x v="0"/>
    <n v="0"/>
  </r>
  <r>
    <x v="0"/>
    <x v="0"/>
    <n v="0"/>
  </r>
  <r>
    <x v="1"/>
    <x v="1"/>
    <n v="0"/>
  </r>
  <r>
    <x v="0"/>
    <x v="0"/>
    <n v="0"/>
  </r>
  <r>
    <x v="1"/>
    <x v="1"/>
    <n v="0"/>
  </r>
  <r>
    <x v="1"/>
    <x v="1"/>
    <n v="0"/>
  </r>
  <r>
    <x v="0"/>
    <x v="0"/>
    <n v="0"/>
  </r>
  <r>
    <x v="0"/>
    <x v="0"/>
    <n v="0"/>
  </r>
  <r>
    <x v="1"/>
    <x v="1"/>
    <n v="0"/>
  </r>
  <r>
    <x v="1"/>
    <x v="1"/>
    <n v="0"/>
  </r>
  <r>
    <x v="0"/>
    <x v="0"/>
    <n v="0"/>
  </r>
  <r>
    <x v="0"/>
    <x v="0"/>
    <n v="0"/>
  </r>
  <r>
    <x v="1"/>
    <x v="1"/>
    <n v="0"/>
  </r>
  <r>
    <x v="1"/>
    <x v="1"/>
    <n v="0"/>
  </r>
  <r>
    <x v="0"/>
    <x v="0"/>
    <n v="0"/>
  </r>
  <r>
    <x v="0"/>
    <x v="0"/>
    <n v="0"/>
  </r>
  <r>
    <x v="0"/>
    <x v="0"/>
    <n v="0"/>
  </r>
  <r>
    <x v="1"/>
    <x v="1"/>
    <n v="0"/>
  </r>
  <r>
    <x v="1"/>
    <x v="1"/>
    <n v="0"/>
  </r>
  <r>
    <x v="1"/>
    <x v="1"/>
    <n v="0"/>
  </r>
  <r>
    <x v="0"/>
    <x v="0"/>
    <n v="0"/>
  </r>
  <r>
    <x v="0"/>
    <x v="0"/>
    <n v="0"/>
  </r>
  <r>
    <x v="1"/>
    <x v="1"/>
    <n v="0"/>
  </r>
  <r>
    <x v="0"/>
    <x v="0"/>
    <n v="0"/>
  </r>
  <r>
    <x v="0"/>
    <x v="0"/>
    <n v="0"/>
  </r>
  <r>
    <x v="1"/>
    <x v="1"/>
    <n v="0"/>
  </r>
  <r>
    <x v="0"/>
    <x v="0"/>
    <n v="0"/>
  </r>
  <r>
    <x v="0"/>
    <x v="0"/>
    <n v="0"/>
  </r>
  <r>
    <x v="0"/>
    <x v="0"/>
    <n v="0"/>
  </r>
  <r>
    <x v="1"/>
    <x v="1"/>
    <n v="0"/>
  </r>
  <r>
    <x v="0"/>
    <x v="0"/>
    <n v="0"/>
  </r>
  <r>
    <x v="0"/>
    <x v="0"/>
    <n v="0"/>
  </r>
  <r>
    <x v="1"/>
    <x v="1"/>
    <n v="0"/>
  </r>
  <r>
    <x v="0"/>
    <x v="0"/>
    <n v="1"/>
  </r>
  <r>
    <x v="0"/>
    <x v="0"/>
    <n v="0"/>
  </r>
  <r>
    <x v="0"/>
    <x v="0"/>
    <n v="0"/>
  </r>
  <r>
    <x v="0"/>
    <x v="0"/>
    <n v="0"/>
  </r>
  <r>
    <x v="0"/>
    <x v="0"/>
    <n v="0"/>
  </r>
  <r>
    <x v="1"/>
    <x v="1"/>
    <n v="0"/>
  </r>
  <r>
    <x v="0"/>
    <x v="0"/>
    <n v="0"/>
  </r>
  <r>
    <x v="0"/>
    <x v="0"/>
    <n v="0"/>
  </r>
  <r>
    <x v="0"/>
    <x v="0"/>
    <n v="0"/>
  </r>
  <r>
    <x v="0"/>
    <x v="0"/>
    <n v="0"/>
  </r>
  <r>
    <x v="1"/>
    <x v="1"/>
    <n v="0"/>
  </r>
  <r>
    <x v="1"/>
    <x v="1"/>
    <n v="0"/>
  </r>
  <r>
    <x v="0"/>
    <x v="0"/>
    <n v="0"/>
  </r>
  <r>
    <x v="1"/>
    <x v="1"/>
    <n v="0"/>
  </r>
  <r>
    <x v="1"/>
    <x v="1"/>
    <n v="0"/>
  </r>
  <r>
    <x v="0"/>
    <x v="0"/>
    <n v="0"/>
  </r>
  <r>
    <x v="0"/>
    <x v="0"/>
    <n v="0"/>
  </r>
  <r>
    <x v="0"/>
    <x v="0"/>
    <n v="0"/>
  </r>
  <r>
    <x v="0"/>
    <x v="0"/>
    <n v="0"/>
  </r>
  <r>
    <x v="0"/>
    <x v="0"/>
    <n v="0"/>
  </r>
  <r>
    <x v="0"/>
    <x v="0"/>
    <n v="0"/>
  </r>
  <r>
    <x v="0"/>
    <x v="0"/>
    <n v="0"/>
  </r>
  <r>
    <x v="1"/>
    <x v="1"/>
    <n v="0"/>
  </r>
  <r>
    <x v="0"/>
    <x v="0"/>
    <n v="0"/>
  </r>
  <r>
    <x v="1"/>
    <x v="1"/>
    <n v="0"/>
  </r>
  <r>
    <x v="0"/>
    <x v="0"/>
    <n v="0"/>
  </r>
  <r>
    <x v="0"/>
    <x v="0"/>
    <n v="0"/>
  </r>
  <r>
    <x v="0"/>
    <x v="0"/>
    <n v="0"/>
  </r>
  <r>
    <x v="1"/>
    <x v="1"/>
    <n v="0"/>
  </r>
  <r>
    <x v="1"/>
    <x v="1"/>
    <n v="0"/>
  </r>
  <r>
    <x v="1"/>
    <x v="1"/>
    <n v="0"/>
  </r>
  <r>
    <x v="0"/>
    <x v="0"/>
    <n v="0"/>
  </r>
  <r>
    <x v="1"/>
    <x v="1"/>
    <n v="0"/>
  </r>
  <r>
    <x v="0"/>
    <x v="0"/>
    <n v="0"/>
  </r>
  <r>
    <x v="0"/>
    <x v="0"/>
    <n v="0"/>
  </r>
  <r>
    <x v="1"/>
    <x v="1"/>
    <n v="0"/>
  </r>
  <r>
    <x v="0"/>
    <x v="0"/>
    <n v="0"/>
  </r>
  <r>
    <x v="0"/>
    <x v="0"/>
    <n v="0"/>
  </r>
  <r>
    <x v="1"/>
    <x v="1"/>
    <n v="0"/>
  </r>
  <r>
    <x v="1"/>
    <x v="1"/>
    <n v="0"/>
  </r>
  <r>
    <x v="0"/>
    <x v="0"/>
    <n v="0"/>
  </r>
  <r>
    <x v="1"/>
    <x v="1"/>
    <n v="0"/>
  </r>
  <r>
    <x v="1"/>
    <x v="1"/>
    <n v="0"/>
  </r>
  <r>
    <x v="1"/>
    <x v="1"/>
    <n v="0"/>
  </r>
  <r>
    <x v="0"/>
    <x v="0"/>
    <n v="0"/>
  </r>
  <r>
    <x v="1"/>
    <x v="1"/>
    <n v="0"/>
  </r>
  <r>
    <x v="0"/>
    <x v="0"/>
    <n v="0"/>
  </r>
  <r>
    <x v="0"/>
    <x v="0"/>
    <n v="0"/>
  </r>
  <r>
    <x v="1"/>
    <x v="1"/>
    <n v="0"/>
  </r>
  <r>
    <x v="1"/>
    <x v="1"/>
    <n v="0"/>
  </r>
  <r>
    <x v="0"/>
    <x v="0"/>
    <n v="0"/>
  </r>
  <r>
    <x v="1"/>
    <x v="1"/>
    <n v="0"/>
  </r>
  <r>
    <x v="1"/>
    <x v="1"/>
    <n v="0"/>
  </r>
  <r>
    <x v="0"/>
    <x v="0"/>
    <n v="0"/>
  </r>
  <r>
    <x v="0"/>
    <x v="0"/>
    <n v="0"/>
  </r>
  <r>
    <x v="1"/>
    <x v="1"/>
    <n v="0"/>
  </r>
  <r>
    <x v="0"/>
    <x v="0"/>
    <n v="0"/>
  </r>
  <r>
    <x v="1"/>
    <x v="1"/>
    <n v="0"/>
  </r>
  <r>
    <x v="1"/>
    <x v="1"/>
    <n v="0"/>
  </r>
  <r>
    <x v="0"/>
    <x v="0"/>
    <n v="0"/>
  </r>
  <r>
    <x v="0"/>
    <x v="0"/>
    <n v="0"/>
  </r>
  <r>
    <x v="0"/>
    <x v="0"/>
    <n v="0"/>
  </r>
  <r>
    <x v="0"/>
    <x v="0"/>
    <n v="0"/>
  </r>
  <r>
    <x v="0"/>
    <x v="0"/>
    <n v="0"/>
  </r>
  <r>
    <x v="1"/>
    <x v="1"/>
    <n v="0"/>
  </r>
  <r>
    <x v="0"/>
    <x v="0"/>
    <n v="0"/>
  </r>
  <r>
    <x v="1"/>
    <x v="1"/>
    <n v="0"/>
  </r>
  <r>
    <x v="0"/>
    <x v="0"/>
    <n v="0"/>
  </r>
  <r>
    <x v="0"/>
    <x v="0"/>
    <n v="0"/>
  </r>
  <r>
    <x v="1"/>
    <x v="1"/>
    <n v="0"/>
  </r>
  <r>
    <x v="1"/>
    <x v="1"/>
    <n v="0"/>
  </r>
  <r>
    <x v="1"/>
    <x v="1"/>
    <n v="0"/>
  </r>
  <r>
    <x v="1"/>
    <x v="1"/>
    <n v="0"/>
  </r>
  <r>
    <x v="1"/>
    <x v="1"/>
    <n v="0"/>
  </r>
  <r>
    <x v="1"/>
    <x v="1"/>
    <n v="0"/>
  </r>
  <r>
    <x v="1"/>
    <x v="1"/>
    <n v="0"/>
  </r>
  <r>
    <x v="0"/>
    <x v="0"/>
    <n v="0"/>
  </r>
  <r>
    <x v="0"/>
    <x v="0"/>
    <n v="0"/>
  </r>
  <r>
    <x v="1"/>
    <x v="1"/>
    <n v="0"/>
  </r>
  <r>
    <x v="1"/>
    <x v="1"/>
    <n v="0"/>
  </r>
  <r>
    <x v="0"/>
    <x v="0"/>
    <n v="0"/>
  </r>
  <r>
    <x v="0"/>
    <x v="0"/>
    <n v="0"/>
  </r>
  <r>
    <x v="1"/>
    <x v="1"/>
    <n v="0"/>
  </r>
  <r>
    <x v="0"/>
    <x v="0"/>
    <n v="0"/>
  </r>
  <r>
    <x v="0"/>
    <x v="0"/>
    <n v="0"/>
  </r>
  <r>
    <x v="1"/>
    <x v="1"/>
    <n v="0"/>
  </r>
  <r>
    <x v="0"/>
    <x v="0"/>
    <n v="0"/>
  </r>
  <r>
    <x v="1"/>
    <x v="1"/>
    <n v="0"/>
  </r>
  <r>
    <x v="0"/>
    <x v="0"/>
    <n v="0"/>
  </r>
  <r>
    <x v="0"/>
    <x v="0"/>
    <n v="0"/>
  </r>
  <r>
    <x v="1"/>
    <x v="1"/>
    <n v="0"/>
  </r>
  <r>
    <x v="1"/>
    <x v="1"/>
    <n v="0"/>
  </r>
  <r>
    <x v="1"/>
    <x v="1"/>
    <n v="0"/>
  </r>
  <r>
    <x v="1"/>
    <x v="1"/>
    <n v="0"/>
  </r>
  <r>
    <x v="0"/>
    <x v="0"/>
    <n v="0"/>
  </r>
  <r>
    <x v="0"/>
    <x v="0"/>
    <n v="0"/>
  </r>
  <r>
    <x v="1"/>
    <x v="1"/>
    <n v="0"/>
  </r>
  <r>
    <x v="0"/>
    <x v="0"/>
    <n v="0"/>
  </r>
  <r>
    <x v="0"/>
    <x v="0"/>
    <n v="0"/>
  </r>
  <r>
    <x v="1"/>
    <x v="1"/>
    <n v="1"/>
  </r>
  <r>
    <x v="1"/>
    <x v="1"/>
    <n v="1"/>
  </r>
  <r>
    <x v="1"/>
    <x v="1"/>
    <n v="0"/>
  </r>
  <r>
    <x v="0"/>
    <x v="0"/>
    <n v="0"/>
  </r>
  <r>
    <x v="1"/>
    <x v="1"/>
    <n v="0"/>
  </r>
  <r>
    <x v="1"/>
    <x v="1"/>
    <n v="0"/>
  </r>
  <r>
    <x v="1"/>
    <x v="1"/>
    <n v="0"/>
  </r>
  <r>
    <x v="0"/>
    <x v="0"/>
    <n v="0"/>
  </r>
  <r>
    <x v="1"/>
    <x v="1"/>
    <n v="0"/>
  </r>
  <r>
    <x v="1"/>
    <x v="1"/>
    <n v="0"/>
  </r>
  <r>
    <x v="0"/>
    <x v="0"/>
    <n v="0"/>
  </r>
  <r>
    <x v="0"/>
    <x v="0"/>
    <n v="0"/>
  </r>
  <r>
    <x v="1"/>
    <x v="1"/>
    <n v="0"/>
  </r>
  <r>
    <x v="0"/>
    <x v="0"/>
    <n v="0"/>
  </r>
  <r>
    <x v="0"/>
    <x v="0"/>
    <n v="0"/>
  </r>
  <r>
    <x v="1"/>
    <x v="1"/>
    <n v="0"/>
  </r>
  <r>
    <x v="1"/>
    <x v="1"/>
    <n v="0"/>
  </r>
  <r>
    <x v="1"/>
    <x v="1"/>
    <n v="0"/>
  </r>
  <r>
    <x v="0"/>
    <x v="0"/>
    <n v="0"/>
  </r>
  <r>
    <x v="0"/>
    <x v="0"/>
    <n v="0"/>
  </r>
  <r>
    <x v="1"/>
    <x v="1"/>
    <n v="0"/>
  </r>
  <r>
    <x v="0"/>
    <x v="0"/>
    <n v="0"/>
  </r>
  <r>
    <x v="1"/>
    <x v="1"/>
    <n v="0"/>
  </r>
  <r>
    <x v="1"/>
    <x v="1"/>
    <n v="0"/>
  </r>
  <r>
    <x v="1"/>
    <x v="1"/>
    <n v="0"/>
  </r>
  <r>
    <x v="1"/>
    <x v="1"/>
    <n v="0"/>
  </r>
  <r>
    <x v="1"/>
    <x v="1"/>
    <n v="0"/>
  </r>
  <r>
    <x v="1"/>
    <x v="1"/>
    <n v="0"/>
  </r>
  <r>
    <x v="0"/>
    <x v="0"/>
    <n v="0"/>
  </r>
  <r>
    <x v="1"/>
    <x v="1"/>
    <n v="0"/>
  </r>
  <r>
    <x v="0"/>
    <x v="0"/>
    <n v="0"/>
  </r>
  <r>
    <x v="0"/>
    <x v="0"/>
    <n v="0"/>
  </r>
  <r>
    <x v="0"/>
    <x v="0"/>
    <n v="0"/>
  </r>
  <r>
    <x v="0"/>
    <x v="0"/>
    <n v="0"/>
  </r>
  <r>
    <x v="0"/>
    <x v="0"/>
    <n v="0"/>
  </r>
  <r>
    <x v="0"/>
    <x v="0"/>
    <n v="0"/>
  </r>
  <r>
    <x v="1"/>
    <x v="1"/>
    <n v="0"/>
  </r>
  <r>
    <x v="0"/>
    <x v="0"/>
    <n v="0"/>
  </r>
  <r>
    <x v="1"/>
    <x v="1"/>
    <n v="0"/>
  </r>
  <r>
    <x v="0"/>
    <x v="0"/>
    <n v="0"/>
  </r>
  <r>
    <x v="0"/>
    <x v="0"/>
    <n v="0"/>
  </r>
  <r>
    <x v="0"/>
    <x v="0"/>
    <n v="0"/>
  </r>
  <r>
    <x v="0"/>
    <x v="0"/>
    <n v="0"/>
  </r>
  <r>
    <x v="0"/>
    <x v="0"/>
    <n v="0"/>
  </r>
  <r>
    <x v="0"/>
    <x v="0"/>
    <n v="0"/>
  </r>
  <r>
    <x v="1"/>
    <x v="1"/>
    <n v="0"/>
  </r>
  <r>
    <x v="0"/>
    <x v="0"/>
    <n v="0"/>
  </r>
  <r>
    <x v="1"/>
    <x v="1"/>
    <n v="0"/>
  </r>
  <r>
    <x v="1"/>
    <x v="1"/>
    <n v="0"/>
  </r>
  <r>
    <x v="0"/>
    <x v="0"/>
    <n v="0"/>
  </r>
  <r>
    <x v="0"/>
    <x v="0"/>
    <n v="0"/>
  </r>
  <r>
    <x v="1"/>
    <x v="1"/>
    <n v="0"/>
  </r>
  <r>
    <x v="0"/>
    <x v="0"/>
    <n v="0"/>
  </r>
  <r>
    <x v="0"/>
    <x v="0"/>
    <n v="0"/>
  </r>
  <r>
    <x v="0"/>
    <x v="0"/>
    <n v="0"/>
  </r>
  <r>
    <x v="1"/>
    <x v="1"/>
    <n v="0"/>
  </r>
  <r>
    <x v="0"/>
    <x v="0"/>
    <n v="1"/>
  </r>
  <r>
    <x v="0"/>
    <x v="0"/>
    <n v="0"/>
  </r>
  <r>
    <x v="0"/>
    <x v="0"/>
    <n v="0"/>
  </r>
  <r>
    <x v="1"/>
    <x v="1"/>
    <n v="0"/>
  </r>
  <r>
    <x v="0"/>
    <x v="0"/>
    <n v="0"/>
  </r>
  <r>
    <x v="1"/>
    <x v="1"/>
    <n v="0"/>
  </r>
  <r>
    <x v="1"/>
    <x v="1"/>
    <n v="0"/>
  </r>
  <r>
    <x v="1"/>
    <x v="1"/>
    <n v="0"/>
  </r>
  <r>
    <x v="0"/>
    <x v="0"/>
    <n v="0"/>
  </r>
  <r>
    <x v="0"/>
    <x v="0"/>
    <n v="0"/>
  </r>
  <r>
    <x v="0"/>
    <x v="0"/>
    <n v="0"/>
  </r>
  <r>
    <x v="0"/>
    <x v="0"/>
    <n v="0"/>
  </r>
  <r>
    <x v="1"/>
    <x v="1"/>
    <n v="0"/>
  </r>
  <r>
    <x v="1"/>
    <x v="1"/>
    <n v="0"/>
  </r>
  <r>
    <x v="1"/>
    <x v="1"/>
    <n v="1"/>
  </r>
  <r>
    <x v="1"/>
    <x v="1"/>
    <n v="0"/>
  </r>
  <r>
    <x v="1"/>
    <x v="1"/>
    <n v="0"/>
  </r>
  <r>
    <x v="1"/>
    <x v="1"/>
    <n v="0"/>
  </r>
  <r>
    <x v="0"/>
    <x v="0"/>
    <n v="0"/>
  </r>
  <r>
    <x v="1"/>
    <x v="1"/>
    <n v="0"/>
  </r>
  <r>
    <x v="1"/>
    <x v="1"/>
    <n v="0"/>
  </r>
  <r>
    <x v="0"/>
    <x v="0"/>
    <n v="0"/>
  </r>
  <r>
    <x v="0"/>
    <x v="0"/>
    <n v="0"/>
  </r>
  <r>
    <x v="1"/>
    <x v="1"/>
    <n v="0"/>
  </r>
  <r>
    <x v="0"/>
    <x v="0"/>
    <n v="0"/>
  </r>
  <r>
    <x v="1"/>
    <x v="1"/>
    <n v="0"/>
  </r>
  <r>
    <x v="0"/>
    <x v="0"/>
    <n v="0"/>
  </r>
  <r>
    <x v="1"/>
    <x v="1"/>
    <n v="0"/>
  </r>
  <r>
    <x v="0"/>
    <x v="0"/>
    <n v="0"/>
  </r>
  <r>
    <x v="1"/>
    <x v="1"/>
    <n v="0"/>
  </r>
  <r>
    <x v="0"/>
    <x v="0"/>
    <n v="0"/>
  </r>
  <r>
    <x v="1"/>
    <x v="1"/>
    <n v="0"/>
  </r>
  <r>
    <x v="0"/>
    <x v="0"/>
    <n v="0"/>
  </r>
  <r>
    <x v="1"/>
    <x v="1"/>
    <n v="0"/>
  </r>
  <r>
    <x v="0"/>
    <x v="0"/>
    <n v="0"/>
  </r>
  <r>
    <x v="0"/>
    <x v="0"/>
    <n v="0"/>
  </r>
  <r>
    <x v="0"/>
    <x v="0"/>
    <n v="0"/>
  </r>
  <r>
    <x v="0"/>
    <x v="0"/>
    <n v="0"/>
  </r>
  <r>
    <x v="1"/>
    <x v="1"/>
    <n v="0"/>
  </r>
  <r>
    <x v="1"/>
    <x v="1"/>
    <n v="0"/>
  </r>
  <r>
    <x v="0"/>
    <x v="0"/>
    <n v="0"/>
  </r>
  <r>
    <x v="0"/>
    <x v="0"/>
    <n v="0"/>
  </r>
  <r>
    <x v="1"/>
    <x v="1"/>
    <n v="0"/>
  </r>
  <r>
    <x v="0"/>
    <x v="0"/>
    <n v="0"/>
  </r>
  <r>
    <x v="0"/>
    <x v="0"/>
    <n v="0"/>
  </r>
  <r>
    <x v="0"/>
    <x v="0"/>
    <n v="0"/>
  </r>
  <r>
    <x v="1"/>
    <x v="1"/>
    <n v="0"/>
  </r>
  <r>
    <x v="1"/>
    <x v="1"/>
    <n v="0"/>
  </r>
  <r>
    <x v="0"/>
    <x v="0"/>
    <n v="0"/>
  </r>
  <r>
    <x v="0"/>
    <x v="0"/>
    <n v="0"/>
  </r>
  <r>
    <x v="1"/>
    <x v="1"/>
    <n v="0"/>
  </r>
  <r>
    <x v="1"/>
    <x v="1"/>
    <n v="0"/>
  </r>
  <r>
    <x v="1"/>
    <x v="1"/>
    <n v="0"/>
  </r>
  <r>
    <x v="0"/>
    <x v="0"/>
    <n v="0"/>
  </r>
  <r>
    <x v="0"/>
    <x v="0"/>
    <n v="0"/>
  </r>
  <r>
    <x v="0"/>
    <x v="0"/>
    <n v="0"/>
  </r>
  <r>
    <x v="0"/>
    <x v="0"/>
    <n v="0"/>
  </r>
  <r>
    <x v="1"/>
    <x v="1"/>
    <n v="0"/>
  </r>
  <r>
    <x v="0"/>
    <x v="0"/>
    <n v="0"/>
  </r>
  <r>
    <x v="1"/>
    <x v="1"/>
    <n v="0"/>
  </r>
  <r>
    <x v="0"/>
    <x v="0"/>
    <n v="0"/>
  </r>
  <r>
    <x v="1"/>
    <x v="1"/>
    <n v="0"/>
  </r>
  <r>
    <x v="1"/>
    <x v="1"/>
    <n v="0"/>
  </r>
  <r>
    <x v="1"/>
    <x v="1"/>
    <n v="0"/>
  </r>
  <r>
    <x v="1"/>
    <x v="1"/>
    <n v="0"/>
  </r>
  <r>
    <x v="0"/>
    <x v="0"/>
    <n v="1"/>
  </r>
  <r>
    <x v="1"/>
    <x v="1"/>
    <n v="0"/>
  </r>
  <r>
    <x v="0"/>
    <x v="0"/>
    <n v="0"/>
  </r>
  <r>
    <x v="1"/>
    <x v="1"/>
    <n v="0"/>
  </r>
  <r>
    <x v="0"/>
    <x v="0"/>
    <n v="0"/>
  </r>
  <r>
    <x v="1"/>
    <x v="1"/>
    <n v="0"/>
  </r>
  <r>
    <x v="1"/>
    <x v="1"/>
    <n v="0"/>
  </r>
  <r>
    <x v="1"/>
    <x v="1"/>
    <n v="0"/>
  </r>
  <r>
    <x v="0"/>
    <x v="0"/>
    <n v="0"/>
  </r>
  <r>
    <x v="0"/>
    <x v="0"/>
    <n v="0"/>
  </r>
  <r>
    <x v="1"/>
    <x v="1"/>
    <n v="1"/>
  </r>
  <r>
    <x v="0"/>
    <x v="0"/>
    <n v="0"/>
  </r>
  <r>
    <x v="0"/>
    <x v="0"/>
    <n v="0"/>
  </r>
  <r>
    <x v="1"/>
    <x v="1"/>
    <n v="0"/>
  </r>
  <r>
    <x v="0"/>
    <x v="0"/>
    <n v="0"/>
  </r>
  <r>
    <x v="0"/>
    <x v="0"/>
    <n v="0"/>
  </r>
  <r>
    <x v="0"/>
    <x v="0"/>
    <n v="0"/>
  </r>
  <r>
    <x v="1"/>
    <x v="1"/>
    <n v="1"/>
  </r>
  <r>
    <x v="1"/>
    <x v="1"/>
    <n v="0"/>
  </r>
  <r>
    <x v="0"/>
    <x v="0"/>
    <n v="0"/>
  </r>
  <r>
    <x v="0"/>
    <x v="0"/>
    <n v="0"/>
  </r>
  <r>
    <x v="0"/>
    <x v="0"/>
    <n v="0"/>
  </r>
  <r>
    <x v="0"/>
    <x v="0"/>
    <n v="0"/>
  </r>
  <r>
    <x v="1"/>
    <x v="1"/>
    <n v="0"/>
  </r>
  <r>
    <x v="0"/>
    <x v="0"/>
    <n v="0"/>
  </r>
  <r>
    <x v="0"/>
    <x v="0"/>
    <n v="0"/>
  </r>
  <r>
    <x v="1"/>
    <x v="1"/>
    <n v="0"/>
  </r>
  <r>
    <x v="1"/>
    <x v="1"/>
    <n v="0"/>
  </r>
  <r>
    <x v="0"/>
    <x v="0"/>
    <n v="0"/>
  </r>
  <r>
    <x v="0"/>
    <x v="0"/>
    <n v="0"/>
  </r>
  <r>
    <x v="1"/>
    <x v="1"/>
    <n v="0"/>
  </r>
  <r>
    <x v="1"/>
    <x v="1"/>
    <n v="0"/>
  </r>
  <r>
    <x v="0"/>
    <x v="0"/>
    <n v="0"/>
  </r>
  <r>
    <x v="1"/>
    <x v="1"/>
    <n v="0"/>
  </r>
  <r>
    <x v="1"/>
    <x v="1"/>
    <n v="0"/>
  </r>
  <r>
    <x v="0"/>
    <x v="0"/>
    <n v="0"/>
  </r>
  <r>
    <x v="1"/>
    <x v="1"/>
    <n v="0"/>
  </r>
  <r>
    <x v="0"/>
    <x v="0"/>
    <n v="0"/>
  </r>
  <r>
    <x v="1"/>
    <x v="1"/>
    <n v="0"/>
  </r>
  <r>
    <x v="1"/>
    <x v="1"/>
    <n v="0"/>
  </r>
  <r>
    <x v="1"/>
    <x v="1"/>
    <n v="0"/>
  </r>
  <r>
    <x v="1"/>
    <x v="1"/>
    <n v="0"/>
  </r>
  <r>
    <x v="0"/>
    <x v="0"/>
    <n v="0"/>
  </r>
  <r>
    <x v="1"/>
    <x v="1"/>
    <n v="0"/>
  </r>
  <r>
    <x v="0"/>
    <x v="0"/>
    <n v="0"/>
  </r>
  <r>
    <x v="0"/>
    <x v="0"/>
    <n v="0"/>
  </r>
  <r>
    <x v="1"/>
    <x v="1"/>
    <n v="0"/>
  </r>
  <r>
    <x v="1"/>
    <x v="1"/>
    <n v="0"/>
  </r>
  <r>
    <x v="1"/>
    <x v="1"/>
    <n v="0"/>
  </r>
  <r>
    <x v="0"/>
    <x v="0"/>
    <n v="0"/>
  </r>
  <r>
    <x v="1"/>
    <x v="1"/>
    <n v="0"/>
  </r>
  <r>
    <x v="0"/>
    <x v="0"/>
    <n v="0"/>
  </r>
  <r>
    <x v="1"/>
    <x v="1"/>
    <n v="0"/>
  </r>
  <r>
    <x v="1"/>
    <x v="1"/>
    <n v="0"/>
  </r>
  <r>
    <x v="1"/>
    <x v="1"/>
    <n v="0"/>
  </r>
  <r>
    <x v="0"/>
    <x v="0"/>
    <n v="0"/>
  </r>
  <r>
    <x v="0"/>
    <x v="0"/>
    <n v="0"/>
  </r>
  <r>
    <x v="0"/>
    <x v="0"/>
    <n v="0"/>
  </r>
  <r>
    <x v="1"/>
    <x v="1"/>
    <n v="0"/>
  </r>
  <r>
    <x v="1"/>
    <x v="1"/>
    <n v="0"/>
  </r>
  <r>
    <x v="0"/>
    <x v="0"/>
    <n v="0"/>
  </r>
  <r>
    <x v="1"/>
    <x v="1"/>
    <n v="0"/>
  </r>
  <r>
    <x v="0"/>
    <x v="0"/>
    <n v="0"/>
  </r>
  <r>
    <x v="0"/>
    <x v="0"/>
    <n v="0"/>
  </r>
  <r>
    <x v="0"/>
    <x v="0"/>
    <n v="0"/>
  </r>
  <r>
    <x v="1"/>
    <x v="1"/>
    <n v="0"/>
  </r>
  <r>
    <x v="0"/>
    <x v="0"/>
    <n v="0"/>
  </r>
  <r>
    <x v="1"/>
    <x v="1"/>
    <n v="0"/>
  </r>
  <r>
    <x v="1"/>
    <x v="1"/>
    <n v="1"/>
  </r>
  <r>
    <x v="1"/>
    <x v="1"/>
    <n v="0"/>
  </r>
  <r>
    <x v="0"/>
    <x v="0"/>
    <n v="0"/>
  </r>
  <r>
    <x v="0"/>
    <x v="0"/>
    <n v="0"/>
  </r>
  <r>
    <x v="1"/>
    <x v="1"/>
    <n v="0"/>
  </r>
  <r>
    <x v="1"/>
    <x v="1"/>
    <n v="0"/>
  </r>
  <r>
    <x v="1"/>
    <x v="1"/>
    <n v="0"/>
  </r>
  <r>
    <x v="0"/>
    <x v="0"/>
    <n v="0"/>
  </r>
  <r>
    <x v="0"/>
    <x v="0"/>
    <n v="0"/>
  </r>
  <r>
    <x v="1"/>
    <x v="1"/>
    <n v="0"/>
  </r>
  <r>
    <x v="1"/>
    <x v="1"/>
    <n v="0"/>
  </r>
  <r>
    <x v="1"/>
    <x v="1"/>
    <n v="0"/>
  </r>
  <r>
    <x v="0"/>
    <x v="0"/>
    <n v="0"/>
  </r>
  <r>
    <x v="1"/>
    <x v="1"/>
    <n v="1"/>
  </r>
  <r>
    <x v="1"/>
    <x v="1"/>
    <n v="0"/>
  </r>
  <r>
    <x v="0"/>
    <x v="0"/>
    <n v="0"/>
  </r>
  <r>
    <x v="0"/>
    <x v="0"/>
    <n v="0"/>
  </r>
  <r>
    <x v="0"/>
    <x v="0"/>
    <n v="0"/>
  </r>
  <r>
    <x v="1"/>
    <x v="1"/>
    <n v="0"/>
  </r>
  <r>
    <x v="1"/>
    <x v="1"/>
    <n v="0"/>
  </r>
  <r>
    <x v="0"/>
    <x v="0"/>
    <n v="0"/>
  </r>
  <r>
    <x v="1"/>
    <x v="1"/>
    <n v="0"/>
  </r>
  <r>
    <x v="0"/>
    <x v="0"/>
    <n v="0"/>
  </r>
  <r>
    <x v="1"/>
    <x v="1"/>
    <n v="0"/>
  </r>
  <r>
    <x v="0"/>
    <x v="0"/>
    <n v="0"/>
  </r>
  <r>
    <x v="1"/>
    <x v="1"/>
    <n v="0"/>
  </r>
  <r>
    <x v="1"/>
    <x v="1"/>
    <n v="0"/>
  </r>
  <r>
    <x v="1"/>
    <x v="1"/>
    <n v="0"/>
  </r>
  <r>
    <x v="1"/>
    <x v="1"/>
    <n v="0"/>
  </r>
  <r>
    <x v="1"/>
    <x v="1"/>
    <n v="0"/>
  </r>
  <r>
    <x v="0"/>
    <x v="0"/>
    <n v="0"/>
  </r>
  <r>
    <x v="1"/>
    <x v="1"/>
    <n v="0"/>
  </r>
  <r>
    <x v="1"/>
    <x v="1"/>
    <n v="0"/>
  </r>
  <r>
    <x v="1"/>
    <x v="1"/>
    <n v="0"/>
  </r>
  <r>
    <x v="1"/>
    <x v="1"/>
    <n v="0"/>
  </r>
  <r>
    <x v="0"/>
    <x v="0"/>
    <n v="0"/>
  </r>
  <r>
    <x v="1"/>
    <x v="1"/>
    <n v="0"/>
  </r>
  <r>
    <x v="1"/>
    <x v="1"/>
    <n v="0"/>
  </r>
  <r>
    <x v="1"/>
    <x v="1"/>
    <n v="0"/>
  </r>
  <r>
    <x v="0"/>
    <x v="0"/>
    <n v="0"/>
  </r>
  <r>
    <x v="1"/>
    <x v="1"/>
    <n v="0"/>
  </r>
  <r>
    <x v="1"/>
    <x v="1"/>
    <n v="0"/>
  </r>
  <r>
    <x v="1"/>
    <x v="1"/>
    <n v="0"/>
  </r>
  <r>
    <x v="1"/>
    <x v="1"/>
    <n v="0"/>
  </r>
  <r>
    <x v="1"/>
    <x v="1"/>
    <n v="0"/>
  </r>
  <r>
    <x v="1"/>
    <x v="1"/>
    <n v="0"/>
  </r>
  <r>
    <x v="0"/>
    <x v="0"/>
    <n v="0"/>
  </r>
  <r>
    <x v="1"/>
    <x v="1"/>
    <n v="0"/>
  </r>
  <r>
    <x v="0"/>
    <x v="0"/>
    <n v="0"/>
  </r>
  <r>
    <x v="0"/>
    <x v="0"/>
    <n v="0"/>
  </r>
  <r>
    <x v="1"/>
    <x v="1"/>
    <n v="0"/>
  </r>
  <r>
    <x v="0"/>
    <x v="0"/>
    <n v="0"/>
  </r>
  <r>
    <x v="1"/>
    <x v="1"/>
    <n v="0"/>
  </r>
  <r>
    <x v="0"/>
    <x v="0"/>
    <n v="0"/>
  </r>
  <r>
    <x v="1"/>
    <x v="1"/>
    <n v="0"/>
  </r>
  <r>
    <x v="0"/>
    <x v="0"/>
    <n v="0"/>
  </r>
  <r>
    <x v="1"/>
    <x v="1"/>
    <n v="0"/>
  </r>
  <r>
    <x v="0"/>
    <x v="0"/>
    <n v="0"/>
  </r>
  <r>
    <x v="0"/>
    <x v="0"/>
    <n v="0"/>
  </r>
  <r>
    <x v="0"/>
    <x v="0"/>
    <n v="0"/>
  </r>
  <r>
    <x v="1"/>
    <x v="1"/>
    <n v="0"/>
  </r>
  <r>
    <x v="0"/>
    <x v="0"/>
    <n v="0"/>
  </r>
  <r>
    <x v="1"/>
    <x v="1"/>
    <n v="0"/>
  </r>
  <r>
    <x v="0"/>
    <x v="0"/>
    <n v="0"/>
  </r>
  <r>
    <x v="1"/>
    <x v="1"/>
    <n v="0"/>
  </r>
  <r>
    <x v="1"/>
    <x v="1"/>
    <n v="0"/>
  </r>
  <r>
    <x v="1"/>
    <x v="1"/>
    <n v="0"/>
  </r>
  <r>
    <x v="0"/>
    <x v="0"/>
    <n v="0"/>
  </r>
  <r>
    <x v="0"/>
    <x v="0"/>
    <n v="0"/>
  </r>
  <r>
    <x v="0"/>
    <x v="0"/>
    <n v="0"/>
  </r>
  <r>
    <x v="0"/>
    <x v="0"/>
    <n v="0"/>
  </r>
  <r>
    <x v="1"/>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CDE70D-24F5-46C7-BAB8-2FD01270DFA8}" name="PivotTable2" cacheId="77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62:I65" firstHeaderRow="0" firstDataRow="1" firstDataCol="1"/>
  <pivotFields count="8">
    <pivotField compact="0" outline="0" showAll="0"/>
    <pivotField compact="0" outline="0" showAll="0"/>
    <pivotField dataField="1" compact="0" outline="0" showAll="0">
      <items count="2304">
        <item x="1822"/>
        <item x="136"/>
        <item x="915"/>
        <item x="139"/>
        <item x="152"/>
        <item x="153"/>
        <item x="143"/>
        <item x="154"/>
        <item x="142"/>
        <item x="138"/>
        <item x="151"/>
        <item x="137"/>
        <item x="146"/>
        <item x="167"/>
        <item x="144"/>
        <item x="236"/>
        <item x="148"/>
        <item x="145"/>
        <item x="222"/>
        <item x="160"/>
        <item x="168"/>
        <item x="223"/>
        <item x="140"/>
        <item x="166"/>
        <item x="928"/>
        <item x="173"/>
        <item x="201"/>
        <item x="150"/>
        <item x="159"/>
        <item x="230"/>
        <item x="155"/>
        <item x="231"/>
        <item x="172"/>
        <item x="161"/>
        <item x="149"/>
        <item x="163"/>
        <item x="169"/>
        <item x="170"/>
        <item x="141"/>
        <item x="235"/>
        <item x="215"/>
        <item x="221"/>
        <item x="171"/>
        <item x="165"/>
        <item x="216"/>
        <item x="202"/>
        <item x="162"/>
        <item x="224"/>
        <item x="251"/>
        <item x="203"/>
        <item x="250"/>
        <item x="226"/>
        <item x="207"/>
        <item x="187"/>
        <item x="198"/>
        <item x="189"/>
        <item x="232"/>
        <item x="204"/>
        <item x="237"/>
        <item x="179"/>
        <item x="188"/>
        <item x="180"/>
        <item x="192"/>
        <item x="220"/>
        <item x="197"/>
        <item x="205"/>
        <item x="229"/>
        <item x="186"/>
        <item x="206"/>
        <item x="214"/>
        <item x="195"/>
        <item x="233"/>
        <item x="249"/>
        <item x="190"/>
        <item x="164"/>
        <item x="246"/>
        <item x="213"/>
        <item x="174"/>
        <item x="227"/>
        <item x="217"/>
        <item x="252"/>
        <item x="158"/>
        <item x="193"/>
        <item x="225"/>
        <item x="176"/>
        <item x="953"/>
        <item x="194"/>
        <item x="156"/>
        <item x="218"/>
        <item x="211"/>
        <item x="196"/>
        <item x="531"/>
        <item x="185"/>
        <item x="178"/>
        <item x="219"/>
        <item x="177"/>
        <item x="952"/>
        <item x="228"/>
        <item x="175"/>
        <item x="199"/>
        <item x="210"/>
        <item x="245"/>
        <item x="200"/>
        <item x="248"/>
        <item x="191"/>
        <item x="239"/>
        <item x="247"/>
        <item x="244"/>
        <item x="238"/>
        <item x="257"/>
        <item x="1018"/>
        <item x="133"/>
        <item x="212"/>
        <item x="157"/>
        <item x="951"/>
        <item x="184"/>
        <item x="181"/>
        <item x="134"/>
        <item x="97"/>
        <item x="132"/>
        <item x="234"/>
        <item x="968"/>
        <item x="576"/>
        <item x="256"/>
        <item x="578"/>
        <item x="135"/>
        <item x="147"/>
        <item x="99"/>
        <item x="98"/>
        <item x="131"/>
        <item x="954"/>
        <item x="261"/>
        <item x="955"/>
        <item x="684"/>
        <item x="242"/>
        <item x="683"/>
        <item x="611"/>
        <item x="126"/>
        <item x="253"/>
        <item x="130"/>
        <item x="962"/>
        <item x="961"/>
        <item x="209"/>
        <item x="950"/>
        <item x="1014"/>
        <item x="570"/>
        <item x="1020"/>
        <item x="604"/>
        <item x="865"/>
        <item x="977"/>
        <item x="575"/>
        <item x="285"/>
        <item x="905"/>
        <item x="125"/>
        <item x="240"/>
        <item x="610"/>
        <item x="264"/>
        <item x="685"/>
        <item x="866"/>
        <item x="286"/>
        <item x="1026"/>
        <item x="579"/>
        <item x="906"/>
        <item x="577"/>
        <item x="966"/>
        <item x="532"/>
        <item x="967"/>
        <item x="976"/>
        <item x="96"/>
        <item x="569"/>
        <item x="117"/>
        <item x="1017"/>
        <item x="932"/>
        <item x="566"/>
        <item x="605"/>
        <item x="100"/>
        <item x="516"/>
        <item x="515"/>
        <item x="947"/>
        <item x="535"/>
        <item x="946"/>
        <item x="602"/>
        <item x="1019"/>
        <item x="488"/>
        <item x="561"/>
        <item x="975"/>
        <item x="568"/>
        <item x="591"/>
        <item x="129"/>
        <item x="574"/>
        <item x="508"/>
        <item x="1010"/>
        <item x="978"/>
        <item x="94"/>
        <item x="489"/>
        <item x="299"/>
        <item x="580"/>
        <item x="536"/>
        <item x="606"/>
        <item x="116"/>
        <item x="127"/>
        <item x="1013"/>
        <item x="963"/>
        <item x="1015"/>
        <item x="571"/>
        <item x="95"/>
        <item x="970"/>
        <item x="90"/>
        <item x="979"/>
        <item x="587"/>
        <item x="306"/>
        <item x="121"/>
        <item x="101"/>
        <item x="625"/>
        <item x="1991"/>
        <item x="948"/>
        <item x="527"/>
        <item x="83"/>
        <item x="258"/>
        <item x="686"/>
        <item x="1027"/>
        <item x="89"/>
        <item x="562"/>
        <item x="631"/>
        <item x="1006"/>
        <item x="255"/>
        <item x="1007"/>
        <item x="1025"/>
        <item x="1992"/>
        <item x="115"/>
        <item x="265"/>
        <item x="609"/>
        <item x="672"/>
        <item x="859"/>
        <item x="624"/>
        <item x="607"/>
        <item x="537"/>
        <item x="560"/>
        <item x="595"/>
        <item x="852"/>
        <item x="521"/>
        <item x="908"/>
        <item x="601"/>
        <item x="965"/>
        <item x="901"/>
        <item x="887"/>
        <item x="913"/>
        <item x="84"/>
        <item x="912"/>
        <item x="114"/>
        <item x="128"/>
        <item x="590"/>
        <item x="454"/>
        <item x="639"/>
        <item x="933"/>
        <item x="1022"/>
        <item x="864"/>
        <item x="1016"/>
        <item x="540"/>
        <item x="538"/>
        <item x="940"/>
        <item x="682"/>
        <item x="507"/>
        <item x="85"/>
        <item x="120"/>
        <item x="1021"/>
        <item x="119"/>
        <item x="112"/>
        <item x="584"/>
        <item x="539"/>
        <item x="86"/>
        <item x="638"/>
        <item x="573"/>
        <item x="259"/>
        <item x="612"/>
        <item x="518"/>
        <item x="608"/>
        <item x="914"/>
        <item x="873"/>
        <item x="949"/>
        <item x="541"/>
        <item x="534"/>
        <item x="1004"/>
        <item x="517"/>
        <item x="567"/>
        <item x="111"/>
        <item x="594"/>
        <item x="1024"/>
        <item x="1023"/>
        <item x="851"/>
        <item x="904"/>
        <item x="439"/>
        <item x="243"/>
        <item x="936"/>
        <item x="88"/>
        <item x="870"/>
        <item x="451"/>
        <item x="263"/>
        <item x="603"/>
        <item x="586"/>
        <item x="645"/>
        <item x="300"/>
        <item x="926"/>
        <item x="208"/>
        <item x="1011"/>
        <item x="91"/>
        <item x="520"/>
        <item x="565"/>
        <item x="853"/>
        <item x="598"/>
        <item x="445"/>
        <item x="592"/>
        <item x="872"/>
        <item x="1005"/>
        <item x="104"/>
        <item x="673"/>
        <item x="82"/>
        <item x="671"/>
        <item x="304"/>
        <item x="902"/>
        <item x="1000"/>
        <item x="509"/>
        <item x="670"/>
        <item x="510"/>
        <item x="572"/>
        <item x="92"/>
        <item x="1154"/>
        <item x="665"/>
        <item x="925"/>
        <item x="1153"/>
        <item x="124"/>
        <item x="1003"/>
        <item x="87"/>
        <item x="298"/>
        <item x="93"/>
        <item x="945"/>
        <item x="862"/>
        <item x="556"/>
        <item x="863"/>
        <item x="599"/>
        <item x="886"/>
        <item x="646"/>
        <item x="457"/>
        <item x="632"/>
        <item x="838"/>
        <item x="113"/>
        <item x="1028"/>
        <item x="924"/>
        <item x="455"/>
        <item x="911"/>
        <item x="630"/>
        <item x="871"/>
        <item x="585"/>
        <item x="903"/>
        <item x="519"/>
        <item x="1008"/>
        <item x="626"/>
        <item x="999"/>
        <item x="75"/>
        <item x="669"/>
        <item x="506"/>
        <item x="860"/>
        <item x="861"/>
        <item x="931"/>
        <item x="1002"/>
        <item x="496"/>
        <item x="438"/>
        <item x="487"/>
        <item x="958"/>
        <item x="839"/>
        <item x="660"/>
        <item x="944"/>
        <item x="303"/>
        <item x="868"/>
        <item x="583"/>
        <item x="597"/>
        <item x="1012"/>
        <item x="450"/>
        <item x="889"/>
        <item x="76"/>
        <item x="448"/>
        <item x="456"/>
        <item x="118"/>
        <item x="447"/>
        <item x="909"/>
        <item x="854"/>
        <item x="858"/>
        <item x="514"/>
        <item x="308"/>
        <item x="888"/>
        <item x="929"/>
        <item x="260"/>
        <item x="1155"/>
        <item x="869"/>
        <item x="443"/>
        <item x="530"/>
        <item x="1160"/>
        <item x="867"/>
        <item x="633"/>
        <item x="935"/>
        <item x="874"/>
        <item x="81"/>
        <item x="680"/>
        <item x="311"/>
        <item x="272"/>
        <item x="890"/>
        <item x="307"/>
        <item x="856"/>
        <item x="900"/>
        <item x="1001"/>
        <item x="78"/>
        <item x="1152"/>
        <item x="875"/>
        <item x="666"/>
        <item x="635"/>
        <item x="850"/>
        <item x="876"/>
        <item x="301"/>
        <item x="1151"/>
        <item x="987"/>
        <item x="659"/>
        <item x="990"/>
        <item x="679"/>
        <item x="992"/>
        <item x="437"/>
        <item x="910"/>
        <item x="627"/>
        <item x="636"/>
        <item x="943"/>
        <item x="674"/>
        <item x="618"/>
        <item x="667"/>
        <item x="664"/>
        <item x="1158"/>
        <item x="123"/>
        <item x="528"/>
        <item x="688"/>
        <item x="991"/>
        <item x="981"/>
        <item x="287"/>
        <item x="600"/>
        <item x="526"/>
        <item x="284"/>
        <item x="74"/>
        <item x="449"/>
        <item x="309"/>
        <item x="879"/>
        <item x="634"/>
        <item x="934"/>
        <item x="1009"/>
        <item x="589"/>
        <item x="1156"/>
        <item x="444"/>
        <item x="1157"/>
        <item x="989"/>
        <item x="939"/>
        <item x="841"/>
        <item x="988"/>
        <item x="668"/>
        <item x="77"/>
        <item x="277"/>
        <item x="511"/>
        <item x="916"/>
        <item x="290"/>
        <item x="461"/>
        <item x="648"/>
        <item x="440"/>
        <item x="969"/>
        <item x="894"/>
        <item x="848"/>
        <item x="453"/>
        <item x="555"/>
        <item x="270"/>
        <item x="1150"/>
        <item x="930"/>
        <item x="80"/>
        <item x="441"/>
        <item x="593"/>
        <item x="280"/>
        <item x="295"/>
        <item x="102"/>
        <item x="1161"/>
        <item x="917"/>
        <item x="442"/>
        <item x="513"/>
        <item x="254"/>
        <item x="687"/>
        <item x="921"/>
        <item x="502"/>
        <item x="1029"/>
        <item x="986"/>
        <item x="960"/>
        <item x="837"/>
        <item x="974"/>
        <item x="855"/>
        <item x="623"/>
        <item x="640"/>
        <item x="103"/>
        <item x="458"/>
        <item x="849"/>
        <item x="629"/>
        <item x="637"/>
        <item x="681"/>
        <item x="325"/>
        <item x="957"/>
        <item x="647"/>
        <item x="297"/>
        <item x="980"/>
        <item x="310"/>
        <item x="831"/>
        <item x="689"/>
        <item x="1162"/>
        <item x="1159"/>
        <item x="619"/>
        <item x="628"/>
        <item x="620"/>
        <item x="840"/>
        <item x="554"/>
        <item x="436"/>
        <item x="596"/>
        <item x="501"/>
        <item x="467"/>
        <item x="923"/>
        <item x="959"/>
        <item x="1639"/>
        <item x="678"/>
        <item x="503"/>
        <item x="279"/>
        <item x="262"/>
        <item x="895"/>
        <item x="273"/>
        <item x="491"/>
        <item x="836"/>
        <item x="899"/>
        <item x="460"/>
        <item x="1164"/>
        <item x="553"/>
        <item x="564"/>
        <item x="446"/>
        <item x="435"/>
        <item x="613"/>
        <item x="495"/>
        <item x="497"/>
        <item x="830"/>
        <item x="486"/>
        <item x="462"/>
        <item x="271"/>
        <item x="1165"/>
        <item x="621"/>
        <item x="817"/>
        <item x="1166"/>
        <item x="880"/>
        <item x="70"/>
        <item x="73"/>
        <item x="278"/>
        <item x="998"/>
        <item x="452"/>
        <item x="294"/>
        <item x="927"/>
        <item x="644"/>
        <item x="484"/>
        <item x="296"/>
        <item x="857"/>
        <item x="918"/>
        <item x="692"/>
        <item x="289"/>
        <item x="320"/>
        <item x="505"/>
        <item x="552"/>
        <item x="1147"/>
        <item x="1843"/>
        <item x="658"/>
        <item x="266"/>
        <item x="893"/>
        <item x="482"/>
        <item x="835"/>
        <item x="459"/>
        <item x="485"/>
        <item x="662"/>
        <item x="71"/>
        <item x="504"/>
        <item x="432"/>
        <item x="1163"/>
        <item x="1149"/>
        <item x="1173"/>
        <item x="885"/>
        <item x="882"/>
        <item x="993"/>
        <item x="675"/>
        <item x="466"/>
        <item x="433"/>
        <item x="480"/>
        <item x="844"/>
        <item x="937"/>
        <item x="826"/>
        <item x="920"/>
        <item x="907"/>
        <item x="1848"/>
        <item x="846"/>
        <item x="938"/>
        <item x="847"/>
        <item x="324"/>
        <item x="892"/>
        <item x="107"/>
        <item x="302"/>
        <item x="1172"/>
        <item x="533"/>
        <item x="523"/>
        <item x="653"/>
        <item x="663"/>
        <item x="512"/>
        <item x="293"/>
        <item x="110"/>
        <item x="657"/>
        <item x="490"/>
        <item x="500"/>
        <item x="315"/>
        <item x="425"/>
        <item x="829"/>
        <item x="922"/>
        <item x="283"/>
        <item x="72"/>
        <item x="481"/>
        <item x="1146"/>
        <item x="897"/>
        <item x="661"/>
        <item x="492"/>
        <item x="985"/>
        <item x="1072"/>
        <item x="881"/>
        <item x="1148"/>
        <item x="821"/>
        <item x="656"/>
        <item x="1853"/>
        <item x="997"/>
        <item x="68"/>
        <item x="652"/>
        <item x="1071"/>
        <item x="269"/>
        <item x="559"/>
        <item x="828"/>
        <item x="0"/>
        <item x="122"/>
        <item x="493"/>
        <item x="478"/>
        <item x="314"/>
        <item x="79"/>
        <item x="1167"/>
        <item x="971"/>
        <item x="842"/>
        <item x="827"/>
        <item x="418"/>
        <item x="305"/>
        <item x="429"/>
        <item x="323"/>
        <item x="499"/>
        <item x="818"/>
        <item x="1664"/>
        <item x="1141"/>
        <item x="1993"/>
        <item x="1629"/>
        <item x="805"/>
        <item x="1170"/>
        <item x="804"/>
        <item x="470"/>
        <item x="891"/>
        <item x="424"/>
        <item x="1145"/>
        <item x="529"/>
        <item x="1628"/>
        <item x="1174"/>
        <item x="2276"/>
        <item x="477"/>
        <item x="622"/>
        <item x="563"/>
        <item x="1716"/>
        <item x="582"/>
        <item x="843"/>
        <item x="316"/>
        <item x="412"/>
        <item x="1845"/>
        <item x="557"/>
        <item x="268"/>
        <item x="469"/>
        <item x="690"/>
        <item x="414"/>
        <item x="1656"/>
        <item x="1171"/>
        <item x="1852"/>
        <item x="423"/>
        <item x="434"/>
        <item x="411"/>
        <item x="468"/>
        <item x="803"/>
        <item x="898"/>
        <item x="422"/>
        <item x="642"/>
        <item x="1144"/>
        <item x="1657"/>
        <item x="1844"/>
        <item x="479"/>
        <item x="1030"/>
        <item x="641"/>
        <item x="548"/>
        <item x="1703"/>
        <item x="973"/>
        <item x="2277"/>
        <item x="1842"/>
        <item x="109"/>
        <item x="417"/>
        <item x="66"/>
        <item x="558"/>
        <item x="413"/>
        <item x="1609"/>
        <item x="1666"/>
        <item x="1854"/>
        <item x="1068"/>
        <item x="419"/>
        <item x="822"/>
        <item x="67"/>
        <item x="545"/>
        <item x="956"/>
        <item x="819"/>
        <item x="810"/>
        <item x="288"/>
        <item x="1851"/>
        <item x="820"/>
        <item x="1702"/>
        <item x="1615"/>
        <item x="814"/>
        <item x="1665"/>
        <item x="655"/>
        <item x="588"/>
        <item x="1070"/>
        <item x="806"/>
        <item x="420"/>
        <item x="1069"/>
        <item x="1073"/>
        <item x="811"/>
        <item x="421"/>
        <item x="475"/>
        <item x="1968"/>
        <item x="1990"/>
        <item x="551"/>
        <item x="1718"/>
        <item x="1717"/>
        <item x="994"/>
        <item x="1034"/>
        <item x="1074"/>
        <item x="1608"/>
        <item x="1199"/>
        <item x="428"/>
        <item x="241"/>
        <item x="1229"/>
        <item x="476"/>
        <item x="1075"/>
        <item x="816"/>
        <item x="1663"/>
        <item x="1626"/>
        <item x="1169"/>
        <item x="321"/>
        <item x="2269"/>
        <item x="415"/>
        <item x="1659"/>
        <item x="941"/>
        <item x="808"/>
        <item x="183"/>
        <item x="649"/>
        <item x="2288"/>
        <item x="1380"/>
        <item x="410"/>
        <item x="465"/>
        <item x="1619"/>
        <item x="1695"/>
        <item x="1655"/>
        <item x="654"/>
        <item x="1982"/>
        <item x="693"/>
        <item x="1642"/>
        <item x="643"/>
        <item x="1176"/>
        <item x="617"/>
        <item x="802"/>
        <item x="65"/>
        <item x="1200"/>
        <item x="1658"/>
        <item x="834"/>
        <item x="691"/>
        <item x="2286"/>
        <item x="1710"/>
        <item x="322"/>
        <item x="1722"/>
        <item x="1847"/>
        <item x="984"/>
        <item x="1724"/>
        <item x="1602"/>
        <item x="1662"/>
        <item x="798"/>
        <item x="483"/>
        <item x="1140"/>
        <item x="1630"/>
        <item x="896"/>
        <item x="1067"/>
        <item x="2275"/>
        <item x="1850"/>
        <item x="1618"/>
        <item x="1614"/>
        <item x="825"/>
        <item x="1269"/>
        <item x="1601"/>
        <item x="815"/>
        <item x="1668"/>
        <item x="1142"/>
        <item x="996"/>
        <item x="267"/>
        <item x="1198"/>
        <item x="69"/>
        <item x="1135"/>
        <item x="1607"/>
        <item x="1616"/>
        <item x="1715"/>
        <item x="1709"/>
        <item x="813"/>
        <item x="2268"/>
        <item x="1846"/>
        <item x="1981"/>
        <item x="292"/>
        <item x="1"/>
        <item x="2270"/>
        <item x="651"/>
        <item x="1627"/>
        <item x="1386"/>
        <item x="1605"/>
        <item x="1725"/>
        <item x="1143"/>
        <item x="1625"/>
        <item x="1667"/>
        <item x="2267"/>
        <item x="1623"/>
        <item x="1643"/>
        <item x="1230"/>
        <item x="2287"/>
        <item x="1168"/>
        <item x="1610"/>
        <item x="878"/>
        <item x="1996"/>
        <item x="1704"/>
        <item x="1603"/>
        <item x="1711"/>
        <item x="409"/>
        <item x="1079"/>
        <item x="809"/>
        <item x="1604"/>
        <item x="1270"/>
        <item x="1606"/>
        <item x="2002"/>
        <item x="1387"/>
        <item x="1383"/>
        <item x="1076"/>
        <item x="1268"/>
        <item x="1611"/>
        <item x="1967"/>
        <item x="1855"/>
        <item x="1066"/>
        <item x="2283"/>
        <item x="474"/>
        <item x="807"/>
        <item x="1303"/>
        <item x="1660"/>
        <item x="1063"/>
        <item x="473"/>
        <item x="1197"/>
        <item x="1997"/>
        <item x="919"/>
        <item x="1065"/>
        <item x="1841"/>
        <item x="1622"/>
        <item x="1293"/>
        <item x="1969"/>
        <item x="695"/>
        <item x="972"/>
        <item x="1654"/>
        <item x="2"/>
        <item x="884"/>
        <item x="357"/>
        <item x="427"/>
        <item x="1743"/>
        <item x="1684"/>
        <item x="1719"/>
        <item x="472"/>
        <item x="1297"/>
        <item x="1292"/>
        <item x="995"/>
        <item x="1384"/>
        <item x="1636"/>
        <item x="1971"/>
        <item x="1737"/>
        <item x="694"/>
        <item x="1714"/>
        <item x="1948"/>
        <item x="1273"/>
        <item x="1077"/>
        <item x="1054"/>
        <item x="1995"/>
        <item x="6"/>
        <item x="1617"/>
        <item x="1271"/>
        <item x="12"/>
        <item x="1062"/>
        <item x="1685"/>
        <item x="1298"/>
        <item x="1290"/>
        <item x="1682"/>
        <item x="2003"/>
        <item x="1381"/>
        <item x="1195"/>
        <item x="1574"/>
        <item x="106"/>
        <item x="416"/>
        <item x="350"/>
        <item x="1061"/>
        <item x="13"/>
        <item x="650"/>
        <item x="522"/>
        <item x="1275"/>
        <item x="1134"/>
        <item x="1182"/>
        <item x="1661"/>
        <item x="883"/>
        <item x="1701"/>
        <item x="1299"/>
        <item x="5"/>
        <item x="1970"/>
        <item x="799"/>
        <item x="276"/>
        <item x="64"/>
        <item x="1861"/>
        <item x="1130"/>
        <item x="1385"/>
        <item x="1624"/>
        <item x="2241"/>
        <item x="1291"/>
        <item x="2013"/>
        <item x="1272"/>
        <item x="408"/>
        <item x="1641"/>
        <item x="845"/>
        <item x="4"/>
        <item x="1742"/>
        <item x="1839"/>
        <item x="1295"/>
        <item x="2041"/>
        <item x="1315"/>
        <item x="525"/>
        <item x="797"/>
        <item x="2004"/>
        <item x="1220"/>
        <item x="282"/>
        <item x="1283"/>
        <item x="1949"/>
        <item x="544"/>
        <item x="1139"/>
        <item x="1129"/>
        <item x="1196"/>
        <item x="1723"/>
        <item x="1289"/>
        <item x="1228"/>
        <item x="1613"/>
        <item x="1683"/>
        <item x="1294"/>
        <item x="1789"/>
        <item x="1261"/>
        <item x="1064"/>
        <item x="1720"/>
        <item x="1694"/>
        <item x="1316"/>
        <item x="1858"/>
        <item x="1234"/>
        <item x="1241"/>
        <item x="2242"/>
        <item x="1998"/>
        <item x="983"/>
        <item x="833"/>
        <item x="1137"/>
        <item x="1977"/>
        <item x="1300"/>
        <item x="1267"/>
        <item x="800"/>
        <item x="2266"/>
        <item x="1277"/>
        <item x="348"/>
        <item x="2009"/>
        <item x="14"/>
        <item x="1966"/>
        <item x="1284"/>
        <item x="1081"/>
        <item x="2036"/>
        <item x="1838"/>
        <item x="3"/>
        <item x="1587"/>
        <item x="1696"/>
        <item x="1942"/>
        <item x="2024"/>
        <item x="1382"/>
        <item x="1951"/>
        <item x="1221"/>
        <item x="2017"/>
        <item x="1708"/>
        <item x="2043"/>
        <item x="1600"/>
        <item x="1186"/>
        <item x="677"/>
        <item x="1082"/>
        <item x="942"/>
        <item x="1947"/>
        <item x="1860"/>
        <item x="1864"/>
        <item x="2005"/>
        <item x="801"/>
        <item x="1262"/>
        <item x="1691"/>
        <item x="2255"/>
        <item x="1692"/>
        <item x="1317"/>
        <item x="2285"/>
        <item x="2014"/>
        <item x="1575"/>
        <item x="1276"/>
        <item x="1736"/>
        <item x="63"/>
        <item x="1721"/>
        <item x="1863"/>
        <item x="2274"/>
        <item x="1788"/>
        <item x="1941"/>
        <item x="1060"/>
        <item x="2256"/>
        <item x="1950"/>
        <item x="2253"/>
        <item x="1227"/>
        <item x="1314"/>
        <item x="2258"/>
        <item x="1306"/>
        <item x="2247"/>
        <item x="1080"/>
        <item x="498"/>
        <item x="1713"/>
        <item x="716"/>
        <item x="2026"/>
        <item x="2271"/>
        <item x="2252"/>
        <item x="1595"/>
        <item x="1219"/>
        <item x="2050"/>
        <item x="27"/>
        <item x="1327"/>
        <item x="1331"/>
        <item x="524"/>
        <item x="1635"/>
        <item x="1965"/>
        <item x="1033"/>
        <item x="1633"/>
        <item x="1974"/>
        <item x="15"/>
        <item x="2044"/>
        <item x="2001"/>
        <item x="2023"/>
        <item x="1194"/>
        <item x="2262"/>
        <item x="1285"/>
        <item x="812"/>
        <item x="964"/>
        <item x="2291"/>
        <item x="1862"/>
        <item x="1332"/>
        <item x="1282"/>
        <item x="2239"/>
        <item x="291"/>
        <item x="796"/>
        <item x="2232"/>
        <item x="1583"/>
        <item x="1640"/>
        <item x="1059"/>
        <item x="1260"/>
        <item x="313"/>
        <item x="1744"/>
        <item x="2231"/>
        <item x="2257"/>
        <item x="426"/>
        <item x="1673"/>
        <item x="1393"/>
        <item x="1392"/>
        <item x="10"/>
        <item x="1944"/>
        <item x="2263"/>
        <item x="1136"/>
        <item x="2282"/>
        <item x="1669"/>
        <item x="2007"/>
        <item x="2006"/>
        <item x="1181"/>
        <item x="1976"/>
        <item x="1307"/>
        <item x="2008"/>
        <item x="1650"/>
        <item x="1620"/>
        <item x="2237"/>
        <item x="1980"/>
        <item x="1055"/>
        <item x="62"/>
        <item x="346"/>
        <item x="2254"/>
        <item x="1334"/>
        <item x="281"/>
        <item x="1240"/>
        <item x="2236"/>
        <item x="1849"/>
        <item x="1961"/>
        <item x="2235"/>
        <item x="1670"/>
        <item x="1962"/>
        <item x="319"/>
        <item x="1651"/>
        <item x="1576"/>
        <item x="1727"/>
        <item x="327"/>
        <item x="1859"/>
        <item x="2063"/>
        <item x="1296"/>
        <item x="1994"/>
        <item x="1671"/>
        <item x="1279"/>
        <item x="349"/>
        <item x="581"/>
        <item x="1857"/>
        <item x="824"/>
        <item x="1278"/>
        <item x="1302"/>
        <item x="11"/>
        <item x="1644"/>
        <item x="1612"/>
        <item x="1649"/>
        <item x="1264"/>
        <item x="2042"/>
        <item x="1568"/>
        <item x="2248"/>
        <item x="823"/>
        <item x="2298"/>
        <item x="715"/>
        <item x="1964"/>
        <item x="1749"/>
        <item x="347"/>
        <item x="2245"/>
        <item x="328"/>
        <item x="1187"/>
        <item x="1138"/>
        <item x="342"/>
        <item x="2090"/>
        <item x="1183"/>
        <item x="18"/>
        <item x="1578"/>
        <item x="407"/>
        <item x="2091"/>
        <item x="2035"/>
        <item x="1254"/>
        <item x="1946"/>
        <item x="1215"/>
        <item x="1672"/>
        <item x="2240"/>
        <item x="1288"/>
        <item x="1274"/>
        <item x="616"/>
        <item x="1333"/>
        <item x="182"/>
        <item x="1756"/>
        <item x="1579"/>
        <item x="1035"/>
        <item x="1313"/>
        <item x="1596"/>
        <item x="793"/>
        <item x="2092"/>
        <item x="1697"/>
        <item x="2230"/>
        <item x="431"/>
        <item x="1394"/>
        <item x="1580"/>
        <item x="19"/>
        <item x="1943"/>
        <item x="2021"/>
        <item x="2040"/>
        <item x="1326"/>
        <item x="2251"/>
        <item x="20"/>
        <item x="1975"/>
        <item x="1208"/>
        <item x="341"/>
        <item x="26"/>
        <item x="1175"/>
        <item x="1304"/>
        <item x="1687"/>
        <item x="1945"/>
        <item x="1686"/>
        <item x="2264"/>
        <item x="406"/>
        <item x="1634"/>
        <item x="1281"/>
        <item x="2049"/>
        <item x="1985"/>
        <item x="1738"/>
        <item x="1053"/>
        <item x="1963"/>
        <item x="1594"/>
        <item x="1214"/>
        <item x="2273"/>
        <item x="1379"/>
        <item x="1632"/>
        <item x="1573"/>
        <item x="2246"/>
        <item x="2289"/>
        <item x="2010"/>
        <item x="317"/>
        <item x="1787"/>
        <item x="2025"/>
        <item x="1689"/>
        <item x="1712"/>
        <item x="1865"/>
        <item x="1856"/>
        <item x="1577"/>
        <item x="1206"/>
        <item x="9"/>
        <item x="356"/>
        <item x="1259"/>
        <item x="1389"/>
        <item x="2265"/>
        <item x="2290"/>
        <item x="1747"/>
        <item x="2218"/>
        <item x="1750"/>
        <item x="2039"/>
        <item x="1599"/>
        <item x="464"/>
        <item x="1286"/>
        <item x="354"/>
        <item x="696"/>
        <item x="1390"/>
        <item x="1218"/>
        <item x="1699"/>
        <item x="16"/>
        <item x="1581"/>
        <item x="1207"/>
        <item x="2020"/>
        <item x="1700"/>
        <item x="2047"/>
        <item x="1184"/>
        <item x="794"/>
        <item x="1369"/>
        <item x="1631"/>
        <item x="1638"/>
        <item x="1213"/>
        <item x="1128"/>
        <item x="2234"/>
        <item x="358"/>
        <item x="1840"/>
        <item x="59"/>
        <item x="2022"/>
        <item x="1782"/>
        <item x="1986"/>
        <item x="1693"/>
        <item x="1746"/>
        <item x="1572"/>
        <item x="1058"/>
        <item x="1786"/>
        <item x="1050"/>
        <item x="2272"/>
        <item x="1653"/>
        <item x="787"/>
        <item x="1301"/>
        <item x="1567"/>
        <item x="1726"/>
        <item x="1305"/>
        <item x="1989"/>
        <item x="2297"/>
        <item x="2034"/>
        <item x="1209"/>
        <item x="790"/>
        <item x="1983"/>
        <item x="1325"/>
        <item x="1785"/>
        <item x="1790"/>
        <item x="1233"/>
        <item x="1648"/>
        <item x="1783"/>
        <item x="1598"/>
        <item x="1831"/>
        <item x="355"/>
        <item x="1049"/>
        <item x="1253"/>
        <item x="1216"/>
        <item x="2261"/>
        <item x="982"/>
        <item x="2016"/>
        <item x="2244"/>
        <item x="1784"/>
        <item x="1367"/>
        <item x="2238"/>
        <item x="2226"/>
        <item x="1374"/>
        <item x="550"/>
        <item x="2292"/>
        <item x="2229"/>
        <item x="1217"/>
        <item x="1739"/>
        <item x="1690"/>
        <item x="1235"/>
        <item x="1582"/>
        <item x="1368"/>
        <item x="1127"/>
        <item x="1388"/>
        <item x="1751"/>
        <item x="2048"/>
        <item x="2243"/>
        <item x="676"/>
        <item x="1748"/>
        <item x="1830"/>
        <item x="1958"/>
        <item x="1330"/>
        <item x="1735"/>
        <item x="1791"/>
        <item x="28"/>
        <item x="1586"/>
        <item x="1593"/>
        <item x="1934"/>
        <item x="1226"/>
        <item x="1675"/>
        <item x="2259"/>
        <item x="352"/>
        <item x="2051"/>
        <item x="2260"/>
        <item x="1937"/>
        <item x="2038"/>
        <item x="1674"/>
        <item x="1391"/>
        <item x="1781"/>
        <item x="1637"/>
        <item x="1973"/>
        <item x="1263"/>
        <item x="1680"/>
        <item x="2220"/>
        <item x="340"/>
        <item x="2284"/>
        <item x="1185"/>
        <item x="1566"/>
        <item x="786"/>
        <item x="2215"/>
        <item x="549"/>
        <item x="2033"/>
        <item x="1984"/>
        <item x="2216"/>
        <item x="1810"/>
        <item x="1280"/>
        <item x="25"/>
        <item x="1679"/>
        <item x="2217"/>
        <item x="1201"/>
        <item x="463"/>
        <item x="22"/>
        <item x="1920"/>
        <item x="344"/>
        <item x="1752"/>
        <item x="2213"/>
        <item x="2062"/>
        <item x="1224"/>
        <item x="1324"/>
        <item x="2225"/>
        <item x="2224"/>
        <item x="1052"/>
        <item x="1051"/>
        <item x="1979"/>
        <item x="1939"/>
        <item x="1312"/>
        <item x="1936"/>
        <item x="2214"/>
        <item x="1255"/>
        <item x="1938"/>
        <item x="2019"/>
        <item x="789"/>
        <item x="17"/>
        <item x="1681"/>
        <item x="1688"/>
        <item x="1565"/>
        <item x="1205"/>
        <item x="1924"/>
        <item x="430"/>
        <item x="2219"/>
        <item x="2045"/>
        <item x="2144"/>
        <item x="1548"/>
        <item x="1621"/>
        <item x="1676"/>
        <item x="1571"/>
        <item x="1645"/>
        <item x="1078"/>
        <item x="1180"/>
        <item x="1745"/>
        <item x="1225"/>
        <item x="727"/>
        <item x="1811"/>
        <item x="2064"/>
        <item x="1753"/>
        <item x="2012"/>
        <item x="2030"/>
        <item x="1960"/>
        <item x="2212"/>
        <item x="2015"/>
        <item x="404"/>
        <item x="105"/>
        <item x="1809"/>
        <item x="1204"/>
        <item x="1957"/>
        <item x="353"/>
        <item x="1935"/>
        <item x="1562"/>
        <item x="1931"/>
        <item x="1678"/>
        <item x="1123"/>
        <item x="1252"/>
        <item x="1048"/>
        <item x="1930"/>
        <item x="2055"/>
        <item x="1373"/>
        <item x="1923"/>
        <item x="1366"/>
        <item x="1239"/>
        <item x="405"/>
        <item x="1808"/>
        <item x="1133"/>
        <item x="1336"/>
        <item x="1122"/>
        <item x="2228"/>
        <item x="1212"/>
        <item x="2300"/>
        <item x="1821"/>
        <item x="1832"/>
        <item x="345"/>
        <item x="2011"/>
        <item x="58"/>
        <item x="343"/>
        <item x="723"/>
        <item x="339"/>
        <item x="1734"/>
        <item x="1335"/>
        <item x="1677"/>
        <item x="1378"/>
        <item x="1547"/>
        <item x="60"/>
        <item x="2281"/>
        <item x="2097"/>
        <item x="1988"/>
        <item x="1978"/>
        <item x="1592"/>
        <item x="1698"/>
        <item x="713"/>
        <item x="7"/>
        <item x="795"/>
        <item x="2065"/>
        <item x="2067"/>
        <item x="1057"/>
        <item x="1959"/>
        <item x="1780"/>
        <item x="1124"/>
        <item x="2037"/>
        <item x="1705"/>
        <item x="1244"/>
        <item x="2032"/>
        <item x="24"/>
        <item x="1372"/>
        <item x="1056"/>
        <item x="1266"/>
        <item x="1921"/>
        <item x="2210"/>
        <item x="1242"/>
        <item x="1564"/>
        <item x="1088"/>
        <item x="1243"/>
        <item x="1927"/>
        <item x="1792"/>
        <item x="61"/>
        <item x="2233"/>
        <item x="792"/>
        <item x="719"/>
        <item x="1652"/>
        <item x="1552"/>
        <item x="2094"/>
        <item x="1359"/>
        <item x="2061"/>
        <item x="1647"/>
        <item x="1741"/>
        <item x="1561"/>
        <item x="2060"/>
        <item x="1210"/>
        <item x="1956"/>
        <item x="1287"/>
        <item x="1731"/>
        <item x="1933"/>
        <item x="1376"/>
        <item x="2211"/>
        <item x="2066"/>
        <item x="2279"/>
        <item x="1919"/>
        <item x="714"/>
        <item x="1922"/>
        <item x="1793"/>
        <item x="2098"/>
        <item x="1779"/>
        <item x="1925"/>
        <item x="720"/>
        <item x="2209"/>
        <item x="326"/>
        <item x="721"/>
        <item x="1559"/>
        <item x="1918"/>
        <item x="1569"/>
        <item x="1551"/>
        <item x="1740"/>
        <item x="1928"/>
        <item x="1308"/>
        <item x="1245"/>
        <item x="1541"/>
        <item x="2070"/>
        <item x="788"/>
        <item x="717"/>
        <item x="1251"/>
        <item x="1707"/>
        <item x="8"/>
        <item x="1032"/>
        <item x="1211"/>
        <item x="1563"/>
        <item x="832"/>
        <item x="1818"/>
        <item x="351"/>
        <item x="1360"/>
        <item x="1085"/>
        <item x="2223"/>
        <item x="1597"/>
        <item x="1929"/>
        <item x="2029"/>
        <item x="2208"/>
        <item x="1914"/>
        <item x="1132"/>
        <item x="2071"/>
        <item x="1236"/>
        <item x="1203"/>
        <item x="785"/>
        <item x="1913"/>
        <item x="361"/>
        <item x="2296"/>
        <item x="1546"/>
        <item x="1544"/>
        <item x="1540"/>
        <item x="1817"/>
        <item x="1395"/>
        <item x="1570"/>
        <item x="2145"/>
        <item x="1364"/>
        <item x="1177"/>
        <item x="318"/>
        <item x="1328"/>
        <item x="1179"/>
        <item x="1733"/>
        <item x="403"/>
        <item x="2293"/>
        <item x="1346"/>
        <item x="2046"/>
        <item x="471"/>
        <item x="1926"/>
        <item x="1819"/>
        <item x="1246"/>
        <item x="359"/>
        <item x="2137"/>
        <item x="2102"/>
        <item x="1755"/>
        <item x="2099"/>
        <item x="1193"/>
        <item x="1434"/>
        <item x="2054"/>
        <item x="21"/>
        <item x="1589"/>
        <item x="1083"/>
        <item x="1646"/>
        <item x="1585"/>
        <item x="1329"/>
        <item x="1258"/>
        <item x="2139"/>
        <item x="1778"/>
        <item x="1940"/>
        <item x="1987"/>
        <item x="1238"/>
        <item x="1952"/>
        <item x="23"/>
        <item x="1377"/>
        <item x="1363"/>
        <item x="1545"/>
        <item x="1915"/>
        <item x="1318"/>
        <item x="1728"/>
        <item x="1828"/>
        <item x="2146"/>
        <item x="1125"/>
        <item x="734"/>
        <item x="2018"/>
        <item x="2207"/>
        <item x="1250"/>
        <item x="1804"/>
        <item x="1362"/>
        <item x="1932"/>
        <item x="2138"/>
        <item x="725"/>
        <item x="1794"/>
        <item x="1560"/>
        <item x="1543"/>
        <item x="2059"/>
        <item x="2250"/>
        <item x="1730"/>
        <item x="1829"/>
        <item x="2028"/>
        <item x="1806"/>
        <item x="338"/>
        <item x="711"/>
        <item x="748"/>
        <item x="1121"/>
        <item x="1807"/>
        <item x="2131"/>
        <item x="724"/>
        <item x="1820"/>
        <item x="1354"/>
        <item x="718"/>
        <item x="741"/>
        <item x="1347"/>
        <item x="2140"/>
        <item x="1836"/>
        <item x="1550"/>
        <item x="712"/>
        <item x="1202"/>
        <item x="1433"/>
        <item x="736"/>
        <item x="1223"/>
        <item x="1320"/>
        <item x="1549"/>
        <item x="1365"/>
        <item x="1323"/>
        <item x="1231"/>
        <item x="2093"/>
        <item x="2031"/>
        <item x="2100"/>
        <item x="1542"/>
        <item x="29"/>
        <item x="1916"/>
        <item x="614"/>
        <item x="1912"/>
        <item x="1917"/>
        <item x="1256"/>
        <item x="2278"/>
        <item x="2088"/>
        <item x="1047"/>
        <item x="1797"/>
        <item x="1910"/>
        <item x="402"/>
        <item x="2103"/>
        <item x="1803"/>
        <item x="2136"/>
        <item x="1757"/>
        <item x="1353"/>
        <item x="726"/>
        <item x="547"/>
        <item x="1558"/>
        <item x="2133"/>
        <item x="2294"/>
        <item x="1084"/>
        <item x="1590"/>
        <item x="2130"/>
        <item x="364"/>
        <item x="2056"/>
        <item x="1342"/>
        <item x="1087"/>
        <item x="730"/>
        <item x="1729"/>
        <item x="1796"/>
        <item x="1358"/>
        <item x="2084"/>
        <item x="546"/>
        <item x="360"/>
        <item x="2072"/>
        <item x="1321"/>
        <item x="1311"/>
        <item x="1805"/>
        <item x="2069"/>
        <item x="2280"/>
        <item x="1816"/>
        <item x="2086"/>
        <item x="2089"/>
        <item x="1248"/>
        <item x="1557"/>
        <item x="1812"/>
        <item x="1777"/>
        <item x="54"/>
        <item x="1031"/>
        <item x="2083"/>
        <item x="1400"/>
        <item x="2132"/>
        <item x="742"/>
        <item x="1222"/>
        <item x="1371"/>
        <item x="749"/>
        <item x="1911"/>
        <item x="1322"/>
        <item x="1090"/>
        <item x="1866"/>
        <item x="1191"/>
        <item x="1553"/>
        <item x="2082"/>
        <item x="2129"/>
        <item x="366"/>
        <item x="2135"/>
        <item x="2134"/>
        <item x="1798"/>
        <item x="1706"/>
        <item x="1591"/>
        <item x="1732"/>
        <item x="708"/>
        <item x="722"/>
        <item x="2087"/>
        <item x="743"/>
        <item x="55"/>
        <item x="1091"/>
        <item x="707"/>
        <item x="369"/>
        <item x="1754"/>
        <item x="1908"/>
        <item x="1117"/>
        <item x="784"/>
        <item x="1319"/>
        <item x="2227"/>
        <item x="108"/>
        <item x="2096"/>
        <item x="2206"/>
        <item x="733"/>
        <item x="1776"/>
        <item x="1815"/>
        <item x="362"/>
        <item x="1463"/>
        <item x="2143"/>
        <item x="1539"/>
        <item x="2148"/>
        <item x="1096"/>
        <item x="706"/>
        <item x="365"/>
        <item x="709"/>
        <item x="1046"/>
        <item x="1537"/>
        <item x="1126"/>
        <item x="2101"/>
        <item x="1554"/>
        <item x="1397"/>
        <item x="2000"/>
        <item x="1116"/>
        <item x="737"/>
        <item x="1907"/>
        <item x="1089"/>
        <item x="747"/>
        <item x="2204"/>
        <item x="2295"/>
        <item x="1909"/>
        <item x="1835"/>
        <item x="1837"/>
        <item x="401"/>
        <item x="2149"/>
        <item x="2203"/>
        <item x="2085"/>
        <item x="1396"/>
        <item x="1906"/>
        <item x="615"/>
        <item x="2058"/>
        <item x="1814"/>
        <item x="1352"/>
        <item x="1355"/>
        <item x="2078"/>
        <item x="1247"/>
        <item x="1455"/>
        <item x="1249"/>
        <item x="1343"/>
        <item x="1538"/>
        <item x="494"/>
        <item x="1432"/>
        <item x="2095"/>
        <item x="2081"/>
        <item x="57"/>
        <item x="2057"/>
        <item x="1536"/>
        <item x="738"/>
        <item x="2147"/>
        <item x="745"/>
        <item x="1361"/>
        <item x="2299"/>
        <item x="1237"/>
        <item x="1535"/>
        <item x="1375"/>
        <item x="1435"/>
        <item x="1120"/>
        <item x="1775"/>
        <item x="2027"/>
        <item x="312"/>
        <item x="1802"/>
        <item x="2205"/>
        <item x="1310"/>
        <item x="1464"/>
        <item x="791"/>
        <item x="1192"/>
        <item x="33"/>
        <item x="2080"/>
        <item x="740"/>
        <item x="337"/>
        <item x="752"/>
        <item x="1485"/>
        <item x="2202"/>
        <item x="53"/>
        <item x="2123"/>
        <item x="1115"/>
        <item x="2124"/>
        <item x="710"/>
        <item x="729"/>
        <item x="1770"/>
        <item x="2068"/>
        <item x="1534"/>
        <item x="735"/>
        <item x="731"/>
        <item x="1462"/>
        <item x="1095"/>
        <item x="1458"/>
        <item x="1454"/>
        <item x="732"/>
        <item x="1257"/>
        <item x="376"/>
        <item x="877"/>
        <item x="2152"/>
        <item x="2127"/>
        <item x="1813"/>
        <item x="1869"/>
        <item x="336"/>
        <item x="1905"/>
        <item x="2126"/>
        <item x="2128"/>
        <item x="335"/>
        <item x="1972"/>
        <item x="2079"/>
        <item x="2157"/>
        <item x="1357"/>
        <item x="400"/>
        <item x="1588"/>
        <item x="368"/>
        <item x="2119"/>
        <item x="1345"/>
        <item x="1450"/>
        <item x="1953"/>
        <item x="378"/>
        <item x="1451"/>
        <item x="1999"/>
        <item x="1555"/>
        <item x="375"/>
        <item x="1431"/>
        <item x="746"/>
        <item x="1457"/>
        <item x="1771"/>
        <item x="2201"/>
        <item x="1436"/>
        <item x="2121"/>
        <item x="2074"/>
        <item x="2053"/>
        <item x="783"/>
        <item x="1795"/>
        <item x="1114"/>
        <item x="329"/>
        <item x="274"/>
        <item x="1868"/>
        <item x="1430"/>
        <item x="753"/>
        <item x="2125"/>
        <item x="56"/>
        <item x="2151"/>
        <item x="1428"/>
        <item x="1094"/>
        <item x="1086"/>
        <item x="1533"/>
        <item x="1401"/>
        <item x="377"/>
        <item x="2118"/>
        <item x="1265"/>
        <item x="2153"/>
        <item x="1834"/>
        <item x="1486"/>
        <item x="1467"/>
        <item x="2122"/>
        <item x="1465"/>
        <item x="755"/>
        <item x="1449"/>
        <item x="1774"/>
        <item x="697"/>
        <item x="1459"/>
        <item x="2164"/>
        <item x="1483"/>
        <item x="1468"/>
        <item x="705"/>
        <item x="1902"/>
        <item x="1769"/>
        <item x="751"/>
        <item x="1903"/>
        <item x="754"/>
        <item x="728"/>
        <item x="1341"/>
        <item x="1477"/>
        <item x="32"/>
        <item x="2120"/>
        <item x="744"/>
        <item x="2166"/>
        <item x="2159"/>
        <item x="1429"/>
        <item x="2117"/>
        <item x="334"/>
        <item x="2171"/>
        <item x="1466"/>
        <item x="1955"/>
        <item x="1584"/>
        <item x="52"/>
        <item x="399"/>
        <item x="1475"/>
        <item x="2158"/>
        <item x="1799"/>
        <item x="1473"/>
        <item x="1532"/>
        <item x="1870"/>
        <item x="2116"/>
        <item x="1045"/>
        <item x="1901"/>
        <item x="1469"/>
        <item x="1178"/>
        <item x="1344"/>
        <item x="1556"/>
        <item x="1370"/>
        <item x="2156"/>
        <item x="2077"/>
        <item x="1476"/>
        <item x="2115"/>
        <item x="1461"/>
        <item x="367"/>
        <item x="1351"/>
        <item x="51"/>
        <item x="2142"/>
        <item x="1437"/>
        <item x="1131"/>
        <item x="1189"/>
        <item x="372"/>
        <item x="379"/>
        <item x="1427"/>
        <item x="2165"/>
        <item x="1422"/>
        <item x="383"/>
        <item x="1190"/>
        <item x="1456"/>
        <item x="382"/>
        <item x="1423"/>
        <item x="31"/>
        <item x="34"/>
        <item x="543"/>
        <item x="2163"/>
        <item x="2200"/>
        <item x="1900"/>
        <item x="1833"/>
        <item x="1480"/>
        <item x="1340"/>
        <item x="1438"/>
        <item x="381"/>
        <item x="1899"/>
        <item x="1356"/>
        <item x="2150"/>
        <item x="1098"/>
        <item x="1442"/>
        <item x="1529"/>
        <item x="374"/>
        <item x="1904"/>
        <item x="1426"/>
        <item x="1768"/>
        <item x="1441"/>
        <item x="1474"/>
        <item x="1453"/>
        <item x="1482"/>
        <item x="1460"/>
        <item x="1491"/>
        <item x="1528"/>
        <item x="1827"/>
        <item x="1472"/>
        <item x="2154"/>
        <item x="2052"/>
        <item x="1488"/>
        <item x="782"/>
        <item x="373"/>
        <item x="1481"/>
        <item x="2162"/>
        <item x="1092"/>
        <item x="750"/>
        <item x="2221"/>
        <item x="1470"/>
        <item x="2199"/>
        <item x="1531"/>
        <item x="1898"/>
        <item x="371"/>
        <item x="1399"/>
        <item x="1801"/>
        <item x="2104"/>
        <item x="50"/>
        <item x="1498"/>
        <item x="1113"/>
        <item x="1527"/>
        <item x="370"/>
        <item x="1350"/>
        <item x="2222"/>
        <item x="1492"/>
        <item x="1421"/>
        <item x="1490"/>
        <item x="1530"/>
        <item x="1871"/>
        <item x="1484"/>
        <item x="1773"/>
        <item x="1479"/>
        <item x="2249"/>
        <item x="1489"/>
        <item x="1526"/>
        <item x="1824"/>
        <item x="1823"/>
        <item x="1425"/>
        <item x="1897"/>
        <item x="1097"/>
        <item x="2114"/>
        <item x="2160"/>
        <item x="704"/>
        <item x="2173"/>
        <item x="1825"/>
        <item x="1873"/>
        <item x="1772"/>
        <item x="333"/>
        <item x="1487"/>
        <item x="1954"/>
        <item x="1494"/>
        <item x="1872"/>
        <item x="1418"/>
        <item x="2073"/>
        <item x="398"/>
        <item x="35"/>
        <item x="1495"/>
        <item x="1448"/>
        <item x="1188"/>
        <item x="1767"/>
        <item x="1232"/>
        <item x="1439"/>
        <item x="2198"/>
        <item x="2301"/>
        <item x="2155"/>
        <item x="1478"/>
        <item x="1093"/>
        <item x="2161"/>
        <item x="1414"/>
        <item x="2197"/>
        <item x="1415"/>
        <item x="779"/>
        <item x="36"/>
        <item x="1896"/>
        <item x="739"/>
        <item x="1471"/>
        <item x="1766"/>
        <item x="1758"/>
        <item x="1446"/>
        <item x="30"/>
        <item x="1417"/>
        <item x="1876"/>
        <item x="1493"/>
        <item x="1099"/>
        <item x="2113"/>
        <item x="542"/>
        <item x="1349"/>
        <item x="1496"/>
        <item x="2141"/>
        <item x="1419"/>
        <item x="2178"/>
        <item x="1826"/>
        <item x="1339"/>
        <item x="1800"/>
        <item x="1118"/>
        <item x="1877"/>
        <item x="380"/>
        <item x="49"/>
        <item x="703"/>
        <item x="1875"/>
        <item x="1416"/>
        <item x="781"/>
        <item x="1420"/>
        <item x="1443"/>
        <item x="1497"/>
        <item x="2196"/>
        <item x="1895"/>
        <item x="1309"/>
        <item x="2177"/>
        <item x="1413"/>
        <item x="1447"/>
        <item x="775"/>
        <item x="397"/>
        <item x="1874"/>
        <item x="1424"/>
        <item x="2172"/>
        <item x="1525"/>
        <item x="1878"/>
        <item x="1440"/>
        <item x="1043"/>
        <item x="1119"/>
        <item x="384"/>
        <item x="1867"/>
        <item x="1398"/>
        <item x="1412"/>
        <item x="1765"/>
        <item x="1499"/>
        <item x="2195"/>
        <item x="1452"/>
        <item x="1524"/>
        <item x="1444"/>
        <item x="1523"/>
        <item x="1040"/>
        <item x="2176"/>
        <item x="1044"/>
        <item x="2174"/>
        <item x="702"/>
        <item x="2112"/>
        <item x="1112"/>
        <item x="1894"/>
        <item x="1764"/>
        <item x="385"/>
        <item x="774"/>
        <item x="396"/>
        <item x="363"/>
        <item x="1041"/>
        <item x="1042"/>
        <item x="37"/>
        <item x="48"/>
        <item x="772"/>
        <item x="2170"/>
        <item x="387"/>
        <item x="1522"/>
        <item x="756"/>
        <item x="1500"/>
        <item x="332"/>
        <item x="1100"/>
        <item x="1763"/>
        <item x="38"/>
        <item x="1445"/>
        <item x="776"/>
        <item x="47"/>
        <item x="1411"/>
        <item x="1402"/>
        <item x="2175"/>
        <item x="2075"/>
        <item x="1893"/>
        <item x="2076"/>
        <item x="1111"/>
        <item x="2167"/>
        <item x="1501"/>
        <item x="2181"/>
        <item x="1348"/>
        <item x="757"/>
        <item x="771"/>
        <item x="2180"/>
        <item x="773"/>
        <item x="395"/>
        <item x="1521"/>
        <item x="778"/>
        <item x="1039"/>
        <item x="275"/>
        <item x="1110"/>
        <item x="2194"/>
        <item x="1502"/>
        <item x="1410"/>
        <item x="386"/>
        <item x="701"/>
        <item x="1338"/>
        <item x="1036"/>
        <item x="2111"/>
        <item x="2168"/>
        <item x="1892"/>
        <item x="2179"/>
        <item x="46"/>
        <item x="2182"/>
        <item x="1762"/>
        <item x="1504"/>
        <item x="2169"/>
        <item x="777"/>
        <item x="758"/>
        <item x="759"/>
        <item x="1505"/>
        <item x="388"/>
        <item x="1503"/>
        <item x="1408"/>
        <item x="1109"/>
        <item x="39"/>
        <item x="1409"/>
        <item x="1520"/>
        <item x="2183"/>
        <item x="2110"/>
        <item x="1102"/>
        <item x="1891"/>
        <item x="770"/>
        <item x="700"/>
        <item x="1108"/>
        <item x="394"/>
        <item x="1407"/>
        <item x="40"/>
        <item x="1883"/>
        <item x="1879"/>
        <item x="760"/>
        <item x="1101"/>
        <item x="2109"/>
        <item x="769"/>
        <item x="45"/>
        <item x="1761"/>
        <item x="1890"/>
        <item x="2193"/>
        <item x="389"/>
        <item x="1519"/>
        <item x="2192"/>
        <item x="2191"/>
        <item x="1881"/>
        <item x="1882"/>
        <item x="1406"/>
        <item x="1880"/>
        <item x="331"/>
        <item x="2184"/>
        <item x="761"/>
        <item x="1103"/>
        <item x="1884"/>
        <item x="768"/>
        <item x="1889"/>
        <item x="2190"/>
        <item x="41"/>
        <item x="780"/>
        <item x="1107"/>
        <item x="1337"/>
        <item x="1038"/>
        <item x="1518"/>
        <item x="390"/>
        <item x="699"/>
        <item x="393"/>
        <item x="2189"/>
        <item x="2185"/>
        <item x="2108"/>
        <item x="1517"/>
        <item x="762"/>
        <item x="1405"/>
        <item x="1509"/>
        <item x="767"/>
        <item x="1508"/>
        <item x="44"/>
        <item x="1888"/>
        <item x="2107"/>
        <item x="1510"/>
        <item x="1885"/>
        <item x="1507"/>
        <item x="1760"/>
        <item x="1106"/>
        <item x="1516"/>
        <item x="1514"/>
        <item x="2188"/>
        <item x="2106"/>
        <item x="1511"/>
        <item x="765"/>
        <item x="1515"/>
        <item x="1506"/>
        <item x="766"/>
        <item x="330"/>
        <item x="1512"/>
        <item x="1404"/>
        <item x="698"/>
        <item x="1037"/>
        <item x="392"/>
        <item x="1759"/>
        <item x="1887"/>
        <item x="2105"/>
        <item x="1105"/>
        <item x="43"/>
        <item x="2187"/>
        <item x="764"/>
        <item x="1403"/>
        <item x="42"/>
        <item x="391"/>
        <item x="1104"/>
        <item x="1886"/>
        <item x="2186"/>
        <item x="1513"/>
        <item x="763"/>
        <item x="2302"/>
        <item t="default"/>
      </items>
    </pivotField>
    <pivotField dataField="1" compact="0" outline="0" showAll="0">
      <items count="2272">
        <item x="1807"/>
        <item x="136"/>
        <item x="139"/>
        <item x="153"/>
        <item x="152"/>
        <item x="143"/>
        <item x="154"/>
        <item x="138"/>
        <item x="151"/>
        <item x="148"/>
        <item x="146"/>
        <item x="908"/>
        <item x="142"/>
        <item x="137"/>
        <item x="144"/>
        <item x="235"/>
        <item x="145"/>
        <item x="167"/>
        <item x="221"/>
        <item x="222"/>
        <item x="168"/>
        <item x="140"/>
        <item x="160"/>
        <item x="166"/>
        <item x="156"/>
        <item x="230"/>
        <item x="229"/>
        <item x="159"/>
        <item x="157"/>
        <item x="150"/>
        <item x="173"/>
        <item x="214"/>
        <item x="172"/>
        <item x="155"/>
        <item x="249"/>
        <item x="201"/>
        <item x="169"/>
        <item x="163"/>
        <item x="161"/>
        <item x="171"/>
        <item x="220"/>
        <item x="234"/>
        <item x="174"/>
        <item x="207"/>
        <item x="147"/>
        <item x="170"/>
        <item x="165"/>
        <item x="215"/>
        <item x="149"/>
        <item x="202"/>
        <item x="158"/>
        <item x="248"/>
        <item x="141"/>
        <item x="203"/>
        <item x="223"/>
        <item x="231"/>
        <item x="225"/>
        <item x="213"/>
        <item x="206"/>
        <item x="204"/>
        <item x="205"/>
        <item x="199"/>
        <item x="228"/>
        <item x="190"/>
        <item x="162"/>
        <item x="193"/>
        <item x="250"/>
        <item x="198"/>
        <item x="247"/>
        <item x="236"/>
        <item x="216"/>
        <item x="232"/>
        <item x="226"/>
        <item x="219"/>
        <item x="133"/>
        <item x="180"/>
        <item x="189"/>
        <item x="188"/>
        <item x="211"/>
        <item x="245"/>
        <item x="217"/>
        <item x="196"/>
        <item x="262"/>
        <item x="187"/>
        <item x="191"/>
        <item x="210"/>
        <item x="921"/>
        <item x="178"/>
        <item x="164"/>
        <item x="218"/>
        <item x="227"/>
        <item x="181"/>
        <item x="224"/>
        <item x="197"/>
        <item x="132"/>
        <item x="244"/>
        <item x="177"/>
        <item x="194"/>
        <item x="175"/>
        <item x="186"/>
        <item x="97"/>
        <item x="263"/>
        <item x="529"/>
        <item x="134"/>
        <item x="98"/>
        <item x="99"/>
        <item x="179"/>
        <item x="195"/>
        <item x="135"/>
        <item x="176"/>
        <item x="212"/>
        <item x="238"/>
        <item x="200"/>
        <item x="246"/>
        <item x="131"/>
        <item x="237"/>
        <item x="192"/>
        <item x="947"/>
        <item x="243"/>
        <item x="96"/>
        <item x="946"/>
        <item x="117"/>
        <item x="261"/>
        <item x="130"/>
        <item x="126"/>
        <item x="255"/>
        <item x="100"/>
        <item x="94"/>
        <item x="95"/>
        <item x="185"/>
        <item x="129"/>
        <item x="93"/>
        <item x="89"/>
        <item x="259"/>
        <item x="254"/>
        <item x="116"/>
        <item x="127"/>
        <item x="182"/>
        <item x="90"/>
        <item x="125"/>
        <item x="233"/>
        <item x="84"/>
        <item x="83"/>
        <item x="680"/>
        <item x="609"/>
        <item x="88"/>
        <item x="601"/>
        <item x="297"/>
        <item x="121"/>
        <item x="575"/>
        <item x="1012"/>
        <item x="115"/>
        <item x="209"/>
        <item x="270"/>
        <item x="577"/>
        <item x="681"/>
        <item x="241"/>
        <item x="284"/>
        <item x="962"/>
        <item x="679"/>
        <item x="82"/>
        <item x="92"/>
        <item x="120"/>
        <item x="268"/>
        <item x="101"/>
        <item x="119"/>
        <item x="1971"/>
        <item x="128"/>
        <item x="85"/>
        <item x="608"/>
        <item x="112"/>
        <item x="91"/>
        <item x="239"/>
        <item x="948"/>
        <item x="961"/>
        <item x="86"/>
        <item x="602"/>
        <item x="945"/>
        <item x="87"/>
        <item x="283"/>
        <item x="251"/>
        <item x="114"/>
        <item x="1972"/>
        <item x="76"/>
        <item x="574"/>
        <item x="955"/>
        <item x="75"/>
        <item x="949"/>
        <item x="589"/>
        <item x="569"/>
        <item x="599"/>
        <item x="603"/>
        <item x="111"/>
        <item x="530"/>
        <item x="271"/>
        <item x="565"/>
        <item x="113"/>
        <item x="269"/>
        <item x="1828"/>
        <item x="578"/>
        <item x="298"/>
        <item x="124"/>
        <item x="304"/>
        <item x="1008"/>
        <item x="78"/>
        <item x="1014"/>
        <item x="622"/>
        <item x="623"/>
        <item x="1021"/>
        <item x="954"/>
        <item x="1020"/>
        <item x="627"/>
        <item x="81"/>
        <item x="897"/>
        <item x="104"/>
        <item x="74"/>
        <item x="576"/>
        <item x="606"/>
        <item x="585"/>
        <item x="579"/>
        <item x="604"/>
        <item x="567"/>
        <item x="560"/>
        <item x="256"/>
        <item x="682"/>
        <item x="568"/>
        <item x="607"/>
        <item x="940"/>
        <item x="570"/>
        <item x="598"/>
        <item x="861"/>
        <item x="573"/>
        <item x="123"/>
        <item x="513"/>
        <item x="1833"/>
        <item x="77"/>
        <item x="257"/>
        <item x="971"/>
        <item x="860"/>
        <item x="588"/>
        <item x="634"/>
        <item x="939"/>
        <item x="970"/>
        <item x="925"/>
        <item x="593"/>
        <item x="610"/>
        <item x="1837"/>
        <item x="534"/>
        <item x="264"/>
        <item x="533"/>
        <item x="633"/>
        <item x="944"/>
        <item x="1009"/>
        <item x="1011"/>
        <item x="302"/>
        <item x="258"/>
        <item x="941"/>
        <item x="1004"/>
        <item x="678"/>
        <item x="1000"/>
        <item x="667"/>
        <item x="296"/>
        <item x="639"/>
        <item x="590"/>
        <item x="512"/>
        <item x="80"/>
        <item x="564"/>
        <item x="605"/>
        <item x="559"/>
        <item x="561"/>
        <item x="505"/>
        <item x="535"/>
        <item x="1001"/>
        <item x="484"/>
        <item x="592"/>
        <item x="267"/>
        <item x="208"/>
        <item x="1022"/>
        <item x="1013"/>
        <item x="901"/>
        <item x="1019"/>
        <item x="969"/>
        <item x="1007"/>
        <item x="301"/>
        <item x="668"/>
        <item x="628"/>
        <item x="600"/>
        <item x="1830"/>
        <item x="485"/>
        <item x="0"/>
        <item x="73"/>
        <item x="525"/>
        <item x="514"/>
        <item x="518"/>
        <item x="306"/>
        <item x="539"/>
        <item x="1836"/>
        <item x="960"/>
        <item x="847"/>
        <item x="584"/>
        <item x="566"/>
        <item x="242"/>
        <item x="299"/>
        <item x="70"/>
        <item x="285"/>
        <item x="596"/>
        <item x="253"/>
        <item x="1838"/>
        <item x="537"/>
        <item x="1829"/>
        <item x="515"/>
        <item x="583"/>
        <item x="898"/>
        <item x="71"/>
        <item x="854"/>
        <item x="906"/>
        <item x="307"/>
        <item x="665"/>
        <item x="907"/>
        <item x="504"/>
        <item x="959"/>
        <item x="664"/>
        <item x="538"/>
        <item x="1016"/>
        <item x="450"/>
        <item x="1835"/>
        <item x="595"/>
        <item x="997"/>
        <item x="666"/>
        <item x="894"/>
        <item x="926"/>
        <item x="972"/>
        <item x="881"/>
        <item x="905"/>
        <item x="532"/>
        <item x="1010"/>
        <item x="266"/>
        <item x="973"/>
        <item x="436"/>
        <item x="629"/>
        <item x="309"/>
        <item x="1827"/>
        <item x="305"/>
        <item x="956"/>
        <item x="896"/>
        <item x="1015"/>
        <item x="517"/>
        <item x="942"/>
        <item x="676"/>
        <item x="507"/>
        <item x="102"/>
        <item x="624"/>
        <item x="846"/>
        <item x="441"/>
        <item x="919"/>
        <item x="506"/>
        <item x="929"/>
        <item x="1842"/>
        <item x="293"/>
        <item x="917"/>
        <item x="1017"/>
        <item x="555"/>
        <item x="865"/>
        <item x="848"/>
        <item x="103"/>
        <item x="933"/>
        <item x="572"/>
        <item x="447"/>
        <item x="895"/>
        <item x="524"/>
        <item x="684"/>
        <item x="859"/>
        <item x="1005"/>
        <item x="288"/>
        <item x="571"/>
        <item x="536"/>
        <item x="1018"/>
        <item x="868"/>
        <item x="107"/>
        <item x="918"/>
        <item x="631"/>
        <item x="451"/>
        <item x="616"/>
        <item x="662"/>
        <item x="1023"/>
        <item x="998"/>
        <item x="1845"/>
        <item x="72"/>
        <item x="540"/>
        <item x="669"/>
        <item x="1950"/>
        <item x="118"/>
        <item x="916"/>
        <item x="503"/>
        <item x="862"/>
        <item x="453"/>
        <item x="834"/>
        <item x="1"/>
        <item x="621"/>
        <item x="68"/>
        <item x="663"/>
        <item x="444"/>
        <item x="996"/>
        <item x="282"/>
        <item x="597"/>
        <item x="981"/>
        <item x="435"/>
        <item x="993"/>
        <item x="964"/>
        <item x="867"/>
        <item x="632"/>
        <item x="1002"/>
        <item x="516"/>
        <item x="295"/>
        <item x="675"/>
        <item x="924"/>
        <item x="660"/>
        <item x="1839"/>
        <item x="591"/>
        <item x="611"/>
        <item x="1832"/>
        <item x="858"/>
        <item x="323"/>
        <item x="904"/>
        <item x="582"/>
        <item x="863"/>
        <item x="857"/>
        <item x="855"/>
        <item x="355"/>
        <item x="1147"/>
        <item x="999"/>
        <item x="452"/>
        <item x="440"/>
        <item x="685"/>
        <item x="443"/>
        <item x="630"/>
        <item x="528"/>
        <item x="1146"/>
        <item x="1973"/>
        <item x="617"/>
        <item x="958"/>
        <item x="294"/>
        <item x="511"/>
        <item x="900"/>
        <item x="110"/>
        <item x="995"/>
        <item x="1841"/>
        <item x="587"/>
        <item x="446"/>
        <item x="683"/>
        <item x="670"/>
        <item x="278"/>
        <item x="434"/>
        <item x="1962"/>
        <item x="1629"/>
        <item x="882"/>
        <item x="849"/>
        <item x="508"/>
        <item x="928"/>
        <item x="1831"/>
        <item x="492"/>
        <item x="856"/>
        <item x="1844"/>
        <item x="938"/>
        <item x="292"/>
        <item x="902"/>
        <item x="275"/>
        <item x="866"/>
        <item x="625"/>
        <item x="308"/>
        <item x="265"/>
        <item x="640"/>
        <item x="6"/>
        <item x="943"/>
        <item x="922"/>
        <item x="654"/>
        <item x="984"/>
        <item x="871"/>
        <item x="618"/>
        <item x="883"/>
        <item x="980"/>
        <item x="483"/>
        <item x="870"/>
        <item x="626"/>
        <item x="635"/>
        <item x="1846"/>
        <item x="502"/>
        <item x="994"/>
        <item x="2"/>
        <item x="67"/>
        <item x="554"/>
        <item x="986"/>
        <item x="869"/>
        <item x="563"/>
        <item x="5"/>
        <item x="1848"/>
        <item x="1006"/>
        <item x="851"/>
        <item x="1847"/>
        <item x="439"/>
        <item x="985"/>
        <item x="661"/>
        <item x="864"/>
        <item x="982"/>
        <item x="277"/>
        <item x="845"/>
        <item x="66"/>
        <item x="975"/>
        <item x="445"/>
        <item x="893"/>
        <item x="677"/>
        <item x="276"/>
        <item x="287"/>
        <item x="937"/>
        <item x="69"/>
        <item x="1024"/>
        <item x="653"/>
        <item x="438"/>
        <item x="1843"/>
        <item x="13"/>
        <item x="594"/>
        <item x="674"/>
        <item x="1980"/>
        <item x="903"/>
        <item x="312"/>
        <item x="1834"/>
        <item x="843"/>
        <item x="936"/>
        <item x="659"/>
        <item x="853"/>
        <item x="647"/>
        <item x="909"/>
        <item x="526"/>
        <item x="437"/>
        <item x="12"/>
        <item x="983"/>
        <item x="122"/>
        <item x="1153"/>
        <item x="523"/>
        <item x="457"/>
        <item x="291"/>
        <item x="1145"/>
        <item x="553"/>
        <item x="318"/>
        <item x="844"/>
        <item x="2245"/>
        <item x="79"/>
        <item x="619"/>
        <item x="1949"/>
        <item x="833"/>
        <item x="313"/>
        <item x="4"/>
        <item x="322"/>
        <item x="433"/>
        <item x="552"/>
        <item x="887"/>
        <item x="874"/>
        <item x="927"/>
        <item x="888"/>
        <item x="454"/>
        <item x="913"/>
        <item x="992"/>
        <item x="1981"/>
        <item x="1931"/>
        <item x="1003"/>
        <item x="260"/>
        <item x="432"/>
        <item x="1970"/>
        <item x="510"/>
        <item x="449"/>
        <item x="850"/>
        <item x="1976"/>
        <item x="932"/>
        <item x="1975"/>
        <item x="1620"/>
        <item x="923"/>
        <item x="835"/>
        <item x="638"/>
        <item x="1653"/>
        <item x="1952"/>
        <item x="915"/>
        <item x="14"/>
        <item x="497"/>
        <item x="842"/>
        <item x="1148"/>
        <item x="1826"/>
        <item x="951"/>
        <item x="832"/>
        <item x="2019"/>
        <item x="458"/>
        <item x="658"/>
        <item x="15"/>
        <item x="499"/>
        <item x="974"/>
        <item x="1824"/>
        <item x="2246"/>
        <item x="1701"/>
        <item x="2013"/>
        <item x="1951"/>
        <item x="65"/>
        <item x="1619"/>
        <item x="688"/>
        <item x="252"/>
        <item x="1982"/>
        <item x="498"/>
        <item x="551"/>
        <item x="1151"/>
        <item x="1154"/>
        <item x="1823"/>
        <item x="642"/>
        <item x="20"/>
        <item x="109"/>
        <item x="987"/>
        <item x="2018"/>
        <item x="321"/>
        <item x="1991"/>
        <item x="1987"/>
        <item x="1840"/>
        <item x="1654"/>
        <item x="2001"/>
        <item x="463"/>
        <item x="671"/>
        <item x="1646"/>
        <item x="2016"/>
        <item x="2238"/>
        <item x="3"/>
        <item x="827"/>
        <item x="1932"/>
        <item x="501"/>
        <item x="1144"/>
        <item x="500"/>
        <item x="1977"/>
        <item x="493"/>
        <item x="27"/>
        <item x="813"/>
        <item x="1645"/>
        <item x="429"/>
        <item x="430"/>
        <item x="1958"/>
        <item x="1380"/>
        <item x="2026"/>
        <item x="352"/>
        <item x="1374"/>
        <item x="1599"/>
        <item x="19"/>
        <item x="1849"/>
        <item x="356"/>
        <item x="620"/>
        <item x="487"/>
        <item x="641"/>
        <item x="1225"/>
        <item x="910"/>
        <item x="2067"/>
        <item x="1155"/>
        <item x="422"/>
        <item x="16"/>
        <item x="892"/>
        <item x="979"/>
        <item x="456"/>
        <item x="462"/>
        <item x="2256"/>
        <item x="1995"/>
        <item x="2025"/>
        <item x="1934"/>
        <item x="1933"/>
        <item x="442"/>
        <item x="831"/>
        <item x="1983"/>
        <item x="1979"/>
        <item x="1688"/>
        <item x="656"/>
        <item x="10"/>
        <item x="826"/>
        <item x="1381"/>
        <item x="300"/>
        <item x="1618"/>
        <item x="2000"/>
        <item x="1152"/>
        <item x="354"/>
        <item x="2254"/>
        <item x="1948"/>
        <item x="875"/>
        <item x="991"/>
        <item x="353"/>
        <item x="1943"/>
        <item x="1149"/>
        <item x="1617"/>
        <item x="281"/>
        <item x="899"/>
        <item x="482"/>
        <item x="1378"/>
        <item x="2066"/>
        <item x="11"/>
        <item x="2239"/>
        <item x="920"/>
        <item x="1150"/>
        <item x="1658"/>
        <item x="652"/>
        <item x="2266"/>
        <item x="1992"/>
        <item x="1609"/>
        <item x="496"/>
        <item x="1986"/>
        <item x="1605"/>
        <item x="18"/>
        <item x="968"/>
        <item x="480"/>
        <item x="1925"/>
        <item x="1157"/>
        <item x="2068"/>
        <item x="2237"/>
        <item x="1984"/>
        <item x="1702"/>
        <item x="491"/>
        <item x="1648"/>
        <item x="646"/>
        <item x="2039"/>
        <item x="1930"/>
        <item x="481"/>
        <item x="841"/>
        <item x="1598"/>
        <item x="426"/>
        <item x="410"/>
        <item x="1226"/>
        <item x="1957"/>
        <item x="2244"/>
        <item x="509"/>
        <item x="1657"/>
        <item x="314"/>
        <item x="1708"/>
        <item x="1707"/>
        <item x="106"/>
        <item x="2012"/>
        <item x="636"/>
        <item x="886"/>
        <item x="1695"/>
        <item x="1377"/>
        <item x="877"/>
        <item x="1944"/>
        <item x="840"/>
        <item x="420"/>
        <item x="448"/>
        <item x="1985"/>
        <item x="686"/>
        <item x="838"/>
        <item x="286"/>
        <item x="455"/>
        <item x="822"/>
        <item x="1924"/>
        <item x="1955"/>
        <item x="806"/>
        <item x="2017"/>
        <item x="953"/>
        <item x="9"/>
        <item x="416"/>
        <item x="26"/>
        <item x="562"/>
        <item x="1158"/>
        <item x="1947"/>
        <item x="1988"/>
        <item x="1683"/>
        <item x="1616"/>
        <item x="1644"/>
        <item x="1974"/>
        <item x="520"/>
        <item x="655"/>
        <item x="912"/>
        <item x="409"/>
        <item x="1167"/>
        <item x="412"/>
        <item x="350"/>
        <item x="421"/>
        <item x="531"/>
        <item x="1614"/>
        <item x="1597"/>
        <item x="1652"/>
        <item x="1647"/>
        <item x="817"/>
        <item x="876"/>
        <item x="852"/>
        <item x="651"/>
        <item x="1706"/>
        <item x="495"/>
        <item x="2255"/>
        <item x="1067"/>
        <item x="2252"/>
        <item x="1265"/>
        <item x="1696"/>
        <item x="1593"/>
        <item x="1621"/>
        <item x="1689"/>
        <item x="1596"/>
        <item x="1694"/>
        <item x="2265"/>
        <item x="890"/>
        <item x="1288"/>
        <item x="476"/>
        <item x="885"/>
        <item x="1700"/>
        <item x="1375"/>
        <item x="1608"/>
        <item x="1927"/>
        <item x="1705"/>
        <item x="988"/>
        <item x="952"/>
        <item x="319"/>
        <item x="1592"/>
        <item x="1594"/>
        <item x="2002"/>
        <item x="880"/>
        <item x="836"/>
        <item x="1600"/>
        <item x="1656"/>
        <item x="650"/>
        <item x="657"/>
        <item x="415"/>
        <item x="2015"/>
        <item x="303"/>
        <item x="930"/>
        <item x="1595"/>
        <item x="351"/>
        <item x="1651"/>
        <item x="1632"/>
        <item x="478"/>
        <item x="431"/>
        <item x="486"/>
        <item x="411"/>
        <item x="2003"/>
        <item x="64"/>
        <item x="2214"/>
        <item x="22"/>
        <item x="825"/>
        <item x="1965"/>
        <item x="2024"/>
        <item x="1159"/>
        <item x="1379"/>
        <item x="1655"/>
        <item x="1604"/>
        <item x="2014"/>
        <item x="17"/>
        <item x="1141"/>
        <item x="419"/>
        <item x="1946"/>
        <item x="1649"/>
        <item x="1719"/>
        <item x="488"/>
        <item x="963"/>
        <item x="1961"/>
        <item x="823"/>
        <item x="914"/>
        <item x="320"/>
        <item x="417"/>
        <item x="1264"/>
        <item x="837"/>
        <item x="814"/>
        <item x="800"/>
        <item x="556"/>
        <item x="586"/>
        <item x="1166"/>
        <item x="413"/>
        <item x="2022"/>
        <item x="931"/>
        <item x="1929"/>
        <item x="63"/>
        <item x="1376"/>
        <item x="799"/>
        <item x="1266"/>
        <item x="1156"/>
        <item x="1287"/>
        <item x="1994"/>
        <item x="2011"/>
        <item x="527"/>
        <item x="1928"/>
        <item x="547"/>
        <item x="1945"/>
        <item x="1956"/>
        <item x="1066"/>
        <item x="1286"/>
        <item x="1297"/>
        <item x="824"/>
        <item x="2120"/>
        <item x="1293"/>
        <item x="1292"/>
        <item x="1309"/>
        <item x="1029"/>
        <item x="1606"/>
        <item x="1601"/>
        <item x="558"/>
        <item x="466"/>
        <item x="1143"/>
        <item x="550"/>
        <item x="418"/>
        <item x="465"/>
        <item x="1998"/>
        <item x="408"/>
        <item x="474"/>
        <item x="1699"/>
        <item x="477"/>
        <item x="2215"/>
        <item x="1999"/>
        <item x="25"/>
        <item x="1963"/>
        <item x="290"/>
        <item x="1140"/>
        <item x="1267"/>
        <item x="2225"/>
        <item x="425"/>
        <item x="1612"/>
        <item x="1289"/>
        <item x="1290"/>
        <item x="1285"/>
        <item x="1068"/>
        <item x="1268"/>
        <item x="818"/>
        <item x="240"/>
        <item x="884"/>
        <item x="464"/>
        <item x="1160"/>
        <item x="24"/>
        <item x="557"/>
        <item x="1294"/>
        <item x="1926"/>
        <item x="2236"/>
        <item x="544"/>
        <item x="816"/>
        <item x="348"/>
        <item x="1966"/>
        <item x="1310"/>
        <item x="489"/>
        <item x="1969"/>
        <item x="1726"/>
        <item x="1687"/>
        <item x="581"/>
        <item x="1989"/>
        <item x="2253"/>
        <item x="1814"/>
        <item x="1673"/>
        <item x="1960"/>
        <item x="2226"/>
        <item x="815"/>
        <item x="1643"/>
        <item x="798"/>
        <item x="1216"/>
        <item x="1136"/>
        <item x="2228"/>
        <item x="1025"/>
        <item x="1272"/>
        <item x="62"/>
        <item x="2038"/>
        <item x="801"/>
        <item x="1990"/>
        <item x="2220"/>
        <item x="1279"/>
        <item x="2031"/>
        <item x="1674"/>
        <item x="649"/>
        <item x="473"/>
        <item x="1650"/>
        <item x="2023"/>
        <item x="2224"/>
        <item x="2233"/>
        <item x="2041"/>
        <item x="1224"/>
        <item x="1161"/>
        <item x="805"/>
        <item x="950"/>
        <item x="1217"/>
        <item x="1815"/>
        <item x="691"/>
        <item x="1607"/>
        <item x="637"/>
        <item x="2027"/>
        <item x="2232"/>
        <item x="359"/>
        <item x="2268"/>
        <item x="1386"/>
        <item x="1941"/>
        <item x="428"/>
        <item x="1063"/>
        <item x="1615"/>
        <item x="28"/>
        <item x="2040"/>
        <item x="461"/>
        <item x="1237"/>
        <item x="1064"/>
        <item x="2020"/>
        <item x="2240"/>
        <item x="1565"/>
        <item x="7"/>
        <item x="689"/>
        <item x="1164"/>
        <item x="810"/>
        <item x="1917"/>
        <item x="1997"/>
        <item x="1168"/>
        <item x="1230"/>
        <item x="1385"/>
        <item x="1263"/>
        <item x="1142"/>
        <item x="1308"/>
        <item x="615"/>
        <item x="1698"/>
        <item x="2010"/>
        <item x="2209"/>
        <item x="1280"/>
        <item x="1278"/>
        <item x="311"/>
        <item x="407"/>
        <item x="1069"/>
        <item x="1321"/>
        <item x="1964"/>
        <item x="1065"/>
        <item x="1572"/>
        <item x="1270"/>
        <item x="1070"/>
        <item x="2260"/>
        <item x="978"/>
        <item x="1284"/>
        <item x="2074"/>
        <item x="475"/>
        <item x="349"/>
        <item x="1257"/>
        <item x="1725"/>
        <item x="643"/>
        <item x="687"/>
        <item x="990"/>
        <item x="807"/>
        <item x="1703"/>
        <item x="812"/>
        <item x="2206"/>
        <item x="1903"/>
        <item x="1671"/>
        <item x="1631"/>
        <item x="891"/>
        <item x="1682"/>
        <item x="1825"/>
        <item x="2113"/>
        <item x="690"/>
        <item x="2227"/>
        <item x="1679"/>
        <item x="1328"/>
        <item x="21"/>
        <item x="645"/>
        <item x="2210"/>
        <item x="2119"/>
        <item x="2259"/>
        <item x="2007"/>
        <item x="1603"/>
        <item x="2121"/>
        <item x="1591"/>
        <item x="1718"/>
        <item x="1326"/>
        <item x="1921"/>
        <item x="1672"/>
        <item x="1215"/>
        <item x="2212"/>
        <item x="1300"/>
        <item x="1566"/>
        <item x="1680"/>
        <item x="1922"/>
        <item x="1774"/>
        <item x="803"/>
        <item x="1704"/>
        <item x="1693"/>
        <item x="2243"/>
        <item x="1954"/>
        <item x="2221"/>
        <item x="59"/>
        <item x="2218"/>
        <item x="1258"/>
        <item x="1575"/>
        <item x="793"/>
        <item x="2251"/>
        <item x="1194"/>
        <item x="1567"/>
        <item x="2065"/>
        <item x="2205"/>
        <item x="1727"/>
        <item x="2223"/>
        <item x="1382"/>
        <item x="830"/>
        <item x="1920"/>
        <item x="1630"/>
        <item x="1311"/>
        <item x="1626"/>
        <item x="1363"/>
        <item x="1387"/>
        <item x="340"/>
        <item x="711"/>
        <item x="357"/>
        <item x="2213"/>
        <item x="1327"/>
        <item x="1993"/>
        <item x="1277"/>
        <item x="1271"/>
        <item x="1918"/>
        <item x="2114"/>
        <item x="809"/>
        <item x="2075"/>
        <item x="797"/>
        <item x="1816"/>
        <item x="1624"/>
        <item x="1256"/>
        <item x="1959"/>
        <item x="1684"/>
        <item x="2264"/>
        <item x="472"/>
        <item x="1383"/>
        <item x="1610"/>
        <item x="1301"/>
        <item x="2009"/>
        <item x="2122"/>
        <item x="648"/>
        <item x="1139"/>
        <item x="2194"/>
        <item x="1942"/>
        <item x="1914"/>
        <item x="2257"/>
        <item x="2115"/>
        <item x="1296"/>
        <item x="184"/>
        <item x="965"/>
        <item x="1710"/>
        <item x="2071"/>
        <item x="2234"/>
        <item x="1373"/>
        <item x="424"/>
        <item x="1325"/>
        <item x="1211"/>
        <item x="1907"/>
        <item x="1204"/>
        <item x="2080"/>
        <item x="1223"/>
        <item x="2042"/>
        <item x="989"/>
        <item x="1913"/>
        <item x="1906"/>
        <item x="1307"/>
        <item x="1165"/>
        <item x="2208"/>
        <item x="2204"/>
        <item x="1773"/>
        <item x="1919"/>
        <item x="339"/>
        <item x="1720"/>
        <item x="2037"/>
        <item x="2219"/>
        <item x="8"/>
        <item x="1130"/>
        <item x="2258"/>
        <item x="1697"/>
        <item x="1260"/>
        <item x="471"/>
        <item x="2261"/>
        <item x="1273"/>
        <item x="1586"/>
        <item x="23"/>
        <item x="1210"/>
        <item x="362"/>
        <item x="1368"/>
        <item x="1662"/>
        <item x="1569"/>
        <item x="2030"/>
        <item x="1274"/>
        <item x="1291"/>
        <item x="1062"/>
        <item x="344"/>
        <item x="346"/>
        <item x="1904"/>
        <item x="1362"/>
        <item x="811"/>
        <item x="1685"/>
        <item x="710"/>
        <item x="2036"/>
        <item x="1660"/>
        <item x="2201"/>
        <item x="2109"/>
        <item x="427"/>
        <item x="414"/>
        <item x="967"/>
        <item x="889"/>
        <item x="1250"/>
        <item x="2235"/>
        <item x="364"/>
        <item x="934"/>
        <item x="1195"/>
        <item x="644"/>
        <item x="1910"/>
        <item x="406"/>
        <item x="1193"/>
        <item x="2008"/>
        <item x="1361"/>
        <item x="2231"/>
        <item x="2021"/>
        <item x="1202"/>
        <item x="2216"/>
        <item x="1071"/>
        <item x="1236"/>
        <item x="1613"/>
        <item x="2242"/>
        <item x="1058"/>
        <item x="2069"/>
        <item x="2076"/>
        <item x="1570"/>
        <item x="1559"/>
        <item x="2045"/>
        <item x="2229"/>
        <item x="1283"/>
        <item x="2189"/>
        <item x="274"/>
        <item x="2108"/>
        <item x="2217"/>
        <item x="1587"/>
        <item x="325"/>
        <item x="1901"/>
        <item x="1659"/>
        <item x="1061"/>
        <item x="821"/>
        <item x="1633"/>
        <item x="2059"/>
        <item x="1320"/>
        <item x="1939"/>
        <item x="1571"/>
        <item x="1625"/>
        <item x="1602"/>
        <item x="1940"/>
        <item x="1623"/>
        <item x="2116"/>
        <item x="1049"/>
        <item x="2211"/>
        <item x="1072"/>
        <item x="1203"/>
        <item x="1821"/>
        <item x="1622"/>
        <item x="1661"/>
        <item x="1196"/>
        <item x="1205"/>
        <item x="1568"/>
        <item x="1902"/>
        <item x="804"/>
        <item x="1281"/>
        <item x="494"/>
        <item x="1639"/>
        <item x="1905"/>
        <item x="338"/>
        <item x="2196"/>
        <item x="1074"/>
        <item x="1298"/>
        <item x="1911"/>
        <item x="1295"/>
        <item x="326"/>
        <item x="1060"/>
        <item x="404"/>
        <item x="2230"/>
        <item x="2191"/>
        <item x="2200"/>
        <item x="2241"/>
        <item x="1640"/>
        <item x="1214"/>
        <item x="360"/>
        <item x="2081"/>
        <item x="1916"/>
        <item x="1276"/>
        <item x="1896"/>
        <item x="1255"/>
        <item x="2190"/>
        <item x="1908"/>
        <item x="1564"/>
        <item x="2193"/>
        <item x="673"/>
        <item x="29"/>
        <item x="1269"/>
        <item x="1722"/>
        <item x="2203"/>
        <item x="1628"/>
        <item x="1135"/>
        <item x="479"/>
        <item x="1721"/>
        <item x="802"/>
        <item x="1563"/>
        <item x="1212"/>
        <item x="1163"/>
        <item x="2006"/>
        <item x="347"/>
        <item x="2192"/>
        <item x="1912"/>
        <item x="2046"/>
        <item x="873"/>
        <item x="345"/>
        <item x="1056"/>
        <item x="1306"/>
        <item x="794"/>
        <item x="1897"/>
        <item x="1057"/>
        <item x="468"/>
        <item x="1638"/>
        <item x="1384"/>
        <item x="1732"/>
        <item x="543"/>
        <item x="1324"/>
        <item x="1709"/>
        <item x="1367"/>
        <item x="1573"/>
        <item x="2195"/>
        <item x="1627"/>
        <item x="1772"/>
        <item x="2079"/>
        <item x="1138"/>
        <item x="1585"/>
        <item x="1213"/>
        <item x="2111"/>
        <item x="1590"/>
        <item x="1558"/>
        <item x="1935"/>
        <item x="1739"/>
        <item x="363"/>
        <item x="2188"/>
        <item x="1209"/>
        <item x="2061"/>
        <item x="1812"/>
        <item x="2058"/>
        <item x="1249"/>
        <item x="1769"/>
        <item x="1996"/>
        <item x="1192"/>
        <item x="1730"/>
        <item x="1813"/>
        <item x="692"/>
        <item x="1681"/>
        <item x="1584"/>
        <item x="1574"/>
        <item x="911"/>
        <item x="1675"/>
        <item x="1059"/>
        <item x="1771"/>
        <item x="2262"/>
        <item x="2077"/>
        <item x="1231"/>
        <item x="1372"/>
        <item x="2063"/>
        <item x="1259"/>
        <item x="2107"/>
        <item x="1850"/>
        <item x="405"/>
        <item x="2053"/>
        <item x="1678"/>
        <item x="469"/>
        <item x="1676"/>
        <item x="2057"/>
        <item x="342"/>
        <item x="1137"/>
        <item x="1642"/>
        <item x="1909"/>
        <item x="879"/>
        <item x="280"/>
        <item x="1733"/>
        <item x="358"/>
        <item x="839"/>
        <item x="367"/>
        <item x="58"/>
        <item x="977"/>
        <item x="1589"/>
        <item x="317"/>
        <item x="792"/>
        <item x="1677"/>
        <item x="1770"/>
        <item x="1734"/>
        <item x="2064"/>
        <item x="1366"/>
        <item x="2070"/>
        <item x="1125"/>
        <item x="1767"/>
        <item x="1578"/>
        <item x="1318"/>
        <item x="1729"/>
        <item x="337"/>
        <item x="2035"/>
        <item x="1319"/>
        <item x="1776"/>
        <item x="1299"/>
        <item x="1968"/>
        <item x="2005"/>
        <item x="2110"/>
        <item x="1775"/>
        <item x="1557"/>
        <item x="470"/>
        <item x="1768"/>
        <item x="423"/>
        <item x="829"/>
        <item x="2060"/>
        <item x="1766"/>
        <item x="2125"/>
        <item x="1124"/>
        <item x="1611"/>
        <item x="519"/>
        <item x="403"/>
        <item x="2032"/>
        <item x="279"/>
        <item x="341"/>
        <item x="1562"/>
        <item x="1251"/>
        <item x="1898"/>
        <item x="1360"/>
        <item x="1735"/>
        <item x="722"/>
        <item x="522"/>
        <item x="795"/>
        <item x="402"/>
        <item x="1583"/>
        <item x="2186"/>
        <item x="2187"/>
        <item x="2124"/>
        <item x="1028"/>
        <item x="796"/>
        <item x="1197"/>
        <item x="1330"/>
        <item x="1201"/>
        <item x="2056"/>
        <item x="1637"/>
        <item x="2185"/>
        <item x="1129"/>
        <item x="1895"/>
        <item x="1190"/>
        <item x="1806"/>
        <item x="1556"/>
        <item x="2047"/>
        <item x="2250"/>
        <item x="1370"/>
        <item x="1077"/>
        <item x="1717"/>
        <item x="1191"/>
        <item x="2207"/>
        <item x="1899"/>
        <item x="1329"/>
        <item x="1075"/>
        <item x="2267"/>
        <item x="1055"/>
        <item x="1162"/>
        <item x="1539"/>
        <item x="1229"/>
        <item x="343"/>
        <item x="1200"/>
        <item x="1388"/>
        <item x="1076"/>
        <item x="1248"/>
        <item x="1794"/>
        <item x="1220"/>
        <item x="1050"/>
        <item x="1731"/>
        <item x="1900"/>
        <item x="878"/>
        <item x="2199"/>
        <item x="2055"/>
        <item x="2062"/>
        <item x="1820"/>
        <item x="1795"/>
        <item x="1664"/>
        <item x="808"/>
        <item x="1793"/>
        <item x="289"/>
        <item x="1238"/>
        <item x="791"/>
        <item x="1668"/>
        <item x="105"/>
        <item x="1371"/>
        <item x="1669"/>
        <item x="788"/>
        <item x="718"/>
        <item x="1796"/>
        <item x="1915"/>
        <item x="2184"/>
        <item x="1553"/>
        <item x="708"/>
        <item x="2101"/>
        <item x="1054"/>
        <item x="60"/>
        <item x="2123"/>
        <item x="1663"/>
        <item x="2044"/>
        <item x="61"/>
        <item x="1262"/>
        <item x="1686"/>
        <item x="1724"/>
        <item x="1239"/>
        <item x="1543"/>
        <item x="1736"/>
        <item x="2073"/>
        <item x="1189"/>
        <item x="1634"/>
        <item x="1555"/>
        <item x="2112"/>
        <item x="1354"/>
        <item x="2106"/>
        <item x="521"/>
        <item x="1819"/>
        <item x="1967"/>
        <item x="1222"/>
        <item x="1221"/>
        <item x="1728"/>
        <item x="1235"/>
        <item x="460"/>
        <item x="1275"/>
        <item x="1765"/>
        <item x="2263"/>
        <item x="1822"/>
        <item x="1894"/>
        <item x="714"/>
        <item x="2054"/>
        <item x="1978"/>
        <item x="1030"/>
        <item x="2072"/>
        <item x="2183"/>
        <item x="1358"/>
        <item x="614"/>
        <item x="1176"/>
        <item x="1690"/>
        <item x="966"/>
        <item x="1777"/>
        <item x="1667"/>
        <item x="183"/>
        <item x="2128"/>
        <item x="1048"/>
        <item x="2078"/>
        <item x="1550"/>
        <item x="1723"/>
        <item x="1542"/>
        <item x="1670"/>
        <item x="1554"/>
        <item x="1134"/>
        <item x="1353"/>
        <item x="1714"/>
        <item x="1665"/>
        <item x="1764"/>
        <item x="1044"/>
        <item x="935"/>
        <item x="2105"/>
        <item x="1045"/>
        <item x="1666"/>
        <item x="1893"/>
        <item x="2248"/>
        <item x="1853"/>
        <item x="782"/>
        <item x="2097"/>
        <item x="2102"/>
        <item x="1892"/>
        <item x="1240"/>
        <item x="709"/>
        <item x="1778"/>
        <item x="549"/>
        <item x="1532"/>
        <item x="1923"/>
        <item x="716"/>
        <item x="715"/>
        <item x="1181"/>
        <item x="1538"/>
        <item x="1208"/>
        <item x="401"/>
        <item x="1199"/>
        <item x="1560"/>
        <item x="1348"/>
        <item x="1357"/>
        <item x="2133"/>
        <item x="781"/>
        <item x="1552"/>
        <item x="366"/>
        <item x="1535"/>
        <item x="315"/>
        <item x="1692"/>
        <item x="54"/>
        <item x="1852"/>
        <item x="672"/>
        <item x="1170"/>
        <item x="336"/>
        <item x="1282"/>
        <item x="1206"/>
        <item x="1247"/>
        <item x="1356"/>
        <item x="1241"/>
        <item x="2099"/>
        <item x="1537"/>
        <item x="374"/>
        <item x="1891"/>
        <item x="324"/>
        <item x="33"/>
        <item x="1182"/>
        <item x="1426"/>
        <item x="1716"/>
        <item x="1242"/>
        <item x="1641"/>
        <item x="580"/>
        <item x="2033"/>
        <item x="785"/>
        <item x="789"/>
        <item x="2096"/>
        <item x="2029"/>
        <item x="2034"/>
        <item x="1561"/>
        <item x="1132"/>
        <item x="1588"/>
        <item x="1232"/>
        <item x="2004"/>
        <item x="1302"/>
        <item x="376"/>
        <item x="1890"/>
        <item x="819"/>
        <item x="459"/>
        <item x="1131"/>
        <item x="1053"/>
        <item x="2142"/>
        <item x="2095"/>
        <item x="1636"/>
        <item x="2127"/>
        <item x="310"/>
        <item x="1531"/>
        <item x="1359"/>
        <item x="1123"/>
        <item x="2129"/>
        <item x="1580"/>
        <item x="2052"/>
        <item x="1175"/>
        <item x="1425"/>
        <item x="2143"/>
        <item x="1234"/>
        <item x="2094"/>
        <item x="1577"/>
        <item x="1317"/>
        <item x="820"/>
        <item x="1207"/>
        <item x="1738"/>
        <item x="2104"/>
        <item x="373"/>
        <item x="1305"/>
        <item x="1341"/>
        <item x="2100"/>
        <item x="1322"/>
        <item x="720"/>
        <item x="1043"/>
        <item x="1763"/>
        <item x="2098"/>
        <item x="1779"/>
        <item x="1323"/>
        <item x="1791"/>
        <item x="712"/>
        <item x="1818"/>
        <item x="1804"/>
        <item x="400"/>
        <item x="707"/>
        <item x="1713"/>
        <item x="1314"/>
        <item x="1246"/>
        <item x="1536"/>
        <item x="548"/>
        <item x="1803"/>
        <item x="1887"/>
        <item x="1178"/>
        <item x="1347"/>
        <item x="957"/>
        <item x="719"/>
        <item x="1534"/>
        <item x="2093"/>
        <item x="2140"/>
        <item x="1711"/>
        <item x="2182"/>
        <item x="1789"/>
        <item x="272"/>
        <item x="1340"/>
        <item x="1122"/>
        <item x="1046"/>
        <item x="1047"/>
        <item x="1551"/>
        <item x="2247"/>
        <item x="1792"/>
        <item x="2135"/>
        <item x="1254"/>
        <item x="370"/>
        <item x="1393"/>
        <item x="1802"/>
        <item x="1533"/>
        <item x="1352"/>
        <item x="1177"/>
        <item x="2134"/>
        <item x="2147"/>
        <item x="721"/>
        <item x="375"/>
        <item x="1315"/>
        <item x="1389"/>
        <item x="1316"/>
        <item x="2103"/>
        <item x="1790"/>
        <item x="2043"/>
        <item x="706"/>
        <item x="784"/>
        <item x="1549"/>
        <item x="1365"/>
        <item x="1581"/>
        <item x="2249"/>
        <item x="1805"/>
        <item x="53"/>
        <item x="1540"/>
        <item x="1712"/>
        <item x="34"/>
        <item x="1782"/>
        <item x="787"/>
        <item x="1198"/>
        <item x="1541"/>
        <item x="365"/>
        <item x="1051"/>
        <item x="1052"/>
        <item x="1312"/>
        <item x="1760"/>
        <item x="1635"/>
        <item x="1788"/>
        <item x="1252"/>
        <item x="1548"/>
        <item x="1390"/>
        <item x="725"/>
        <item x="55"/>
        <item x="743"/>
        <item x="1582"/>
        <item x="1336"/>
        <item x="2049"/>
        <item x="1691"/>
        <item x="1454"/>
        <item x="1762"/>
        <item x="713"/>
        <item x="976"/>
        <item x="2118"/>
        <item x="399"/>
        <item x="2141"/>
        <item x="2180"/>
        <item x="1218"/>
        <item x="2179"/>
        <item x="1179"/>
        <item x="1740"/>
        <item x="1133"/>
        <item x="2132"/>
        <item x="729"/>
        <item x="1854"/>
        <item x="1761"/>
        <item x="1886"/>
        <item x="736"/>
        <item x="2144"/>
        <item x="1244"/>
        <item x="1953"/>
        <item x="780"/>
        <item x="1446"/>
        <item x="731"/>
        <item x="1227"/>
        <item x="2202"/>
        <item x="1783"/>
        <item x="1715"/>
        <item x="1544"/>
        <item x="1219"/>
        <item x="377"/>
        <item x="1453"/>
        <item x="57"/>
        <item x="2146"/>
        <item x="1781"/>
        <item x="1889"/>
        <item x="2181"/>
        <item x="790"/>
        <item x="316"/>
        <item x="1083"/>
        <item x="1799"/>
        <item x="1801"/>
        <item x="2126"/>
        <item x="783"/>
        <item x="1355"/>
        <item x="32"/>
        <item x="2178"/>
        <item x="1080"/>
        <item x="1346"/>
        <item x="1797"/>
        <item x="1424"/>
        <item x="380"/>
        <item x="1119"/>
        <item x="1313"/>
        <item x="703"/>
        <item x="2139"/>
        <item x="2130"/>
        <item x="1349"/>
        <item x="1936"/>
        <item x="369"/>
        <item x="1885"/>
        <item x="1427"/>
        <item x="1455"/>
        <item x="828"/>
        <item x="1042"/>
        <item x="1759"/>
        <item x="1476"/>
        <item x="1528"/>
        <item x="1888"/>
        <item x="1180"/>
        <item x="702"/>
        <item x="1245"/>
        <item x="1449"/>
        <item x="744"/>
        <item x="381"/>
        <item x="1817"/>
        <item x="467"/>
        <item x="1442"/>
        <item x="2092"/>
        <item x="1884"/>
        <item x="1118"/>
        <item x="335"/>
        <item x="1530"/>
        <item x="545"/>
        <item x="737"/>
        <item x="1452"/>
        <item x="1758"/>
        <item x="1073"/>
        <item x="379"/>
        <item x="31"/>
        <item x="1456"/>
        <item x="1174"/>
        <item x="1883"/>
        <item x="2028"/>
        <item x="1800"/>
        <item x="1458"/>
        <item x="724"/>
        <item x="1128"/>
        <item x="1527"/>
        <item x="1737"/>
        <item x="1445"/>
        <item x="1529"/>
        <item x="1243"/>
        <item x="732"/>
        <item x="1787"/>
        <item x="1526"/>
        <item x="1117"/>
        <item x="1441"/>
        <item x="704"/>
        <item x="1545"/>
        <item x="2138"/>
        <item x="398"/>
        <item x="2145"/>
        <item x="1078"/>
        <item x="52"/>
        <item x="546"/>
        <item x="738"/>
        <item x="371"/>
        <item x="2177"/>
        <item x="1369"/>
        <item x="1459"/>
        <item x="1233"/>
        <item x="368"/>
        <item x="2136"/>
        <item x="1261"/>
        <item x="372"/>
        <item x="1337"/>
        <item x="1304"/>
        <item x="1041"/>
        <item x="1477"/>
        <item x="333"/>
        <item x="1422"/>
        <item x="1169"/>
        <item x="740"/>
        <item x="1798"/>
        <item x="717"/>
        <item x="1457"/>
        <item x="1027"/>
        <item x="1423"/>
        <item x="2269"/>
        <item x="1448"/>
        <item x="726"/>
        <item x="1882"/>
        <item x="1421"/>
        <item x="747"/>
        <item x="728"/>
        <item x="1450"/>
        <item x="35"/>
        <item x="742"/>
        <item x="1428"/>
        <item x="1474"/>
        <item x="1188"/>
        <item x="1351"/>
        <item x="723"/>
        <item x="733"/>
        <item x="1753"/>
        <item x="1855"/>
        <item x="51"/>
        <item x="2149"/>
        <item x="1460"/>
        <item x="334"/>
        <item x="1120"/>
        <item x="1394"/>
        <item x="1116"/>
        <item x="779"/>
        <item x="1464"/>
        <item x="705"/>
        <item x="2082"/>
        <item x="56"/>
        <item x="1525"/>
        <item x="2091"/>
        <item x="1857"/>
        <item x="1416"/>
        <item x="1468"/>
        <item x="1466"/>
        <item x="2137"/>
        <item x="1127"/>
        <item x="397"/>
        <item x="1082"/>
        <item x="1754"/>
        <item x="1440"/>
        <item x="612"/>
        <item x="1757"/>
        <item x="1784"/>
        <item x="1471"/>
        <item x="1085"/>
        <item x="108"/>
        <item x="1546"/>
        <item x="1467"/>
        <item x="1856"/>
        <item x="332"/>
        <item x="1173"/>
        <item x="1808"/>
        <item x="1579"/>
        <item x="1881"/>
        <item x="1086"/>
        <item x="735"/>
        <item x="1079"/>
        <item x="2117"/>
        <item x="1420"/>
        <item x="1451"/>
        <item x="1364"/>
        <item x="1415"/>
        <item x="750"/>
        <item x="2176"/>
        <item x="748"/>
        <item x="327"/>
        <item x="1447"/>
        <item x="727"/>
        <item x="1345"/>
        <item x="1091"/>
        <item x="730"/>
        <item x="1111"/>
        <item x="1860"/>
        <item x="1429"/>
        <item x="701"/>
        <item x="2131"/>
        <item x="1752"/>
        <item x="378"/>
        <item x="2198"/>
        <item x="36"/>
        <item x="2222"/>
        <item x="1253"/>
        <item x="693"/>
        <item x="1112"/>
        <item x="1473"/>
        <item x="1026"/>
        <item x="1084"/>
        <item x="30"/>
        <item x="741"/>
        <item x="50"/>
        <item x="1859"/>
        <item x="1419"/>
        <item x="1524"/>
        <item x="1463"/>
        <item x="746"/>
        <item x="1780"/>
        <item x="2197"/>
        <item x="1547"/>
        <item x="1186"/>
        <item x="1861"/>
        <item x="1171"/>
        <item x="2048"/>
        <item x="1472"/>
        <item x="1465"/>
        <item x="739"/>
        <item x="1938"/>
        <item x="1479"/>
        <item x="1339"/>
        <item x="613"/>
        <item x="1430"/>
        <item x="786"/>
        <item x="2175"/>
        <item x="749"/>
        <item x="1470"/>
        <item x="1335"/>
        <item x="1090"/>
        <item x="1350"/>
        <item x="1110"/>
        <item x="745"/>
        <item x="1121"/>
        <item x="1414"/>
        <item x="1576"/>
        <item x="1809"/>
        <item x="1187"/>
        <item x="1858"/>
        <item x="1444"/>
        <item x="1338"/>
        <item x="1523"/>
        <item x="1880"/>
        <item x="1461"/>
        <item x="1811"/>
        <item x="1115"/>
        <item x="1334"/>
        <item x="778"/>
        <item x="1411"/>
        <item x="1040"/>
        <item x="1483"/>
        <item x="1433"/>
        <item x="490"/>
        <item x="1520"/>
        <item x="1482"/>
        <item x="1418"/>
        <item x="1481"/>
        <item x="1519"/>
        <item x="1751"/>
        <item x="2148"/>
        <item x="1344"/>
        <item x="1485"/>
        <item x="1810"/>
        <item x="1089"/>
        <item x="1109"/>
        <item x="1489"/>
        <item x="1478"/>
        <item x="1480"/>
        <item x="1392"/>
        <item x="2090"/>
        <item x="1851"/>
        <item x="1862"/>
        <item x="2174"/>
        <item x="1486"/>
        <item x="2154"/>
        <item x="872"/>
        <item x="396"/>
        <item x="1756"/>
        <item x="1437"/>
        <item x="1408"/>
        <item x="1518"/>
        <item x="1879"/>
        <item x="1410"/>
        <item x="382"/>
        <item x="331"/>
        <item x="2173"/>
        <item x="1409"/>
        <item x="1475"/>
        <item x="1407"/>
        <item x="1081"/>
        <item x="2150"/>
        <item x="1412"/>
        <item x="1484"/>
        <item x="700"/>
        <item x="1755"/>
        <item x="1343"/>
        <item x="361"/>
        <item x="1522"/>
        <item x="1413"/>
        <item x="1521"/>
        <item x="49"/>
        <item x="1487"/>
        <item x="1185"/>
        <item x="1462"/>
        <item x="1937"/>
        <item x="1786"/>
        <item x="1469"/>
        <item x="1184"/>
        <item x="2153"/>
        <item x="1750"/>
        <item x="1439"/>
        <item x="1431"/>
        <item x="1517"/>
        <item x="542"/>
        <item x="1093"/>
        <item x="1417"/>
        <item x="37"/>
        <item x="2172"/>
        <item x="1406"/>
        <item x="777"/>
        <item x="2152"/>
        <item x="1741"/>
        <item x="383"/>
        <item x="1749"/>
        <item x="2051"/>
        <item x="395"/>
        <item x="1488"/>
        <item x="1878"/>
        <item x="1405"/>
        <item x="1087"/>
        <item x="1435"/>
        <item x="2050"/>
        <item x="1434"/>
        <item x="1108"/>
        <item x="38"/>
        <item x="1438"/>
        <item x="699"/>
        <item x="1333"/>
        <item x="1092"/>
        <item x="1785"/>
        <item x="774"/>
        <item x="2171"/>
        <item x="2151"/>
        <item x="48"/>
        <item x="1228"/>
        <item x="770"/>
        <item x="1126"/>
        <item x="1172"/>
        <item x="394"/>
        <item x="1490"/>
        <item x="734"/>
        <item x="1514"/>
        <item x="1748"/>
        <item x="2089"/>
        <item x="1088"/>
        <item x="1432"/>
        <item x="1877"/>
        <item x="1094"/>
        <item x="1491"/>
        <item x="47"/>
        <item x="1391"/>
        <item x="776"/>
        <item x="1515"/>
        <item x="1303"/>
        <item x="1038"/>
        <item x="1443"/>
        <item x="1516"/>
        <item x="767"/>
        <item x="1183"/>
        <item x="2157"/>
        <item x="541"/>
        <item x="1513"/>
        <item x="1395"/>
        <item x="769"/>
        <item x="1039"/>
        <item x="273"/>
        <item x="1404"/>
        <item x="698"/>
        <item x="2156"/>
        <item x="1747"/>
        <item x="1436"/>
        <item x="384"/>
        <item x="385"/>
        <item x="330"/>
        <item x="2088"/>
        <item x="1113"/>
        <item x="393"/>
        <item x="1876"/>
        <item x="46"/>
        <item x="1492"/>
        <item x="751"/>
        <item x="39"/>
        <item x="2155"/>
        <item x="1342"/>
        <item x="1746"/>
        <item x="766"/>
        <item x="1403"/>
        <item x="2158"/>
        <item x="1107"/>
        <item x="1037"/>
        <item x="752"/>
        <item x="1512"/>
        <item x="2170"/>
        <item x="1493"/>
        <item x="1035"/>
        <item x="768"/>
        <item x="1114"/>
        <item x="1036"/>
        <item x="1863"/>
        <item x="771"/>
        <item x="1875"/>
        <item x="2087"/>
        <item x="1031"/>
        <item x="1867"/>
        <item x="1095"/>
        <item x="2159"/>
        <item x="1106"/>
        <item x="40"/>
        <item x="697"/>
        <item x="1402"/>
        <item x="1105"/>
        <item x="1495"/>
        <item x="1494"/>
        <item x="1401"/>
        <item x="1865"/>
        <item x="392"/>
        <item x="753"/>
        <item x="1332"/>
        <item x="1864"/>
        <item x="1745"/>
        <item x="1496"/>
        <item x="773"/>
        <item x="754"/>
        <item x="1104"/>
        <item x="1874"/>
        <item x="1866"/>
        <item x="45"/>
        <item x="1511"/>
        <item x="386"/>
        <item x="765"/>
        <item x="1103"/>
        <item x="772"/>
        <item x="696"/>
        <item x="1400"/>
        <item x="1868"/>
        <item x="1034"/>
        <item x="2168"/>
        <item x="2167"/>
        <item x="2160"/>
        <item x="2169"/>
        <item x="764"/>
        <item x="755"/>
        <item x="41"/>
        <item x="1873"/>
        <item x="1399"/>
        <item x="1097"/>
        <item x="1744"/>
        <item x="2166"/>
        <item x="387"/>
        <item x="329"/>
        <item x="1510"/>
        <item x="763"/>
        <item x="756"/>
        <item x="1096"/>
        <item x="1102"/>
        <item x="2086"/>
        <item x="391"/>
        <item x="775"/>
        <item x="2161"/>
        <item x="2165"/>
        <item x="1098"/>
        <item x="2085"/>
        <item x="44"/>
        <item x="388"/>
        <item x="1509"/>
        <item x="1331"/>
        <item x="1869"/>
        <item x="695"/>
        <item x="1872"/>
        <item x="1500"/>
        <item x="762"/>
        <item x="1499"/>
        <item x="757"/>
        <item x="1398"/>
        <item x="1508"/>
        <item x="1501"/>
        <item x="1033"/>
        <item x="2084"/>
        <item x="1498"/>
        <item x="2164"/>
        <item x="1101"/>
        <item x="1743"/>
        <item x="1507"/>
        <item x="760"/>
        <item x="1502"/>
        <item x="761"/>
        <item x="1497"/>
        <item x="1506"/>
        <item x="1505"/>
        <item x="1503"/>
        <item x="328"/>
        <item x="390"/>
        <item x="2083"/>
        <item x="1397"/>
        <item x="694"/>
        <item x="1871"/>
        <item x="1742"/>
        <item x="43"/>
        <item x="1032"/>
        <item x="1100"/>
        <item x="2163"/>
        <item x="759"/>
        <item x="389"/>
        <item x="42"/>
        <item x="1396"/>
        <item x="1099"/>
        <item x="1870"/>
        <item x="2162"/>
        <item x="758"/>
        <item x="1504"/>
        <item x="2270"/>
        <item t="default"/>
      </items>
    </pivotField>
    <pivotField compact="0" outline="0" showAll="0"/>
    <pivotField compact="0" outline="0" showAll="0"/>
    <pivotField compact="0" outline="0" showAll="0"/>
    <pivotField axis="axisRow" compact="0" outline="0" showAll="0">
      <items count="4">
        <item x="1"/>
        <item x="0"/>
        <item h="1" x="2"/>
        <item t="default"/>
      </items>
    </pivotField>
  </pivotFields>
  <rowFields count="1">
    <field x="7"/>
  </rowFields>
  <rowItems count="3">
    <i>
      <x/>
    </i>
    <i>
      <x v="1"/>
    </i>
    <i t="grand">
      <x/>
    </i>
  </rowItems>
  <colFields count="1">
    <field x="-2"/>
  </colFields>
  <colItems count="2">
    <i>
      <x/>
    </i>
    <i i="1">
      <x v="1"/>
    </i>
  </colItems>
  <dataFields count="2">
    <dataField name="Sum of pageviews" fld="2" baseField="0" baseItem="0"/>
    <dataField name="Sum of session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C1449F-D510-4CFE-9763-1F1EB3F479EF}" name="PivotTable1" cacheId="77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K5:L8" firstHeaderRow="1" firstDataRow="1" firstDataCol="1"/>
  <pivotFields count="7">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showAll="0">
      <items count="4">
        <item x="1"/>
        <item x="0"/>
        <item h="1" x="2"/>
        <item t="default"/>
      </items>
    </pivotField>
  </pivotFields>
  <rowFields count="1">
    <field x="6"/>
  </rowFields>
  <rowItems count="3">
    <i>
      <x/>
    </i>
    <i>
      <x v="1"/>
    </i>
    <i t="grand">
      <x/>
    </i>
  </rowItems>
  <colItems count="1">
    <i/>
  </colItems>
  <dataFields count="1">
    <dataField name="Average of visitors"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12EA32-429F-4061-9523-D6942AF154E2}" name="PivotTable3" cacheId="78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27:H30" firstHeaderRow="0" firstDataRow="1" firstDataCol="1"/>
  <pivotFields count="3">
    <pivotField compact="0" outline="0" showAll="0">
      <items count="3">
        <item x="0"/>
        <item x="1"/>
        <item t="default"/>
      </items>
    </pivotField>
    <pivotField axis="axisRow" dataField="1" compact="0" outline="0" showAll="0">
      <items count="3">
        <item x="0"/>
        <item x="1"/>
        <item t="default"/>
      </items>
    </pivotField>
    <pivotField dataField="1" compact="0" outline="0" showAll="0"/>
  </pivotFields>
  <rowFields count="1">
    <field x="1"/>
  </rowFields>
  <rowItems count="3">
    <i>
      <x/>
    </i>
    <i>
      <x v="1"/>
    </i>
    <i t="grand">
      <x/>
    </i>
  </rowItems>
  <colFields count="1">
    <field x="-2"/>
  </colFields>
  <colItems count="2">
    <i>
      <x/>
    </i>
    <i i="1">
      <x v="1"/>
    </i>
  </colItems>
  <dataFields count="2">
    <dataField name="Count of group" fld="1" subtotal="count" baseField="0" baseItem="0"/>
    <dataField name="Sum of CTA clicke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Grammys" displayName="Grammys" ref="A1:I2343" totalsRowShown="0">
  <autoFilter ref="A1:I2343" xr:uid="{00000000-0009-0000-0100-000001000000}"/>
  <tableColumns count="9">
    <tableColumn id="1" xr3:uid="{00000000-0010-0000-0100-000001000000}" name="date" dataDxfId="15"/>
    <tableColumn id="2" xr3:uid="{00000000-0010-0000-0100-000002000000}" name="visitors"/>
    <tableColumn id="3" xr3:uid="{00000000-0010-0000-0100-000003000000}" name="pageviews"/>
    <tableColumn id="4" xr3:uid="{00000000-0010-0000-0100-000004000000}" name="sessions"/>
    <tableColumn id="5" xr3:uid="{00000000-0010-0000-0100-000005000000}" name="bounced_sessions"/>
    <tableColumn id="6" xr3:uid="{00000000-0010-0000-0100-000006000000}" name="avg_session_duration_secs"/>
    <tableColumn id="11" xr3:uid="{DE205666-61AF-2342-9F29-33F8BC21BAA9}" name="event_type"/>
    <tableColumn id="10" xr3:uid="{3A997D6D-B5B2-A347-B03F-337299CD4BB6}" name="website_content" dataDxfId="14">
      <calculatedColumnFormula array="1">_xlfn.IFS(Grammys[[#This Row],[date]] &gt;= DATE(2022,2,1),"Grammys",TRUE,"Grammys TRA")</calculatedColumnFormula>
    </tableColumn>
    <tableColumn id="14" xr3:uid="{AC78FC70-0882-C040-AD9E-A3D856CB9C86}" name="mobile_visitors" dataDxfId="13">
      <calculatedColumnFormula>_xlfn.XLOOKUP(Grammys[[#This Row],[date]],mobile_visits[date],mobile_visits[mobile_visitors],0)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3080C28-F79D-0A4A-A3D0-B99E252B6C18}" name="mobile_visits" displayName="mobile_visits" ref="O1:P516" totalsRowShown="0">
  <autoFilter ref="O1:P516" xr:uid="{C3080C28-F79D-0A4A-A3D0-B99E252B6C18}"/>
  <tableColumns count="2">
    <tableColumn id="1" xr3:uid="{EC53E6C1-1ADE-FD4A-A0E7-1AE686D24C06}" name="date" dataDxfId="12"/>
    <tableColumn id="2" xr3:uid="{8DB74293-DBF0-564A-BAB8-C62EF5D77D1F}" name="mobile_visitors"/>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RA" displayName="TRA" ref="A1:G486" totalsRowShown="0">
  <autoFilter ref="A1:G486" xr:uid="{00000000-0009-0000-0100-000002000000}"/>
  <tableColumns count="7">
    <tableColumn id="1" xr3:uid="{00000000-0010-0000-0200-000001000000}" name="date" dataDxfId="11"/>
    <tableColumn id="9" xr3:uid="{ABD538BA-FD6F-2E44-80B1-1FE9B22C2FD7}" name="year" dataDxfId="10">
      <calculatedColumnFormula>YEAR(TRA[[#This Row],[date]])</calculatedColumnFormula>
    </tableColumn>
    <tableColumn id="2" xr3:uid="{00000000-0010-0000-0200-000002000000}" name="visitors"/>
    <tableColumn id="3" xr3:uid="{00000000-0010-0000-0200-000003000000}" name="pageviews"/>
    <tableColumn id="4" xr3:uid="{00000000-0010-0000-0200-000004000000}" name="sessions"/>
    <tableColumn id="5" xr3:uid="{00000000-0010-0000-0200-000005000000}" name="bounced_sessions"/>
    <tableColumn id="6" xr3:uid="{00000000-0010-0000-0200-000006000000}" name="avg_session_duration_secs"/>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D35578-AA55-8B49-B781-E15C94F21989}" name="ABTest" displayName="ABTest" ref="I1:K7897" totalsRowShown="0" headerRowDxfId="7">
  <autoFilter ref="I1:K7897" xr:uid="{8DD35578-AA55-8B49-B781-E15C94F21989}"/>
  <tableColumns count="3">
    <tableColumn id="3" xr3:uid="{92D5925D-EFF7-5F46-A0D0-2FA1BC228FF8}" name="website version" dataDxfId="6"/>
    <tableColumn id="1" xr3:uid="{ABAB12FB-CB4C-FD48-8E8F-D4BF8D667538}" name="group"/>
    <tableColumn id="2" xr3:uid="{EC37803D-D5D1-3A4A-A140-93820B409971}" name="CTA clicked"/>
  </tableColumns>
  <tableStyleInfo name="TableStyleMedium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F0ADC4-3012-1E46-951D-2AAEC7938CC5}" name="Table5" displayName="Table5" ref="A3:B12" totalsRowShown="0" headerRowDxfId="5">
  <autoFilter ref="A3:B12" xr:uid="{5CF0ADC4-3012-1E46-951D-2AAEC7938CC5}"/>
  <tableColumns count="2">
    <tableColumn id="1" xr3:uid="{4FFA6560-E56F-DA4F-93F7-F451F2D0E288}" name="column name" dataDxfId="4"/>
    <tableColumn id="2" xr3:uid="{A5C68222-776A-CE49-BAD0-EBE398739965}" name="description" dataDxfId="3"/>
  </tableColumns>
  <tableStyleInfo name="TableStyleMedium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A4EAF1D-9ED9-CA4D-B30F-A484FAA09A6D}" name="Table7" displayName="Table7" ref="A16:B25" totalsRowShown="0" headerRowDxfId="2">
  <autoFilter ref="A16:B25" xr:uid="{6A4EAF1D-9ED9-CA4D-B30F-A484FAA09A6D}"/>
  <tableColumns count="2">
    <tableColumn id="1" xr3:uid="{AA87D882-014A-3D49-BECD-5CBC855112D5}" name="column name" dataDxfId="1"/>
    <tableColumn id="2" xr3:uid="{A5530A4F-FE67-A247-B741-153C64057453}" name="description" dataDxfId="0"/>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ivotTable" Target="../pivotTables/pivotTable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2.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F2E48-7943-1645-9634-1AFC699AE66B}">
  <sheetPr codeName="Sheet1"/>
  <dimension ref="A1:FVZ277"/>
  <sheetViews>
    <sheetView zoomScale="125" zoomScaleNormal="136" workbookViewId="0">
      <selection activeCell="F138" sqref="F138"/>
    </sheetView>
  </sheetViews>
  <sheetFormatPr defaultColWidth="10.875" defaultRowHeight="15.95"/>
  <cols>
    <col min="1" max="1" width="10.875" style="12"/>
    <col min="2" max="2" width="88.125" style="12" customWidth="1"/>
    <col min="3" max="3" width="12.125" style="12" customWidth="1"/>
    <col min="4" max="4" width="10.875" style="12"/>
    <col min="5" max="5" width="10.875" style="12" customWidth="1"/>
    <col min="6" max="6" width="10.875" style="12"/>
    <col min="7" max="7" width="18" style="12" bestFit="1" customWidth="1"/>
    <col min="8" max="8" width="16.125" style="12" bestFit="1" customWidth="1"/>
    <col min="9" max="9" width="14.25" style="12" bestFit="1" customWidth="1"/>
    <col min="10" max="35" width="5" style="12" bestFit="1" customWidth="1"/>
    <col min="36" max="36" width="6.125" style="12" bestFit="1" customWidth="1"/>
    <col min="37" max="51" width="5" style="12" bestFit="1" customWidth="1"/>
    <col min="52" max="52" width="6.125" style="12" bestFit="1" customWidth="1"/>
    <col min="53" max="71" width="5" style="12" bestFit="1" customWidth="1"/>
    <col min="72" max="72" width="6.125" style="12" bestFit="1" customWidth="1"/>
    <col min="73" max="81" width="5" style="12" bestFit="1" customWidth="1"/>
    <col min="82" max="82" width="6.125" style="12" bestFit="1" customWidth="1"/>
    <col min="83" max="89" width="5" style="12" bestFit="1" customWidth="1"/>
    <col min="90" max="90" width="6.125" style="12" bestFit="1" customWidth="1"/>
    <col min="91" max="92" width="5" style="12" bestFit="1" customWidth="1"/>
    <col min="93" max="93" width="6.125" style="12" bestFit="1" customWidth="1"/>
    <col min="94" max="101" width="5" style="12" bestFit="1" customWidth="1"/>
    <col min="102" max="103" width="6.125" style="12" bestFit="1" customWidth="1"/>
    <col min="104" max="107" width="5" style="12" bestFit="1" customWidth="1"/>
    <col min="108" max="109" width="6.125" style="12" bestFit="1" customWidth="1"/>
    <col min="110" max="110" width="5" style="12" bestFit="1" customWidth="1"/>
    <col min="111" max="113" width="6.125" style="12" bestFit="1" customWidth="1"/>
    <col min="114" max="115" width="5" style="12" bestFit="1" customWidth="1"/>
    <col min="116" max="116" width="6.125" style="12" bestFit="1" customWidth="1"/>
    <col min="117" max="117" width="5" style="12" bestFit="1" customWidth="1"/>
    <col min="118" max="124" width="6.125" style="12" bestFit="1" customWidth="1"/>
    <col min="125" max="125" width="5" style="12" bestFit="1" customWidth="1"/>
    <col min="126" max="127" width="6.125" style="12" bestFit="1" customWidth="1"/>
    <col min="128" max="128" width="5" style="12" bestFit="1" customWidth="1"/>
    <col min="129" max="1628" width="6.125" style="12" bestFit="1" customWidth="1"/>
    <col min="1629" max="1629" width="7.125" style="12" bestFit="1" customWidth="1"/>
    <col min="1630" max="1748" width="6.125" style="12" bestFit="1" customWidth="1"/>
    <col min="1749" max="1749" width="7.125" style="12" bestFit="1" customWidth="1"/>
    <col min="1750" max="1763" width="6.125" style="12" bestFit="1" customWidth="1"/>
    <col min="1764" max="1764" width="7.125" style="12" bestFit="1" customWidth="1"/>
    <col min="1765" max="1804" width="6.125" style="12" bestFit="1" customWidth="1"/>
    <col min="1805" max="1805" width="7.125" style="12" bestFit="1" customWidth="1"/>
    <col min="1806" max="1818" width="6.125" style="12" bestFit="1" customWidth="1"/>
    <col min="1819" max="1819" width="7.125" style="12" bestFit="1" customWidth="1"/>
    <col min="1820" max="1842" width="6.125" style="12" bestFit="1" customWidth="1"/>
    <col min="1843" max="1843" width="7.125" style="12" bestFit="1" customWidth="1"/>
    <col min="1844" max="1908" width="6.125" style="12" bestFit="1" customWidth="1"/>
    <col min="1909" max="1909" width="7.125" style="12" bestFit="1" customWidth="1"/>
    <col min="1910" max="1990" width="6.125" style="12" bestFit="1" customWidth="1"/>
    <col min="1991" max="1991" width="7.125" style="12" bestFit="1" customWidth="1"/>
    <col min="1992" max="1995" width="6.125" style="12" bestFit="1" customWidth="1"/>
    <col min="1996" max="1996" width="7.125" style="12" bestFit="1" customWidth="1"/>
    <col min="1997" max="2016" width="6.125" style="12" bestFit="1" customWidth="1"/>
    <col min="2017" max="2017" width="7.125" style="12" bestFit="1" customWidth="1"/>
    <col min="2018" max="2026" width="6.125" style="12" bestFit="1" customWidth="1"/>
    <col min="2027" max="2029" width="7.125" style="12" bestFit="1" customWidth="1"/>
    <col min="2030" max="2040" width="6.125" style="12" bestFit="1" customWidth="1"/>
    <col min="2041" max="2041" width="7.125" style="12" bestFit="1" customWidth="1"/>
    <col min="2042" max="2047" width="6.125" style="12" bestFit="1" customWidth="1"/>
    <col min="2048" max="2048" width="7.125" style="12" bestFit="1" customWidth="1"/>
    <col min="2049" max="2053" width="6.125" style="12" bestFit="1" customWidth="1"/>
    <col min="2054" max="2054" width="7.125" style="12" bestFit="1" customWidth="1"/>
    <col min="2055" max="2072" width="6.125" style="12" bestFit="1" customWidth="1"/>
    <col min="2073" max="2074" width="7.125" style="12" bestFit="1" customWidth="1"/>
    <col min="2075" max="2077" width="6.125" style="12" bestFit="1" customWidth="1"/>
    <col min="2078" max="2078" width="7.125" style="12" bestFit="1" customWidth="1"/>
    <col min="2079" max="2079" width="6.125" style="12" bestFit="1" customWidth="1"/>
    <col min="2080" max="2080" width="7.125" style="12" bestFit="1" customWidth="1"/>
    <col min="2081" max="2081" width="6.125" style="12" bestFit="1" customWidth="1"/>
    <col min="2082" max="2083" width="7.125" style="12" bestFit="1" customWidth="1"/>
    <col min="2084" max="2084" width="6.125" style="12" bestFit="1" customWidth="1"/>
    <col min="2085" max="2086" width="7.125" style="12" bestFit="1" customWidth="1"/>
    <col min="2087" max="2087" width="6.125" style="12" bestFit="1" customWidth="1"/>
    <col min="2088" max="2089" width="7.125" style="12" bestFit="1" customWidth="1"/>
    <col min="2090" max="2091" width="6.125" style="12" bestFit="1" customWidth="1"/>
    <col min="2092" max="2093" width="7.125" style="12" bestFit="1" customWidth="1"/>
    <col min="2094" max="2098" width="6.125" style="12" bestFit="1" customWidth="1"/>
    <col min="2099" max="2101" width="7.125" style="12" bestFit="1" customWidth="1"/>
    <col min="2102" max="2102" width="6.125" style="12" bestFit="1" customWidth="1"/>
    <col min="2103" max="2103" width="7.125" style="12" bestFit="1" customWidth="1"/>
    <col min="2104" max="2105" width="6.125" style="12" bestFit="1" customWidth="1"/>
    <col min="2106" max="2107" width="7.125" style="12" bestFit="1" customWidth="1"/>
    <col min="2108" max="2108" width="6.125" style="12" bestFit="1" customWidth="1"/>
    <col min="2109" max="2111" width="7.125" style="12" bestFit="1" customWidth="1"/>
    <col min="2112" max="2112" width="6.125" style="12" bestFit="1" customWidth="1"/>
    <col min="2113" max="2114" width="7.125" style="12" bestFit="1" customWidth="1"/>
    <col min="2115" max="2115" width="6.125" style="12" bestFit="1" customWidth="1"/>
    <col min="2116" max="2118" width="7.125" style="12" bestFit="1" customWidth="1"/>
    <col min="2119" max="2119" width="6.125" style="12" bestFit="1" customWidth="1"/>
    <col min="2120" max="2120" width="7.125" style="12" bestFit="1" customWidth="1"/>
    <col min="2121" max="2121" width="6.125" style="12" bestFit="1" customWidth="1"/>
    <col min="2122" max="2125" width="7.125" style="12" bestFit="1" customWidth="1"/>
    <col min="2126" max="2126" width="6.125" style="12" bestFit="1" customWidth="1"/>
    <col min="2127" max="2127" width="7.125" style="12" bestFit="1" customWidth="1"/>
    <col min="2128" max="2128" width="6.125" style="12" bestFit="1" customWidth="1"/>
    <col min="2129" max="2142" width="7.125" style="12" bestFit="1" customWidth="1"/>
    <col min="2143" max="2143" width="6.125" style="12" bestFit="1" customWidth="1"/>
    <col min="2144" max="2250" width="7.125" style="12" bestFit="1" customWidth="1"/>
    <col min="2251" max="2251" width="8.125" style="12" bestFit="1" customWidth="1"/>
    <col min="2252" max="2252" width="7.125" style="12" bestFit="1" customWidth="1"/>
    <col min="2253" max="2255" width="8.125" style="12" bestFit="1" customWidth="1"/>
    <col min="2256" max="2256" width="7.125" style="12" bestFit="1" customWidth="1"/>
    <col min="2257" max="2275" width="8.125" style="12" bestFit="1" customWidth="1"/>
    <col min="2276" max="2276" width="9.125" style="12" bestFit="1" customWidth="1"/>
    <col min="2277" max="2277" width="8.125" style="12" bestFit="1" customWidth="1"/>
    <col min="2278" max="2278" width="6.875" style="12" bestFit="1" customWidth="1"/>
    <col min="2279" max="2280" width="10.75" style="12" bestFit="1" customWidth="1"/>
    <col min="2281" max="2281" width="7.75" style="12" bestFit="1" customWidth="1"/>
    <col min="2282" max="2282" width="10.75" style="12" bestFit="1" customWidth="1"/>
    <col min="2283" max="2283" width="7.75" style="12" bestFit="1" customWidth="1"/>
    <col min="2284" max="2284" width="10.75" style="12" bestFit="1" customWidth="1"/>
    <col min="2285" max="2285" width="7.75" style="12" bestFit="1" customWidth="1"/>
    <col min="2286" max="2286" width="10.75" style="12" bestFit="1" customWidth="1"/>
    <col min="2287" max="2287" width="7.75" style="12" bestFit="1" customWidth="1"/>
    <col min="2288" max="2288" width="10.75" style="12" bestFit="1" customWidth="1"/>
    <col min="2289" max="2289" width="7.75" style="12" bestFit="1" customWidth="1"/>
    <col min="2290" max="2290" width="10.75" style="12" bestFit="1" customWidth="1"/>
    <col min="2291" max="2291" width="7.75" style="12" bestFit="1" customWidth="1"/>
    <col min="2292" max="2292" width="10.75" style="12" bestFit="1" customWidth="1"/>
    <col min="2293" max="2293" width="7.75" style="12" bestFit="1" customWidth="1"/>
    <col min="2294" max="2294" width="10.75" style="12" bestFit="1" customWidth="1"/>
    <col min="2295" max="2295" width="7.75" style="12" bestFit="1" customWidth="1"/>
    <col min="2296" max="2296" width="10.75" style="12" bestFit="1" customWidth="1"/>
    <col min="2297" max="2297" width="7.75" style="12" bestFit="1" customWidth="1"/>
    <col min="2298" max="2298" width="10.75" style="12" bestFit="1" customWidth="1"/>
    <col min="2299" max="2299" width="7.75" style="12" bestFit="1" customWidth="1"/>
    <col min="2300" max="2300" width="10.75" style="12" bestFit="1" customWidth="1"/>
    <col min="2301" max="2301" width="7.75" style="12" bestFit="1" customWidth="1"/>
    <col min="2302" max="2302" width="10.75" style="12" bestFit="1" customWidth="1"/>
    <col min="2303" max="2303" width="7.75" style="12" bestFit="1" customWidth="1"/>
    <col min="2304" max="2304" width="10.75" style="12" bestFit="1" customWidth="1"/>
    <col min="2305" max="2305" width="7.75" style="12" bestFit="1" customWidth="1"/>
    <col min="2306" max="2306" width="10.75" style="12" bestFit="1" customWidth="1"/>
    <col min="2307" max="2307" width="7.75" style="12" bestFit="1" customWidth="1"/>
    <col min="2308" max="2308" width="10.75" style="12" bestFit="1" customWidth="1"/>
    <col min="2309" max="2309" width="7.75" style="12" bestFit="1" customWidth="1"/>
    <col min="2310" max="2310" width="10.75" style="12" bestFit="1" customWidth="1"/>
    <col min="2311" max="2311" width="7.75" style="12" bestFit="1" customWidth="1"/>
    <col min="2312" max="2312" width="10.75" style="12" bestFit="1" customWidth="1"/>
    <col min="2313" max="2313" width="7.75" style="12" bestFit="1" customWidth="1"/>
    <col min="2314" max="2314" width="10.75" style="12" bestFit="1" customWidth="1"/>
    <col min="2315" max="2315" width="7.75" style="12" bestFit="1" customWidth="1"/>
    <col min="2316" max="2316" width="10.75" style="12" bestFit="1" customWidth="1"/>
    <col min="2317" max="2317" width="7.75" style="12" bestFit="1" customWidth="1"/>
    <col min="2318" max="2318" width="6.125" style="12" bestFit="1" customWidth="1"/>
    <col min="2319" max="2319" width="10.75" style="12" bestFit="1" customWidth="1"/>
    <col min="2320" max="2320" width="7.75" style="12" bestFit="1" customWidth="1"/>
    <col min="2321" max="2321" width="10.75" style="12" bestFit="1" customWidth="1"/>
    <col min="2322" max="2322" width="7.75" style="12" bestFit="1" customWidth="1"/>
    <col min="2323" max="2323" width="10.75" style="12" bestFit="1" customWidth="1"/>
    <col min="2324" max="2324" width="7.75" style="12" bestFit="1" customWidth="1"/>
    <col min="2325" max="2325" width="10.75" style="12" bestFit="1" customWidth="1"/>
    <col min="2326" max="2326" width="7.75" style="12" bestFit="1" customWidth="1"/>
    <col min="2327" max="2327" width="10.75" style="12" bestFit="1" customWidth="1"/>
    <col min="2328" max="2328" width="7.75" style="12" bestFit="1" customWidth="1"/>
    <col min="2329" max="2329" width="10.75" style="12" bestFit="1" customWidth="1"/>
    <col min="2330" max="2330" width="7.75" style="12" bestFit="1" customWidth="1"/>
    <col min="2331" max="2331" width="10.75" style="12" bestFit="1" customWidth="1"/>
    <col min="2332" max="2332" width="7.75" style="12" bestFit="1" customWidth="1"/>
    <col min="2333" max="2333" width="10.75" style="12" bestFit="1" customWidth="1"/>
    <col min="2334" max="2334" width="7.75" style="12" bestFit="1" customWidth="1"/>
    <col min="2335" max="2335" width="10.75" style="12" bestFit="1" customWidth="1"/>
    <col min="2336" max="2336" width="7.75" style="12" bestFit="1" customWidth="1"/>
    <col min="2337" max="2337" width="6.125" style="12" bestFit="1" customWidth="1"/>
    <col min="2338" max="2338" width="10.75" style="12" bestFit="1" customWidth="1"/>
    <col min="2339" max="2339" width="7.75" style="12" bestFit="1" customWidth="1"/>
    <col min="2340" max="2340" width="10.75" style="12" bestFit="1" customWidth="1"/>
    <col min="2341" max="2341" width="7.75" style="12" bestFit="1" customWidth="1"/>
    <col min="2342" max="2342" width="10.75" style="12" bestFit="1" customWidth="1"/>
    <col min="2343" max="2343" width="7.75" style="12" bestFit="1" customWidth="1"/>
    <col min="2344" max="2344" width="10.75" style="12" bestFit="1" customWidth="1"/>
    <col min="2345" max="2345" width="7.75" style="12" bestFit="1" customWidth="1"/>
    <col min="2346" max="2346" width="10.75" style="12" bestFit="1" customWidth="1"/>
    <col min="2347" max="2347" width="7.75" style="12" bestFit="1" customWidth="1"/>
    <col min="2348" max="2348" width="10.75" style="12" bestFit="1" customWidth="1"/>
    <col min="2349" max="2349" width="7.75" style="12" bestFit="1" customWidth="1"/>
    <col min="2350" max="2350" width="10.75" style="12" bestFit="1" customWidth="1"/>
    <col min="2351" max="2351" width="7.75" style="12" bestFit="1" customWidth="1"/>
    <col min="2352" max="2352" width="10.75" style="12" bestFit="1" customWidth="1"/>
    <col min="2353" max="2353" width="7.75" style="12" bestFit="1" customWidth="1"/>
    <col min="2354" max="2354" width="10.75" style="12" bestFit="1" customWidth="1"/>
    <col min="2355" max="2355" width="7.75" style="12" bestFit="1" customWidth="1"/>
    <col min="2356" max="2356" width="10.75" style="12" bestFit="1" customWidth="1"/>
    <col min="2357" max="2357" width="7.75" style="12" bestFit="1" customWidth="1"/>
    <col min="2358" max="2358" width="10.75" style="12" bestFit="1" customWidth="1"/>
    <col min="2359" max="2359" width="7.75" style="12" bestFit="1" customWidth="1"/>
    <col min="2360" max="2360" width="10.75" style="12" bestFit="1" customWidth="1"/>
    <col min="2361" max="2361" width="7.75" style="12" bestFit="1" customWidth="1"/>
    <col min="2362" max="2362" width="10.75" style="12" bestFit="1" customWidth="1"/>
    <col min="2363" max="2363" width="7.75" style="12" bestFit="1" customWidth="1"/>
    <col min="2364" max="2364" width="10.75" style="12" bestFit="1" customWidth="1"/>
    <col min="2365" max="2365" width="7.75" style="12" bestFit="1" customWidth="1"/>
    <col min="2366" max="2366" width="10.75" style="12" bestFit="1" customWidth="1"/>
    <col min="2367" max="2367" width="7.75" style="12" bestFit="1" customWidth="1"/>
    <col min="2368" max="2368" width="10.75" style="12" bestFit="1" customWidth="1"/>
    <col min="2369" max="2369" width="7.75" style="12" bestFit="1" customWidth="1"/>
    <col min="2370" max="2370" width="10.75" style="12" bestFit="1" customWidth="1"/>
    <col min="2371" max="2371" width="7.75" style="12" bestFit="1" customWidth="1"/>
    <col min="2372" max="2372" width="10.75" style="12" bestFit="1" customWidth="1"/>
    <col min="2373" max="2373" width="7.75" style="12" bestFit="1" customWidth="1"/>
    <col min="2374" max="2374" width="10.75" style="12" bestFit="1" customWidth="1"/>
    <col min="2375" max="2375" width="7.75" style="12" bestFit="1" customWidth="1"/>
    <col min="2376" max="2376" width="10.75" style="12" bestFit="1" customWidth="1"/>
    <col min="2377" max="2377" width="7.75" style="12" bestFit="1" customWidth="1"/>
    <col min="2378" max="2378" width="10.75" style="12" bestFit="1" customWidth="1"/>
    <col min="2379" max="2379" width="7.75" style="12" bestFit="1" customWidth="1"/>
    <col min="2380" max="2380" width="10.75" style="12" bestFit="1" customWidth="1"/>
    <col min="2381" max="2381" width="7.75" style="12" bestFit="1" customWidth="1"/>
    <col min="2382" max="2382" width="10.75" style="12" bestFit="1" customWidth="1"/>
    <col min="2383" max="2383" width="7.75" style="12" bestFit="1" customWidth="1"/>
    <col min="2384" max="2384" width="10.75" style="12" bestFit="1" customWidth="1"/>
    <col min="2385" max="2385" width="7.75" style="12" bestFit="1" customWidth="1"/>
    <col min="2386" max="2386" width="10.75" style="12" bestFit="1" customWidth="1"/>
    <col min="2387" max="2387" width="7.75" style="12" bestFit="1" customWidth="1"/>
    <col min="2388" max="2388" width="10.75" style="12" bestFit="1" customWidth="1"/>
    <col min="2389" max="2389" width="7.75" style="12" bestFit="1" customWidth="1"/>
    <col min="2390" max="2390" width="10.75" style="12" bestFit="1" customWidth="1"/>
    <col min="2391" max="2391" width="7.75" style="12" bestFit="1" customWidth="1"/>
    <col min="2392" max="2392" width="10.75" style="12" bestFit="1" customWidth="1"/>
    <col min="2393" max="2393" width="7.75" style="12" bestFit="1" customWidth="1"/>
    <col min="2394" max="2394" width="10.75" style="12" bestFit="1" customWidth="1"/>
    <col min="2395" max="2395" width="7.75" style="12" bestFit="1" customWidth="1"/>
    <col min="2396" max="2396" width="10.75" style="12" bestFit="1" customWidth="1"/>
    <col min="2397" max="2397" width="7.75" style="12" bestFit="1" customWidth="1"/>
    <col min="2398" max="2398" width="10.75" style="12" bestFit="1" customWidth="1"/>
    <col min="2399" max="2399" width="7.75" style="12" bestFit="1" customWidth="1"/>
    <col min="2400" max="2400" width="10.75" style="12" bestFit="1" customWidth="1"/>
    <col min="2401" max="2401" width="7.75" style="12" bestFit="1" customWidth="1"/>
    <col min="2402" max="2402" width="10.75" style="12" bestFit="1" customWidth="1"/>
    <col min="2403" max="2403" width="7.75" style="12" bestFit="1" customWidth="1"/>
    <col min="2404" max="2404" width="10.75" style="12" bestFit="1" customWidth="1"/>
    <col min="2405" max="2405" width="7.75" style="12" bestFit="1" customWidth="1"/>
    <col min="2406" max="2406" width="10.75" style="12" bestFit="1" customWidth="1"/>
    <col min="2407" max="2407" width="7.75" style="12" bestFit="1" customWidth="1"/>
    <col min="2408" max="2408" width="10.75" style="12" bestFit="1" customWidth="1"/>
    <col min="2409" max="2409" width="7.75" style="12" bestFit="1" customWidth="1"/>
    <col min="2410" max="2410" width="10.75" style="12" bestFit="1" customWidth="1"/>
    <col min="2411" max="2411" width="7.75" style="12" bestFit="1" customWidth="1"/>
    <col min="2412" max="2412" width="10.75" style="12" bestFit="1" customWidth="1"/>
    <col min="2413" max="2413" width="7.75" style="12" bestFit="1" customWidth="1"/>
    <col min="2414" max="2414" width="10.75" style="12" bestFit="1" customWidth="1"/>
    <col min="2415" max="2415" width="7.75" style="12" bestFit="1" customWidth="1"/>
    <col min="2416" max="2416" width="10.75" style="12" bestFit="1" customWidth="1"/>
    <col min="2417" max="2417" width="7.75" style="12" bestFit="1" customWidth="1"/>
    <col min="2418" max="2418" width="10.75" style="12" bestFit="1" customWidth="1"/>
    <col min="2419" max="2419" width="7.75" style="12" bestFit="1" customWidth="1"/>
    <col min="2420" max="2420" width="10.75" style="12" bestFit="1" customWidth="1"/>
    <col min="2421" max="2421" width="7.75" style="12" bestFit="1" customWidth="1"/>
    <col min="2422" max="2422" width="10.75" style="12" bestFit="1" customWidth="1"/>
    <col min="2423" max="2423" width="7.75" style="12" bestFit="1" customWidth="1"/>
    <col min="2424" max="2424" width="10.75" style="12" bestFit="1" customWidth="1"/>
    <col min="2425" max="2425" width="7.75" style="12" bestFit="1" customWidth="1"/>
    <col min="2426" max="2426" width="10.75" style="12" bestFit="1" customWidth="1"/>
    <col min="2427" max="2427" width="7.75" style="12" bestFit="1" customWidth="1"/>
    <col min="2428" max="2428" width="10.75" style="12" bestFit="1" customWidth="1"/>
    <col min="2429" max="2429" width="7.75" style="12" bestFit="1" customWidth="1"/>
    <col min="2430" max="2430" width="10.75" style="12" bestFit="1" customWidth="1"/>
    <col min="2431" max="2431" width="7.75" style="12" bestFit="1" customWidth="1"/>
    <col min="2432" max="2432" width="10.75" style="12" bestFit="1" customWidth="1"/>
    <col min="2433" max="2433" width="7.75" style="12" bestFit="1" customWidth="1"/>
    <col min="2434" max="2434" width="10.75" style="12" bestFit="1" customWidth="1"/>
    <col min="2435" max="2435" width="7.75" style="12" bestFit="1" customWidth="1"/>
    <col min="2436" max="2436" width="10.75" style="12" bestFit="1" customWidth="1"/>
    <col min="2437" max="2437" width="7.75" style="12" bestFit="1" customWidth="1"/>
    <col min="2438" max="2438" width="10.75" style="12" bestFit="1" customWidth="1"/>
    <col min="2439" max="2439" width="7.75" style="12" bestFit="1" customWidth="1"/>
    <col min="2440" max="2440" width="10.75" style="12" bestFit="1" customWidth="1"/>
    <col min="2441" max="2441" width="7.75" style="12" bestFit="1" customWidth="1"/>
    <col min="2442" max="2442" width="10.75" style="12" bestFit="1" customWidth="1"/>
    <col min="2443" max="2443" width="7.75" style="12" bestFit="1" customWidth="1"/>
    <col min="2444" max="2444" width="10.75" style="12" bestFit="1" customWidth="1"/>
    <col min="2445" max="2445" width="7.75" style="12" bestFit="1" customWidth="1"/>
    <col min="2446" max="2446" width="10.75" style="12" bestFit="1" customWidth="1"/>
    <col min="2447" max="2447" width="7.75" style="12" bestFit="1" customWidth="1"/>
    <col min="2448" max="2448" width="10.75" style="12" bestFit="1" customWidth="1"/>
    <col min="2449" max="2449" width="7.75" style="12" bestFit="1" customWidth="1"/>
    <col min="2450" max="2450" width="10.75" style="12" bestFit="1" customWidth="1"/>
    <col min="2451" max="2451" width="7.75" style="12" bestFit="1" customWidth="1"/>
    <col min="2452" max="2452" width="10.75" style="12" bestFit="1" customWidth="1"/>
    <col min="2453" max="2453" width="7.75" style="12" bestFit="1" customWidth="1"/>
    <col min="2454" max="2454" width="10.75" style="12" bestFit="1" customWidth="1"/>
    <col min="2455" max="2455" width="7.75" style="12" bestFit="1" customWidth="1"/>
    <col min="2456" max="2456" width="10.75" style="12" bestFit="1" customWidth="1"/>
    <col min="2457" max="2457" width="7.75" style="12" bestFit="1" customWidth="1"/>
    <col min="2458" max="2458" width="10.75" style="12" bestFit="1" customWidth="1"/>
    <col min="2459" max="2459" width="7.75" style="12" bestFit="1" customWidth="1"/>
    <col min="2460" max="2460" width="10.75" style="12" bestFit="1" customWidth="1"/>
    <col min="2461" max="2461" width="7.75" style="12" bestFit="1" customWidth="1"/>
    <col min="2462" max="2462" width="10.75" style="12" bestFit="1" customWidth="1"/>
    <col min="2463" max="2463" width="7.75" style="12" bestFit="1" customWidth="1"/>
    <col min="2464" max="2464" width="10.75" style="12" bestFit="1" customWidth="1"/>
    <col min="2465" max="2465" width="7.75" style="12" bestFit="1" customWidth="1"/>
    <col min="2466" max="2466" width="10.75" style="12" bestFit="1" customWidth="1"/>
    <col min="2467" max="2467" width="7.75" style="12" bestFit="1" customWidth="1"/>
    <col min="2468" max="2468" width="10.75" style="12" bestFit="1" customWidth="1"/>
    <col min="2469" max="2469" width="7.75" style="12" bestFit="1" customWidth="1"/>
    <col min="2470" max="2470" width="10.75" style="12" bestFit="1" customWidth="1"/>
    <col min="2471" max="2471" width="7.75" style="12" bestFit="1" customWidth="1"/>
    <col min="2472" max="2472" width="10.75" style="12" bestFit="1" customWidth="1"/>
    <col min="2473" max="2473" width="7.75" style="12" bestFit="1" customWidth="1"/>
    <col min="2474" max="2474" width="10.75" style="12" bestFit="1" customWidth="1"/>
    <col min="2475" max="2475" width="7.75" style="12" bestFit="1" customWidth="1"/>
    <col min="2476" max="2476" width="10.75" style="12" bestFit="1" customWidth="1"/>
    <col min="2477" max="2477" width="7.75" style="12" bestFit="1" customWidth="1"/>
    <col min="2478" max="2478" width="10.75" style="12" bestFit="1" customWidth="1"/>
    <col min="2479" max="2479" width="7.75" style="12" bestFit="1" customWidth="1"/>
    <col min="2480" max="2480" width="10.75" style="12" bestFit="1" customWidth="1"/>
    <col min="2481" max="2481" width="7.75" style="12" bestFit="1" customWidth="1"/>
    <col min="2482" max="2482" width="10.75" style="12" bestFit="1" customWidth="1"/>
    <col min="2483" max="2483" width="7.75" style="12" bestFit="1" customWidth="1"/>
    <col min="2484" max="2484" width="10.75" style="12" bestFit="1" customWidth="1"/>
    <col min="2485" max="2485" width="7.75" style="12" bestFit="1" customWidth="1"/>
    <col min="2486" max="2486" width="10.75" style="12" bestFit="1" customWidth="1"/>
    <col min="2487" max="2487" width="7.75" style="12" bestFit="1" customWidth="1"/>
    <col min="2488" max="2488" width="10.75" style="12" bestFit="1" customWidth="1"/>
    <col min="2489" max="2489" width="7.75" style="12" bestFit="1" customWidth="1"/>
    <col min="2490" max="2490" width="10.75" style="12" bestFit="1" customWidth="1"/>
    <col min="2491" max="2491" width="7.75" style="12" bestFit="1" customWidth="1"/>
    <col min="2492" max="2492" width="10.75" style="12" bestFit="1" customWidth="1"/>
    <col min="2493" max="2493" width="7.75" style="12" bestFit="1" customWidth="1"/>
    <col min="2494" max="2494" width="10.75" style="12" bestFit="1" customWidth="1"/>
    <col min="2495" max="2495" width="7.75" style="12" bestFit="1" customWidth="1"/>
    <col min="2496" max="2496" width="10.75" style="12" bestFit="1" customWidth="1"/>
    <col min="2497" max="2497" width="7.75" style="12" bestFit="1" customWidth="1"/>
    <col min="2498" max="2498" width="10.75" style="12" bestFit="1" customWidth="1"/>
    <col min="2499" max="2499" width="7.75" style="12" bestFit="1" customWidth="1"/>
    <col min="2500" max="2500" width="10.75" style="12" bestFit="1" customWidth="1"/>
    <col min="2501" max="2501" width="7.75" style="12" bestFit="1" customWidth="1"/>
    <col min="2502" max="2502" width="10.75" style="12" bestFit="1" customWidth="1"/>
    <col min="2503" max="2503" width="7.75" style="12" bestFit="1" customWidth="1"/>
    <col min="2504" max="2504" width="10.75" style="12" bestFit="1" customWidth="1"/>
    <col min="2505" max="2505" width="7.75" style="12" bestFit="1" customWidth="1"/>
    <col min="2506" max="2506" width="10.75" style="12" bestFit="1" customWidth="1"/>
    <col min="2507" max="2507" width="7.75" style="12" bestFit="1" customWidth="1"/>
    <col min="2508" max="2508" width="10.75" style="12" bestFit="1" customWidth="1"/>
    <col min="2509" max="2509" width="7.75" style="12" bestFit="1" customWidth="1"/>
    <col min="2510" max="2510" width="10.75" style="12" bestFit="1" customWidth="1"/>
    <col min="2511" max="2511" width="7.75" style="12" bestFit="1" customWidth="1"/>
    <col min="2512" max="2512" width="10.75" style="12" bestFit="1" customWidth="1"/>
    <col min="2513" max="2513" width="7.75" style="12" bestFit="1" customWidth="1"/>
    <col min="2514" max="2514" width="10.75" style="12" bestFit="1" customWidth="1"/>
    <col min="2515" max="2515" width="7.75" style="12" bestFit="1" customWidth="1"/>
    <col min="2516" max="2516" width="10.75" style="12" bestFit="1" customWidth="1"/>
    <col min="2517" max="2517" width="7.75" style="12" bestFit="1" customWidth="1"/>
    <col min="2518" max="2518" width="10.75" style="12" bestFit="1" customWidth="1"/>
    <col min="2519" max="2519" width="7.75" style="12" bestFit="1" customWidth="1"/>
    <col min="2520" max="2520" width="10.75" style="12" bestFit="1" customWidth="1"/>
    <col min="2521" max="2521" width="7.75" style="12" bestFit="1" customWidth="1"/>
    <col min="2522" max="2522" width="10.75" style="12" bestFit="1" customWidth="1"/>
    <col min="2523" max="2523" width="7.75" style="12" bestFit="1" customWidth="1"/>
    <col min="2524" max="2524" width="10.75" style="12" bestFit="1" customWidth="1"/>
    <col min="2525" max="2525" width="7.75" style="12" bestFit="1" customWidth="1"/>
    <col min="2526" max="2526" width="10.75" style="12" bestFit="1" customWidth="1"/>
    <col min="2527" max="2527" width="7.75" style="12" bestFit="1" customWidth="1"/>
    <col min="2528" max="2528" width="10.75" style="12" bestFit="1" customWidth="1"/>
    <col min="2529" max="2529" width="7.75" style="12" bestFit="1" customWidth="1"/>
    <col min="2530" max="2530" width="10.75" style="12" bestFit="1" customWidth="1"/>
    <col min="2531" max="2531" width="7.75" style="12" bestFit="1" customWidth="1"/>
    <col min="2532" max="2532" width="10.75" style="12" bestFit="1" customWidth="1"/>
    <col min="2533" max="2533" width="7.75" style="12" bestFit="1" customWidth="1"/>
    <col min="2534" max="2534" width="10.75" style="12" bestFit="1" customWidth="1"/>
    <col min="2535" max="2535" width="7.75" style="12" bestFit="1" customWidth="1"/>
    <col min="2536" max="2536" width="10.75" style="12" bestFit="1" customWidth="1"/>
    <col min="2537" max="2537" width="7.75" style="12" bestFit="1" customWidth="1"/>
    <col min="2538" max="2538" width="10.75" style="12" bestFit="1" customWidth="1"/>
    <col min="2539" max="2539" width="7.75" style="12" bestFit="1" customWidth="1"/>
    <col min="2540" max="2540" width="10.75" style="12" bestFit="1" customWidth="1"/>
    <col min="2541" max="2541" width="7.75" style="12" bestFit="1" customWidth="1"/>
    <col min="2542" max="2542" width="10.75" style="12" bestFit="1" customWidth="1"/>
    <col min="2543" max="2543" width="7.75" style="12" bestFit="1" customWidth="1"/>
    <col min="2544" max="2544" width="10.75" style="12" bestFit="1" customWidth="1"/>
    <col min="2545" max="2545" width="7.75" style="12" bestFit="1" customWidth="1"/>
    <col min="2546" max="2546" width="10.75" style="12" bestFit="1" customWidth="1"/>
    <col min="2547" max="2547" width="7.75" style="12" bestFit="1" customWidth="1"/>
    <col min="2548" max="2548" width="10.75" style="12" bestFit="1" customWidth="1"/>
    <col min="2549" max="2549" width="7.75" style="12" bestFit="1" customWidth="1"/>
    <col min="2550" max="2550" width="10.75" style="12" bestFit="1" customWidth="1"/>
    <col min="2551" max="2551" width="7.75" style="12" bestFit="1" customWidth="1"/>
    <col min="2552" max="2552" width="10.75" style="12" bestFit="1" customWidth="1"/>
    <col min="2553" max="2553" width="7.75" style="12" bestFit="1" customWidth="1"/>
    <col min="2554" max="2554" width="10.75" style="12" bestFit="1" customWidth="1"/>
    <col min="2555" max="2555" width="7.75" style="12" bestFit="1" customWidth="1"/>
    <col min="2556" max="2556" width="10.75" style="12" bestFit="1" customWidth="1"/>
    <col min="2557" max="2557" width="7.75" style="12" bestFit="1" customWidth="1"/>
    <col min="2558" max="2558" width="10.75" style="12" bestFit="1" customWidth="1"/>
    <col min="2559" max="2559" width="7.75" style="12" bestFit="1" customWidth="1"/>
    <col min="2560" max="2560" width="6.125" style="12" bestFit="1" customWidth="1"/>
    <col min="2561" max="2561" width="10.75" style="12" bestFit="1" customWidth="1"/>
    <col min="2562" max="2562" width="7.75" style="12" bestFit="1" customWidth="1"/>
    <col min="2563" max="2563" width="10.75" style="12" bestFit="1" customWidth="1"/>
    <col min="2564" max="2564" width="7.75" style="12" bestFit="1" customWidth="1"/>
    <col min="2565" max="2565" width="10.75" style="12" bestFit="1" customWidth="1"/>
    <col min="2566" max="2566" width="7.75" style="12" bestFit="1" customWidth="1"/>
    <col min="2567" max="2567" width="10.75" style="12" bestFit="1" customWidth="1"/>
    <col min="2568" max="2568" width="7.75" style="12" bestFit="1" customWidth="1"/>
    <col min="2569" max="2569" width="10.75" style="12" bestFit="1" customWidth="1"/>
    <col min="2570" max="2570" width="7.75" style="12" bestFit="1" customWidth="1"/>
    <col min="2571" max="2571" width="10.75" style="12" bestFit="1" customWidth="1"/>
    <col min="2572" max="2572" width="7.75" style="12" bestFit="1" customWidth="1"/>
    <col min="2573" max="2573" width="10.75" style="12" bestFit="1" customWidth="1"/>
    <col min="2574" max="2574" width="7.75" style="12" bestFit="1" customWidth="1"/>
    <col min="2575" max="2575" width="10.75" style="12" bestFit="1" customWidth="1"/>
    <col min="2576" max="2576" width="7.75" style="12" bestFit="1" customWidth="1"/>
    <col min="2577" max="2577" width="10.75" style="12" bestFit="1" customWidth="1"/>
    <col min="2578" max="2578" width="7.75" style="12" bestFit="1" customWidth="1"/>
    <col min="2579" max="2579" width="10.75" style="12" bestFit="1" customWidth="1"/>
    <col min="2580" max="2580" width="7.75" style="12" bestFit="1" customWidth="1"/>
    <col min="2581" max="2581" width="10.75" style="12" bestFit="1" customWidth="1"/>
    <col min="2582" max="2582" width="7.75" style="12" bestFit="1" customWidth="1"/>
    <col min="2583" max="2583" width="10.75" style="12" bestFit="1" customWidth="1"/>
    <col min="2584" max="2584" width="7.75" style="12" bestFit="1" customWidth="1"/>
    <col min="2585" max="2585" width="6.125" style="12" bestFit="1" customWidth="1"/>
    <col min="2586" max="2586" width="10.75" style="12" bestFit="1" customWidth="1"/>
    <col min="2587" max="2587" width="7.75" style="12" bestFit="1" customWidth="1"/>
    <col min="2588" max="2588" width="10.75" style="12" bestFit="1" customWidth="1"/>
    <col min="2589" max="2589" width="7.75" style="12" bestFit="1" customWidth="1"/>
    <col min="2590" max="2590" width="10.75" style="12" bestFit="1" customWidth="1"/>
    <col min="2591" max="2591" width="7.75" style="12" bestFit="1" customWidth="1"/>
    <col min="2592" max="2592" width="10.75" style="12" bestFit="1" customWidth="1"/>
    <col min="2593" max="2593" width="7.75" style="12" bestFit="1" customWidth="1"/>
    <col min="2594" max="2594" width="10.75" style="12" bestFit="1" customWidth="1"/>
    <col min="2595" max="2595" width="7.75" style="12" bestFit="1" customWidth="1"/>
    <col min="2596" max="2596" width="10.75" style="12" bestFit="1" customWidth="1"/>
    <col min="2597" max="2597" width="7.75" style="12" bestFit="1" customWidth="1"/>
    <col min="2598" max="2598" width="10.75" style="12" bestFit="1" customWidth="1"/>
    <col min="2599" max="2599" width="7.75" style="12" bestFit="1" customWidth="1"/>
    <col min="2600" max="2600" width="10.75" style="12" bestFit="1" customWidth="1"/>
    <col min="2601" max="2601" width="7.75" style="12" bestFit="1" customWidth="1"/>
    <col min="2602" max="2602" width="10.75" style="12" bestFit="1" customWidth="1"/>
    <col min="2603" max="2603" width="7.75" style="12" bestFit="1" customWidth="1"/>
    <col min="2604" max="2604" width="10.75" style="12" bestFit="1" customWidth="1"/>
    <col min="2605" max="2605" width="7.75" style="12" bestFit="1" customWidth="1"/>
    <col min="2606" max="2606" width="10.75" style="12" bestFit="1" customWidth="1"/>
    <col min="2607" max="2607" width="7.75" style="12" bestFit="1" customWidth="1"/>
    <col min="2608" max="2608" width="10.75" style="12" bestFit="1" customWidth="1"/>
    <col min="2609" max="2609" width="7.75" style="12" bestFit="1" customWidth="1"/>
    <col min="2610" max="2610" width="10.75" style="12" bestFit="1" customWidth="1"/>
    <col min="2611" max="2611" width="7.75" style="12" bestFit="1" customWidth="1"/>
    <col min="2612" max="2612" width="10.75" style="12" bestFit="1" customWidth="1"/>
    <col min="2613" max="2613" width="7.75" style="12" bestFit="1" customWidth="1"/>
    <col min="2614" max="2614" width="10.75" style="12" bestFit="1" customWidth="1"/>
    <col min="2615" max="2615" width="7.75" style="12" bestFit="1" customWidth="1"/>
    <col min="2616" max="2616" width="10.75" style="12" bestFit="1" customWidth="1"/>
    <col min="2617" max="2617" width="7.75" style="12" bestFit="1" customWidth="1"/>
    <col min="2618" max="2618" width="10.75" style="12" bestFit="1" customWidth="1"/>
    <col min="2619" max="2619" width="7.75" style="12" bestFit="1" customWidth="1"/>
    <col min="2620" max="2620" width="10.75" style="12" bestFit="1" customWidth="1"/>
    <col min="2621" max="2621" width="7.75" style="12" bestFit="1" customWidth="1"/>
    <col min="2622" max="2622" width="10.75" style="12" bestFit="1" customWidth="1"/>
    <col min="2623" max="2623" width="7.75" style="12" bestFit="1" customWidth="1"/>
    <col min="2624" max="2624" width="10.75" style="12" bestFit="1" customWidth="1"/>
    <col min="2625" max="2625" width="7.75" style="12" bestFit="1" customWidth="1"/>
    <col min="2626" max="2626" width="10.75" style="12" bestFit="1" customWidth="1"/>
    <col min="2627" max="2627" width="7.75" style="12" bestFit="1" customWidth="1"/>
    <col min="2628" max="2628" width="10.75" style="12" bestFit="1" customWidth="1"/>
    <col min="2629" max="2629" width="7.75" style="12" bestFit="1" customWidth="1"/>
    <col min="2630" max="2630" width="10.75" style="12" bestFit="1" customWidth="1"/>
    <col min="2631" max="2631" width="7.75" style="12" bestFit="1" customWidth="1"/>
    <col min="2632" max="2632" width="10.75" style="12" bestFit="1" customWidth="1"/>
    <col min="2633" max="2633" width="7.75" style="12" bestFit="1" customWidth="1"/>
    <col min="2634" max="2634" width="10.75" style="12" bestFit="1" customWidth="1"/>
    <col min="2635" max="2635" width="7.75" style="12" bestFit="1" customWidth="1"/>
    <col min="2636" max="2636" width="10.75" style="12" bestFit="1" customWidth="1"/>
    <col min="2637" max="2637" width="7.75" style="12" bestFit="1" customWidth="1"/>
    <col min="2638" max="2638" width="10.75" style="12" bestFit="1" customWidth="1"/>
    <col min="2639" max="2639" width="7.75" style="12" bestFit="1" customWidth="1"/>
    <col min="2640" max="2640" width="10.75" style="12" bestFit="1" customWidth="1"/>
    <col min="2641" max="2641" width="7.75" style="12" bestFit="1" customWidth="1"/>
    <col min="2642" max="2642" width="10.75" style="12" bestFit="1" customWidth="1"/>
    <col min="2643" max="2643" width="7.75" style="12" bestFit="1" customWidth="1"/>
    <col min="2644" max="2644" width="10.75" style="12" bestFit="1" customWidth="1"/>
    <col min="2645" max="2645" width="7.75" style="12" bestFit="1" customWidth="1"/>
    <col min="2646" max="2646" width="10.75" style="12" bestFit="1" customWidth="1"/>
    <col min="2647" max="2647" width="7.75" style="12" bestFit="1" customWidth="1"/>
    <col min="2648" max="2648" width="10.75" style="12" bestFit="1" customWidth="1"/>
    <col min="2649" max="2649" width="7.75" style="12" bestFit="1" customWidth="1"/>
    <col min="2650" max="2650" width="10.75" style="12" bestFit="1" customWidth="1"/>
    <col min="2651" max="2651" width="7.75" style="12" bestFit="1" customWidth="1"/>
    <col min="2652" max="2652" width="10.75" style="12" bestFit="1" customWidth="1"/>
    <col min="2653" max="2653" width="7.75" style="12" bestFit="1" customWidth="1"/>
    <col min="2654" max="2654" width="10.75" style="12" bestFit="1" customWidth="1"/>
    <col min="2655" max="2655" width="7.75" style="12" bestFit="1" customWidth="1"/>
    <col min="2656" max="2656" width="10.75" style="12" bestFit="1" customWidth="1"/>
    <col min="2657" max="2657" width="7.75" style="12" bestFit="1" customWidth="1"/>
    <col min="2658" max="2658" width="10.75" style="12" bestFit="1" customWidth="1"/>
    <col min="2659" max="2659" width="7.75" style="12" bestFit="1" customWidth="1"/>
    <col min="2660" max="2660" width="10.75" style="12" bestFit="1" customWidth="1"/>
    <col min="2661" max="2661" width="7.75" style="12" bestFit="1" customWidth="1"/>
    <col min="2662" max="2662" width="10.75" style="12" bestFit="1" customWidth="1"/>
    <col min="2663" max="2663" width="7.75" style="12" bestFit="1" customWidth="1"/>
    <col min="2664" max="2664" width="10.75" style="12" bestFit="1" customWidth="1"/>
    <col min="2665" max="2665" width="7.75" style="12" bestFit="1" customWidth="1"/>
    <col min="2666" max="2666" width="10.75" style="12" bestFit="1" customWidth="1"/>
    <col min="2667" max="2667" width="7.75" style="12" bestFit="1" customWidth="1"/>
    <col min="2668" max="2668" width="10.75" style="12" bestFit="1" customWidth="1"/>
    <col min="2669" max="2669" width="7.75" style="12" bestFit="1" customWidth="1"/>
    <col min="2670" max="2670" width="10.75" style="12" bestFit="1" customWidth="1"/>
    <col min="2671" max="2671" width="7.75" style="12" bestFit="1" customWidth="1"/>
    <col min="2672" max="2672" width="10.75" style="12" bestFit="1" customWidth="1"/>
    <col min="2673" max="2673" width="7.75" style="12" bestFit="1" customWidth="1"/>
    <col min="2674" max="2674" width="10.75" style="12" bestFit="1" customWidth="1"/>
    <col min="2675" max="2675" width="7.75" style="12" bestFit="1" customWidth="1"/>
    <col min="2676" max="2676" width="10.75" style="12" bestFit="1" customWidth="1"/>
    <col min="2677" max="2677" width="7.75" style="12" bestFit="1" customWidth="1"/>
    <col min="2678" max="2678" width="10.75" style="12" bestFit="1" customWidth="1"/>
    <col min="2679" max="2679" width="7.75" style="12" bestFit="1" customWidth="1"/>
    <col min="2680" max="2680" width="10.75" style="12" bestFit="1" customWidth="1"/>
    <col min="2681" max="2681" width="7.75" style="12" bestFit="1" customWidth="1"/>
    <col min="2682" max="2682" width="10.75" style="12" bestFit="1" customWidth="1"/>
    <col min="2683" max="2683" width="7.75" style="12" bestFit="1" customWidth="1"/>
    <col min="2684" max="2684" width="10.75" style="12" bestFit="1" customWidth="1"/>
    <col min="2685" max="2685" width="7.75" style="12" bestFit="1" customWidth="1"/>
    <col min="2686" max="2686" width="10.75" style="12" bestFit="1" customWidth="1"/>
    <col min="2687" max="2687" width="7.75" style="12" bestFit="1" customWidth="1"/>
    <col min="2688" max="2688" width="10.75" style="12" bestFit="1" customWidth="1"/>
    <col min="2689" max="2689" width="7.75" style="12" bestFit="1" customWidth="1"/>
    <col min="2690" max="2690" width="10.75" style="12" bestFit="1" customWidth="1"/>
    <col min="2691" max="2691" width="7.75" style="12" bestFit="1" customWidth="1"/>
    <col min="2692" max="2692" width="10.75" style="12" bestFit="1" customWidth="1"/>
    <col min="2693" max="2693" width="7.75" style="12" bestFit="1" customWidth="1"/>
    <col min="2694" max="2694" width="10.75" style="12" bestFit="1" customWidth="1"/>
    <col min="2695" max="2695" width="7.75" style="12" bestFit="1" customWidth="1"/>
    <col min="2696" max="2696" width="10.75" style="12" bestFit="1" customWidth="1"/>
    <col min="2697" max="2697" width="7.75" style="12" bestFit="1" customWidth="1"/>
    <col min="2698" max="2698" width="10.75" style="12" bestFit="1" customWidth="1"/>
    <col min="2699" max="2699" width="7.75" style="12" bestFit="1" customWidth="1"/>
    <col min="2700" max="2700" width="10.75" style="12" bestFit="1" customWidth="1"/>
    <col min="2701" max="2701" width="7.75" style="12" bestFit="1" customWidth="1"/>
    <col min="2702" max="2702" width="10.75" style="12" bestFit="1" customWidth="1"/>
    <col min="2703" max="2703" width="7.75" style="12" bestFit="1" customWidth="1"/>
    <col min="2704" max="2704" width="10.75" style="12" bestFit="1" customWidth="1"/>
    <col min="2705" max="2705" width="7.75" style="12" bestFit="1" customWidth="1"/>
    <col min="2706" max="2706" width="10.75" style="12" bestFit="1" customWidth="1"/>
    <col min="2707" max="2707" width="7.75" style="12" bestFit="1" customWidth="1"/>
    <col min="2708" max="2708" width="10.75" style="12" bestFit="1" customWidth="1"/>
    <col min="2709" max="2709" width="7.75" style="12" bestFit="1" customWidth="1"/>
    <col min="2710" max="2710" width="10.75" style="12" bestFit="1" customWidth="1"/>
    <col min="2711" max="2711" width="7.75" style="12" bestFit="1" customWidth="1"/>
    <col min="2712" max="2712" width="10.75" style="12" bestFit="1" customWidth="1"/>
    <col min="2713" max="2713" width="7.75" style="12" bestFit="1" customWidth="1"/>
    <col min="2714" max="2714" width="10.75" style="12" bestFit="1" customWidth="1"/>
    <col min="2715" max="2715" width="7.75" style="12" bestFit="1" customWidth="1"/>
    <col min="2716" max="2716" width="10.75" style="12" bestFit="1" customWidth="1"/>
    <col min="2717" max="2717" width="7.75" style="12" bestFit="1" customWidth="1"/>
    <col min="2718" max="2718" width="10.75" style="12" bestFit="1" customWidth="1"/>
    <col min="2719" max="2719" width="7.75" style="12" bestFit="1" customWidth="1"/>
    <col min="2720" max="2720" width="10.75" style="12" bestFit="1" customWidth="1"/>
    <col min="2721" max="2721" width="7.75" style="12" bestFit="1" customWidth="1"/>
    <col min="2722" max="2722" width="10.75" style="12" bestFit="1" customWidth="1"/>
    <col min="2723" max="2723" width="7.75" style="12" bestFit="1" customWidth="1"/>
    <col min="2724" max="2724" width="10.75" style="12" bestFit="1" customWidth="1"/>
    <col min="2725" max="2725" width="7.75" style="12" bestFit="1" customWidth="1"/>
    <col min="2726" max="2726" width="10.75" style="12" bestFit="1" customWidth="1"/>
    <col min="2727" max="2727" width="7.75" style="12" bestFit="1" customWidth="1"/>
    <col min="2728" max="2728" width="10.75" style="12" bestFit="1" customWidth="1"/>
    <col min="2729" max="2729" width="7.75" style="12" bestFit="1" customWidth="1"/>
    <col min="2730" max="2730" width="10.75" style="12" bestFit="1" customWidth="1"/>
    <col min="2731" max="2731" width="7.75" style="12" bestFit="1" customWidth="1"/>
    <col min="2732" max="2732" width="10.75" style="12" bestFit="1" customWidth="1"/>
    <col min="2733" max="2733" width="7.75" style="12" bestFit="1" customWidth="1"/>
    <col min="2734" max="2734" width="10.75" style="12" bestFit="1" customWidth="1"/>
    <col min="2735" max="2735" width="7.75" style="12" bestFit="1" customWidth="1"/>
    <col min="2736" max="2736" width="10.75" style="12" bestFit="1" customWidth="1"/>
    <col min="2737" max="2737" width="7.75" style="12" bestFit="1" customWidth="1"/>
    <col min="2738" max="2738" width="10.75" style="12" bestFit="1" customWidth="1"/>
    <col min="2739" max="2739" width="7.75" style="12" bestFit="1" customWidth="1"/>
    <col min="2740" max="2740" width="10.75" style="12" bestFit="1" customWidth="1"/>
    <col min="2741" max="2741" width="7.75" style="12" bestFit="1" customWidth="1"/>
    <col min="2742" max="2742" width="10.75" style="12" bestFit="1" customWidth="1"/>
    <col min="2743" max="2743" width="7.75" style="12" bestFit="1" customWidth="1"/>
    <col min="2744" max="2744" width="10.75" style="12" bestFit="1" customWidth="1"/>
    <col min="2745" max="2745" width="7.75" style="12" bestFit="1" customWidth="1"/>
    <col min="2746" max="2746" width="10.75" style="12" bestFit="1" customWidth="1"/>
    <col min="2747" max="2747" width="7.75" style="12" bestFit="1" customWidth="1"/>
    <col min="2748" max="2748" width="10.75" style="12" bestFit="1" customWidth="1"/>
    <col min="2749" max="2749" width="7.75" style="12" bestFit="1" customWidth="1"/>
    <col min="2750" max="2750" width="10.75" style="12" bestFit="1" customWidth="1"/>
    <col min="2751" max="2751" width="7.75" style="12" bestFit="1" customWidth="1"/>
    <col min="2752" max="2752" width="10.75" style="12" bestFit="1" customWidth="1"/>
    <col min="2753" max="2753" width="7.75" style="12" bestFit="1" customWidth="1"/>
    <col min="2754" max="2754" width="10.75" style="12" bestFit="1" customWidth="1"/>
    <col min="2755" max="2755" width="7.75" style="12" bestFit="1" customWidth="1"/>
    <col min="2756" max="2756" width="10.75" style="12" bestFit="1" customWidth="1"/>
    <col min="2757" max="2757" width="7.75" style="12" bestFit="1" customWidth="1"/>
    <col min="2758" max="2758" width="10.75" style="12" bestFit="1" customWidth="1"/>
    <col min="2759" max="2759" width="7.75" style="12" bestFit="1" customWidth="1"/>
    <col min="2760" max="2760" width="10.75" style="12" bestFit="1" customWidth="1"/>
    <col min="2761" max="2761" width="7.75" style="12" bestFit="1" customWidth="1"/>
    <col min="2762" max="2762" width="10.75" style="12" bestFit="1" customWidth="1"/>
    <col min="2763" max="2763" width="7.75" style="12" bestFit="1" customWidth="1"/>
    <col min="2764" max="2764" width="10.75" style="12" bestFit="1" customWidth="1"/>
    <col min="2765" max="2765" width="7.75" style="12" bestFit="1" customWidth="1"/>
    <col min="2766" max="2766" width="10.75" style="12" bestFit="1" customWidth="1"/>
    <col min="2767" max="2767" width="7.75" style="12" bestFit="1" customWidth="1"/>
    <col min="2768" max="2768" width="10.75" style="12" bestFit="1" customWidth="1"/>
    <col min="2769" max="2769" width="7.75" style="12" bestFit="1" customWidth="1"/>
    <col min="2770" max="2770" width="10.75" style="12" bestFit="1" customWidth="1"/>
    <col min="2771" max="2771" width="7.75" style="12" bestFit="1" customWidth="1"/>
    <col min="2772" max="2772" width="6.125" style="12" bestFit="1" customWidth="1"/>
    <col min="2773" max="2773" width="10.75" style="12" bestFit="1" customWidth="1"/>
    <col min="2774" max="2774" width="7.75" style="12" bestFit="1" customWidth="1"/>
    <col min="2775" max="2775" width="10.75" style="12" bestFit="1" customWidth="1"/>
    <col min="2776" max="2776" width="7.75" style="12" bestFit="1" customWidth="1"/>
    <col min="2777" max="2777" width="10.75" style="12" bestFit="1" customWidth="1"/>
    <col min="2778" max="2778" width="7.75" style="12" bestFit="1" customWidth="1"/>
    <col min="2779" max="2779" width="10.75" style="12" bestFit="1" customWidth="1"/>
    <col min="2780" max="2780" width="7.75" style="12" bestFit="1" customWidth="1"/>
    <col min="2781" max="2781" width="10.75" style="12" bestFit="1" customWidth="1"/>
    <col min="2782" max="2782" width="7.75" style="12" bestFit="1" customWidth="1"/>
    <col min="2783" max="2783" width="10.75" style="12" bestFit="1" customWidth="1"/>
    <col min="2784" max="2784" width="7.75" style="12" bestFit="1" customWidth="1"/>
    <col min="2785" max="2785" width="10.75" style="12" bestFit="1" customWidth="1"/>
    <col min="2786" max="2786" width="7.75" style="12" bestFit="1" customWidth="1"/>
    <col min="2787" max="2787" width="10.75" style="12" bestFit="1" customWidth="1"/>
    <col min="2788" max="2788" width="7.75" style="12" bestFit="1" customWidth="1"/>
    <col min="2789" max="2789" width="10.75" style="12" bestFit="1" customWidth="1"/>
    <col min="2790" max="2790" width="7.75" style="12" bestFit="1" customWidth="1"/>
    <col min="2791" max="2791" width="10.75" style="12" bestFit="1" customWidth="1"/>
    <col min="2792" max="2792" width="7.75" style="12" bestFit="1" customWidth="1"/>
    <col min="2793" max="2793" width="10.75" style="12" bestFit="1" customWidth="1"/>
    <col min="2794" max="2794" width="7.75" style="12" bestFit="1" customWidth="1"/>
    <col min="2795" max="2795" width="10.75" style="12" bestFit="1" customWidth="1"/>
    <col min="2796" max="2796" width="7.75" style="12" bestFit="1" customWidth="1"/>
    <col min="2797" max="2797" width="10.75" style="12" bestFit="1" customWidth="1"/>
    <col min="2798" max="2798" width="7.75" style="12" bestFit="1" customWidth="1"/>
    <col min="2799" max="2799" width="10.75" style="12" bestFit="1" customWidth="1"/>
    <col min="2800" max="2800" width="7.75" style="12" bestFit="1" customWidth="1"/>
    <col min="2801" max="2801" width="10.75" style="12" bestFit="1" customWidth="1"/>
    <col min="2802" max="2802" width="7.75" style="12" bestFit="1" customWidth="1"/>
    <col min="2803" max="2803" width="10.75" style="12" bestFit="1" customWidth="1"/>
    <col min="2804" max="2804" width="7.75" style="12" bestFit="1" customWidth="1"/>
    <col min="2805" max="2805" width="10.75" style="12" bestFit="1" customWidth="1"/>
    <col min="2806" max="2806" width="7.75" style="12" bestFit="1" customWidth="1"/>
    <col min="2807" max="2807" width="10.75" style="12" bestFit="1" customWidth="1"/>
    <col min="2808" max="2808" width="7.75" style="12" bestFit="1" customWidth="1"/>
    <col min="2809" max="2809" width="10.75" style="12" bestFit="1" customWidth="1"/>
    <col min="2810" max="2810" width="7.75" style="12" bestFit="1" customWidth="1"/>
    <col min="2811" max="2811" width="10.75" style="12" bestFit="1" customWidth="1"/>
    <col min="2812" max="2812" width="7.75" style="12" bestFit="1" customWidth="1"/>
    <col min="2813" max="2813" width="10.75" style="12" bestFit="1" customWidth="1"/>
    <col min="2814" max="2814" width="7.75" style="12" bestFit="1" customWidth="1"/>
    <col min="2815" max="2815" width="10.75" style="12" bestFit="1" customWidth="1"/>
    <col min="2816" max="2816" width="7.75" style="12" bestFit="1" customWidth="1"/>
    <col min="2817" max="2817" width="10.75" style="12" bestFit="1" customWidth="1"/>
    <col min="2818" max="2818" width="7.75" style="12" bestFit="1" customWidth="1"/>
    <col min="2819" max="2819" width="10.75" style="12" bestFit="1" customWidth="1"/>
    <col min="2820" max="2820" width="7.75" style="12" bestFit="1" customWidth="1"/>
    <col min="2821" max="2821" width="10.75" style="12" bestFit="1" customWidth="1"/>
    <col min="2822" max="2822" width="7.75" style="12" bestFit="1" customWidth="1"/>
    <col min="2823" max="2823" width="10.75" style="12" bestFit="1" customWidth="1"/>
    <col min="2824" max="2824" width="7.75" style="12" bestFit="1" customWidth="1"/>
    <col min="2825" max="2825" width="10.75" style="12" bestFit="1" customWidth="1"/>
    <col min="2826" max="2826" width="7.75" style="12" bestFit="1" customWidth="1"/>
    <col min="2827" max="2827" width="10.75" style="12" bestFit="1" customWidth="1"/>
    <col min="2828" max="2828" width="7.75" style="12" bestFit="1" customWidth="1"/>
    <col min="2829" max="2829" width="10.75" style="12" bestFit="1" customWidth="1"/>
    <col min="2830" max="2830" width="7.75" style="12" bestFit="1" customWidth="1"/>
    <col min="2831" max="2831" width="10.75" style="12" bestFit="1" customWidth="1"/>
    <col min="2832" max="2832" width="7.75" style="12" bestFit="1" customWidth="1"/>
    <col min="2833" max="2833" width="10.75" style="12" bestFit="1" customWidth="1"/>
    <col min="2834" max="2834" width="7.75" style="12" bestFit="1" customWidth="1"/>
    <col min="2835" max="2835" width="10.75" style="12" bestFit="1" customWidth="1"/>
    <col min="2836" max="2836" width="7.75" style="12" bestFit="1" customWidth="1"/>
    <col min="2837" max="2837" width="10.75" style="12" bestFit="1" customWidth="1"/>
    <col min="2838" max="2838" width="7.75" style="12" bestFit="1" customWidth="1"/>
    <col min="2839" max="2839" width="10.75" style="12" bestFit="1" customWidth="1"/>
    <col min="2840" max="2840" width="7.75" style="12" bestFit="1" customWidth="1"/>
    <col min="2841" max="2841" width="10.75" style="12" bestFit="1" customWidth="1"/>
    <col min="2842" max="2842" width="7.75" style="12" bestFit="1" customWidth="1"/>
    <col min="2843" max="2843" width="10.75" style="12" bestFit="1" customWidth="1"/>
    <col min="2844" max="2844" width="7.75" style="12" bestFit="1" customWidth="1"/>
    <col min="2845" max="2845" width="10.75" style="12" bestFit="1" customWidth="1"/>
    <col min="2846" max="2846" width="7.75" style="12" bestFit="1" customWidth="1"/>
    <col min="2847" max="2847" width="10.75" style="12" bestFit="1" customWidth="1"/>
    <col min="2848" max="2848" width="7.75" style="12" bestFit="1" customWidth="1"/>
    <col min="2849" max="2849" width="10.75" style="12" bestFit="1" customWidth="1"/>
    <col min="2850" max="2850" width="7.75" style="12" bestFit="1" customWidth="1"/>
    <col min="2851" max="2851" width="10.75" style="12" bestFit="1" customWidth="1"/>
    <col min="2852" max="2852" width="7.75" style="12" bestFit="1" customWidth="1"/>
    <col min="2853" max="2853" width="10.75" style="12" bestFit="1" customWidth="1"/>
    <col min="2854" max="2854" width="7.75" style="12" bestFit="1" customWidth="1"/>
    <col min="2855" max="2855" width="10.75" style="12" bestFit="1" customWidth="1"/>
    <col min="2856" max="2856" width="7.75" style="12" bestFit="1" customWidth="1"/>
    <col min="2857" max="2857" width="10.75" style="12" bestFit="1" customWidth="1"/>
    <col min="2858" max="2858" width="7.75" style="12" bestFit="1" customWidth="1"/>
    <col min="2859" max="2859" width="10.75" style="12" bestFit="1" customWidth="1"/>
    <col min="2860" max="2860" width="7.75" style="12" bestFit="1" customWidth="1"/>
    <col min="2861" max="2861" width="10.75" style="12" bestFit="1" customWidth="1"/>
    <col min="2862" max="2862" width="7.75" style="12" bestFit="1" customWidth="1"/>
    <col min="2863" max="2863" width="10.75" style="12" bestFit="1" customWidth="1"/>
    <col min="2864" max="2864" width="7.75" style="12" bestFit="1" customWidth="1"/>
    <col min="2865" max="2865" width="10.75" style="12" bestFit="1" customWidth="1"/>
    <col min="2866" max="2866" width="7.75" style="12" bestFit="1" customWidth="1"/>
    <col min="2867" max="2867" width="10.75" style="12" bestFit="1" customWidth="1"/>
    <col min="2868" max="2868" width="7.75" style="12" bestFit="1" customWidth="1"/>
    <col min="2869" max="2869" width="10.75" style="12" bestFit="1" customWidth="1"/>
    <col min="2870" max="2870" width="7.75" style="12" bestFit="1" customWidth="1"/>
    <col min="2871" max="2871" width="10.75" style="12" bestFit="1" customWidth="1"/>
    <col min="2872" max="2872" width="7.75" style="12" bestFit="1" customWidth="1"/>
    <col min="2873" max="2873" width="10.75" style="12" bestFit="1" customWidth="1"/>
    <col min="2874" max="2874" width="7.75" style="12" bestFit="1" customWidth="1"/>
    <col min="2875" max="2875" width="10.75" style="12" bestFit="1" customWidth="1"/>
    <col min="2876" max="2876" width="7.75" style="12" bestFit="1" customWidth="1"/>
    <col min="2877" max="2877" width="10.75" style="12" bestFit="1" customWidth="1"/>
    <col min="2878" max="2878" width="7.75" style="12" bestFit="1" customWidth="1"/>
    <col min="2879" max="2879" width="10.75" style="12" bestFit="1" customWidth="1"/>
    <col min="2880" max="2880" width="7.75" style="12" bestFit="1" customWidth="1"/>
    <col min="2881" max="2881" width="10.75" style="12" bestFit="1" customWidth="1"/>
    <col min="2882" max="2882" width="7.75" style="12" bestFit="1" customWidth="1"/>
    <col min="2883" max="2883" width="10.75" style="12" bestFit="1" customWidth="1"/>
    <col min="2884" max="2884" width="7.75" style="12" bestFit="1" customWidth="1"/>
    <col min="2885" max="2885" width="10.75" style="12" bestFit="1" customWidth="1"/>
    <col min="2886" max="2886" width="7.75" style="12" bestFit="1" customWidth="1"/>
    <col min="2887" max="2887" width="10.75" style="12" bestFit="1" customWidth="1"/>
    <col min="2888" max="2888" width="7.75" style="12" bestFit="1" customWidth="1"/>
    <col min="2889" max="2889" width="10.75" style="12" bestFit="1" customWidth="1"/>
    <col min="2890" max="2890" width="7.75" style="12" bestFit="1" customWidth="1"/>
    <col min="2891" max="2891" width="10.75" style="12" bestFit="1" customWidth="1"/>
    <col min="2892" max="2892" width="7.75" style="12" bestFit="1" customWidth="1"/>
    <col min="2893" max="2893" width="10.75" style="12" bestFit="1" customWidth="1"/>
    <col min="2894" max="2894" width="7.75" style="12" bestFit="1" customWidth="1"/>
    <col min="2895" max="2895" width="10.75" style="12" bestFit="1" customWidth="1"/>
    <col min="2896" max="2896" width="7.75" style="12" bestFit="1" customWidth="1"/>
    <col min="2897" max="2897" width="10.75" style="12" bestFit="1" customWidth="1"/>
    <col min="2898" max="2898" width="7.75" style="12" bestFit="1" customWidth="1"/>
    <col min="2899" max="2899" width="10.75" style="12" bestFit="1" customWidth="1"/>
    <col min="2900" max="2900" width="7.75" style="12" bestFit="1" customWidth="1"/>
    <col min="2901" max="2901" width="10.75" style="12" bestFit="1" customWidth="1"/>
    <col min="2902" max="2902" width="7.75" style="12" bestFit="1" customWidth="1"/>
    <col min="2903" max="2903" width="10.75" style="12" bestFit="1" customWidth="1"/>
    <col min="2904" max="2904" width="7.75" style="12" bestFit="1" customWidth="1"/>
    <col min="2905" max="2905" width="10.75" style="12" bestFit="1" customWidth="1"/>
    <col min="2906" max="2906" width="7.75" style="12" bestFit="1" customWidth="1"/>
    <col min="2907" max="2907" width="10.75" style="12" bestFit="1" customWidth="1"/>
    <col min="2908" max="2908" width="7.75" style="12" bestFit="1" customWidth="1"/>
    <col min="2909" max="2909" width="10.75" style="12" bestFit="1" customWidth="1"/>
    <col min="2910" max="2910" width="7.75" style="12" bestFit="1" customWidth="1"/>
    <col min="2911" max="2911" width="10.75" style="12" bestFit="1" customWidth="1"/>
    <col min="2912" max="2912" width="7.75" style="12" bestFit="1" customWidth="1"/>
    <col min="2913" max="2913" width="10.75" style="12" bestFit="1" customWidth="1"/>
    <col min="2914" max="2914" width="7.75" style="12" bestFit="1" customWidth="1"/>
    <col min="2915" max="2915" width="10.75" style="12" bestFit="1" customWidth="1"/>
    <col min="2916" max="2916" width="7.75" style="12" bestFit="1" customWidth="1"/>
    <col min="2917" max="2917" width="10.75" style="12" bestFit="1" customWidth="1"/>
    <col min="2918" max="2918" width="7.75" style="12" bestFit="1" customWidth="1"/>
    <col min="2919" max="2919" width="10.75" style="12" bestFit="1" customWidth="1"/>
    <col min="2920" max="2920" width="7.75" style="12" bestFit="1" customWidth="1"/>
    <col min="2921" max="2921" width="10.75" style="12" bestFit="1" customWidth="1"/>
    <col min="2922" max="2922" width="7.75" style="12" bestFit="1" customWidth="1"/>
    <col min="2923" max="2923" width="10.75" style="12" bestFit="1" customWidth="1"/>
    <col min="2924" max="2924" width="7.75" style="12" bestFit="1" customWidth="1"/>
    <col min="2925" max="2925" width="10.75" style="12" bestFit="1" customWidth="1"/>
    <col min="2926" max="2926" width="7.75" style="12" bestFit="1" customWidth="1"/>
    <col min="2927" max="2927" width="10.75" style="12" bestFit="1" customWidth="1"/>
    <col min="2928" max="2928" width="7.75" style="12" bestFit="1" customWidth="1"/>
    <col min="2929" max="2929" width="10.75" style="12" bestFit="1" customWidth="1"/>
    <col min="2930" max="2930" width="7.75" style="12" bestFit="1" customWidth="1"/>
    <col min="2931" max="2931" width="10.75" style="12" bestFit="1" customWidth="1"/>
    <col min="2932" max="2932" width="7.75" style="12" bestFit="1" customWidth="1"/>
    <col min="2933" max="2933" width="10.75" style="12" bestFit="1" customWidth="1"/>
    <col min="2934" max="2934" width="7.75" style="12" bestFit="1" customWidth="1"/>
    <col min="2935" max="2935" width="10.75" style="12" bestFit="1" customWidth="1"/>
    <col min="2936" max="2936" width="7.75" style="12" bestFit="1" customWidth="1"/>
    <col min="2937" max="2937" width="10.75" style="12" bestFit="1" customWidth="1"/>
    <col min="2938" max="2938" width="7.75" style="12" bestFit="1" customWidth="1"/>
    <col min="2939" max="2939" width="10.75" style="12" bestFit="1" customWidth="1"/>
    <col min="2940" max="2940" width="7.75" style="12" bestFit="1" customWidth="1"/>
    <col min="2941" max="2941" width="10.75" style="12" bestFit="1" customWidth="1"/>
    <col min="2942" max="2942" width="7.75" style="12" bestFit="1" customWidth="1"/>
    <col min="2943" max="2943" width="10.75" style="12" bestFit="1" customWidth="1"/>
    <col min="2944" max="2944" width="7.75" style="12" bestFit="1" customWidth="1"/>
    <col min="2945" max="2945" width="10.75" style="12" bestFit="1" customWidth="1"/>
    <col min="2946" max="2946" width="7.75" style="12" bestFit="1" customWidth="1"/>
    <col min="2947" max="2947" width="10.75" style="12" bestFit="1" customWidth="1"/>
    <col min="2948" max="2948" width="7.75" style="12" bestFit="1" customWidth="1"/>
    <col min="2949" max="2949" width="10.75" style="12" bestFit="1" customWidth="1"/>
    <col min="2950" max="2950" width="7.75" style="12" bestFit="1" customWidth="1"/>
    <col min="2951" max="2951" width="10.75" style="12" bestFit="1" customWidth="1"/>
    <col min="2952" max="2952" width="7.75" style="12" bestFit="1" customWidth="1"/>
    <col min="2953" max="2953" width="10.75" style="12" bestFit="1" customWidth="1"/>
    <col min="2954" max="2954" width="7.75" style="12" bestFit="1" customWidth="1"/>
    <col min="2955" max="2955" width="10.75" style="12" bestFit="1" customWidth="1"/>
    <col min="2956" max="2956" width="7.75" style="12" bestFit="1" customWidth="1"/>
    <col min="2957" max="2957" width="10.75" style="12" bestFit="1" customWidth="1"/>
    <col min="2958" max="2958" width="7.75" style="12" bestFit="1" customWidth="1"/>
    <col min="2959" max="2959" width="10.75" style="12" bestFit="1" customWidth="1"/>
    <col min="2960" max="2960" width="7.75" style="12" bestFit="1" customWidth="1"/>
    <col min="2961" max="2961" width="10.75" style="12" bestFit="1" customWidth="1"/>
    <col min="2962" max="2962" width="7.75" style="12" bestFit="1" customWidth="1"/>
    <col min="2963" max="2963" width="10.75" style="12" bestFit="1" customWidth="1"/>
    <col min="2964" max="2964" width="7.75" style="12" bestFit="1" customWidth="1"/>
    <col min="2965" max="2965" width="10.75" style="12" bestFit="1" customWidth="1"/>
    <col min="2966" max="2966" width="7.75" style="12" bestFit="1" customWidth="1"/>
    <col min="2967" max="2967" width="10.75" style="12" bestFit="1" customWidth="1"/>
    <col min="2968" max="2968" width="7.75" style="12" bestFit="1" customWidth="1"/>
    <col min="2969" max="2969" width="10.75" style="12" bestFit="1" customWidth="1"/>
    <col min="2970" max="2970" width="7.75" style="12" bestFit="1" customWidth="1"/>
    <col min="2971" max="2971" width="10.75" style="12" bestFit="1" customWidth="1"/>
    <col min="2972" max="2972" width="7.75" style="12" bestFit="1" customWidth="1"/>
    <col min="2973" max="2973" width="10.75" style="12" bestFit="1" customWidth="1"/>
    <col min="2974" max="2974" width="7.75" style="12" bestFit="1" customWidth="1"/>
    <col min="2975" max="2975" width="10.75" style="12" bestFit="1" customWidth="1"/>
    <col min="2976" max="2976" width="7.75" style="12" bestFit="1" customWidth="1"/>
    <col min="2977" max="2977" width="10.75" style="12" bestFit="1" customWidth="1"/>
    <col min="2978" max="2978" width="7.75" style="12" bestFit="1" customWidth="1"/>
    <col min="2979" max="2979" width="10.75" style="12" bestFit="1" customWidth="1"/>
    <col min="2980" max="2980" width="7.75" style="12" bestFit="1" customWidth="1"/>
    <col min="2981" max="2981" width="10.75" style="12" bestFit="1" customWidth="1"/>
    <col min="2982" max="2982" width="7.75" style="12" bestFit="1" customWidth="1"/>
    <col min="2983" max="2983" width="10.75" style="12" bestFit="1" customWidth="1"/>
    <col min="2984" max="2984" width="7.75" style="12" bestFit="1" customWidth="1"/>
    <col min="2985" max="2985" width="10.75" style="12" bestFit="1" customWidth="1"/>
    <col min="2986" max="2986" width="7.75" style="12" bestFit="1" customWidth="1"/>
    <col min="2987" max="2987" width="10.75" style="12" bestFit="1" customWidth="1"/>
    <col min="2988" max="2988" width="7.75" style="12" bestFit="1" customWidth="1"/>
    <col min="2989" max="2989" width="10.75" style="12" bestFit="1" customWidth="1"/>
    <col min="2990" max="2990" width="7.75" style="12" bestFit="1" customWidth="1"/>
    <col min="2991" max="2991" width="10.75" style="12" bestFit="1" customWidth="1"/>
    <col min="2992" max="2992" width="7.75" style="12" bestFit="1" customWidth="1"/>
    <col min="2993" max="2993" width="10.75" style="12" bestFit="1" customWidth="1"/>
    <col min="2994" max="2994" width="7.75" style="12" bestFit="1" customWidth="1"/>
    <col min="2995" max="2995" width="10.75" style="12" bestFit="1" customWidth="1"/>
    <col min="2996" max="2996" width="7.75" style="12" bestFit="1" customWidth="1"/>
    <col min="2997" max="2997" width="10.75" style="12" bestFit="1" customWidth="1"/>
    <col min="2998" max="2998" width="7.75" style="12" bestFit="1" customWidth="1"/>
    <col min="2999" max="2999" width="10.75" style="12" bestFit="1" customWidth="1"/>
    <col min="3000" max="3000" width="7.75" style="12" bestFit="1" customWidth="1"/>
    <col min="3001" max="3001" width="10.75" style="12" bestFit="1" customWidth="1"/>
    <col min="3002" max="3002" width="7.75" style="12" bestFit="1" customWidth="1"/>
    <col min="3003" max="3003" width="10.75" style="12" bestFit="1" customWidth="1"/>
    <col min="3004" max="3004" width="7.75" style="12" bestFit="1" customWidth="1"/>
    <col min="3005" max="3005" width="10.75" style="12" bestFit="1" customWidth="1"/>
    <col min="3006" max="3006" width="7.75" style="12" bestFit="1" customWidth="1"/>
    <col min="3007" max="3007" width="10.75" style="12" bestFit="1" customWidth="1"/>
    <col min="3008" max="3008" width="7.75" style="12" bestFit="1" customWidth="1"/>
    <col min="3009" max="3009" width="10.75" style="12" bestFit="1" customWidth="1"/>
    <col min="3010" max="3010" width="7.75" style="12" bestFit="1" customWidth="1"/>
    <col min="3011" max="3011" width="10.75" style="12" bestFit="1" customWidth="1"/>
    <col min="3012" max="3012" width="7.75" style="12" bestFit="1" customWidth="1"/>
    <col min="3013" max="3013" width="10.75" style="12" bestFit="1" customWidth="1"/>
    <col min="3014" max="3014" width="7.75" style="12" bestFit="1" customWidth="1"/>
    <col min="3015" max="3015" width="10.75" style="12" bestFit="1" customWidth="1"/>
    <col min="3016" max="3016" width="7.75" style="12" bestFit="1" customWidth="1"/>
    <col min="3017" max="3017" width="10.75" style="12" bestFit="1" customWidth="1"/>
    <col min="3018" max="3018" width="7.75" style="12" bestFit="1" customWidth="1"/>
    <col min="3019" max="3019" width="10.75" style="12" bestFit="1" customWidth="1"/>
    <col min="3020" max="3020" width="7.75" style="12" bestFit="1" customWidth="1"/>
    <col min="3021" max="3021" width="6.125" style="12" bestFit="1" customWidth="1"/>
    <col min="3022" max="3022" width="10.75" style="12" bestFit="1" customWidth="1"/>
    <col min="3023" max="3023" width="7.75" style="12" bestFit="1" customWidth="1"/>
    <col min="3024" max="3024" width="10.75" style="12" bestFit="1" customWidth="1"/>
    <col min="3025" max="3025" width="7.75" style="12" bestFit="1" customWidth="1"/>
    <col min="3026" max="3026" width="10.75" style="12" bestFit="1" customWidth="1"/>
    <col min="3027" max="3027" width="7.75" style="12" bestFit="1" customWidth="1"/>
    <col min="3028" max="3028" width="10.75" style="12" bestFit="1" customWidth="1"/>
    <col min="3029" max="3029" width="7.75" style="12" bestFit="1" customWidth="1"/>
    <col min="3030" max="3030" width="10.75" style="12" bestFit="1" customWidth="1"/>
    <col min="3031" max="3031" width="7.75" style="12" bestFit="1" customWidth="1"/>
    <col min="3032" max="3032" width="10.75" style="12" bestFit="1" customWidth="1"/>
    <col min="3033" max="3033" width="7.75" style="12" bestFit="1" customWidth="1"/>
    <col min="3034" max="3034" width="6.125" style="12" bestFit="1" customWidth="1"/>
    <col min="3035" max="3035" width="10.75" style="12" bestFit="1" customWidth="1"/>
    <col min="3036" max="3036" width="7.75" style="12" bestFit="1" customWidth="1"/>
    <col min="3037" max="3037" width="10.75" style="12" bestFit="1" customWidth="1"/>
    <col min="3038" max="3038" width="7.75" style="12" bestFit="1" customWidth="1"/>
    <col min="3039" max="3039" width="10.75" style="12" bestFit="1" customWidth="1"/>
    <col min="3040" max="3040" width="7.75" style="12" bestFit="1" customWidth="1"/>
    <col min="3041" max="3041" width="10.75" style="12" bestFit="1" customWidth="1"/>
    <col min="3042" max="3042" width="7.75" style="12" bestFit="1" customWidth="1"/>
    <col min="3043" max="3043" width="10.75" style="12" bestFit="1" customWidth="1"/>
    <col min="3044" max="3044" width="7.75" style="12" bestFit="1" customWidth="1"/>
    <col min="3045" max="3045" width="10.75" style="12" bestFit="1" customWidth="1"/>
    <col min="3046" max="3046" width="7.75" style="12" bestFit="1" customWidth="1"/>
    <col min="3047" max="3047" width="10.75" style="12" bestFit="1" customWidth="1"/>
    <col min="3048" max="3048" width="7.75" style="12" bestFit="1" customWidth="1"/>
    <col min="3049" max="3049" width="10.75" style="12" bestFit="1" customWidth="1"/>
    <col min="3050" max="3050" width="7.75" style="12" bestFit="1" customWidth="1"/>
    <col min="3051" max="3051" width="10.75" style="12" bestFit="1" customWidth="1"/>
    <col min="3052" max="3052" width="7.75" style="12" bestFit="1" customWidth="1"/>
    <col min="3053" max="3053" width="10.75" style="12" bestFit="1" customWidth="1"/>
    <col min="3054" max="3054" width="7.75" style="12" bestFit="1" customWidth="1"/>
    <col min="3055" max="3055" width="10.75" style="12" bestFit="1" customWidth="1"/>
    <col min="3056" max="3056" width="7.75" style="12" bestFit="1" customWidth="1"/>
    <col min="3057" max="3057" width="10.75" style="12" bestFit="1" customWidth="1"/>
    <col min="3058" max="3058" width="7.75" style="12" bestFit="1" customWidth="1"/>
    <col min="3059" max="3059" width="6.125" style="12" bestFit="1" customWidth="1"/>
    <col min="3060" max="3060" width="10.75" style="12" bestFit="1" customWidth="1"/>
    <col min="3061" max="3061" width="7.75" style="12" bestFit="1" customWidth="1"/>
    <col min="3062" max="3062" width="10.75" style="12" bestFit="1" customWidth="1"/>
    <col min="3063" max="3063" width="7.75" style="12" bestFit="1" customWidth="1"/>
    <col min="3064" max="3064" width="10.75" style="12" bestFit="1" customWidth="1"/>
    <col min="3065" max="3065" width="7.75" style="12" bestFit="1" customWidth="1"/>
    <col min="3066" max="3066" width="10.75" style="12" bestFit="1" customWidth="1"/>
    <col min="3067" max="3067" width="7.75" style="12" bestFit="1" customWidth="1"/>
    <col min="3068" max="3068" width="10.75" style="12" bestFit="1" customWidth="1"/>
    <col min="3069" max="3069" width="7.75" style="12" bestFit="1" customWidth="1"/>
    <col min="3070" max="3070" width="10.75" style="12" bestFit="1" customWidth="1"/>
    <col min="3071" max="3071" width="7.75" style="12" bestFit="1" customWidth="1"/>
    <col min="3072" max="3072" width="10.75" style="12" bestFit="1" customWidth="1"/>
    <col min="3073" max="3073" width="7.75" style="12" bestFit="1" customWidth="1"/>
    <col min="3074" max="3074" width="10.75" style="12" bestFit="1" customWidth="1"/>
    <col min="3075" max="3075" width="7.75" style="12" bestFit="1" customWidth="1"/>
    <col min="3076" max="3076" width="10.75" style="12" bestFit="1" customWidth="1"/>
    <col min="3077" max="3077" width="7.75" style="12" bestFit="1" customWidth="1"/>
    <col min="3078" max="3078" width="10.75" style="12" bestFit="1" customWidth="1"/>
    <col min="3079" max="3079" width="7.75" style="12" bestFit="1" customWidth="1"/>
    <col min="3080" max="3080" width="10.75" style="12" bestFit="1" customWidth="1"/>
    <col min="3081" max="3081" width="7.75" style="12" bestFit="1" customWidth="1"/>
    <col min="3082" max="3082" width="10.75" style="12" bestFit="1" customWidth="1"/>
    <col min="3083" max="3083" width="7.75" style="12" bestFit="1" customWidth="1"/>
    <col min="3084" max="3084" width="10.75" style="12" bestFit="1" customWidth="1"/>
    <col min="3085" max="3085" width="7.75" style="12" bestFit="1" customWidth="1"/>
    <col min="3086" max="3086" width="10.75" style="12" bestFit="1" customWidth="1"/>
    <col min="3087" max="3087" width="7.75" style="12" bestFit="1" customWidth="1"/>
    <col min="3088" max="3088" width="10.75" style="12" bestFit="1" customWidth="1"/>
    <col min="3089" max="3089" width="7.75" style="12" bestFit="1" customWidth="1"/>
    <col min="3090" max="3090" width="10.75" style="12" bestFit="1" customWidth="1"/>
    <col min="3091" max="3091" width="7.75" style="12" bestFit="1" customWidth="1"/>
    <col min="3092" max="3092" width="10.75" style="12" bestFit="1" customWidth="1"/>
    <col min="3093" max="3093" width="7.75" style="12" bestFit="1" customWidth="1"/>
    <col min="3094" max="3094" width="10.75" style="12" bestFit="1" customWidth="1"/>
    <col min="3095" max="3095" width="7.75" style="12" bestFit="1" customWidth="1"/>
    <col min="3096" max="3096" width="10.75" style="12" bestFit="1" customWidth="1"/>
    <col min="3097" max="3097" width="7.75" style="12" bestFit="1" customWidth="1"/>
    <col min="3098" max="3098" width="10.75" style="12" bestFit="1" customWidth="1"/>
    <col min="3099" max="3099" width="7.75" style="12" bestFit="1" customWidth="1"/>
    <col min="3100" max="3100" width="10.75" style="12" bestFit="1" customWidth="1"/>
    <col min="3101" max="3101" width="7.75" style="12" bestFit="1" customWidth="1"/>
    <col min="3102" max="3102" width="6.125" style="12" bestFit="1" customWidth="1"/>
    <col min="3103" max="3103" width="10.75" style="12" bestFit="1" customWidth="1"/>
    <col min="3104" max="3104" width="7.75" style="12" bestFit="1" customWidth="1"/>
    <col min="3105" max="3105" width="10.75" style="12" bestFit="1" customWidth="1"/>
    <col min="3106" max="3106" width="7.75" style="12" bestFit="1" customWidth="1"/>
    <col min="3107" max="3107" width="10.75" style="12" bestFit="1" customWidth="1"/>
    <col min="3108" max="3108" width="7.75" style="12" bestFit="1" customWidth="1"/>
    <col min="3109" max="3109" width="10.75" style="12" bestFit="1" customWidth="1"/>
    <col min="3110" max="3110" width="7.75" style="12" bestFit="1" customWidth="1"/>
    <col min="3111" max="3111" width="10.75" style="12" bestFit="1" customWidth="1"/>
    <col min="3112" max="3112" width="7.75" style="12" bestFit="1" customWidth="1"/>
    <col min="3113" max="3113" width="10.75" style="12" bestFit="1" customWidth="1"/>
    <col min="3114" max="3114" width="7.75" style="12" bestFit="1" customWidth="1"/>
    <col min="3115" max="3115" width="10.75" style="12" bestFit="1" customWidth="1"/>
    <col min="3116" max="3116" width="7.75" style="12" bestFit="1" customWidth="1"/>
    <col min="3117" max="3117" width="10.75" style="12" bestFit="1" customWidth="1"/>
    <col min="3118" max="3118" width="7.75" style="12" bestFit="1" customWidth="1"/>
    <col min="3119" max="3119" width="10.75" style="12" bestFit="1" customWidth="1"/>
    <col min="3120" max="3120" width="7.75" style="12" bestFit="1" customWidth="1"/>
    <col min="3121" max="3121" width="10.75" style="12" bestFit="1" customWidth="1"/>
    <col min="3122" max="3122" width="7.75" style="12" bestFit="1" customWidth="1"/>
    <col min="3123" max="3123" width="10.75" style="12" bestFit="1" customWidth="1"/>
    <col min="3124" max="3124" width="7.75" style="12" bestFit="1" customWidth="1"/>
    <col min="3125" max="3125" width="10.75" style="12" bestFit="1" customWidth="1"/>
    <col min="3126" max="3126" width="7.75" style="12" bestFit="1" customWidth="1"/>
    <col min="3127" max="3127" width="10.75" style="12" bestFit="1" customWidth="1"/>
    <col min="3128" max="3128" width="7.75" style="12" bestFit="1" customWidth="1"/>
    <col min="3129" max="3129" width="10.75" style="12" bestFit="1" customWidth="1"/>
    <col min="3130" max="3130" width="7.75" style="12" bestFit="1" customWidth="1"/>
    <col min="3131" max="3131" width="10.75" style="12" bestFit="1" customWidth="1"/>
    <col min="3132" max="3132" width="7.75" style="12" bestFit="1" customWidth="1"/>
    <col min="3133" max="3133" width="10.75" style="12" bestFit="1" customWidth="1"/>
    <col min="3134" max="3134" width="7.75" style="12" bestFit="1" customWidth="1"/>
    <col min="3135" max="3135" width="10.75" style="12" bestFit="1" customWidth="1"/>
    <col min="3136" max="3136" width="7.75" style="12" bestFit="1" customWidth="1"/>
    <col min="3137" max="3137" width="10.75" style="12" bestFit="1" customWidth="1"/>
    <col min="3138" max="3138" width="7.75" style="12" bestFit="1" customWidth="1"/>
    <col min="3139" max="3139" width="10.75" style="12" bestFit="1" customWidth="1"/>
    <col min="3140" max="3140" width="7.75" style="12" bestFit="1" customWidth="1"/>
    <col min="3141" max="3141" width="10.75" style="12" bestFit="1" customWidth="1"/>
    <col min="3142" max="3142" width="7.75" style="12" bestFit="1" customWidth="1"/>
    <col min="3143" max="3143" width="10.75" style="12" bestFit="1" customWidth="1"/>
    <col min="3144" max="3144" width="7.75" style="12" bestFit="1" customWidth="1"/>
    <col min="3145" max="3145" width="10.75" style="12" bestFit="1" customWidth="1"/>
    <col min="3146" max="3146" width="7.75" style="12" bestFit="1" customWidth="1"/>
    <col min="3147" max="3147" width="10.75" style="12" bestFit="1" customWidth="1"/>
    <col min="3148" max="3148" width="7.75" style="12" bestFit="1" customWidth="1"/>
    <col min="3149" max="3149" width="10.75" style="12" bestFit="1" customWidth="1"/>
    <col min="3150" max="3150" width="7.75" style="12" bestFit="1" customWidth="1"/>
    <col min="3151" max="3151" width="10.75" style="12" bestFit="1" customWidth="1"/>
    <col min="3152" max="3152" width="7.75" style="12" bestFit="1" customWidth="1"/>
    <col min="3153" max="3153" width="10.75" style="12" bestFit="1" customWidth="1"/>
    <col min="3154" max="3154" width="7.75" style="12" bestFit="1" customWidth="1"/>
    <col min="3155" max="3155" width="6.125" style="12" bestFit="1" customWidth="1"/>
    <col min="3156" max="3156" width="10.75" style="12" bestFit="1" customWidth="1"/>
    <col min="3157" max="3157" width="7.75" style="12" bestFit="1" customWidth="1"/>
    <col min="3158" max="3158" width="10.75" style="12" bestFit="1" customWidth="1"/>
    <col min="3159" max="3159" width="7.75" style="12" bestFit="1" customWidth="1"/>
    <col min="3160" max="3160" width="10.75" style="12" bestFit="1" customWidth="1"/>
    <col min="3161" max="3161" width="7.75" style="12" bestFit="1" customWidth="1"/>
    <col min="3162" max="3162" width="10.75" style="12" bestFit="1" customWidth="1"/>
    <col min="3163" max="3163" width="7.75" style="12" bestFit="1" customWidth="1"/>
    <col min="3164" max="3164" width="6.125" style="12" bestFit="1" customWidth="1"/>
    <col min="3165" max="3165" width="10.75" style="12" bestFit="1" customWidth="1"/>
    <col min="3166" max="3166" width="7.75" style="12" bestFit="1" customWidth="1"/>
    <col min="3167" max="3167" width="10.75" style="12" bestFit="1" customWidth="1"/>
    <col min="3168" max="3168" width="7.75" style="12" bestFit="1" customWidth="1"/>
    <col min="3169" max="3169" width="10.75" style="12" bestFit="1" customWidth="1"/>
    <col min="3170" max="3170" width="7.75" style="12" bestFit="1" customWidth="1"/>
    <col min="3171" max="3171" width="10.75" style="12" bestFit="1" customWidth="1"/>
    <col min="3172" max="3172" width="7.75" style="12" bestFit="1" customWidth="1"/>
    <col min="3173" max="3173" width="10.75" style="12" bestFit="1" customWidth="1"/>
    <col min="3174" max="3174" width="7.75" style="12" bestFit="1" customWidth="1"/>
    <col min="3175" max="3175" width="10.75" style="12" bestFit="1" customWidth="1"/>
    <col min="3176" max="3176" width="7.75" style="12" bestFit="1" customWidth="1"/>
    <col min="3177" max="3177" width="10.75" style="12" bestFit="1" customWidth="1"/>
    <col min="3178" max="3178" width="7.75" style="12" bestFit="1" customWidth="1"/>
    <col min="3179" max="3179" width="10.75" style="12" bestFit="1" customWidth="1"/>
    <col min="3180" max="3180" width="7.75" style="12" bestFit="1" customWidth="1"/>
    <col min="3181" max="3181" width="10.75" style="12" bestFit="1" customWidth="1"/>
    <col min="3182" max="3182" width="7.75" style="12" bestFit="1" customWidth="1"/>
    <col min="3183" max="3183" width="10.75" style="12" bestFit="1" customWidth="1"/>
    <col min="3184" max="3184" width="7.75" style="12" bestFit="1" customWidth="1"/>
    <col min="3185" max="3185" width="10.75" style="12" bestFit="1" customWidth="1"/>
    <col min="3186" max="3186" width="7.75" style="12" bestFit="1" customWidth="1"/>
    <col min="3187" max="3187" width="10.75" style="12" bestFit="1" customWidth="1"/>
    <col min="3188" max="3188" width="7.75" style="12" bestFit="1" customWidth="1"/>
    <col min="3189" max="3189" width="10.75" style="12" bestFit="1" customWidth="1"/>
    <col min="3190" max="3190" width="7.75" style="12" bestFit="1" customWidth="1"/>
    <col min="3191" max="3191" width="10.75" style="12" bestFit="1" customWidth="1"/>
    <col min="3192" max="3192" width="7.75" style="12" bestFit="1" customWidth="1"/>
    <col min="3193" max="3193" width="10.75" style="12" bestFit="1" customWidth="1"/>
    <col min="3194" max="3194" width="7.75" style="12" bestFit="1" customWidth="1"/>
    <col min="3195" max="3195" width="10.75" style="12" bestFit="1" customWidth="1"/>
    <col min="3196" max="3196" width="7.75" style="12" bestFit="1" customWidth="1"/>
    <col min="3197" max="3197" width="10.75" style="12" bestFit="1" customWidth="1"/>
    <col min="3198" max="3198" width="7.75" style="12" bestFit="1" customWidth="1"/>
    <col min="3199" max="3199" width="10.75" style="12" bestFit="1" customWidth="1"/>
    <col min="3200" max="3200" width="7.75" style="12" bestFit="1" customWidth="1"/>
    <col min="3201" max="3201" width="10.75" style="12" bestFit="1" customWidth="1"/>
    <col min="3202" max="3202" width="7.75" style="12" bestFit="1" customWidth="1"/>
    <col min="3203" max="3203" width="10.75" style="12" bestFit="1" customWidth="1"/>
    <col min="3204" max="3204" width="7.75" style="12" bestFit="1" customWidth="1"/>
    <col min="3205" max="3205" width="10.75" style="12" bestFit="1" customWidth="1"/>
    <col min="3206" max="3206" width="7.75" style="12" bestFit="1" customWidth="1"/>
    <col min="3207" max="3207" width="10.75" style="12" bestFit="1" customWidth="1"/>
    <col min="3208" max="3208" width="7.75" style="12" bestFit="1" customWidth="1"/>
    <col min="3209" max="3209" width="10.75" style="12" bestFit="1" customWidth="1"/>
    <col min="3210" max="3210" width="7.75" style="12" bestFit="1" customWidth="1"/>
    <col min="3211" max="3211" width="10.75" style="12" bestFit="1" customWidth="1"/>
    <col min="3212" max="3212" width="7.75" style="12" bestFit="1" customWidth="1"/>
    <col min="3213" max="3213" width="10.75" style="12" bestFit="1" customWidth="1"/>
    <col min="3214" max="3214" width="7.75" style="12" bestFit="1" customWidth="1"/>
    <col min="3215" max="3215" width="10.75" style="12" bestFit="1" customWidth="1"/>
    <col min="3216" max="3216" width="7.75" style="12" bestFit="1" customWidth="1"/>
    <col min="3217" max="3217" width="10.75" style="12" bestFit="1" customWidth="1"/>
    <col min="3218" max="3218" width="7.75" style="12" bestFit="1" customWidth="1"/>
    <col min="3219" max="3219" width="10.75" style="12" bestFit="1" customWidth="1"/>
    <col min="3220" max="3220" width="7.75" style="12" bestFit="1" customWidth="1"/>
    <col min="3221" max="3221" width="10.75" style="12" bestFit="1" customWidth="1"/>
    <col min="3222" max="3222" width="7.75" style="12" bestFit="1" customWidth="1"/>
    <col min="3223" max="3223" width="10.75" style="12" bestFit="1" customWidth="1"/>
    <col min="3224" max="3224" width="7.75" style="12" bestFit="1" customWidth="1"/>
    <col min="3225" max="3225" width="10.75" style="12" bestFit="1" customWidth="1"/>
    <col min="3226" max="3226" width="7.75" style="12" bestFit="1" customWidth="1"/>
    <col min="3227" max="3227" width="10.75" style="12" bestFit="1" customWidth="1"/>
    <col min="3228" max="3228" width="7.75" style="12" bestFit="1" customWidth="1"/>
    <col min="3229" max="3229" width="10.75" style="12" bestFit="1" customWidth="1"/>
    <col min="3230" max="3230" width="7.75" style="12" bestFit="1" customWidth="1"/>
    <col min="3231" max="3231" width="10.75" style="12" bestFit="1" customWidth="1"/>
    <col min="3232" max="3232" width="7.75" style="12" bestFit="1" customWidth="1"/>
    <col min="3233" max="3233" width="10.75" style="12" bestFit="1" customWidth="1"/>
    <col min="3234" max="3234" width="7.75" style="12" bestFit="1" customWidth="1"/>
    <col min="3235" max="3235" width="10.75" style="12" bestFit="1" customWidth="1"/>
    <col min="3236" max="3236" width="7.75" style="12" bestFit="1" customWidth="1"/>
    <col min="3237" max="3237" width="10.75" style="12" bestFit="1" customWidth="1"/>
    <col min="3238" max="3238" width="7.75" style="12" bestFit="1" customWidth="1"/>
    <col min="3239" max="3239" width="10.75" style="12" bestFit="1" customWidth="1"/>
    <col min="3240" max="3240" width="7.75" style="12" bestFit="1" customWidth="1"/>
    <col min="3241" max="3241" width="10.75" style="12" bestFit="1" customWidth="1"/>
    <col min="3242" max="3242" width="7.75" style="12" bestFit="1" customWidth="1"/>
    <col min="3243" max="3243" width="10.75" style="12" bestFit="1" customWidth="1"/>
    <col min="3244" max="3244" width="7.75" style="12" bestFit="1" customWidth="1"/>
    <col min="3245" max="3245" width="10.75" style="12" bestFit="1" customWidth="1"/>
    <col min="3246" max="3246" width="7.75" style="12" bestFit="1" customWidth="1"/>
    <col min="3247" max="3247" width="10.75" style="12" bestFit="1" customWidth="1"/>
    <col min="3248" max="3248" width="7.75" style="12" bestFit="1" customWidth="1"/>
    <col min="3249" max="3249" width="10.75" style="12" bestFit="1" customWidth="1"/>
    <col min="3250" max="3250" width="7.75" style="12" bestFit="1" customWidth="1"/>
    <col min="3251" max="3251" width="10.75" style="12" bestFit="1" customWidth="1"/>
    <col min="3252" max="3252" width="7.75" style="12" bestFit="1" customWidth="1"/>
    <col min="3253" max="3253" width="10.75" style="12" bestFit="1" customWidth="1"/>
    <col min="3254" max="3254" width="7.75" style="12" bestFit="1" customWidth="1"/>
    <col min="3255" max="3255" width="10.75" style="12" bestFit="1" customWidth="1"/>
    <col min="3256" max="3256" width="7.75" style="12" bestFit="1" customWidth="1"/>
    <col min="3257" max="3257" width="10.75" style="12" bestFit="1" customWidth="1"/>
    <col min="3258" max="3258" width="7.75" style="12" bestFit="1" customWidth="1"/>
    <col min="3259" max="3259" width="10.75" style="12" bestFit="1" customWidth="1"/>
    <col min="3260" max="3260" width="7.75" style="12" bestFit="1" customWidth="1"/>
    <col min="3261" max="3261" width="10.75" style="12" bestFit="1" customWidth="1"/>
    <col min="3262" max="3262" width="7.75" style="12" bestFit="1" customWidth="1"/>
    <col min="3263" max="3263" width="10.75" style="12" bestFit="1" customWidth="1"/>
    <col min="3264" max="3264" width="7.75" style="12" bestFit="1" customWidth="1"/>
    <col min="3265" max="3265" width="10.75" style="12" bestFit="1" customWidth="1"/>
    <col min="3266" max="3266" width="7.75" style="12" bestFit="1" customWidth="1"/>
    <col min="3267" max="3267" width="10.75" style="12" bestFit="1" customWidth="1"/>
    <col min="3268" max="3268" width="7.75" style="12" bestFit="1" customWidth="1"/>
    <col min="3269" max="3269" width="10.75" style="12" bestFit="1" customWidth="1"/>
    <col min="3270" max="3270" width="7.75" style="12" bestFit="1" customWidth="1"/>
    <col min="3271" max="3271" width="10.75" style="12" bestFit="1" customWidth="1"/>
    <col min="3272" max="3272" width="7.75" style="12" bestFit="1" customWidth="1"/>
    <col min="3273" max="3273" width="10.75" style="12" bestFit="1" customWidth="1"/>
    <col min="3274" max="3274" width="7.75" style="12" bestFit="1" customWidth="1"/>
    <col min="3275" max="3275" width="10.75" style="12" bestFit="1" customWidth="1"/>
    <col min="3276" max="3276" width="7.75" style="12" bestFit="1" customWidth="1"/>
    <col min="3277" max="3277" width="10.75" style="12" bestFit="1" customWidth="1"/>
    <col min="3278" max="3278" width="7.75" style="12" bestFit="1" customWidth="1"/>
    <col min="3279" max="3279" width="10.75" style="12" bestFit="1" customWidth="1"/>
    <col min="3280" max="3280" width="7.75" style="12" bestFit="1" customWidth="1"/>
    <col min="3281" max="3281" width="10.75" style="12" bestFit="1" customWidth="1"/>
    <col min="3282" max="3282" width="7.75" style="12" bestFit="1" customWidth="1"/>
    <col min="3283" max="3283" width="10.75" style="12" bestFit="1" customWidth="1"/>
    <col min="3284" max="3284" width="7.75" style="12" bestFit="1" customWidth="1"/>
    <col min="3285" max="3285" width="10.75" style="12" bestFit="1" customWidth="1"/>
    <col min="3286" max="3286" width="7.75" style="12" bestFit="1" customWidth="1"/>
    <col min="3287" max="3287" width="10.75" style="12" bestFit="1" customWidth="1"/>
    <col min="3288" max="3288" width="7.75" style="12" bestFit="1" customWidth="1"/>
    <col min="3289" max="3289" width="10.75" style="12" bestFit="1" customWidth="1"/>
    <col min="3290" max="3290" width="7.75" style="12" bestFit="1" customWidth="1"/>
    <col min="3291" max="3291" width="10.75" style="12" bestFit="1" customWidth="1"/>
    <col min="3292" max="3292" width="7.75" style="12" bestFit="1" customWidth="1"/>
    <col min="3293" max="3293" width="10.75" style="12" bestFit="1" customWidth="1"/>
    <col min="3294" max="3294" width="7.75" style="12" bestFit="1" customWidth="1"/>
    <col min="3295" max="3295" width="10.75" style="12" bestFit="1" customWidth="1"/>
    <col min="3296" max="3296" width="7.75" style="12" bestFit="1" customWidth="1"/>
    <col min="3297" max="3297" width="10.75" style="12" bestFit="1" customWidth="1"/>
    <col min="3298" max="3298" width="7.75" style="12" bestFit="1" customWidth="1"/>
    <col min="3299" max="3299" width="10.75" style="12" bestFit="1" customWidth="1"/>
    <col min="3300" max="3300" width="7.75" style="12" bestFit="1" customWidth="1"/>
    <col min="3301" max="3301" width="10.75" style="12" bestFit="1" customWidth="1"/>
    <col min="3302" max="3302" width="7.75" style="12" bestFit="1" customWidth="1"/>
    <col min="3303" max="3303" width="10.75" style="12" bestFit="1" customWidth="1"/>
    <col min="3304" max="3304" width="7.75" style="12" bestFit="1" customWidth="1"/>
    <col min="3305" max="3305" width="10.75" style="12" bestFit="1" customWidth="1"/>
    <col min="3306" max="3306" width="7.75" style="12" bestFit="1" customWidth="1"/>
    <col min="3307" max="3307" width="10.75" style="12" bestFit="1" customWidth="1"/>
    <col min="3308" max="3308" width="7.75" style="12" bestFit="1" customWidth="1"/>
    <col min="3309" max="3309" width="10.75" style="12" bestFit="1" customWidth="1"/>
    <col min="3310" max="3310" width="7.75" style="12" bestFit="1" customWidth="1"/>
    <col min="3311" max="3311" width="10.75" style="12" bestFit="1" customWidth="1"/>
    <col min="3312" max="3312" width="7.75" style="12" bestFit="1" customWidth="1"/>
    <col min="3313" max="3313" width="10.75" style="12" bestFit="1" customWidth="1"/>
    <col min="3314" max="3314" width="7.75" style="12" bestFit="1" customWidth="1"/>
    <col min="3315" max="3315" width="10.75" style="12" bestFit="1" customWidth="1"/>
    <col min="3316" max="3316" width="7.75" style="12" bestFit="1" customWidth="1"/>
    <col min="3317" max="3317" width="10.75" style="12" bestFit="1" customWidth="1"/>
    <col min="3318" max="3318" width="7.75" style="12" bestFit="1" customWidth="1"/>
    <col min="3319" max="3319" width="10.75" style="12" bestFit="1" customWidth="1"/>
    <col min="3320" max="3320" width="7.75" style="12" bestFit="1" customWidth="1"/>
    <col min="3321" max="3321" width="10.75" style="12" bestFit="1" customWidth="1"/>
    <col min="3322" max="3322" width="7.75" style="12" bestFit="1" customWidth="1"/>
    <col min="3323" max="3323" width="10.75" style="12" bestFit="1" customWidth="1"/>
    <col min="3324" max="3324" width="7.75" style="12" bestFit="1" customWidth="1"/>
    <col min="3325" max="3325" width="10.75" style="12" bestFit="1" customWidth="1"/>
    <col min="3326" max="3326" width="7.75" style="12" bestFit="1" customWidth="1"/>
    <col min="3327" max="3327" width="10.75" style="12" bestFit="1" customWidth="1"/>
    <col min="3328" max="3328" width="7.75" style="12" bestFit="1" customWidth="1"/>
    <col min="3329" max="3329" width="10.75" style="12" bestFit="1" customWidth="1"/>
    <col min="3330" max="3330" width="7.75" style="12" bestFit="1" customWidth="1"/>
    <col min="3331" max="3331" width="10.75" style="12" bestFit="1" customWidth="1"/>
    <col min="3332" max="3332" width="7.75" style="12" bestFit="1" customWidth="1"/>
    <col min="3333" max="3333" width="10.75" style="12" bestFit="1" customWidth="1"/>
    <col min="3334" max="3334" width="7.75" style="12" bestFit="1" customWidth="1"/>
    <col min="3335" max="3335" width="10.75" style="12" bestFit="1" customWidth="1"/>
    <col min="3336" max="3336" width="7.75" style="12" bestFit="1" customWidth="1"/>
    <col min="3337" max="3337" width="6.125" style="12" bestFit="1" customWidth="1"/>
    <col min="3338" max="3338" width="10.75" style="12" bestFit="1" customWidth="1"/>
    <col min="3339" max="3339" width="7.75" style="12" bestFit="1" customWidth="1"/>
    <col min="3340" max="3340" width="6.125" style="12" bestFit="1" customWidth="1"/>
    <col min="3341" max="3341" width="10.75" style="12" bestFit="1" customWidth="1"/>
    <col min="3342" max="3342" width="7.75" style="12" bestFit="1" customWidth="1"/>
    <col min="3343" max="3343" width="10.75" style="12" bestFit="1" customWidth="1"/>
    <col min="3344" max="3344" width="7.75" style="12" bestFit="1" customWidth="1"/>
    <col min="3345" max="3345" width="10.75" style="12" bestFit="1" customWidth="1"/>
    <col min="3346" max="3346" width="7.75" style="12" bestFit="1" customWidth="1"/>
    <col min="3347" max="3347" width="10.75" style="12" bestFit="1" customWidth="1"/>
    <col min="3348" max="3348" width="7.75" style="12" bestFit="1" customWidth="1"/>
    <col min="3349" max="3349" width="10.75" style="12" bestFit="1" customWidth="1"/>
    <col min="3350" max="3350" width="7.75" style="12" bestFit="1" customWidth="1"/>
    <col min="3351" max="3351" width="10.75" style="12" bestFit="1" customWidth="1"/>
    <col min="3352" max="3352" width="7.75" style="12" bestFit="1" customWidth="1"/>
    <col min="3353" max="3353" width="10.75" style="12" bestFit="1" customWidth="1"/>
    <col min="3354" max="3354" width="7.75" style="12" bestFit="1" customWidth="1"/>
    <col min="3355" max="3355" width="10.75" style="12" bestFit="1" customWidth="1"/>
    <col min="3356" max="3356" width="7.75" style="12" bestFit="1" customWidth="1"/>
    <col min="3357" max="3357" width="10.75" style="12" bestFit="1" customWidth="1"/>
    <col min="3358" max="3358" width="7.75" style="12" bestFit="1" customWidth="1"/>
    <col min="3359" max="3359" width="10.75" style="12" bestFit="1" customWidth="1"/>
    <col min="3360" max="3360" width="7.75" style="12" bestFit="1" customWidth="1"/>
    <col min="3361" max="3361" width="10.75" style="12" bestFit="1" customWidth="1"/>
    <col min="3362" max="3362" width="7.75" style="12" bestFit="1" customWidth="1"/>
    <col min="3363" max="3363" width="10.75" style="12" bestFit="1" customWidth="1"/>
    <col min="3364" max="3364" width="7.75" style="12" bestFit="1" customWidth="1"/>
    <col min="3365" max="3365" width="10.75" style="12" bestFit="1" customWidth="1"/>
    <col min="3366" max="3366" width="7.75" style="12" bestFit="1" customWidth="1"/>
    <col min="3367" max="3367" width="10.75" style="12" bestFit="1" customWidth="1"/>
    <col min="3368" max="3368" width="7.75" style="12" bestFit="1" customWidth="1"/>
    <col min="3369" max="3369" width="10.75" style="12" bestFit="1" customWidth="1"/>
    <col min="3370" max="3370" width="7.75" style="12" bestFit="1" customWidth="1"/>
    <col min="3371" max="3371" width="10.75" style="12" bestFit="1" customWidth="1"/>
    <col min="3372" max="3372" width="7.75" style="12" bestFit="1" customWidth="1"/>
    <col min="3373" max="3373" width="10.75" style="12" bestFit="1" customWidth="1"/>
    <col min="3374" max="3374" width="7.75" style="12" bestFit="1" customWidth="1"/>
    <col min="3375" max="3375" width="10.75" style="12" bestFit="1" customWidth="1"/>
    <col min="3376" max="3376" width="7.75" style="12" bestFit="1" customWidth="1"/>
    <col min="3377" max="3377" width="10.75" style="12" bestFit="1" customWidth="1"/>
    <col min="3378" max="3378" width="7.75" style="12" bestFit="1" customWidth="1"/>
    <col min="3379" max="3379" width="10.75" style="12" bestFit="1" customWidth="1"/>
    <col min="3380" max="3380" width="7.75" style="12" bestFit="1" customWidth="1"/>
    <col min="3381" max="3381" width="10.75" style="12" bestFit="1" customWidth="1"/>
    <col min="3382" max="3382" width="7.75" style="12" bestFit="1" customWidth="1"/>
    <col min="3383" max="3383" width="10.75" style="12" bestFit="1" customWidth="1"/>
    <col min="3384" max="3384" width="7.75" style="12" bestFit="1" customWidth="1"/>
    <col min="3385" max="3385" width="10.75" style="12" bestFit="1" customWidth="1"/>
    <col min="3386" max="3386" width="7.75" style="12" bestFit="1" customWidth="1"/>
    <col min="3387" max="3387" width="10.75" style="12" bestFit="1" customWidth="1"/>
    <col min="3388" max="3388" width="7.75" style="12" bestFit="1" customWidth="1"/>
    <col min="3389" max="3389" width="10.75" style="12" bestFit="1" customWidth="1"/>
    <col min="3390" max="3390" width="7.75" style="12" bestFit="1" customWidth="1"/>
    <col min="3391" max="3391" width="6.125" style="12" bestFit="1" customWidth="1"/>
    <col min="3392" max="3392" width="10.75" style="12" bestFit="1" customWidth="1"/>
    <col min="3393" max="3393" width="7.75" style="12" bestFit="1" customWidth="1"/>
    <col min="3394" max="3394" width="10.75" style="12" bestFit="1" customWidth="1"/>
    <col min="3395" max="3395" width="7.75" style="12" bestFit="1" customWidth="1"/>
    <col min="3396" max="3396" width="10.75" style="12" bestFit="1" customWidth="1"/>
    <col min="3397" max="3397" width="7.75" style="12" bestFit="1" customWidth="1"/>
    <col min="3398" max="3398" width="10.75" style="12" bestFit="1" customWidth="1"/>
    <col min="3399" max="3399" width="7.75" style="12" bestFit="1" customWidth="1"/>
    <col min="3400" max="3400" width="10.75" style="12" bestFit="1" customWidth="1"/>
    <col min="3401" max="3401" width="7.75" style="12" bestFit="1" customWidth="1"/>
    <col min="3402" max="3402" width="10.75" style="12" bestFit="1" customWidth="1"/>
    <col min="3403" max="3403" width="7.75" style="12" bestFit="1" customWidth="1"/>
    <col min="3404" max="3404" width="10.75" style="12" bestFit="1" customWidth="1"/>
    <col min="3405" max="3405" width="7.75" style="12" bestFit="1" customWidth="1"/>
    <col min="3406" max="3406" width="10.75" style="12" bestFit="1" customWidth="1"/>
    <col min="3407" max="3407" width="7.75" style="12" bestFit="1" customWidth="1"/>
    <col min="3408" max="3408" width="10.75" style="12" bestFit="1" customWidth="1"/>
    <col min="3409" max="3409" width="7.75" style="12" bestFit="1" customWidth="1"/>
    <col min="3410" max="3410" width="10.75" style="12" bestFit="1" customWidth="1"/>
    <col min="3411" max="3411" width="7.75" style="12" bestFit="1" customWidth="1"/>
    <col min="3412" max="3412" width="10.75" style="12" bestFit="1" customWidth="1"/>
    <col min="3413" max="3413" width="7.75" style="12" bestFit="1" customWidth="1"/>
    <col min="3414" max="3414" width="10.75" style="12" bestFit="1" customWidth="1"/>
    <col min="3415" max="3415" width="7.75" style="12" bestFit="1" customWidth="1"/>
    <col min="3416" max="3416" width="10.75" style="12" bestFit="1" customWidth="1"/>
    <col min="3417" max="3417" width="7.75" style="12" bestFit="1" customWidth="1"/>
    <col min="3418" max="3418" width="10.75" style="12" bestFit="1" customWidth="1"/>
    <col min="3419" max="3419" width="7.75" style="12" bestFit="1" customWidth="1"/>
    <col min="3420" max="3420" width="10.75" style="12" bestFit="1" customWidth="1"/>
    <col min="3421" max="3421" width="7.75" style="12" bestFit="1" customWidth="1"/>
    <col min="3422" max="3422" width="10.75" style="12" bestFit="1" customWidth="1"/>
    <col min="3423" max="3423" width="7.75" style="12" bestFit="1" customWidth="1"/>
    <col min="3424" max="3424" width="10.75" style="12" bestFit="1" customWidth="1"/>
    <col min="3425" max="3425" width="7.75" style="12" bestFit="1" customWidth="1"/>
    <col min="3426" max="3426" width="10.75" style="12" bestFit="1" customWidth="1"/>
    <col min="3427" max="3427" width="7.75" style="12" bestFit="1" customWidth="1"/>
    <col min="3428" max="3428" width="10.75" style="12" bestFit="1" customWidth="1"/>
    <col min="3429" max="3429" width="7.75" style="12" bestFit="1" customWidth="1"/>
    <col min="3430" max="3430" width="10.75" style="12" bestFit="1" customWidth="1"/>
    <col min="3431" max="3431" width="7.75" style="12" bestFit="1" customWidth="1"/>
    <col min="3432" max="3432" width="10.75" style="12" bestFit="1" customWidth="1"/>
    <col min="3433" max="3433" width="7.75" style="12" bestFit="1" customWidth="1"/>
    <col min="3434" max="3434" width="10.75" style="12" bestFit="1" customWidth="1"/>
    <col min="3435" max="3435" width="7.75" style="12" bestFit="1" customWidth="1"/>
    <col min="3436" max="3436" width="10.75" style="12" bestFit="1" customWidth="1"/>
    <col min="3437" max="3437" width="7.75" style="12" bestFit="1" customWidth="1"/>
    <col min="3438" max="3438" width="10.75" style="12" bestFit="1" customWidth="1"/>
    <col min="3439" max="3439" width="7.75" style="12" bestFit="1" customWidth="1"/>
    <col min="3440" max="3440" width="10.75" style="12" bestFit="1" customWidth="1"/>
    <col min="3441" max="3441" width="7.75" style="12" bestFit="1" customWidth="1"/>
    <col min="3442" max="3442" width="10.75" style="12" bestFit="1" customWidth="1"/>
    <col min="3443" max="3443" width="7.75" style="12" bestFit="1" customWidth="1"/>
    <col min="3444" max="3444" width="10.75" style="12" bestFit="1" customWidth="1"/>
    <col min="3445" max="3445" width="7.75" style="12" bestFit="1" customWidth="1"/>
    <col min="3446" max="3446" width="10.75" style="12" bestFit="1" customWidth="1"/>
    <col min="3447" max="3447" width="7.75" style="12" bestFit="1" customWidth="1"/>
    <col min="3448" max="3448" width="10.75" style="12" bestFit="1" customWidth="1"/>
    <col min="3449" max="3449" width="7.75" style="12" bestFit="1" customWidth="1"/>
    <col min="3450" max="3450" width="10.75" style="12" bestFit="1" customWidth="1"/>
    <col min="3451" max="3451" width="7.75" style="12" bestFit="1" customWidth="1"/>
    <col min="3452" max="3452" width="10.75" style="12" bestFit="1" customWidth="1"/>
    <col min="3453" max="3453" width="7.75" style="12" bestFit="1" customWidth="1"/>
    <col min="3454" max="3454" width="10.75" style="12" bestFit="1" customWidth="1"/>
    <col min="3455" max="3455" width="7.75" style="12" bestFit="1" customWidth="1"/>
    <col min="3456" max="3456" width="10.75" style="12" bestFit="1" customWidth="1"/>
    <col min="3457" max="3457" width="7.75" style="12" bestFit="1" customWidth="1"/>
    <col min="3458" max="3458" width="10.75" style="12" bestFit="1" customWidth="1"/>
    <col min="3459" max="3459" width="7.75" style="12" bestFit="1" customWidth="1"/>
    <col min="3460" max="3460" width="10.75" style="12" bestFit="1" customWidth="1"/>
    <col min="3461" max="3461" width="7.75" style="12" bestFit="1" customWidth="1"/>
    <col min="3462" max="3462" width="10.75" style="12" bestFit="1" customWidth="1"/>
    <col min="3463" max="3463" width="7.75" style="12" bestFit="1" customWidth="1"/>
    <col min="3464" max="3464" width="10.75" style="12" bestFit="1" customWidth="1"/>
    <col min="3465" max="3465" width="7.75" style="12" bestFit="1" customWidth="1"/>
    <col min="3466" max="3466" width="10.75" style="12" bestFit="1" customWidth="1"/>
    <col min="3467" max="3467" width="7.75" style="12" bestFit="1" customWidth="1"/>
    <col min="3468" max="3468" width="10.75" style="12" bestFit="1" customWidth="1"/>
    <col min="3469" max="3469" width="7.75" style="12" bestFit="1" customWidth="1"/>
    <col min="3470" max="3470" width="10.75" style="12" bestFit="1" customWidth="1"/>
    <col min="3471" max="3471" width="7.75" style="12" bestFit="1" customWidth="1"/>
    <col min="3472" max="3472" width="10.75" style="12" bestFit="1" customWidth="1"/>
    <col min="3473" max="3473" width="7.75" style="12" bestFit="1" customWidth="1"/>
    <col min="3474" max="3474" width="10.75" style="12" bestFit="1" customWidth="1"/>
    <col min="3475" max="3475" width="7.75" style="12" bestFit="1" customWidth="1"/>
    <col min="3476" max="3476" width="10.75" style="12" bestFit="1" customWidth="1"/>
    <col min="3477" max="3477" width="7.75" style="12" bestFit="1" customWidth="1"/>
    <col min="3478" max="3478" width="10.75" style="12" bestFit="1" customWidth="1"/>
    <col min="3479" max="3479" width="7.75" style="12" bestFit="1" customWidth="1"/>
    <col min="3480" max="3480" width="10.75" style="12" bestFit="1" customWidth="1"/>
    <col min="3481" max="3481" width="7.75" style="12" bestFit="1" customWidth="1"/>
    <col min="3482" max="3482" width="10.75" style="12" bestFit="1" customWidth="1"/>
    <col min="3483" max="3483" width="7.75" style="12" bestFit="1" customWidth="1"/>
    <col min="3484" max="3484" width="10.75" style="12" bestFit="1" customWidth="1"/>
    <col min="3485" max="3485" width="7.75" style="12" bestFit="1" customWidth="1"/>
    <col min="3486" max="3486" width="10.75" style="12" bestFit="1" customWidth="1"/>
    <col min="3487" max="3487" width="7.75" style="12" bestFit="1" customWidth="1"/>
    <col min="3488" max="3488" width="10.75" style="12" bestFit="1" customWidth="1"/>
    <col min="3489" max="3489" width="7.75" style="12" bestFit="1" customWidth="1"/>
    <col min="3490" max="3490" width="10.75" style="12" bestFit="1" customWidth="1"/>
    <col min="3491" max="3491" width="7.75" style="12" bestFit="1" customWidth="1"/>
    <col min="3492" max="3492" width="10.75" style="12" bestFit="1" customWidth="1"/>
    <col min="3493" max="3493" width="7.75" style="12" bestFit="1" customWidth="1"/>
    <col min="3494" max="3494" width="10.75" style="12" bestFit="1" customWidth="1"/>
    <col min="3495" max="3495" width="7.75" style="12" bestFit="1" customWidth="1"/>
    <col min="3496" max="3496" width="10.75" style="12" bestFit="1" customWidth="1"/>
    <col min="3497" max="3497" width="7.75" style="12" bestFit="1" customWidth="1"/>
    <col min="3498" max="3498" width="10.75" style="12" bestFit="1" customWidth="1"/>
    <col min="3499" max="3499" width="7.75" style="12" bestFit="1" customWidth="1"/>
    <col min="3500" max="3500" width="10.75" style="12" bestFit="1" customWidth="1"/>
    <col min="3501" max="3501" width="7.75" style="12" bestFit="1" customWidth="1"/>
    <col min="3502" max="3502" width="10.75" style="12" bestFit="1" customWidth="1"/>
    <col min="3503" max="3503" width="7.75" style="12" bestFit="1" customWidth="1"/>
    <col min="3504" max="3504" width="10.75" style="12" bestFit="1" customWidth="1"/>
    <col min="3505" max="3505" width="7.75" style="12" bestFit="1" customWidth="1"/>
    <col min="3506" max="3506" width="10.75" style="12" bestFit="1" customWidth="1"/>
    <col min="3507" max="3507" width="7.75" style="12" bestFit="1" customWidth="1"/>
    <col min="3508" max="3508" width="10.75" style="12" bestFit="1" customWidth="1"/>
    <col min="3509" max="3509" width="7.75" style="12" bestFit="1" customWidth="1"/>
    <col min="3510" max="3510" width="10.75" style="12" bestFit="1" customWidth="1"/>
    <col min="3511" max="3511" width="7.75" style="12" bestFit="1" customWidth="1"/>
    <col min="3512" max="3512" width="10.75" style="12" bestFit="1" customWidth="1"/>
    <col min="3513" max="3513" width="7.75" style="12" bestFit="1" customWidth="1"/>
    <col min="3514" max="3514" width="10.75" style="12" bestFit="1" customWidth="1"/>
    <col min="3515" max="3515" width="7.75" style="12" bestFit="1" customWidth="1"/>
    <col min="3516" max="3516" width="10.75" style="12" bestFit="1" customWidth="1"/>
    <col min="3517" max="3517" width="7.75" style="12" bestFit="1" customWidth="1"/>
    <col min="3518" max="3518" width="10.75" style="12" bestFit="1" customWidth="1"/>
    <col min="3519" max="3519" width="7.75" style="12" bestFit="1" customWidth="1"/>
    <col min="3520" max="3520" width="10.75" style="12" bestFit="1" customWidth="1"/>
    <col min="3521" max="3521" width="7.75" style="12" bestFit="1" customWidth="1"/>
    <col min="3522" max="3522" width="10.75" style="12" bestFit="1" customWidth="1"/>
    <col min="3523" max="3523" width="7.75" style="12" bestFit="1" customWidth="1"/>
    <col min="3524" max="3524" width="10.75" style="12" bestFit="1" customWidth="1"/>
    <col min="3525" max="3525" width="7.75" style="12" bestFit="1" customWidth="1"/>
    <col min="3526" max="3526" width="10.75" style="12" bestFit="1" customWidth="1"/>
    <col min="3527" max="3527" width="7.75" style="12" bestFit="1" customWidth="1"/>
    <col min="3528" max="3528" width="10.75" style="12" bestFit="1" customWidth="1"/>
    <col min="3529" max="3529" width="7.75" style="12" bestFit="1" customWidth="1"/>
    <col min="3530" max="3530" width="10.75" style="12" bestFit="1" customWidth="1"/>
    <col min="3531" max="3531" width="7.75" style="12" bestFit="1" customWidth="1"/>
    <col min="3532" max="3532" width="10.75" style="12" bestFit="1" customWidth="1"/>
    <col min="3533" max="3533" width="7.75" style="12" bestFit="1" customWidth="1"/>
    <col min="3534" max="3534" width="10.75" style="12" bestFit="1" customWidth="1"/>
    <col min="3535" max="3535" width="7.75" style="12" bestFit="1" customWidth="1"/>
    <col min="3536" max="3536" width="10.75" style="12" bestFit="1" customWidth="1"/>
    <col min="3537" max="3537" width="7.75" style="12" bestFit="1" customWidth="1"/>
    <col min="3538" max="3538" width="10.75" style="12" bestFit="1" customWidth="1"/>
    <col min="3539" max="3539" width="7.75" style="12" bestFit="1" customWidth="1"/>
    <col min="3540" max="3540" width="10.75" style="12" bestFit="1" customWidth="1"/>
    <col min="3541" max="3541" width="7.75" style="12" bestFit="1" customWidth="1"/>
    <col min="3542" max="3542" width="10.75" style="12" bestFit="1" customWidth="1"/>
    <col min="3543" max="3543" width="7.75" style="12" bestFit="1" customWidth="1"/>
    <col min="3544" max="3544" width="10.75" style="12" bestFit="1" customWidth="1"/>
    <col min="3545" max="3545" width="7.75" style="12" bestFit="1" customWidth="1"/>
    <col min="3546" max="3546" width="10.75" style="12" bestFit="1" customWidth="1"/>
    <col min="3547" max="3547" width="7.75" style="12" bestFit="1" customWidth="1"/>
    <col min="3548" max="3548" width="10.75" style="12" bestFit="1" customWidth="1"/>
    <col min="3549" max="3549" width="7.75" style="12" bestFit="1" customWidth="1"/>
    <col min="3550" max="3550" width="10.75" style="12" bestFit="1" customWidth="1"/>
    <col min="3551" max="3551" width="7.75" style="12" bestFit="1" customWidth="1"/>
    <col min="3552" max="3552" width="10.75" style="12" bestFit="1" customWidth="1"/>
    <col min="3553" max="3553" width="7.75" style="12" bestFit="1" customWidth="1"/>
    <col min="3554" max="3554" width="10.75" style="12" bestFit="1" customWidth="1"/>
    <col min="3555" max="3555" width="7.75" style="12" bestFit="1" customWidth="1"/>
    <col min="3556" max="3556" width="10.75" style="12" bestFit="1" customWidth="1"/>
    <col min="3557" max="3557" width="7.75" style="12" bestFit="1" customWidth="1"/>
    <col min="3558" max="3558" width="10.75" style="12" bestFit="1" customWidth="1"/>
    <col min="3559" max="3559" width="7.75" style="12" bestFit="1" customWidth="1"/>
    <col min="3560" max="3560" width="10.75" style="12" bestFit="1" customWidth="1"/>
    <col min="3561" max="3561" width="7.75" style="12" bestFit="1" customWidth="1"/>
    <col min="3562" max="3562" width="10.75" style="12" bestFit="1" customWidth="1"/>
    <col min="3563" max="3563" width="7.75" style="12" bestFit="1" customWidth="1"/>
    <col min="3564" max="3564" width="10.75" style="12" bestFit="1" customWidth="1"/>
    <col min="3565" max="3565" width="7.75" style="12" bestFit="1" customWidth="1"/>
    <col min="3566" max="3566" width="10.75" style="12" bestFit="1" customWidth="1"/>
    <col min="3567" max="3567" width="7.75" style="12" bestFit="1" customWidth="1"/>
    <col min="3568" max="3568" width="10.75" style="12" bestFit="1" customWidth="1"/>
    <col min="3569" max="3569" width="7.75" style="12" bestFit="1" customWidth="1"/>
    <col min="3570" max="3570" width="10.75" style="12" bestFit="1" customWidth="1"/>
    <col min="3571" max="3571" width="7.75" style="12" bestFit="1" customWidth="1"/>
    <col min="3572" max="3572" width="10.75" style="12" bestFit="1" customWidth="1"/>
    <col min="3573" max="3573" width="7.75" style="12" bestFit="1" customWidth="1"/>
    <col min="3574" max="3574" width="10.75" style="12" bestFit="1" customWidth="1"/>
    <col min="3575" max="3575" width="7.75" style="12" bestFit="1" customWidth="1"/>
    <col min="3576" max="3576" width="10.75" style="12" bestFit="1" customWidth="1"/>
    <col min="3577" max="3577" width="7.75" style="12" bestFit="1" customWidth="1"/>
    <col min="3578" max="3578" width="10.75" style="12" bestFit="1" customWidth="1"/>
    <col min="3579" max="3579" width="7.75" style="12" bestFit="1" customWidth="1"/>
    <col min="3580" max="3580" width="10.75" style="12" bestFit="1" customWidth="1"/>
    <col min="3581" max="3581" width="7.75" style="12" bestFit="1" customWidth="1"/>
    <col min="3582" max="3582" width="10.75" style="12" bestFit="1" customWidth="1"/>
    <col min="3583" max="3583" width="7.75" style="12" bestFit="1" customWidth="1"/>
    <col min="3584" max="3584" width="10.75" style="12" bestFit="1" customWidth="1"/>
    <col min="3585" max="3585" width="7.75" style="12" bestFit="1" customWidth="1"/>
    <col min="3586" max="3586" width="10.75" style="12" bestFit="1" customWidth="1"/>
    <col min="3587" max="3587" width="7.75" style="12" bestFit="1" customWidth="1"/>
    <col min="3588" max="3588" width="10.75" style="12" bestFit="1" customWidth="1"/>
    <col min="3589" max="3589" width="7.75" style="12" bestFit="1" customWidth="1"/>
    <col min="3590" max="3590" width="10.75" style="12" bestFit="1" customWidth="1"/>
    <col min="3591" max="3591" width="7.75" style="12" bestFit="1" customWidth="1"/>
    <col min="3592" max="3592" width="10.75" style="12" bestFit="1" customWidth="1"/>
    <col min="3593" max="3593" width="7.75" style="12" bestFit="1" customWidth="1"/>
    <col min="3594" max="3594" width="10.75" style="12" bestFit="1" customWidth="1"/>
    <col min="3595" max="3595" width="7.75" style="12" bestFit="1" customWidth="1"/>
    <col min="3596" max="3596" width="10.75" style="12" bestFit="1" customWidth="1"/>
    <col min="3597" max="3597" width="7.75" style="12" bestFit="1" customWidth="1"/>
    <col min="3598" max="3598" width="10.75" style="12" bestFit="1" customWidth="1"/>
    <col min="3599" max="3599" width="7.75" style="12" bestFit="1" customWidth="1"/>
    <col min="3600" max="3600" width="10.75" style="12" bestFit="1" customWidth="1"/>
    <col min="3601" max="3601" width="7.75" style="12" bestFit="1" customWidth="1"/>
    <col min="3602" max="3602" width="10.75" style="12" bestFit="1" customWidth="1"/>
    <col min="3603" max="3603" width="7.75" style="12" bestFit="1" customWidth="1"/>
    <col min="3604" max="3604" width="10.75" style="12" bestFit="1" customWidth="1"/>
    <col min="3605" max="3605" width="7.75" style="12" bestFit="1" customWidth="1"/>
    <col min="3606" max="3606" width="10.75" style="12" bestFit="1" customWidth="1"/>
    <col min="3607" max="3607" width="7.75" style="12" bestFit="1" customWidth="1"/>
    <col min="3608" max="3608" width="10.75" style="12" bestFit="1" customWidth="1"/>
    <col min="3609" max="3609" width="7.75" style="12" bestFit="1" customWidth="1"/>
    <col min="3610" max="3610" width="10.75" style="12" bestFit="1" customWidth="1"/>
    <col min="3611" max="3611" width="7.75" style="12" bestFit="1" customWidth="1"/>
    <col min="3612" max="3612" width="10.75" style="12" bestFit="1" customWidth="1"/>
    <col min="3613" max="3613" width="7.75" style="12" bestFit="1" customWidth="1"/>
    <col min="3614" max="3614" width="10.75" style="12" bestFit="1" customWidth="1"/>
    <col min="3615" max="3615" width="7.75" style="12" bestFit="1" customWidth="1"/>
    <col min="3616" max="3616" width="10.75" style="12" bestFit="1" customWidth="1"/>
    <col min="3617" max="3617" width="7.75" style="12" bestFit="1" customWidth="1"/>
    <col min="3618" max="3618" width="10.75" style="12" bestFit="1" customWidth="1"/>
    <col min="3619" max="3619" width="7.75" style="12" bestFit="1" customWidth="1"/>
    <col min="3620" max="3620" width="10.75" style="12" bestFit="1" customWidth="1"/>
    <col min="3621" max="3621" width="7.75" style="12" bestFit="1" customWidth="1"/>
    <col min="3622" max="3622" width="10.75" style="12" bestFit="1" customWidth="1"/>
    <col min="3623" max="3623" width="7.75" style="12" bestFit="1" customWidth="1"/>
    <col min="3624" max="3624" width="10.75" style="12" bestFit="1" customWidth="1"/>
    <col min="3625" max="3625" width="7.75" style="12" bestFit="1" customWidth="1"/>
    <col min="3626" max="3626" width="10.75" style="12" bestFit="1" customWidth="1"/>
    <col min="3627" max="3627" width="7.75" style="12" bestFit="1" customWidth="1"/>
    <col min="3628" max="3628" width="10.75" style="12" bestFit="1" customWidth="1"/>
    <col min="3629" max="3629" width="7.75" style="12" bestFit="1" customWidth="1"/>
    <col min="3630" max="3630" width="10.75" style="12" bestFit="1" customWidth="1"/>
    <col min="3631" max="3631" width="7.75" style="12" bestFit="1" customWidth="1"/>
    <col min="3632" max="3632" width="10.75" style="12" bestFit="1" customWidth="1"/>
    <col min="3633" max="3633" width="7.75" style="12" bestFit="1" customWidth="1"/>
    <col min="3634" max="3634" width="10.75" style="12" bestFit="1" customWidth="1"/>
    <col min="3635" max="3635" width="7.75" style="12" bestFit="1" customWidth="1"/>
    <col min="3636" max="3636" width="10.75" style="12" bestFit="1" customWidth="1"/>
    <col min="3637" max="3637" width="7.75" style="12" bestFit="1" customWidth="1"/>
    <col min="3638" max="3638" width="10.75" style="12" bestFit="1" customWidth="1"/>
    <col min="3639" max="3639" width="7.75" style="12" bestFit="1" customWidth="1"/>
    <col min="3640" max="3640" width="10.75" style="12" bestFit="1" customWidth="1"/>
    <col min="3641" max="3641" width="7.75" style="12" bestFit="1" customWidth="1"/>
    <col min="3642" max="3642" width="10.75" style="12" bestFit="1" customWidth="1"/>
    <col min="3643" max="3643" width="7.75" style="12" bestFit="1" customWidth="1"/>
    <col min="3644" max="3644" width="10.75" style="12" bestFit="1" customWidth="1"/>
    <col min="3645" max="3645" width="7.75" style="12" bestFit="1" customWidth="1"/>
    <col min="3646" max="3646" width="10.75" style="12" bestFit="1" customWidth="1"/>
    <col min="3647" max="3647" width="7.75" style="12" bestFit="1" customWidth="1"/>
    <col min="3648" max="3648" width="10.75" style="12" bestFit="1" customWidth="1"/>
    <col min="3649" max="3649" width="7.75" style="12" bestFit="1" customWidth="1"/>
    <col min="3650" max="3650" width="10.75" style="12" bestFit="1" customWidth="1"/>
    <col min="3651" max="3651" width="7.75" style="12" bestFit="1" customWidth="1"/>
    <col min="3652" max="3652" width="10.75" style="12" bestFit="1" customWidth="1"/>
    <col min="3653" max="3653" width="7.75" style="12" bestFit="1" customWidth="1"/>
    <col min="3654" max="3654" width="10.75" style="12" bestFit="1" customWidth="1"/>
    <col min="3655" max="3655" width="7.75" style="12" bestFit="1" customWidth="1"/>
    <col min="3656" max="3656" width="10.75" style="12" bestFit="1" customWidth="1"/>
    <col min="3657" max="3657" width="7.75" style="12" bestFit="1" customWidth="1"/>
    <col min="3658" max="3658" width="10.75" style="12" bestFit="1" customWidth="1"/>
    <col min="3659" max="3659" width="7.75" style="12" bestFit="1" customWidth="1"/>
    <col min="3660" max="3660" width="10.75" style="12" bestFit="1" customWidth="1"/>
    <col min="3661" max="3661" width="7.75" style="12" bestFit="1" customWidth="1"/>
    <col min="3662" max="3662" width="10.75" style="12" bestFit="1" customWidth="1"/>
    <col min="3663" max="3663" width="7.75" style="12" bestFit="1" customWidth="1"/>
    <col min="3664" max="3664" width="6.125" style="12" bestFit="1" customWidth="1"/>
    <col min="3665" max="3665" width="10.75" style="12" bestFit="1" customWidth="1"/>
    <col min="3666" max="3666" width="7.75" style="12" bestFit="1" customWidth="1"/>
    <col min="3667" max="3667" width="10.75" style="12" bestFit="1" customWidth="1"/>
    <col min="3668" max="3668" width="7.75" style="12" bestFit="1" customWidth="1"/>
    <col min="3669" max="3669" width="10.75" style="12" bestFit="1" customWidth="1"/>
    <col min="3670" max="3670" width="7.75" style="12" bestFit="1" customWidth="1"/>
    <col min="3671" max="3671" width="10.75" style="12" bestFit="1" customWidth="1"/>
    <col min="3672" max="3672" width="7.75" style="12" bestFit="1" customWidth="1"/>
    <col min="3673" max="3673" width="10.75" style="12" bestFit="1" customWidth="1"/>
    <col min="3674" max="3674" width="7.75" style="12" bestFit="1" customWidth="1"/>
    <col min="3675" max="3675" width="10.75" style="12" bestFit="1" customWidth="1"/>
    <col min="3676" max="3676" width="7.75" style="12" bestFit="1" customWidth="1"/>
    <col min="3677" max="3677" width="10.75" style="12" bestFit="1" customWidth="1"/>
    <col min="3678" max="3678" width="7.75" style="12" bestFit="1" customWidth="1"/>
    <col min="3679" max="3679" width="10.75" style="12" bestFit="1" customWidth="1"/>
    <col min="3680" max="3680" width="7.75" style="12" bestFit="1" customWidth="1"/>
    <col min="3681" max="3681" width="10.75" style="12" bestFit="1" customWidth="1"/>
    <col min="3682" max="3682" width="7.75" style="12" bestFit="1" customWidth="1"/>
    <col min="3683" max="3683" width="10.75" style="12" bestFit="1" customWidth="1"/>
    <col min="3684" max="3684" width="7.75" style="12" bestFit="1" customWidth="1"/>
    <col min="3685" max="3685" width="10.75" style="12" bestFit="1" customWidth="1"/>
    <col min="3686" max="3686" width="7.75" style="12" bestFit="1" customWidth="1"/>
    <col min="3687" max="3687" width="10.75" style="12" bestFit="1" customWidth="1"/>
    <col min="3688" max="3688" width="7.75" style="12" bestFit="1" customWidth="1"/>
    <col min="3689" max="3689" width="10.75" style="12" bestFit="1" customWidth="1"/>
    <col min="3690" max="3690" width="7.75" style="12" bestFit="1" customWidth="1"/>
    <col min="3691" max="3691" width="10.75" style="12" bestFit="1" customWidth="1"/>
    <col min="3692" max="3692" width="7.75" style="12" bestFit="1" customWidth="1"/>
    <col min="3693" max="3693" width="10.75" style="12" bestFit="1" customWidth="1"/>
    <col min="3694" max="3694" width="7.75" style="12" bestFit="1" customWidth="1"/>
    <col min="3695" max="3695" width="10.75" style="12" bestFit="1" customWidth="1"/>
    <col min="3696" max="3696" width="7.75" style="12" bestFit="1" customWidth="1"/>
    <col min="3697" max="3697" width="10.75" style="12" bestFit="1" customWidth="1"/>
    <col min="3698" max="3698" width="7.75" style="12" bestFit="1" customWidth="1"/>
    <col min="3699" max="3699" width="10.75" style="12" bestFit="1" customWidth="1"/>
    <col min="3700" max="3700" width="7.75" style="12" bestFit="1" customWidth="1"/>
    <col min="3701" max="3701" width="10.75" style="12" bestFit="1" customWidth="1"/>
    <col min="3702" max="3702" width="7.75" style="12" bestFit="1" customWidth="1"/>
    <col min="3703" max="3703" width="10.75" style="12" bestFit="1" customWidth="1"/>
    <col min="3704" max="3704" width="7.75" style="12" bestFit="1" customWidth="1"/>
    <col min="3705" max="3705" width="10.75" style="12" bestFit="1" customWidth="1"/>
    <col min="3706" max="3706" width="7.75" style="12" bestFit="1" customWidth="1"/>
    <col min="3707" max="3707" width="10.75" style="12" bestFit="1" customWidth="1"/>
    <col min="3708" max="3708" width="7.75" style="12" bestFit="1" customWidth="1"/>
    <col min="3709" max="3709" width="10.75" style="12" bestFit="1" customWidth="1"/>
    <col min="3710" max="3710" width="7.75" style="12" bestFit="1" customWidth="1"/>
    <col min="3711" max="3711" width="10.75" style="12" bestFit="1" customWidth="1"/>
    <col min="3712" max="3712" width="7.75" style="12" bestFit="1" customWidth="1"/>
    <col min="3713" max="3713" width="10.75" style="12" bestFit="1" customWidth="1"/>
    <col min="3714" max="3714" width="7.75" style="12" bestFit="1" customWidth="1"/>
    <col min="3715" max="3715" width="10.75" style="12" bestFit="1" customWidth="1"/>
    <col min="3716" max="3716" width="7.75" style="12" bestFit="1" customWidth="1"/>
    <col min="3717" max="3717" width="10.75" style="12" bestFit="1" customWidth="1"/>
    <col min="3718" max="3718" width="7.75" style="12" bestFit="1" customWidth="1"/>
    <col min="3719" max="3719" width="10.75" style="12" bestFit="1" customWidth="1"/>
    <col min="3720" max="3720" width="7.75" style="12" bestFit="1" customWidth="1"/>
    <col min="3721" max="3721" width="10.75" style="12" bestFit="1" customWidth="1"/>
    <col min="3722" max="3722" width="7.75" style="12" bestFit="1" customWidth="1"/>
    <col min="3723" max="3723" width="10.75" style="12" bestFit="1" customWidth="1"/>
    <col min="3724" max="3724" width="7.75" style="12" bestFit="1" customWidth="1"/>
    <col min="3725" max="3725" width="10.75" style="12" bestFit="1" customWidth="1"/>
    <col min="3726" max="3726" width="7.75" style="12" bestFit="1" customWidth="1"/>
    <col min="3727" max="3727" width="10.75" style="12" bestFit="1" customWidth="1"/>
    <col min="3728" max="3728" width="7.75" style="12" bestFit="1" customWidth="1"/>
    <col min="3729" max="3729" width="10.75" style="12" bestFit="1" customWidth="1"/>
    <col min="3730" max="3730" width="7.75" style="12" bestFit="1" customWidth="1"/>
    <col min="3731" max="3731" width="10.75" style="12" bestFit="1" customWidth="1"/>
    <col min="3732" max="3732" width="7.75" style="12" bestFit="1" customWidth="1"/>
    <col min="3733" max="3733" width="10.75" style="12" bestFit="1" customWidth="1"/>
    <col min="3734" max="3734" width="7.75" style="12" bestFit="1" customWidth="1"/>
    <col min="3735" max="3735" width="10.75" style="12" bestFit="1" customWidth="1"/>
    <col min="3736" max="3736" width="7.75" style="12" bestFit="1" customWidth="1"/>
    <col min="3737" max="3737" width="10.75" style="12" bestFit="1" customWidth="1"/>
    <col min="3738" max="3738" width="7.75" style="12" bestFit="1" customWidth="1"/>
    <col min="3739" max="3739" width="10.75" style="12" bestFit="1" customWidth="1"/>
    <col min="3740" max="3740" width="7.75" style="12" bestFit="1" customWidth="1"/>
    <col min="3741" max="3741" width="10.75" style="12" bestFit="1" customWidth="1"/>
    <col min="3742" max="3742" width="7.75" style="12" bestFit="1" customWidth="1"/>
    <col min="3743" max="3743" width="10.75" style="12" bestFit="1" customWidth="1"/>
    <col min="3744" max="3744" width="7.75" style="12" bestFit="1" customWidth="1"/>
    <col min="3745" max="3745" width="10.75" style="12" bestFit="1" customWidth="1"/>
    <col min="3746" max="3746" width="7.75" style="12" bestFit="1" customWidth="1"/>
    <col min="3747" max="3747" width="10.75" style="12" bestFit="1" customWidth="1"/>
    <col min="3748" max="3748" width="7.75" style="12" bestFit="1" customWidth="1"/>
    <col min="3749" max="3749" width="10.75" style="12" bestFit="1" customWidth="1"/>
    <col min="3750" max="3750" width="7.75" style="12" bestFit="1" customWidth="1"/>
    <col min="3751" max="3751" width="10.75" style="12" bestFit="1" customWidth="1"/>
    <col min="3752" max="3752" width="7.75" style="12" bestFit="1" customWidth="1"/>
    <col min="3753" max="3753" width="10.75" style="12" bestFit="1" customWidth="1"/>
    <col min="3754" max="3754" width="7.75" style="12" bestFit="1" customWidth="1"/>
    <col min="3755" max="3755" width="10.75" style="12" bestFit="1" customWidth="1"/>
    <col min="3756" max="3756" width="7.75" style="12" bestFit="1" customWidth="1"/>
    <col min="3757" max="3757" width="10.75" style="12" bestFit="1" customWidth="1"/>
    <col min="3758" max="3758" width="7.75" style="12" bestFit="1" customWidth="1"/>
    <col min="3759" max="3759" width="10.75" style="12" bestFit="1" customWidth="1"/>
    <col min="3760" max="3760" width="7.75" style="12" bestFit="1" customWidth="1"/>
    <col min="3761" max="3761" width="10.75" style="12" bestFit="1" customWidth="1"/>
    <col min="3762" max="3762" width="7.75" style="12" bestFit="1" customWidth="1"/>
    <col min="3763" max="3763" width="10.75" style="12" bestFit="1" customWidth="1"/>
    <col min="3764" max="3764" width="7.75" style="12" bestFit="1" customWidth="1"/>
    <col min="3765" max="3765" width="10.75" style="12" bestFit="1" customWidth="1"/>
    <col min="3766" max="3766" width="7.75" style="12" bestFit="1" customWidth="1"/>
    <col min="3767" max="3767" width="10.75" style="12" bestFit="1" customWidth="1"/>
    <col min="3768" max="3768" width="7.75" style="12" bestFit="1" customWidth="1"/>
    <col min="3769" max="3769" width="10.75" style="12" bestFit="1" customWidth="1"/>
    <col min="3770" max="3770" width="7.75" style="12" bestFit="1" customWidth="1"/>
    <col min="3771" max="3771" width="10.75" style="12" bestFit="1" customWidth="1"/>
    <col min="3772" max="3772" width="7.75" style="12" bestFit="1" customWidth="1"/>
    <col min="3773" max="3773" width="10.75" style="12" bestFit="1" customWidth="1"/>
    <col min="3774" max="3774" width="7.75" style="12" bestFit="1" customWidth="1"/>
    <col min="3775" max="3775" width="10.75" style="12" bestFit="1" customWidth="1"/>
    <col min="3776" max="3776" width="7.75" style="12" bestFit="1" customWidth="1"/>
    <col min="3777" max="3777" width="10.75" style="12" bestFit="1" customWidth="1"/>
    <col min="3778" max="3778" width="7.75" style="12" bestFit="1" customWidth="1"/>
    <col min="3779" max="3779" width="10.75" style="12" bestFit="1" customWidth="1"/>
    <col min="3780" max="3780" width="7.75" style="12" bestFit="1" customWidth="1"/>
    <col min="3781" max="3781" width="10.75" style="12" bestFit="1" customWidth="1"/>
    <col min="3782" max="3782" width="7.75" style="12" bestFit="1" customWidth="1"/>
    <col min="3783" max="3783" width="10.75" style="12" bestFit="1" customWidth="1"/>
    <col min="3784" max="3784" width="7.75" style="12" bestFit="1" customWidth="1"/>
    <col min="3785" max="3785" width="10.75" style="12" bestFit="1" customWidth="1"/>
    <col min="3786" max="3786" width="7.75" style="12" bestFit="1" customWidth="1"/>
    <col min="3787" max="3787" width="10.75" style="12" bestFit="1" customWidth="1"/>
    <col min="3788" max="3788" width="7.75" style="12" bestFit="1" customWidth="1"/>
    <col min="3789" max="3789" width="10.75" style="12" bestFit="1" customWidth="1"/>
    <col min="3790" max="3790" width="7.75" style="12" bestFit="1" customWidth="1"/>
    <col min="3791" max="3791" width="10.75" style="12" bestFit="1" customWidth="1"/>
    <col min="3792" max="3792" width="7.75" style="12" bestFit="1" customWidth="1"/>
    <col min="3793" max="3793" width="10.75" style="12" bestFit="1" customWidth="1"/>
    <col min="3794" max="3794" width="7.75" style="12" bestFit="1" customWidth="1"/>
    <col min="3795" max="3795" width="10.75" style="12" bestFit="1" customWidth="1"/>
    <col min="3796" max="3796" width="7.75" style="12" bestFit="1" customWidth="1"/>
    <col min="3797" max="3797" width="10.75" style="12" bestFit="1" customWidth="1"/>
    <col min="3798" max="3798" width="7.75" style="12" bestFit="1" customWidth="1"/>
    <col min="3799" max="3799" width="10.75" style="12" bestFit="1" customWidth="1"/>
    <col min="3800" max="3800" width="7.75" style="12" bestFit="1" customWidth="1"/>
    <col min="3801" max="3801" width="10.75" style="12" bestFit="1" customWidth="1"/>
    <col min="3802" max="3802" width="7.75" style="12" bestFit="1" customWidth="1"/>
    <col min="3803" max="3803" width="10.75" style="12" bestFit="1" customWidth="1"/>
    <col min="3804" max="3804" width="7.75" style="12" bestFit="1" customWidth="1"/>
    <col min="3805" max="3805" width="10.75" style="12" bestFit="1" customWidth="1"/>
    <col min="3806" max="3806" width="7.75" style="12" bestFit="1" customWidth="1"/>
    <col min="3807" max="3807" width="10.75" style="12" bestFit="1" customWidth="1"/>
    <col min="3808" max="3808" width="7.75" style="12" bestFit="1" customWidth="1"/>
    <col min="3809" max="3809" width="10.75" style="12" bestFit="1" customWidth="1"/>
    <col min="3810" max="3810" width="7.75" style="12" bestFit="1" customWidth="1"/>
    <col min="3811" max="3811" width="10.75" style="12" bestFit="1" customWidth="1"/>
    <col min="3812" max="3812" width="7.75" style="12" bestFit="1" customWidth="1"/>
    <col min="3813" max="3813" width="10.75" style="12" bestFit="1" customWidth="1"/>
    <col min="3814" max="3814" width="7.75" style="12" bestFit="1" customWidth="1"/>
    <col min="3815" max="3815" width="10.75" style="12" bestFit="1" customWidth="1"/>
    <col min="3816" max="3816" width="7.75" style="12" bestFit="1" customWidth="1"/>
    <col min="3817" max="3817" width="10.75" style="12" bestFit="1" customWidth="1"/>
    <col min="3818" max="3818" width="7.75" style="12" bestFit="1" customWidth="1"/>
    <col min="3819" max="3819" width="10.75" style="12" bestFit="1" customWidth="1"/>
    <col min="3820" max="3820" width="7.75" style="12" bestFit="1" customWidth="1"/>
    <col min="3821" max="3821" width="10.75" style="12" bestFit="1" customWidth="1"/>
    <col min="3822" max="3822" width="7.75" style="12" bestFit="1" customWidth="1"/>
    <col min="3823" max="3823" width="10.75" style="12" bestFit="1" customWidth="1"/>
    <col min="3824" max="3824" width="7.75" style="12" bestFit="1" customWidth="1"/>
    <col min="3825" max="3825" width="10.75" style="12" bestFit="1" customWidth="1"/>
    <col min="3826" max="3826" width="7.75" style="12" bestFit="1" customWidth="1"/>
    <col min="3827" max="3827" width="10.75" style="12" bestFit="1" customWidth="1"/>
    <col min="3828" max="3828" width="7.75" style="12" bestFit="1" customWidth="1"/>
    <col min="3829" max="3829" width="10.75" style="12" bestFit="1" customWidth="1"/>
    <col min="3830" max="3830" width="7.75" style="12" bestFit="1" customWidth="1"/>
    <col min="3831" max="3831" width="10.75" style="12" bestFit="1" customWidth="1"/>
    <col min="3832" max="3832" width="7.75" style="12" bestFit="1" customWidth="1"/>
    <col min="3833" max="3833" width="10.75" style="12" bestFit="1" customWidth="1"/>
    <col min="3834" max="3834" width="7.75" style="12" bestFit="1" customWidth="1"/>
    <col min="3835" max="3835" width="10.75" style="12" bestFit="1" customWidth="1"/>
    <col min="3836" max="3836" width="7.75" style="12" bestFit="1" customWidth="1"/>
    <col min="3837" max="3837" width="10.75" style="12" bestFit="1" customWidth="1"/>
    <col min="3838" max="3838" width="7.75" style="12" bestFit="1" customWidth="1"/>
    <col min="3839" max="3839" width="10.75" style="12" bestFit="1" customWidth="1"/>
    <col min="3840" max="3840" width="7.75" style="12" bestFit="1" customWidth="1"/>
    <col min="3841" max="3841" width="10.75" style="12" bestFit="1" customWidth="1"/>
    <col min="3842" max="3842" width="7.75" style="12" bestFit="1" customWidth="1"/>
    <col min="3843" max="3843" width="10.75" style="12" bestFit="1" customWidth="1"/>
    <col min="3844" max="3844" width="7.75" style="12" bestFit="1" customWidth="1"/>
    <col min="3845" max="3845" width="10.75" style="12" bestFit="1" customWidth="1"/>
    <col min="3846" max="3846" width="7.75" style="12" bestFit="1" customWidth="1"/>
    <col min="3847" max="3847" width="10.75" style="12" bestFit="1" customWidth="1"/>
    <col min="3848" max="3848" width="7.75" style="12" bestFit="1" customWidth="1"/>
    <col min="3849" max="3849" width="10.75" style="12" bestFit="1" customWidth="1"/>
    <col min="3850" max="3850" width="7.75" style="12" bestFit="1" customWidth="1"/>
    <col min="3851" max="3851" width="10.75" style="12" bestFit="1" customWidth="1"/>
    <col min="3852" max="3852" width="7.75" style="12" bestFit="1" customWidth="1"/>
    <col min="3853" max="3853" width="10.75" style="12" bestFit="1" customWidth="1"/>
    <col min="3854" max="3854" width="7.75" style="12" bestFit="1" customWidth="1"/>
    <col min="3855" max="3855" width="10.75" style="12" bestFit="1" customWidth="1"/>
    <col min="3856" max="3856" width="7.75" style="12" bestFit="1" customWidth="1"/>
    <col min="3857" max="3857" width="10.75" style="12" bestFit="1" customWidth="1"/>
    <col min="3858" max="3858" width="7.75" style="12" bestFit="1" customWidth="1"/>
    <col min="3859" max="3859" width="10.75" style="12" bestFit="1" customWidth="1"/>
    <col min="3860" max="3860" width="7.75" style="12" bestFit="1" customWidth="1"/>
    <col min="3861" max="3861" width="10.75" style="12" bestFit="1" customWidth="1"/>
    <col min="3862" max="3862" width="7.75" style="12" bestFit="1" customWidth="1"/>
    <col min="3863" max="3863" width="10.75" style="12" bestFit="1" customWidth="1"/>
    <col min="3864" max="3864" width="7.75" style="12" bestFit="1" customWidth="1"/>
    <col min="3865" max="3865" width="10.75" style="12" bestFit="1" customWidth="1"/>
    <col min="3866" max="3866" width="7.75" style="12" bestFit="1" customWidth="1"/>
    <col min="3867" max="3867" width="10.75" style="12" bestFit="1" customWidth="1"/>
    <col min="3868" max="3868" width="7.75" style="12" bestFit="1" customWidth="1"/>
    <col min="3869" max="3869" width="10.75" style="12" bestFit="1" customWidth="1"/>
    <col min="3870" max="3870" width="7.75" style="12" bestFit="1" customWidth="1"/>
    <col min="3871" max="3871" width="10.75" style="12" bestFit="1" customWidth="1"/>
    <col min="3872" max="3872" width="7.75" style="12" bestFit="1" customWidth="1"/>
    <col min="3873" max="3873" width="10.75" style="12" bestFit="1" customWidth="1"/>
    <col min="3874" max="3874" width="7.75" style="12" bestFit="1" customWidth="1"/>
    <col min="3875" max="3875" width="10.75" style="12" bestFit="1" customWidth="1"/>
    <col min="3876" max="3876" width="7.75" style="12" bestFit="1" customWidth="1"/>
    <col min="3877" max="3877" width="10.75" style="12" bestFit="1" customWidth="1"/>
    <col min="3878" max="3878" width="7.75" style="12" bestFit="1" customWidth="1"/>
    <col min="3879" max="3879" width="10.75" style="12" bestFit="1" customWidth="1"/>
    <col min="3880" max="3880" width="7.75" style="12" bestFit="1" customWidth="1"/>
    <col min="3881" max="3881" width="10.75" style="12" bestFit="1" customWidth="1"/>
    <col min="3882" max="3882" width="7.75" style="12" bestFit="1" customWidth="1"/>
    <col min="3883" max="3883" width="10.75" style="12" bestFit="1" customWidth="1"/>
    <col min="3884" max="3884" width="7.75" style="12" bestFit="1" customWidth="1"/>
    <col min="3885" max="3885" width="10.75" style="12" bestFit="1" customWidth="1"/>
    <col min="3886" max="3886" width="7.75" style="12" bestFit="1" customWidth="1"/>
    <col min="3887" max="3887" width="10.75" style="12" bestFit="1" customWidth="1"/>
    <col min="3888" max="3888" width="7.75" style="12" bestFit="1" customWidth="1"/>
    <col min="3889" max="3889" width="10.75" style="12" bestFit="1" customWidth="1"/>
    <col min="3890" max="3890" width="7.75" style="12" bestFit="1" customWidth="1"/>
    <col min="3891" max="3891" width="10.75" style="12" bestFit="1" customWidth="1"/>
    <col min="3892" max="3892" width="7.75" style="12" bestFit="1" customWidth="1"/>
    <col min="3893" max="3893" width="10.75" style="12" bestFit="1" customWidth="1"/>
    <col min="3894" max="3894" width="7.75" style="12" bestFit="1" customWidth="1"/>
    <col min="3895" max="3895" width="10.75" style="12" bestFit="1" customWidth="1"/>
    <col min="3896" max="3896" width="7.75" style="12" bestFit="1" customWidth="1"/>
    <col min="3897" max="3897" width="10.75" style="12" bestFit="1" customWidth="1"/>
    <col min="3898" max="3898" width="7.75" style="12" bestFit="1" customWidth="1"/>
    <col min="3899" max="3899" width="10.75" style="12" bestFit="1" customWidth="1"/>
    <col min="3900" max="3900" width="7.75" style="12" bestFit="1" customWidth="1"/>
    <col min="3901" max="3901" width="10.75" style="12" bestFit="1" customWidth="1"/>
    <col min="3902" max="3902" width="7.75" style="12" bestFit="1" customWidth="1"/>
    <col min="3903" max="3903" width="10.75" style="12" bestFit="1" customWidth="1"/>
    <col min="3904" max="3904" width="7.75" style="12" bestFit="1" customWidth="1"/>
    <col min="3905" max="3905" width="10.75" style="12" bestFit="1" customWidth="1"/>
    <col min="3906" max="3906" width="7.75" style="12" bestFit="1" customWidth="1"/>
    <col min="3907" max="3907" width="10.75" style="12" bestFit="1" customWidth="1"/>
    <col min="3908" max="3908" width="7.75" style="12" bestFit="1" customWidth="1"/>
    <col min="3909" max="3909" width="10.75" style="12" bestFit="1" customWidth="1"/>
    <col min="3910" max="3910" width="7.75" style="12" bestFit="1" customWidth="1"/>
    <col min="3911" max="3911" width="10.75" style="12" bestFit="1" customWidth="1"/>
    <col min="3912" max="3912" width="7.75" style="12" bestFit="1" customWidth="1"/>
    <col min="3913" max="3913" width="10.75" style="12" bestFit="1" customWidth="1"/>
    <col min="3914" max="3914" width="7.75" style="12" bestFit="1" customWidth="1"/>
    <col min="3915" max="3915" width="10.75" style="12" bestFit="1" customWidth="1"/>
    <col min="3916" max="3916" width="7.75" style="12" bestFit="1" customWidth="1"/>
    <col min="3917" max="3917" width="10.75" style="12" bestFit="1" customWidth="1"/>
    <col min="3918" max="3918" width="7.75" style="12" bestFit="1" customWidth="1"/>
    <col min="3919" max="3919" width="10.75" style="12" bestFit="1" customWidth="1"/>
    <col min="3920" max="3920" width="7.75" style="12" bestFit="1" customWidth="1"/>
    <col min="3921" max="3921" width="10.75" style="12" bestFit="1" customWidth="1"/>
    <col min="3922" max="3922" width="7.75" style="12" bestFit="1" customWidth="1"/>
    <col min="3923" max="3923" width="10.75" style="12" bestFit="1" customWidth="1"/>
    <col min="3924" max="3924" width="7.75" style="12" bestFit="1" customWidth="1"/>
    <col min="3925" max="3925" width="10.75" style="12" bestFit="1" customWidth="1"/>
    <col min="3926" max="3926" width="7.75" style="12" bestFit="1" customWidth="1"/>
    <col min="3927" max="3927" width="10.75" style="12" bestFit="1" customWidth="1"/>
    <col min="3928" max="3928" width="7.75" style="12" bestFit="1" customWidth="1"/>
    <col min="3929" max="3929" width="10.75" style="12" bestFit="1" customWidth="1"/>
    <col min="3930" max="3930" width="7.75" style="12" bestFit="1" customWidth="1"/>
    <col min="3931" max="3931" width="10.75" style="12" bestFit="1" customWidth="1"/>
    <col min="3932" max="3932" width="7.75" style="12" bestFit="1" customWidth="1"/>
    <col min="3933" max="3933" width="10.75" style="12" bestFit="1" customWidth="1"/>
    <col min="3934" max="3934" width="7.75" style="12" bestFit="1" customWidth="1"/>
    <col min="3935" max="3935" width="10.75" style="12" bestFit="1" customWidth="1"/>
    <col min="3936" max="3936" width="7.75" style="12" bestFit="1" customWidth="1"/>
    <col min="3937" max="3937" width="10.75" style="12" bestFit="1" customWidth="1"/>
    <col min="3938" max="3938" width="7.75" style="12" bestFit="1" customWidth="1"/>
    <col min="3939" max="3939" width="10.75" style="12" bestFit="1" customWidth="1"/>
    <col min="3940" max="3940" width="7.75" style="12" bestFit="1" customWidth="1"/>
    <col min="3941" max="3941" width="10.75" style="12" bestFit="1" customWidth="1"/>
    <col min="3942" max="3942" width="7.75" style="12" bestFit="1" customWidth="1"/>
    <col min="3943" max="3943" width="10.75" style="12" bestFit="1" customWidth="1"/>
    <col min="3944" max="3944" width="7.75" style="12" bestFit="1" customWidth="1"/>
    <col min="3945" max="3945" width="10.75" style="12" bestFit="1" customWidth="1"/>
    <col min="3946" max="3946" width="7.75" style="12" bestFit="1" customWidth="1"/>
    <col min="3947" max="3947" width="10.75" style="12" bestFit="1" customWidth="1"/>
    <col min="3948" max="3948" width="7.75" style="12" bestFit="1" customWidth="1"/>
    <col min="3949" max="3949" width="10.75" style="12" bestFit="1" customWidth="1"/>
    <col min="3950" max="3950" width="7.75" style="12" bestFit="1" customWidth="1"/>
    <col min="3951" max="3951" width="10.75" style="12" bestFit="1" customWidth="1"/>
    <col min="3952" max="3952" width="7.75" style="12" bestFit="1" customWidth="1"/>
    <col min="3953" max="3953" width="10.75" style="12" bestFit="1" customWidth="1"/>
    <col min="3954" max="3954" width="7.75" style="12" bestFit="1" customWidth="1"/>
    <col min="3955" max="3955" width="10.75" style="12" bestFit="1" customWidth="1"/>
    <col min="3956" max="3956" width="7.75" style="12" bestFit="1" customWidth="1"/>
    <col min="3957" max="3957" width="10.75" style="12" bestFit="1" customWidth="1"/>
    <col min="3958" max="3958" width="7.75" style="12" bestFit="1" customWidth="1"/>
    <col min="3959" max="3959" width="10.75" style="12" bestFit="1" customWidth="1"/>
    <col min="3960" max="3960" width="7.75" style="12" bestFit="1" customWidth="1"/>
    <col min="3961" max="3961" width="10.75" style="12" bestFit="1" customWidth="1"/>
    <col min="3962" max="3962" width="7.75" style="12" bestFit="1" customWidth="1"/>
    <col min="3963" max="3963" width="10.75" style="12" bestFit="1" customWidth="1"/>
    <col min="3964" max="3964" width="7.75" style="12" bestFit="1" customWidth="1"/>
    <col min="3965" max="3965" width="10.75" style="12" bestFit="1" customWidth="1"/>
    <col min="3966" max="3966" width="7.75" style="12" bestFit="1" customWidth="1"/>
    <col min="3967" max="3967" width="10.75" style="12" bestFit="1" customWidth="1"/>
    <col min="3968" max="3968" width="7.75" style="12" bestFit="1" customWidth="1"/>
    <col min="3969" max="3969" width="10.75" style="12" bestFit="1" customWidth="1"/>
    <col min="3970" max="3970" width="7.75" style="12" bestFit="1" customWidth="1"/>
    <col min="3971" max="3971" width="10.75" style="12" bestFit="1" customWidth="1"/>
    <col min="3972" max="3972" width="7.75" style="12" bestFit="1" customWidth="1"/>
    <col min="3973" max="3973" width="10.75" style="12" bestFit="1" customWidth="1"/>
    <col min="3974" max="3974" width="7.75" style="12" bestFit="1" customWidth="1"/>
    <col min="3975" max="3975" width="10.75" style="12" bestFit="1" customWidth="1"/>
    <col min="3976" max="3976" width="7.75" style="12" bestFit="1" customWidth="1"/>
    <col min="3977" max="3977" width="10.75" style="12" bestFit="1" customWidth="1"/>
    <col min="3978" max="3978" width="7.75" style="12" bestFit="1" customWidth="1"/>
    <col min="3979" max="3979" width="10.75" style="12" bestFit="1" customWidth="1"/>
    <col min="3980" max="3980" width="7.75" style="12" bestFit="1" customWidth="1"/>
    <col min="3981" max="3981" width="10.75" style="12" bestFit="1" customWidth="1"/>
    <col min="3982" max="3982" width="7.75" style="12" bestFit="1" customWidth="1"/>
    <col min="3983" max="3983" width="10.75" style="12" bestFit="1" customWidth="1"/>
    <col min="3984" max="3984" width="7.75" style="12" bestFit="1" customWidth="1"/>
    <col min="3985" max="3985" width="10.75" style="12" bestFit="1" customWidth="1"/>
    <col min="3986" max="3986" width="7.75" style="12" bestFit="1" customWidth="1"/>
    <col min="3987" max="3987" width="10.75" style="12" bestFit="1" customWidth="1"/>
    <col min="3988" max="3988" width="7.75" style="12" bestFit="1" customWidth="1"/>
    <col min="3989" max="3989" width="10.75" style="12" bestFit="1" customWidth="1"/>
    <col min="3990" max="3990" width="7.75" style="12" bestFit="1" customWidth="1"/>
    <col min="3991" max="3991" width="10.75" style="12" bestFit="1" customWidth="1"/>
    <col min="3992" max="3992" width="7.75" style="12" bestFit="1" customWidth="1"/>
    <col min="3993" max="3993" width="10.75" style="12" bestFit="1" customWidth="1"/>
    <col min="3994" max="3994" width="7.75" style="12" bestFit="1" customWidth="1"/>
    <col min="3995" max="3995" width="10.75" style="12" bestFit="1" customWidth="1"/>
    <col min="3996" max="3996" width="7.75" style="12" bestFit="1" customWidth="1"/>
    <col min="3997" max="3997" width="10.75" style="12" bestFit="1" customWidth="1"/>
    <col min="3998" max="3998" width="7.75" style="12" bestFit="1" customWidth="1"/>
    <col min="3999" max="3999" width="10.75" style="12" bestFit="1" customWidth="1"/>
    <col min="4000" max="4000" width="7.75" style="12" bestFit="1" customWidth="1"/>
    <col min="4001" max="4001" width="10.75" style="12" bestFit="1" customWidth="1"/>
    <col min="4002" max="4002" width="7.75" style="12" bestFit="1" customWidth="1"/>
    <col min="4003" max="4003" width="10.75" style="12" bestFit="1" customWidth="1"/>
    <col min="4004" max="4004" width="7.75" style="12" bestFit="1" customWidth="1"/>
    <col min="4005" max="4005" width="10.75" style="12" bestFit="1" customWidth="1"/>
    <col min="4006" max="4006" width="7.75" style="12" bestFit="1" customWidth="1"/>
    <col min="4007" max="4007" width="10.75" style="12" bestFit="1" customWidth="1"/>
    <col min="4008" max="4008" width="7.75" style="12" bestFit="1" customWidth="1"/>
    <col min="4009" max="4009" width="10.75" style="12" bestFit="1" customWidth="1"/>
    <col min="4010" max="4010" width="7.75" style="12" bestFit="1" customWidth="1"/>
    <col min="4011" max="4011" width="10.75" style="12" bestFit="1" customWidth="1"/>
    <col min="4012" max="4012" width="7.75" style="12" bestFit="1" customWidth="1"/>
    <col min="4013" max="4013" width="10.75" style="12" bestFit="1" customWidth="1"/>
    <col min="4014" max="4014" width="7.75" style="12" bestFit="1" customWidth="1"/>
    <col min="4015" max="4015" width="10.75" style="12" bestFit="1" customWidth="1"/>
    <col min="4016" max="4016" width="7.75" style="12" bestFit="1" customWidth="1"/>
    <col min="4017" max="4017" width="10.75" style="12" bestFit="1" customWidth="1"/>
    <col min="4018" max="4018" width="7.75" style="12" bestFit="1" customWidth="1"/>
    <col min="4019" max="4019" width="10.75" style="12" bestFit="1" customWidth="1"/>
    <col min="4020" max="4020" width="7.75" style="12" bestFit="1" customWidth="1"/>
    <col min="4021" max="4021" width="10.75" style="12" bestFit="1" customWidth="1"/>
    <col min="4022" max="4022" width="7.75" style="12" bestFit="1" customWidth="1"/>
    <col min="4023" max="4023" width="10.75" style="12" bestFit="1" customWidth="1"/>
    <col min="4024" max="4024" width="7.75" style="12" bestFit="1" customWidth="1"/>
    <col min="4025" max="4025" width="10.75" style="12" bestFit="1" customWidth="1"/>
    <col min="4026" max="4026" width="7.75" style="12" bestFit="1" customWidth="1"/>
    <col min="4027" max="4027" width="10.75" style="12" bestFit="1" customWidth="1"/>
    <col min="4028" max="4028" width="7.75" style="12" bestFit="1" customWidth="1"/>
    <col min="4029" max="4029" width="10.75" style="12" bestFit="1" customWidth="1"/>
    <col min="4030" max="4030" width="7.75" style="12" bestFit="1" customWidth="1"/>
    <col min="4031" max="4031" width="10.75" style="12" bestFit="1" customWidth="1"/>
    <col min="4032" max="4032" width="7.75" style="12" bestFit="1" customWidth="1"/>
    <col min="4033" max="4033" width="10.75" style="12" bestFit="1" customWidth="1"/>
    <col min="4034" max="4034" width="7.75" style="12" bestFit="1" customWidth="1"/>
    <col min="4035" max="4035" width="10.75" style="12" bestFit="1" customWidth="1"/>
    <col min="4036" max="4036" width="7.75" style="12" bestFit="1" customWidth="1"/>
    <col min="4037" max="4037" width="10.75" style="12" bestFit="1" customWidth="1"/>
    <col min="4038" max="4038" width="7.75" style="12" bestFit="1" customWidth="1"/>
    <col min="4039" max="4039" width="10.75" style="12" bestFit="1" customWidth="1"/>
    <col min="4040" max="4040" width="7.75" style="12" bestFit="1" customWidth="1"/>
    <col min="4041" max="4041" width="10.75" style="12" bestFit="1" customWidth="1"/>
    <col min="4042" max="4042" width="7.75" style="12" bestFit="1" customWidth="1"/>
    <col min="4043" max="4043" width="10.75" style="12" bestFit="1" customWidth="1"/>
    <col min="4044" max="4044" width="7.75" style="12" bestFit="1" customWidth="1"/>
    <col min="4045" max="4045" width="10.75" style="12" bestFit="1" customWidth="1"/>
    <col min="4046" max="4046" width="7.75" style="12" bestFit="1" customWidth="1"/>
    <col min="4047" max="4047" width="10.75" style="12" bestFit="1" customWidth="1"/>
    <col min="4048" max="4048" width="7.75" style="12" bestFit="1" customWidth="1"/>
    <col min="4049" max="4049" width="10.75" style="12" bestFit="1" customWidth="1"/>
    <col min="4050" max="4050" width="7.75" style="12" bestFit="1" customWidth="1"/>
    <col min="4051" max="4051" width="10.75" style="12" bestFit="1" customWidth="1"/>
    <col min="4052" max="4052" width="7.75" style="12" bestFit="1" customWidth="1"/>
    <col min="4053" max="4053" width="10.75" style="12" bestFit="1" customWidth="1"/>
    <col min="4054" max="4054" width="7.75" style="12" bestFit="1" customWidth="1"/>
    <col min="4055" max="4055" width="10.75" style="12" bestFit="1" customWidth="1"/>
    <col min="4056" max="4056" width="7.75" style="12" bestFit="1" customWidth="1"/>
    <col min="4057" max="4057" width="10.75" style="12" bestFit="1" customWidth="1"/>
    <col min="4058" max="4058" width="7.75" style="12" bestFit="1" customWidth="1"/>
    <col min="4059" max="4059" width="10.75" style="12" bestFit="1" customWidth="1"/>
    <col min="4060" max="4060" width="7.75" style="12" bestFit="1" customWidth="1"/>
    <col min="4061" max="4061" width="10.75" style="12" bestFit="1" customWidth="1"/>
    <col min="4062" max="4062" width="7.75" style="12" bestFit="1" customWidth="1"/>
    <col min="4063" max="4063" width="10.75" style="12" bestFit="1" customWidth="1"/>
    <col min="4064" max="4064" width="7.75" style="12" bestFit="1" customWidth="1"/>
    <col min="4065" max="4065" width="10.75" style="12" bestFit="1" customWidth="1"/>
    <col min="4066" max="4066" width="7.75" style="12" bestFit="1" customWidth="1"/>
    <col min="4067" max="4067" width="10.75" style="12" bestFit="1" customWidth="1"/>
    <col min="4068" max="4068" width="7.75" style="12" bestFit="1" customWidth="1"/>
    <col min="4069" max="4069" width="10.75" style="12" bestFit="1" customWidth="1"/>
    <col min="4070" max="4070" width="7.75" style="12" bestFit="1" customWidth="1"/>
    <col min="4071" max="4071" width="10.75" style="12" bestFit="1" customWidth="1"/>
    <col min="4072" max="4072" width="7.75" style="12" bestFit="1" customWidth="1"/>
    <col min="4073" max="4073" width="10.75" style="12" bestFit="1" customWidth="1"/>
    <col min="4074" max="4074" width="7.75" style="12" bestFit="1" customWidth="1"/>
    <col min="4075" max="4075" width="10.75" style="12" bestFit="1" customWidth="1"/>
    <col min="4076" max="4076" width="7.75" style="12" bestFit="1" customWidth="1"/>
    <col min="4077" max="4077" width="10.75" style="12" bestFit="1" customWidth="1"/>
    <col min="4078" max="4078" width="7.75" style="12" bestFit="1" customWidth="1"/>
    <col min="4079" max="4079" width="10.75" style="12" bestFit="1" customWidth="1"/>
    <col min="4080" max="4080" width="7.75" style="12" bestFit="1" customWidth="1"/>
    <col min="4081" max="4081" width="10.75" style="12" bestFit="1" customWidth="1"/>
    <col min="4082" max="4082" width="7.75" style="12" bestFit="1" customWidth="1"/>
    <col min="4083" max="4083" width="10.75" style="12" bestFit="1" customWidth="1"/>
    <col min="4084" max="4084" width="7.75" style="12" bestFit="1" customWidth="1"/>
    <col min="4085" max="4085" width="10.75" style="12" bestFit="1" customWidth="1"/>
    <col min="4086" max="4086" width="7.75" style="12" bestFit="1" customWidth="1"/>
    <col min="4087" max="4087" width="10.75" style="12" bestFit="1" customWidth="1"/>
    <col min="4088" max="4088" width="7.75" style="12" bestFit="1" customWidth="1"/>
    <col min="4089" max="4089" width="10.75" style="12" bestFit="1" customWidth="1"/>
    <col min="4090" max="4090" width="7.75" style="12" bestFit="1" customWidth="1"/>
    <col min="4091" max="4091" width="10.75" style="12" bestFit="1" customWidth="1"/>
    <col min="4092" max="4092" width="7.75" style="12" bestFit="1" customWidth="1"/>
    <col min="4093" max="4093" width="10.75" style="12" bestFit="1" customWidth="1"/>
    <col min="4094" max="4094" width="7.75" style="12" bestFit="1" customWidth="1"/>
    <col min="4095" max="4095" width="10.75" style="12" bestFit="1" customWidth="1"/>
    <col min="4096" max="4096" width="7.75" style="12" bestFit="1" customWidth="1"/>
    <col min="4097" max="4097" width="10.75" style="12" bestFit="1" customWidth="1"/>
    <col min="4098" max="4098" width="7.75" style="12" bestFit="1" customWidth="1"/>
    <col min="4099" max="4099" width="10.75" style="12" bestFit="1" customWidth="1"/>
    <col min="4100" max="4100" width="7.75" style="12" bestFit="1" customWidth="1"/>
    <col min="4101" max="4101" width="10.75" style="12" bestFit="1" customWidth="1"/>
    <col min="4102" max="4102" width="7.75" style="12" bestFit="1" customWidth="1"/>
    <col min="4103" max="4103" width="10.75" style="12" bestFit="1" customWidth="1"/>
    <col min="4104" max="4104" width="7.75" style="12" bestFit="1" customWidth="1"/>
    <col min="4105" max="4105" width="10.75" style="12" bestFit="1" customWidth="1"/>
    <col min="4106" max="4106" width="7.75" style="12" bestFit="1" customWidth="1"/>
    <col min="4107" max="4107" width="10.75" style="12" bestFit="1" customWidth="1"/>
    <col min="4108" max="4108" width="7.75" style="12" bestFit="1" customWidth="1"/>
    <col min="4109" max="4109" width="10.75" style="12" bestFit="1" customWidth="1"/>
    <col min="4110" max="4110" width="7.75" style="12" bestFit="1" customWidth="1"/>
    <col min="4111" max="4111" width="10.75" style="12" bestFit="1" customWidth="1"/>
    <col min="4112" max="4112" width="7.75" style="12" bestFit="1" customWidth="1"/>
    <col min="4113" max="4113" width="10.75" style="12" bestFit="1" customWidth="1"/>
    <col min="4114" max="4114" width="7.75" style="12" bestFit="1" customWidth="1"/>
    <col min="4115" max="4115" width="10.75" style="12" bestFit="1" customWidth="1"/>
    <col min="4116" max="4116" width="7.75" style="12" bestFit="1" customWidth="1"/>
    <col min="4117" max="4117" width="10.75" style="12" bestFit="1" customWidth="1"/>
    <col min="4118" max="4118" width="7.75" style="12" bestFit="1" customWidth="1"/>
    <col min="4119" max="4119" width="10.75" style="12" bestFit="1" customWidth="1"/>
    <col min="4120" max="4120" width="7.75" style="12" bestFit="1" customWidth="1"/>
    <col min="4121" max="4121" width="10.75" style="12" bestFit="1" customWidth="1"/>
    <col min="4122" max="4122" width="7.75" style="12" bestFit="1" customWidth="1"/>
    <col min="4123" max="4123" width="10.75" style="12" bestFit="1" customWidth="1"/>
    <col min="4124" max="4124" width="7.75" style="12" bestFit="1" customWidth="1"/>
    <col min="4125" max="4125" width="10.75" style="12" bestFit="1" customWidth="1"/>
    <col min="4126" max="4126" width="7.75" style="12" bestFit="1" customWidth="1"/>
    <col min="4127" max="4127" width="10.75" style="12" bestFit="1" customWidth="1"/>
    <col min="4128" max="4128" width="7.75" style="12" bestFit="1" customWidth="1"/>
    <col min="4129" max="4129" width="10.75" style="12" bestFit="1" customWidth="1"/>
    <col min="4130" max="4130" width="7.75" style="12" bestFit="1" customWidth="1"/>
    <col min="4131" max="4131" width="10.75" style="12" bestFit="1" customWidth="1"/>
    <col min="4132" max="4132" width="7.75" style="12" bestFit="1" customWidth="1"/>
    <col min="4133" max="4133" width="10.75" style="12" bestFit="1" customWidth="1"/>
    <col min="4134" max="4134" width="7.75" style="12" bestFit="1" customWidth="1"/>
    <col min="4135" max="4135" width="10.75" style="12" bestFit="1" customWidth="1"/>
    <col min="4136" max="4136" width="7.75" style="12" bestFit="1" customWidth="1"/>
    <col min="4137" max="4137" width="10.75" style="12" bestFit="1" customWidth="1"/>
    <col min="4138" max="4138" width="7.75" style="12" bestFit="1" customWidth="1"/>
    <col min="4139" max="4139" width="10.75" style="12" bestFit="1" customWidth="1"/>
    <col min="4140" max="4140" width="7.75" style="12" bestFit="1" customWidth="1"/>
    <col min="4141" max="4141" width="10.75" style="12" bestFit="1" customWidth="1"/>
    <col min="4142" max="4142" width="7.75" style="12" bestFit="1" customWidth="1"/>
    <col min="4143" max="4143" width="10.75" style="12" bestFit="1" customWidth="1"/>
    <col min="4144" max="4144" width="7.75" style="12" bestFit="1" customWidth="1"/>
    <col min="4145" max="4145" width="10.75" style="12" bestFit="1" customWidth="1"/>
    <col min="4146" max="4146" width="7.75" style="12" bestFit="1" customWidth="1"/>
    <col min="4147" max="4147" width="10.75" style="12" bestFit="1" customWidth="1"/>
    <col min="4148" max="4148" width="7.75" style="12" bestFit="1" customWidth="1"/>
    <col min="4149" max="4149" width="10.75" style="12" bestFit="1" customWidth="1"/>
    <col min="4150" max="4150" width="7.75" style="12" bestFit="1" customWidth="1"/>
    <col min="4151" max="4151" width="10.75" style="12" bestFit="1" customWidth="1"/>
    <col min="4152" max="4152" width="7.75" style="12" bestFit="1" customWidth="1"/>
    <col min="4153" max="4153" width="10.75" style="12" bestFit="1" customWidth="1"/>
    <col min="4154" max="4154" width="7.75" style="12" bestFit="1" customWidth="1"/>
    <col min="4155" max="4155" width="10.75" style="12" bestFit="1" customWidth="1"/>
    <col min="4156" max="4156" width="7.75" style="12" bestFit="1" customWidth="1"/>
    <col min="4157" max="4157" width="10.75" style="12" bestFit="1" customWidth="1"/>
    <col min="4158" max="4158" width="7.75" style="12" bestFit="1" customWidth="1"/>
    <col min="4159" max="4159" width="10.75" style="12" bestFit="1" customWidth="1"/>
    <col min="4160" max="4160" width="7.75" style="12" bestFit="1" customWidth="1"/>
    <col min="4161" max="4161" width="10.75" style="12" bestFit="1" customWidth="1"/>
    <col min="4162" max="4162" width="7.75" style="12" bestFit="1" customWidth="1"/>
    <col min="4163" max="4163" width="10.75" style="12" bestFit="1" customWidth="1"/>
    <col min="4164" max="4164" width="7.75" style="12" bestFit="1" customWidth="1"/>
    <col min="4165" max="4165" width="10.75" style="12" bestFit="1" customWidth="1"/>
    <col min="4166" max="4166" width="7.75" style="12" bestFit="1" customWidth="1"/>
    <col min="4167" max="4167" width="10.75" style="12" bestFit="1" customWidth="1"/>
    <col min="4168" max="4168" width="7.75" style="12" bestFit="1" customWidth="1"/>
    <col min="4169" max="4169" width="10.75" style="12" bestFit="1" customWidth="1"/>
    <col min="4170" max="4170" width="7.75" style="12" bestFit="1" customWidth="1"/>
    <col min="4171" max="4171" width="10.75" style="12" bestFit="1" customWidth="1"/>
    <col min="4172" max="4172" width="7.75" style="12" bestFit="1" customWidth="1"/>
    <col min="4173" max="4173" width="10.75" style="12" bestFit="1" customWidth="1"/>
    <col min="4174" max="4174" width="7.75" style="12" bestFit="1" customWidth="1"/>
    <col min="4175" max="4175" width="10.75" style="12" bestFit="1" customWidth="1"/>
    <col min="4176" max="4176" width="7.75" style="12" bestFit="1" customWidth="1"/>
    <col min="4177" max="4177" width="10.75" style="12" bestFit="1" customWidth="1"/>
    <col min="4178" max="4178" width="7.75" style="12" bestFit="1" customWidth="1"/>
    <col min="4179" max="4179" width="10.75" style="12" bestFit="1" customWidth="1"/>
    <col min="4180" max="4180" width="7.75" style="12" bestFit="1" customWidth="1"/>
    <col min="4181" max="4181" width="10.75" style="12" bestFit="1" customWidth="1"/>
    <col min="4182" max="4182" width="7.75" style="12" bestFit="1" customWidth="1"/>
    <col min="4183" max="4183" width="10.75" style="12" bestFit="1" customWidth="1"/>
    <col min="4184" max="4184" width="7.75" style="12" bestFit="1" customWidth="1"/>
    <col min="4185" max="4185" width="10.75" style="12" bestFit="1" customWidth="1"/>
    <col min="4186" max="4186" width="7.75" style="12" bestFit="1" customWidth="1"/>
    <col min="4187" max="4187" width="10.75" style="12" bestFit="1" customWidth="1"/>
    <col min="4188" max="4188" width="7.75" style="12" bestFit="1" customWidth="1"/>
    <col min="4189" max="4189" width="10.75" style="12" bestFit="1" customWidth="1"/>
    <col min="4190" max="4190" width="7.75" style="12" bestFit="1" customWidth="1"/>
    <col min="4191" max="4191" width="10.75" style="12" bestFit="1" customWidth="1"/>
    <col min="4192" max="4192" width="7.75" style="12" bestFit="1" customWidth="1"/>
    <col min="4193" max="4193" width="10.75" style="12" bestFit="1" customWidth="1"/>
    <col min="4194" max="4194" width="7.75" style="12" bestFit="1" customWidth="1"/>
    <col min="4195" max="4195" width="10.75" style="12" bestFit="1" customWidth="1"/>
    <col min="4196" max="4196" width="7.75" style="12" bestFit="1" customWidth="1"/>
    <col min="4197" max="4197" width="10.75" style="12" bestFit="1" customWidth="1"/>
    <col min="4198" max="4198" width="7.75" style="12" bestFit="1" customWidth="1"/>
    <col min="4199" max="4199" width="10.75" style="12" bestFit="1" customWidth="1"/>
    <col min="4200" max="4200" width="7.75" style="12" bestFit="1" customWidth="1"/>
    <col min="4201" max="4201" width="10.75" style="12" bestFit="1" customWidth="1"/>
    <col min="4202" max="4202" width="7.75" style="12" bestFit="1" customWidth="1"/>
    <col min="4203" max="4203" width="10.75" style="12" bestFit="1" customWidth="1"/>
    <col min="4204" max="4204" width="7.75" style="12" bestFit="1" customWidth="1"/>
    <col min="4205" max="4205" width="10.75" style="12" bestFit="1" customWidth="1"/>
    <col min="4206" max="4206" width="7.75" style="12" bestFit="1" customWidth="1"/>
    <col min="4207" max="4207" width="10.75" style="12" bestFit="1" customWidth="1"/>
    <col min="4208" max="4208" width="7.75" style="12" bestFit="1" customWidth="1"/>
    <col min="4209" max="4209" width="10.75" style="12" bestFit="1" customWidth="1"/>
    <col min="4210" max="4210" width="7.75" style="12" bestFit="1" customWidth="1"/>
    <col min="4211" max="4211" width="10.75" style="12" bestFit="1" customWidth="1"/>
    <col min="4212" max="4212" width="7.75" style="12" bestFit="1" customWidth="1"/>
    <col min="4213" max="4213" width="10.75" style="12" bestFit="1" customWidth="1"/>
    <col min="4214" max="4214" width="7.75" style="12" bestFit="1" customWidth="1"/>
    <col min="4215" max="4215" width="10.75" style="12" bestFit="1" customWidth="1"/>
    <col min="4216" max="4216" width="7.75" style="12" bestFit="1" customWidth="1"/>
    <col min="4217" max="4217" width="10.75" style="12" bestFit="1" customWidth="1"/>
    <col min="4218" max="4218" width="7.75" style="12" bestFit="1" customWidth="1"/>
    <col min="4219" max="4219" width="10.75" style="12" bestFit="1" customWidth="1"/>
    <col min="4220" max="4220" width="7.75" style="12" bestFit="1" customWidth="1"/>
    <col min="4221" max="4221" width="10.75" style="12" bestFit="1" customWidth="1"/>
    <col min="4222" max="4222" width="7.75" style="12" bestFit="1" customWidth="1"/>
    <col min="4223" max="4223" width="10.75" style="12" bestFit="1" customWidth="1"/>
    <col min="4224" max="4224" width="7.75" style="12" bestFit="1" customWidth="1"/>
    <col min="4225" max="4225" width="10.75" style="12" bestFit="1" customWidth="1"/>
    <col min="4226" max="4226" width="7.75" style="12" bestFit="1" customWidth="1"/>
    <col min="4227" max="4227" width="10.75" style="12" bestFit="1" customWidth="1"/>
    <col min="4228" max="4228" width="7.75" style="12" bestFit="1" customWidth="1"/>
    <col min="4229" max="4229" width="10.75" style="12" bestFit="1" customWidth="1"/>
    <col min="4230" max="4230" width="7.75" style="12" bestFit="1" customWidth="1"/>
    <col min="4231" max="4231" width="10.75" style="12" bestFit="1" customWidth="1"/>
    <col min="4232" max="4232" width="7.75" style="12" bestFit="1" customWidth="1"/>
    <col min="4233" max="4233" width="10.75" style="12" bestFit="1" customWidth="1"/>
    <col min="4234" max="4234" width="7.75" style="12" bestFit="1" customWidth="1"/>
    <col min="4235" max="4235" width="10.75" style="12" bestFit="1" customWidth="1"/>
    <col min="4236" max="4236" width="7.75" style="12" bestFit="1" customWidth="1"/>
    <col min="4237" max="4237" width="10.75" style="12" bestFit="1" customWidth="1"/>
    <col min="4238" max="4238" width="7.75" style="12" bestFit="1" customWidth="1"/>
    <col min="4239" max="4239" width="10.75" style="12" bestFit="1" customWidth="1"/>
    <col min="4240" max="4240" width="7.75" style="12" bestFit="1" customWidth="1"/>
    <col min="4241" max="4241" width="10.75" style="12" bestFit="1" customWidth="1"/>
    <col min="4242" max="4242" width="7.75" style="12" bestFit="1" customWidth="1"/>
    <col min="4243" max="4243" width="10.75" style="12" bestFit="1" customWidth="1"/>
    <col min="4244" max="4244" width="7.75" style="12" bestFit="1" customWidth="1"/>
    <col min="4245" max="4245" width="10.75" style="12" bestFit="1" customWidth="1"/>
    <col min="4246" max="4246" width="7.75" style="12" bestFit="1" customWidth="1"/>
    <col min="4247" max="4247" width="10.75" style="12" bestFit="1" customWidth="1"/>
    <col min="4248" max="4248" width="7.75" style="12" bestFit="1" customWidth="1"/>
    <col min="4249" max="4249" width="10.75" style="12" bestFit="1" customWidth="1"/>
    <col min="4250" max="4250" width="7.75" style="12" bestFit="1" customWidth="1"/>
    <col min="4251" max="4251" width="10.75" style="12" bestFit="1" customWidth="1"/>
    <col min="4252" max="4252" width="7.75" style="12" bestFit="1" customWidth="1"/>
    <col min="4253" max="4253" width="10.75" style="12" bestFit="1" customWidth="1"/>
    <col min="4254" max="4254" width="7.75" style="12" bestFit="1" customWidth="1"/>
    <col min="4255" max="4255" width="10.75" style="12" bestFit="1" customWidth="1"/>
    <col min="4256" max="4256" width="7.75" style="12" bestFit="1" customWidth="1"/>
    <col min="4257" max="4257" width="10.75" style="12" bestFit="1" customWidth="1"/>
    <col min="4258" max="4258" width="7.75" style="12" bestFit="1" customWidth="1"/>
    <col min="4259" max="4259" width="10.75" style="12" bestFit="1" customWidth="1"/>
    <col min="4260" max="4260" width="7.75" style="12" bestFit="1" customWidth="1"/>
    <col min="4261" max="4261" width="10.75" style="12" bestFit="1" customWidth="1"/>
    <col min="4262" max="4262" width="7.75" style="12" bestFit="1" customWidth="1"/>
    <col min="4263" max="4263" width="10.75" style="12" bestFit="1" customWidth="1"/>
    <col min="4264" max="4264" width="7.75" style="12" bestFit="1" customWidth="1"/>
    <col min="4265" max="4265" width="10.75" style="12" bestFit="1" customWidth="1"/>
    <col min="4266" max="4266" width="7.75" style="12" bestFit="1" customWidth="1"/>
    <col min="4267" max="4267" width="10.75" style="12" bestFit="1" customWidth="1"/>
    <col min="4268" max="4268" width="8.75" style="12" bestFit="1" customWidth="1"/>
    <col min="4269" max="4269" width="11.75" style="12" bestFit="1" customWidth="1"/>
    <col min="4270" max="4270" width="8.75" style="12" bestFit="1" customWidth="1"/>
    <col min="4271" max="4271" width="11.75" style="12" bestFit="1" customWidth="1"/>
    <col min="4272" max="4272" width="8.75" style="12" bestFit="1" customWidth="1"/>
    <col min="4273" max="4273" width="11.75" style="12" bestFit="1" customWidth="1"/>
    <col min="4274" max="4274" width="8.75" style="12" bestFit="1" customWidth="1"/>
    <col min="4275" max="4275" width="11.75" style="12" bestFit="1" customWidth="1"/>
    <col min="4276" max="4276" width="8.75" style="12" bestFit="1" customWidth="1"/>
    <col min="4277" max="4277" width="11.75" style="12" bestFit="1" customWidth="1"/>
    <col min="4278" max="4278" width="8.75" style="12" bestFit="1" customWidth="1"/>
    <col min="4279" max="4279" width="11.75" style="12" bestFit="1" customWidth="1"/>
    <col min="4280" max="4280" width="8.75" style="12" bestFit="1" customWidth="1"/>
    <col min="4281" max="4281" width="11.75" style="12" bestFit="1" customWidth="1"/>
    <col min="4282" max="4282" width="8.75" style="12" bestFit="1" customWidth="1"/>
    <col min="4283" max="4283" width="11.75" style="12" bestFit="1" customWidth="1"/>
    <col min="4284" max="4284" width="8.75" style="12" bestFit="1" customWidth="1"/>
    <col min="4285" max="4285" width="11.75" style="12" bestFit="1" customWidth="1"/>
    <col min="4286" max="4286" width="8.75" style="12" bestFit="1" customWidth="1"/>
    <col min="4287" max="4287" width="11.75" style="12" bestFit="1" customWidth="1"/>
    <col min="4288" max="4288" width="8.75" style="12" bestFit="1" customWidth="1"/>
    <col min="4289" max="4289" width="11.75" style="12" bestFit="1" customWidth="1"/>
    <col min="4290" max="4290" width="8.75" style="12" bestFit="1" customWidth="1"/>
    <col min="4291" max="4291" width="11.75" style="12" bestFit="1" customWidth="1"/>
    <col min="4292" max="4292" width="8.75" style="12" bestFit="1" customWidth="1"/>
    <col min="4293" max="4293" width="11.75" style="12" bestFit="1" customWidth="1"/>
    <col min="4294" max="4294" width="8.75" style="12" bestFit="1" customWidth="1"/>
    <col min="4295" max="4295" width="11.75" style="12" bestFit="1" customWidth="1"/>
    <col min="4296" max="4296" width="8.75" style="12" bestFit="1" customWidth="1"/>
    <col min="4297" max="4297" width="11.75" style="12" bestFit="1" customWidth="1"/>
    <col min="4298" max="4298" width="8.75" style="12" bestFit="1" customWidth="1"/>
    <col min="4299" max="4299" width="11.75" style="12" bestFit="1" customWidth="1"/>
    <col min="4300" max="4300" width="8.75" style="12" bestFit="1" customWidth="1"/>
    <col min="4301" max="4301" width="11.75" style="12" bestFit="1" customWidth="1"/>
    <col min="4302" max="4302" width="8.75" style="12" bestFit="1" customWidth="1"/>
    <col min="4303" max="4303" width="11.75" style="12" bestFit="1" customWidth="1"/>
    <col min="4304" max="4304" width="8.75" style="12" bestFit="1" customWidth="1"/>
    <col min="4305" max="4305" width="11.75" style="12" bestFit="1" customWidth="1"/>
    <col min="4306" max="4306" width="8.75" style="12" bestFit="1" customWidth="1"/>
    <col min="4307" max="4307" width="11.75" style="12" bestFit="1" customWidth="1"/>
    <col min="4308" max="4308" width="8.75" style="12" bestFit="1" customWidth="1"/>
    <col min="4309" max="4309" width="11.75" style="12" bestFit="1" customWidth="1"/>
    <col min="4310" max="4310" width="8.75" style="12" bestFit="1" customWidth="1"/>
    <col min="4311" max="4311" width="11.75" style="12" bestFit="1" customWidth="1"/>
    <col min="4312" max="4312" width="8.75" style="12" bestFit="1" customWidth="1"/>
    <col min="4313" max="4313" width="11.75" style="12" bestFit="1" customWidth="1"/>
    <col min="4314" max="4314" width="8.75" style="12" bestFit="1" customWidth="1"/>
    <col min="4315" max="4315" width="11.75" style="12" bestFit="1" customWidth="1"/>
    <col min="4316" max="4316" width="8.75" style="12" bestFit="1" customWidth="1"/>
    <col min="4317" max="4317" width="11.75" style="12" bestFit="1" customWidth="1"/>
    <col min="4318" max="4318" width="8.75" style="12" bestFit="1" customWidth="1"/>
    <col min="4319" max="4319" width="11.75" style="12" bestFit="1" customWidth="1"/>
    <col min="4320" max="4320" width="8.75" style="12" bestFit="1" customWidth="1"/>
    <col min="4321" max="4321" width="11.75" style="12" bestFit="1" customWidth="1"/>
    <col min="4322" max="4322" width="8.75" style="12" bestFit="1" customWidth="1"/>
    <col min="4323" max="4323" width="11.75" style="12" bestFit="1" customWidth="1"/>
    <col min="4324" max="4324" width="8.75" style="12" bestFit="1" customWidth="1"/>
    <col min="4325" max="4325" width="11.75" style="12" bestFit="1" customWidth="1"/>
    <col min="4326" max="4326" width="8.75" style="12" bestFit="1" customWidth="1"/>
    <col min="4327" max="4327" width="11.75" style="12" bestFit="1" customWidth="1"/>
    <col min="4328" max="4328" width="8.75" style="12" bestFit="1" customWidth="1"/>
    <col min="4329" max="4329" width="11.75" style="12" bestFit="1" customWidth="1"/>
    <col min="4330" max="4330" width="8.75" style="12" bestFit="1" customWidth="1"/>
    <col min="4331" max="4331" width="11.75" style="12" bestFit="1" customWidth="1"/>
    <col min="4332" max="4332" width="8.75" style="12" bestFit="1" customWidth="1"/>
    <col min="4333" max="4333" width="11.75" style="12" bestFit="1" customWidth="1"/>
    <col min="4334" max="4334" width="8.75" style="12" bestFit="1" customWidth="1"/>
    <col min="4335" max="4335" width="11.75" style="12" bestFit="1" customWidth="1"/>
    <col min="4336" max="4336" width="8.75" style="12" bestFit="1" customWidth="1"/>
    <col min="4337" max="4337" width="11.75" style="12" bestFit="1" customWidth="1"/>
    <col min="4338" max="4338" width="8.75" style="12" bestFit="1" customWidth="1"/>
    <col min="4339" max="4339" width="11.75" style="12" bestFit="1" customWidth="1"/>
    <col min="4340" max="4340" width="8.75" style="12" bestFit="1" customWidth="1"/>
    <col min="4341" max="4341" width="11.75" style="12" bestFit="1" customWidth="1"/>
    <col min="4342" max="4342" width="8.75" style="12" bestFit="1" customWidth="1"/>
    <col min="4343" max="4343" width="11.75" style="12" bestFit="1" customWidth="1"/>
    <col min="4344" max="4344" width="8.75" style="12" bestFit="1" customWidth="1"/>
    <col min="4345" max="4345" width="11.75" style="12" bestFit="1" customWidth="1"/>
    <col min="4346" max="4346" width="8.75" style="12" bestFit="1" customWidth="1"/>
    <col min="4347" max="4347" width="11.75" style="12" bestFit="1" customWidth="1"/>
    <col min="4348" max="4348" width="8.75" style="12" bestFit="1" customWidth="1"/>
    <col min="4349" max="4349" width="11.75" style="12" bestFit="1" customWidth="1"/>
    <col min="4350" max="4350" width="8.75" style="12" bestFit="1" customWidth="1"/>
    <col min="4351" max="4351" width="11.75" style="12" bestFit="1" customWidth="1"/>
    <col min="4352" max="4352" width="8.75" style="12" bestFit="1" customWidth="1"/>
    <col min="4353" max="4353" width="11.75" style="12" bestFit="1" customWidth="1"/>
    <col min="4354" max="4354" width="8.75" style="12" bestFit="1" customWidth="1"/>
    <col min="4355" max="4355" width="11.75" style="12" bestFit="1" customWidth="1"/>
    <col min="4356" max="4356" width="8.75" style="12" bestFit="1" customWidth="1"/>
    <col min="4357" max="4357" width="11.75" style="12" bestFit="1" customWidth="1"/>
    <col min="4358" max="4358" width="8.75" style="12" bestFit="1" customWidth="1"/>
    <col min="4359" max="4359" width="11.75" style="12" bestFit="1" customWidth="1"/>
    <col min="4360" max="4360" width="8.75" style="12" bestFit="1" customWidth="1"/>
    <col min="4361" max="4361" width="11.75" style="12" bestFit="1" customWidth="1"/>
    <col min="4362" max="4362" width="8.75" style="12" bestFit="1" customWidth="1"/>
    <col min="4363" max="4363" width="11.75" style="12" bestFit="1" customWidth="1"/>
    <col min="4364" max="4364" width="8.75" style="12" bestFit="1" customWidth="1"/>
    <col min="4365" max="4365" width="11.75" style="12" bestFit="1" customWidth="1"/>
    <col min="4366" max="4366" width="8.75" style="12" bestFit="1" customWidth="1"/>
    <col min="4367" max="4367" width="11.75" style="12" bestFit="1" customWidth="1"/>
    <col min="4368" max="4368" width="8.75" style="12" bestFit="1" customWidth="1"/>
    <col min="4369" max="4369" width="11.75" style="12" bestFit="1" customWidth="1"/>
    <col min="4370" max="4370" width="8.75" style="12" bestFit="1" customWidth="1"/>
    <col min="4371" max="4371" width="11.75" style="12" bestFit="1" customWidth="1"/>
    <col min="4372" max="4372" width="8.75" style="12" bestFit="1" customWidth="1"/>
    <col min="4373" max="4373" width="11.75" style="12" bestFit="1" customWidth="1"/>
    <col min="4374" max="4374" width="8.75" style="12" bestFit="1" customWidth="1"/>
    <col min="4375" max="4375" width="11.75" style="12" bestFit="1" customWidth="1"/>
    <col min="4376" max="4376" width="8.75" style="12" bestFit="1" customWidth="1"/>
    <col min="4377" max="4377" width="11.75" style="12" bestFit="1" customWidth="1"/>
    <col min="4378" max="4378" width="8.75" style="12" bestFit="1" customWidth="1"/>
    <col min="4379" max="4379" width="11.75" style="12" bestFit="1" customWidth="1"/>
    <col min="4380" max="4380" width="8.75" style="12" bestFit="1" customWidth="1"/>
    <col min="4381" max="4381" width="11.75" style="12" bestFit="1" customWidth="1"/>
    <col min="4382" max="4382" width="8.75" style="12" bestFit="1" customWidth="1"/>
    <col min="4383" max="4383" width="11.75" style="12" bestFit="1" customWidth="1"/>
    <col min="4384" max="4384" width="8.75" style="12" bestFit="1" customWidth="1"/>
    <col min="4385" max="4385" width="11.75" style="12" bestFit="1" customWidth="1"/>
    <col min="4386" max="4386" width="8.75" style="12" bestFit="1" customWidth="1"/>
    <col min="4387" max="4387" width="11.75" style="12" bestFit="1" customWidth="1"/>
    <col min="4388" max="4388" width="8.75" style="12" bestFit="1" customWidth="1"/>
    <col min="4389" max="4389" width="11.75" style="12" bestFit="1" customWidth="1"/>
    <col min="4390" max="4390" width="8.75" style="12" bestFit="1" customWidth="1"/>
    <col min="4391" max="4391" width="11.75" style="12" bestFit="1" customWidth="1"/>
    <col min="4392" max="4392" width="8.75" style="12" bestFit="1" customWidth="1"/>
    <col min="4393" max="4393" width="11.75" style="12" bestFit="1" customWidth="1"/>
    <col min="4394" max="4394" width="8.75" style="12" bestFit="1" customWidth="1"/>
    <col min="4395" max="4395" width="11.75" style="12" bestFit="1" customWidth="1"/>
    <col min="4396" max="4396" width="8.75" style="12" bestFit="1" customWidth="1"/>
    <col min="4397" max="4397" width="11.75" style="12" bestFit="1" customWidth="1"/>
    <col min="4398" max="4398" width="8.75" style="12" bestFit="1" customWidth="1"/>
    <col min="4399" max="4399" width="11.75" style="12" bestFit="1" customWidth="1"/>
    <col min="4400" max="4400" width="8.75" style="12" bestFit="1" customWidth="1"/>
    <col min="4401" max="4401" width="11.75" style="12" bestFit="1" customWidth="1"/>
    <col min="4402" max="4402" width="8.75" style="12" bestFit="1" customWidth="1"/>
    <col min="4403" max="4403" width="11.75" style="12" bestFit="1" customWidth="1"/>
    <col min="4404" max="4404" width="8.75" style="12" bestFit="1" customWidth="1"/>
    <col min="4405" max="4405" width="11.75" style="12" bestFit="1" customWidth="1"/>
    <col min="4406" max="4406" width="8.75" style="12" bestFit="1" customWidth="1"/>
    <col min="4407" max="4407" width="11.75" style="12" bestFit="1" customWidth="1"/>
    <col min="4408" max="4408" width="8.75" style="12" bestFit="1" customWidth="1"/>
    <col min="4409" max="4409" width="11.75" style="12" bestFit="1" customWidth="1"/>
    <col min="4410" max="4410" width="8.75" style="12" bestFit="1" customWidth="1"/>
    <col min="4411" max="4411" width="11.75" style="12" bestFit="1" customWidth="1"/>
    <col min="4412" max="4412" width="8.75" style="12" bestFit="1" customWidth="1"/>
    <col min="4413" max="4413" width="11.75" style="12" bestFit="1" customWidth="1"/>
    <col min="4414" max="4414" width="8.75" style="12" bestFit="1" customWidth="1"/>
    <col min="4415" max="4415" width="11.75" style="12" bestFit="1" customWidth="1"/>
    <col min="4416" max="4416" width="8.75" style="12" bestFit="1" customWidth="1"/>
    <col min="4417" max="4417" width="11.75" style="12" bestFit="1" customWidth="1"/>
    <col min="4418" max="4418" width="8.75" style="12" bestFit="1" customWidth="1"/>
    <col min="4419" max="4419" width="11.75" style="12" bestFit="1" customWidth="1"/>
    <col min="4420" max="4420" width="8.75" style="12" bestFit="1" customWidth="1"/>
    <col min="4421" max="4421" width="11.75" style="12" bestFit="1" customWidth="1"/>
    <col min="4422" max="4422" width="8.75" style="12" bestFit="1" customWidth="1"/>
    <col min="4423" max="4423" width="11.75" style="12" bestFit="1" customWidth="1"/>
    <col min="4424" max="4424" width="8.75" style="12" bestFit="1" customWidth="1"/>
    <col min="4425" max="4425" width="11.75" style="12" bestFit="1" customWidth="1"/>
    <col min="4426" max="4426" width="8.75" style="12" bestFit="1" customWidth="1"/>
    <col min="4427" max="4427" width="11.75" style="12" bestFit="1" customWidth="1"/>
    <col min="4428" max="4428" width="8.75" style="12" bestFit="1" customWidth="1"/>
    <col min="4429" max="4429" width="11.75" style="12" bestFit="1" customWidth="1"/>
    <col min="4430" max="4430" width="8.75" style="12" bestFit="1" customWidth="1"/>
    <col min="4431" max="4431" width="11.75" style="12" bestFit="1" customWidth="1"/>
    <col min="4432" max="4432" width="8.75" style="12" bestFit="1" customWidth="1"/>
    <col min="4433" max="4433" width="11.75" style="12" bestFit="1" customWidth="1"/>
    <col min="4434" max="4434" width="8.75" style="12" bestFit="1" customWidth="1"/>
    <col min="4435" max="4435" width="11.75" style="12" bestFit="1" customWidth="1"/>
    <col min="4436" max="4436" width="8.75" style="12" bestFit="1" customWidth="1"/>
    <col min="4437" max="4437" width="11.75" style="12" bestFit="1" customWidth="1"/>
    <col min="4438" max="4438" width="8.75" style="12" bestFit="1" customWidth="1"/>
    <col min="4439" max="4439" width="11.75" style="12" bestFit="1" customWidth="1"/>
    <col min="4440" max="4440" width="8.75" style="12" bestFit="1" customWidth="1"/>
    <col min="4441" max="4441" width="11.75" style="12" bestFit="1" customWidth="1"/>
    <col min="4442" max="4442" width="8.75" style="12" bestFit="1" customWidth="1"/>
    <col min="4443" max="4443" width="11.75" style="12" bestFit="1" customWidth="1"/>
    <col min="4444" max="4444" width="8.75" style="12" bestFit="1" customWidth="1"/>
    <col min="4445" max="4445" width="11.75" style="12" bestFit="1" customWidth="1"/>
    <col min="4446" max="4446" width="8.75" style="12" bestFit="1" customWidth="1"/>
    <col min="4447" max="4447" width="11.75" style="12" bestFit="1" customWidth="1"/>
    <col min="4448" max="4448" width="8.75" style="12" bestFit="1" customWidth="1"/>
    <col min="4449" max="4449" width="11.75" style="12" bestFit="1" customWidth="1"/>
    <col min="4450" max="4450" width="8.75" style="12" bestFit="1" customWidth="1"/>
    <col min="4451" max="4451" width="11.75" style="12" bestFit="1" customWidth="1"/>
    <col min="4452" max="4452" width="8.75" style="12" bestFit="1" customWidth="1"/>
    <col min="4453" max="4453" width="11.75" style="12" bestFit="1" customWidth="1"/>
    <col min="4454" max="4454" width="8.75" style="12" bestFit="1" customWidth="1"/>
    <col min="4455" max="4455" width="11.75" style="12" bestFit="1" customWidth="1"/>
    <col min="4456" max="4456" width="8.75" style="12" bestFit="1" customWidth="1"/>
    <col min="4457" max="4457" width="11.75" style="12" bestFit="1" customWidth="1"/>
    <col min="4458" max="4458" width="8.75" style="12" bestFit="1" customWidth="1"/>
    <col min="4459" max="4459" width="11.75" style="12" bestFit="1" customWidth="1"/>
    <col min="4460" max="4460" width="8.75" style="12" bestFit="1" customWidth="1"/>
    <col min="4461" max="4461" width="11.75" style="12" bestFit="1" customWidth="1"/>
    <col min="4462" max="4462" width="8.75" style="12" bestFit="1" customWidth="1"/>
    <col min="4463" max="4463" width="11.75" style="12" bestFit="1" customWidth="1"/>
    <col min="4464" max="4464" width="8.75" style="12" bestFit="1" customWidth="1"/>
    <col min="4465" max="4465" width="11.75" style="12" bestFit="1" customWidth="1"/>
    <col min="4466" max="4466" width="8.75" style="12" bestFit="1" customWidth="1"/>
    <col min="4467" max="4467" width="11.75" style="12" bestFit="1" customWidth="1"/>
    <col min="4468" max="4468" width="8.75" style="12" bestFit="1" customWidth="1"/>
    <col min="4469" max="4469" width="11.75" style="12" bestFit="1" customWidth="1"/>
    <col min="4470" max="4470" width="8.75" style="12" bestFit="1" customWidth="1"/>
    <col min="4471" max="4471" width="11.75" style="12" bestFit="1" customWidth="1"/>
    <col min="4472" max="4472" width="8.75" style="12" bestFit="1" customWidth="1"/>
    <col min="4473" max="4473" width="11.75" style="12" bestFit="1" customWidth="1"/>
    <col min="4474" max="4474" width="8.75" style="12" bestFit="1" customWidth="1"/>
    <col min="4475" max="4475" width="11.75" style="12" bestFit="1" customWidth="1"/>
    <col min="4476" max="4476" width="8.75" style="12" bestFit="1" customWidth="1"/>
    <col min="4477" max="4477" width="11.75" style="12" bestFit="1" customWidth="1"/>
    <col min="4478" max="4478" width="8.75" style="12" bestFit="1" customWidth="1"/>
    <col min="4479" max="4479" width="11.75" style="12" bestFit="1" customWidth="1"/>
    <col min="4480" max="4480" width="8.75" style="12" bestFit="1" customWidth="1"/>
    <col min="4481" max="4481" width="11.75" style="12" bestFit="1" customWidth="1"/>
    <col min="4482" max="4482" width="8.75" style="12" bestFit="1" customWidth="1"/>
    <col min="4483" max="4483" width="11.75" style="12" bestFit="1" customWidth="1"/>
    <col min="4484" max="4484" width="8.75" style="12" bestFit="1" customWidth="1"/>
    <col min="4485" max="4485" width="11.75" style="12" bestFit="1" customWidth="1"/>
    <col min="4486" max="4486" width="8.75" style="12" bestFit="1" customWidth="1"/>
    <col min="4487" max="4487" width="11.75" style="12" bestFit="1" customWidth="1"/>
    <col min="4488" max="4488" width="8.75" style="12" bestFit="1" customWidth="1"/>
    <col min="4489" max="4489" width="11.75" style="12" bestFit="1" customWidth="1"/>
    <col min="4490" max="4490" width="8.75" style="12" bestFit="1" customWidth="1"/>
    <col min="4491" max="4491" width="11.75" style="12" bestFit="1" customWidth="1"/>
    <col min="4492" max="4492" width="8.75" style="12" bestFit="1" customWidth="1"/>
    <col min="4493" max="4493" width="11.75" style="12" bestFit="1" customWidth="1"/>
    <col min="4494" max="4494" width="8.75" style="12" bestFit="1" customWidth="1"/>
    <col min="4495" max="4495" width="11.75" style="12" bestFit="1" customWidth="1"/>
    <col min="4496" max="4496" width="8.75" style="12" bestFit="1" customWidth="1"/>
    <col min="4497" max="4497" width="11.75" style="12" bestFit="1" customWidth="1"/>
    <col min="4498" max="4498" width="8.75" style="12" bestFit="1" customWidth="1"/>
    <col min="4499" max="4499" width="11.75" style="12" bestFit="1" customWidth="1"/>
    <col min="4500" max="4500" width="8.75" style="12" bestFit="1" customWidth="1"/>
    <col min="4501" max="4501" width="11.75" style="12" bestFit="1" customWidth="1"/>
    <col min="4502" max="4502" width="8.75" style="12" bestFit="1" customWidth="1"/>
    <col min="4503" max="4503" width="11.75" style="12" bestFit="1" customWidth="1"/>
    <col min="4504" max="4504" width="8.75" style="12" bestFit="1" customWidth="1"/>
    <col min="4505" max="4505" width="11.75" style="12" bestFit="1" customWidth="1"/>
    <col min="4506" max="4506" width="8.75" style="12" bestFit="1" customWidth="1"/>
    <col min="4507" max="4507" width="11.75" style="12" bestFit="1" customWidth="1"/>
    <col min="4508" max="4508" width="8.75" style="12" bestFit="1" customWidth="1"/>
    <col min="4509" max="4509" width="11.75" style="12" bestFit="1" customWidth="1"/>
    <col min="4510" max="4510" width="8.75" style="12" bestFit="1" customWidth="1"/>
    <col min="4511" max="4511" width="11.75" style="12" bestFit="1" customWidth="1"/>
    <col min="4512" max="4512" width="8.75" style="12" bestFit="1" customWidth="1"/>
    <col min="4513" max="4513" width="11.75" style="12" bestFit="1" customWidth="1"/>
    <col min="4514" max="4514" width="8.75" style="12" bestFit="1" customWidth="1"/>
    <col min="4515" max="4515" width="11.75" style="12" bestFit="1" customWidth="1"/>
    <col min="4516" max="4516" width="8.75" style="12" bestFit="1" customWidth="1"/>
    <col min="4517" max="4517" width="11.75" style="12" bestFit="1" customWidth="1"/>
    <col min="4518" max="4518" width="8.75" style="12" bestFit="1" customWidth="1"/>
    <col min="4519" max="4519" width="11.75" style="12" bestFit="1" customWidth="1"/>
    <col min="4520" max="4520" width="8.75" style="12" bestFit="1" customWidth="1"/>
    <col min="4521" max="4521" width="11.75" style="12" bestFit="1" customWidth="1"/>
    <col min="4522" max="4522" width="8.75" style="12" bestFit="1" customWidth="1"/>
    <col min="4523" max="4523" width="11.75" style="12" bestFit="1" customWidth="1"/>
    <col min="4524" max="4524" width="8.75" style="12" bestFit="1" customWidth="1"/>
    <col min="4525" max="4525" width="11.75" style="12" bestFit="1" customWidth="1"/>
    <col min="4526" max="4526" width="8.75" style="12" bestFit="1" customWidth="1"/>
    <col min="4527" max="4527" width="11.75" style="12" bestFit="1" customWidth="1"/>
    <col min="4528" max="4528" width="8.75" style="12" bestFit="1" customWidth="1"/>
    <col min="4529" max="4529" width="11.75" style="12" bestFit="1" customWidth="1"/>
    <col min="4530" max="4530" width="8.75" style="12" bestFit="1" customWidth="1"/>
    <col min="4531" max="4531" width="11.75" style="12" bestFit="1" customWidth="1"/>
    <col min="4532" max="4532" width="8.75" style="12" bestFit="1" customWidth="1"/>
    <col min="4533" max="4533" width="11.75" style="12" bestFit="1" customWidth="1"/>
    <col min="4534" max="4534" width="8.75" style="12" bestFit="1" customWidth="1"/>
    <col min="4535" max="4535" width="11.75" style="12" bestFit="1" customWidth="1"/>
    <col min="4536" max="4536" width="8.75" style="12" bestFit="1" customWidth="1"/>
    <col min="4537" max="4537" width="11.75" style="12" bestFit="1" customWidth="1"/>
    <col min="4538" max="4538" width="8.75" style="12" bestFit="1" customWidth="1"/>
    <col min="4539" max="4539" width="11.75" style="12" bestFit="1" customWidth="1"/>
    <col min="4540" max="4540" width="8.75" style="12" bestFit="1" customWidth="1"/>
    <col min="4541" max="4541" width="11.75" style="12" bestFit="1" customWidth="1"/>
    <col min="4542" max="4542" width="8.75" style="12" bestFit="1" customWidth="1"/>
    <col min="4543" max="4543" width="11.75" style="12" bestFit="1" customWidth="1"/>
    <col min="4544" max="4544" width="8.75" style="12" bestFit="1" customWidth="1"/>
    <col min="4545" max="4545" width="11.75" style="12" bestFit="1" customWidth="1"/>
    <col min="4546" max="4546" width="8.75" style="12" bestFit="1" customWidth="1"/>
    <col min="4547" max="4547" width="11.75" style="12" bestFit="1" customWidth="1"/>
    <col min="4548" max="4548" width="8.75" style="12" bestFit="1" customWidth="1"/>
    <col min="4549" max="4549" width="11.75" style="12" bestFit="1" customWidth="1"/>
    <col min="4550" max="4550" width="8.75" style="12" bestFit="1" customWidth="1"/>
    <col min="4551" max="4551" width="11.75" style="12" bestFit="1" customWidth="1"/>
    <col min="4552" max="4552" width="8.75" style="12" bestFit="1" customWidth="1"/>
    <col min="4553" max="4553" width="11.75" style="12" bestFit="1" customWidth="1"/>
    <col min="4554" max="4554" width="8.75" style="12" bestFit="1" customWidth="1"/>
    <col min="4555" max="4555" width="11.75" style="12" bestFit="1" customWidth="1"/>
    <col min="4556" max="4556" width="8.75" style="12" bestFit="1" customWidth="1"/>
    <col min="4557" max="4557" width="11.75" style="12" bestFit="1" customWidth="1"/>
    <col min="4558" max="4558" width="8.75" style="12" bestFit="1" customWidth="1"/>
    <col min="4559" max="4559" width="11.75" style="12" bestFit="1" customWidth="1"/>
    <col min="4560" max="4560" width="8.75" style="12" bestFit="1" customWidth="1"/>
    <col min="4561" max="4561" width="11.75" style="12" bestFit="1" customWidth="1"/>
    <col min="4562" max="4562" width="8.75" style="12" bestFit="1" customWidth="1"/>
    <col min="4563" max="4563" width="11.75" style="12" bestFit="1" customWidth="1"/>
    <col min="4564" max="4564" width="8.75" style="12" bestFit="1" customWidth="1"/>
    <col min="4565" max="4565" width="11.75" style="12" bestFit="1" customWidth="1"/>
    <col min="4566" max="4566" width="8.75" style="12" bestFit="1" customWidth="1"/>
    <col min="4567" max="4567" width="11.75" style="12" bestFit="1" customWidth="1"/>
    <col min="4568" max="4568" width="8.75" style="12" bestFit="1" customWidth="1"/>
    <col min="4569" max="4569" width="11.75" style="12" bestFit="1" customWidth="1"/>
    <col min="4570" max="4570" width="8.75" style="12" bestFit="1" customWidth="1"/>
    <col min="4571" max="4571" width="11.75" style="12" bestFit="1" customWidth="1"/>
    <col min="4572" max="4572" width="8.75" style="12" bestFit="1" customWidth="1"/>
    <col min="4573" max="4573" width="11.75" style="12" bestFit="1" customWidth="1"/>
    <col min="4574" max="4574" width="8.75" style="12" bestFit="1" customWidth="1"/>
    <col min="4575" max="4575" width="11.75" style="12" bestFit="1" customWidth="1"/>
    <col min="4576" max="4576" width="8.75" style="12" bestFit="1" customWidth="1"/>
    <col min="4577" max="4577" width="11.75" style="12" bestFit="1" customWidth="1"/>
    <col min="4578" max="4578" width="8.75" style="12" bestFit="1" customWidth="1"/>
    <col min="4579" max="4579" width="11.75" style="12" bestFit="1" customWidth="1"/>
    <col min="4580" max="4580" width="8.75" style="12" bestFit="1" customWidth="1"/>
    <col min="4581" max="4581" width="11.75" style="12" bestFit="1" customWidth="1"/>
    <col min="4582" max="4582" width="8.75" style="12" bestFit="1" customWidth="1"/>
    <col min="4583" max="4583" width="11.75" style="12" bestFit="1" customWidth="1"/>
    <col min="4584" max="4584" width="8.75" style="12" bestFit="1" customWidth="1"/>
    <col min="4585" max="4585" width="11.75" style="12" bestFit="1" customWidth="1"/>
    <col min="4586" max="4586" width="8.75" style="12" bestFit="1" customWidth="1"/>
    <col min="4587" max="4587" width="11.75" style="12" bestFit="1" customWidth="1"/>
    <col min="4588" max="4588" width="8.75" style="12" bestFit="1" customWidth="1"/>
    <col min="4589" max="4589" width="11.75" style="12" bestFit="1" customWidth="1"/>
    <col min="4590" max="4590" width="8.75" style="12" bestFit="1" customWidth="1"/>
    <col min="4591" max="4591" width="11.75" style="12" bestFit="1" customWidth="1"/>
    <col min="4592" max="4592" width="8.75" style="12" bestFit="1" customWidth="1"/>
    <col min="4593" max="4593" width="11.75" style="12" bestFit="1" customWidth="1"/>
    <col min="4594" max="4594" width="8.75" style="12" bestFit="1" customWidth="1"/>
    <col min="4595" max="4595" width="11.75" style="12" bestFit="1" customWidth="1"/>
    <col min="4596" max="4596" width="8.75" style="12" bestFit="1" customWidth="1"/>
    <col min="4597" max="4597" width="11.75" style="12" bestFit="1" customWidth="1"/>
    <col min="4598" max="4598" width="8.75" style="12" bestFit="1" customWidth="1"/>
    <col min="4599" max="4599" width="11.75" style="12" bestFit="1" customWidth="1"/>
    <col min="4600" max="4600" width="8.75" style="12" bestFit="1" customWidth="1"/>
    <col min="4601" max="4601" width="11.75" style="12" bestFit="1" customWidth="1"/>
    <col min="4602" max="4602" width="9.75" style="12" bestFit="1" customWidth="1"/>
    <col min="4603" max="4603" width="12.75" style="12" bestFit="1" customWidth="1"/>
    <col min="4604" max="4604" width="9.75" style="12" bestFit="1" customWidth="1"/>
    <col min="4605" max="4605" width="12.75" style="12" bestFit="1" customWidth="1"/>
    <col min="4606" max="4606" width="9.75" style="12" bestFit="1" customWidth="1"/>
    <col min="4607" max="4607" width="12.75" style="12" bestFit="1" customWidth="1"/>
    <col min="4608" max="4608" width="9.75" style="12" bestFit="1" customWidth="1"/>
    <col min="4609" max="4609" width="12.75" style="12" bestFit="1" customWidth="1"/>
    <col min="4610" max="4610" width="9.75" style="12" bestFit="1" customWidth="1"/>
    <col min="4611" max="4611" width="12.75" style="12" bestFit="1" customWidth="1"/>
    <col min="4612" max="4612" width="9.75" style="12" bestFit="1" customWidth="1"/>
    <col min="4613" max="4613" width="12.75" style="12" bestFit="1" customWidth="1"/>
    <col min="4614" max="4614" width="9.75" style="12" bestFit="1" customWidth="1"/>
    <col min="4615" max="4615" width="12.75" style="12" bestFit="1" customWidth="1"/>
    <col min="4616" max="4616" width="9.75" style="12" bestFit="1" customWidth="1"/>
    <col min="4617" max="4617" width="12.75" style="12" bestFit="1" customWidth="1"/>
    <col min="4618" max="4618" width="9.75" style="12" bestFit="1" customWidth="1"/>
    <col min="4619" max="4619" width="12.75" style="12" bestFit="1" customWidth="1"/>
    <col min="4620" max="4620" width="9.75" style="12" bestFit="1" customWidth="1"/>
    <col min="4621" max="4621" width="12.75" style="12" bestFit="1" customWidth="1"/>
    <col min="4622" max="4622" width="9.75" style="12" bestFit="1" customWidth="1"/>
    <col min="4623" max="4623" width="12.75" style="12" bestFit="1" customWidth="1"/>
    <col min="4624" max="4624" width="9.75" style="12" bestFit="1" customWidth="1"/>
    <col min="4625" max="4625" width="12.75" style="12" bestFit="1" customWidth="1"/>
    <col min="4626" max="4626" width="9.75" style="12" bestFit="1" customWidth="1"/>
    <col min="4627" max="4627" width="12.75" style="12" bestFit="1" customWidth="1"/>
    <col min="4628" max="4628" width="9.75" style="12" bestFit="1" customWidth="1"/>
    <col min="4629" max="4629" width="12.75" style="12" bestFit="1" customWidth="1"/>
    <col min="4630" max="4630" width="9.75" style="12" bestFit="1" customWidth="1"/>
    <col min="4631" max="4631" width="12.75" style="12" bestFit="1" customWidth="1"/>
    <col min="4632" max="4632" width="9.75" style="12" bestFit="1" customWidth="1"/>
    <col min="4633" max="4633" width="12.75" style="12" bestFit="1" customWidth="1"/>
    <col min="4634" max="4634" width="9.75" style="12" bestFit="1" customWidth="1"/>
    <col min="4635" max="4635" width="12.75" style="12" bestFit="1" customWidth="1"/>
    <col min="4636" max="4636" width="9.75" style="12" bestFit="1" customWidth="1"/>
    <col min="4637" max="4637" width="12.75" style="12" bestFit="1" customWidth="1"/>
    <col min="4638" max="4638" width="9.75" style="12" bestFit="1" customWidth="1"/>
    <col min="4639" max="4639" width="12.75" style="12" bestFit="1" customWidth="1"/>
    <col min="4640" max="4640" width="9.75" style="12" bestFit="1" customWidth="1"/>
    <col min="4641" max="4641" width="12.75" style="12" bestFit="1" customWidth="1"/>
    <col min="4642" max="4642" width="9.75" style="12" bestFit="1" customWidth="1"/>
    <col min="4643" max="4643" width="12.75" style="12" bestFit="1" customWidth="1"/>
    <col min="4644" max="4644" width="9.75" style="12" bestFit="1" customWidth="1"/>
    <col min="4645" max="4645" width="12.75" style="12" bestFit="1" customWidth="1"/>
    <col min="4646" max="4646" width="9.75" style="12" bestFit="1" customWidth="1"/>
    <col min="4647" max="4647" width="12.75" style="12" bestFit="1" customWidth="1"/>
    <col min="4648" max="4648" width="9.75" style="12" bestFit="1" customWidth="1"/>
    <col min="4649" max="4649" width="12.75" style="12" bestFit="1" customWidth="1"/>
    <col min="4650" max="4650" width="10.75" style="12" bestFit="1" customWidth="1"/>
    <col min="4651" max="4651" width="13.875" style="12" bestFit="1" customWidth="1"/>
    <col min="4652" max="4652" width="8.5" style="12" bestFit="1" customWidth="1"/>
    <col min="4653" max="4653" width="11.5" style="12" bestFit="1" customWidth="1"/>
    <col min="4654" max="4654" width="10.75" style="12" bestFit="1" customWidth="1"/>
    <col min="4655" max="16384" width="10.875" style="12"/>
  </cols>
  <sheetData>
    <row r="1" spans="1:3" ht="17.100000000000001" thickBot="1">
      <c r="A1" s="41" t="s">
        <v>0</v>
      </c>
      <c r="B1" s="41"/>
      <c r="C1" s="41"/>
    </row>
    <row r="2" spans="1:3" ht="17.100000000000001" thickBot="1">
      <c r="A2" s="41"/>
      <c r="B2" s="41"/>
      <c r="C2" s="41"/>
    </row>
    <row r="3" spans="1:3" ht="17.100000000000001" thickBot="1">
      <c r="A3" s="42" t="s">
        <v>1</v>
      </c>
      <c r="B3" s="43"/>
      <c r="C3" s="43"/>
    </row>
    <row r="4" spans="1:3" ht="15" customHeight="1" thickBot="1">
      <c r="A4" s="43"/>
      <c r="B4" s="43"/>
      <c r="C4" s="43"/>
    </row>
    <row r="5" spans="1:3" ht="15" customHeight="1" thickBot="1">
      <c r="A5" s="43"/>
      <c r="B5" s="43"/>
      <c r="C5" s="43"/>
    </row>
    <row r="6" spans="1:3" ht="15" customHeight="1" thickBot="1">
      <c r="A6" s="43"/>
      <c r="B6" s="43"/>
      <c r="C6" s="43"/>
    </row>
    <row r="7" spans="1:3" ht="17.100000000000001" thickBot="1">
      <c r="A7" s="43"/>
      <c r="B7" s="43"/>
      <c r="C7" s="43"/>
    </row>
    <row r="8" spans="1:3" ht="17.100000000000001" thickBot="1">
      <c r="A8" s="43"/>
      <c r="B8" s="43"/>
      <c r="C8" s="43"/>
    </row>
    <row r="9" spans="1:3" ht="17.100000000000001" thickBot="1">
      <c r="A9" s="43"/>
      <c r="B9" s="43"/>
      <c r="C9" s="43"/>
    </row>
    <row r="10" spans="1:3" ht="17.100000000000001" thickBot="1">
      <c r="A10" s="43"/>
      <c r="B10" s="43"/>
      <c r="C10" s="43"/>
    </row>
    <row r="11" spans="1:3" ht="17.100000000000001" thickBot="1">
      <c r="A11" s="43"/>
      <c r="B11" s="43"/>
      <c r="C11" s="43"/>
    </row>
    <row r="12" spans="1:3" ht="17.100000000000001" thickBot="1">
      <c r="A12" s="43"/>
      <c r="B12" s="43"/>
      <c r="C12" s="43"/>
    </row>
    <row r="13" spans="1:3" ht="17.100000000000001" thickBot="1"/>
    <row r="14" spans="1:3" ht="17.100000000000001" thickBot="1">
      <c r="A14" s="29" t="s">
        <v>2</v>
      </c>
      <c r="B14" s="29"/>
      <c r="C14" s="29"/>
    </row>
    <row r="15" spans="1:3" ht="17.100000000000001" thickBot="1">
      <c r="A15" s="29"/>
      <c r="B15" s="29"/>
      <c r="C15" s="29"/>
    </row>
    <row r="16" spans="1:3" ht="15.95" customHeight="1">
      <c r="A16" s="46" t="s">
        <v>3</v>
      </c>
      <c r="B16" s="46"/>
      <c r="C16" s="46"/>
    </row>
    <row r="17" spans="1:4">
      <c r="A17" s="47"/>
      <c r="B17" s="47"/>
      <c r="C17" s="47"/>
    </row>
    <row r="18" spans="1:4">
      <c r="A18" s="47"/>
      <c r="B18" s="47"/>
      <c r="C18" s="47"/>
    </row>
    <row r="19" spans="1:4">
      <c r="A19" s="47"/>
      <c r="B19" s="47"/>
      <c r="C19" s="47"/>
    </row>
    <row r="20" spans="1:4">
      <c r="A20" s="47"/>
      <c r="B20" s="47"/>
      <c r="C20" s="47"/>
    </row>
    <row r="21" spans="1:4" ht="17.100000000000001" thickBot="1">
      <c r="A21" s="47"/>
      <c r="B21" s="47"/>
      <c r="C21" s="47"/>
    </row>
    <row r="22" spans="1:4">
      <c r="A22" s="33" t="s">
        <v>4</v>
      </c>
      <c r="B22" s="52" t="s">
        <v>5</v>
      </c>
      <c r="C22" s="46"/>
      <c r="D22" s="37" t="s">
        <v>6</v>
      </c>
    </row>
    <row r="23" spans="1:4" ht="17.100000000000001" thickBot="1">
      <c r="A23" s="35"/>
      <c r="B23" s="53"/>
      <c r="C23" s="54"/>
      <c r="D23" s="38"/>
    </row>
    <row r="24" spans="1:4" ht="17.100000000000001" thickBot="1">
      <c r="A24" s="55"/>
      <c r="B24" s="55"/>
      <c r="C24" s="55"/>
    </row>
    <row r="25" spans="1:4" ht="17.100000000000001" thickBot="1">
      <c r="A25" s="55"/>
      <c r="B25" s="55"/>
      <c r="C25" s="55"/>
    </row>
    <row r="26" spans="1:4" ht="17.100000000000001" thickBot="1">
      <c r="A26" s="55"/>
      <c r="B26" s="55"/>
      <c r="C26" s="55"/>
    </row>
    <row r="27" spans="1:4" ht="17.100000000000001" thickBot="1">
      <c r="A27" s="55"/>
      <c r="B27" s="55"/>
      <c r="C27" s="55"/>
    </row>
    <row r="28" spans="1:4" ht="17.100000000000001" thickBot="1">
      <c r="A28" s="55"/>
      <c r="B28" s="55"/>
      <c r="C28" s="55"/>
    </row>
    <row r="29" spans="1:4" ht="17.100000000000001" thickBot="1">
      <c r="A29" s="55"/>
      <c r="B29" s="55"/>
      <c r="C29" s="55"/>
    </row>
    <row r="30" spans="1:4" ht="17.100000000000001" thickBot="1">
      <c r="A30" s="55"/>
      <c r="B30" s="55"/>
      <c r="C30" s="55"/>
    </row>
    <row r="31" spans="1:4" ht="17.100000000000001" thickBot="1">
      <c r="A31" s="55"/>
      <c r="B31" s="55"/>
      <c r="C31" s="55"/>
    </row>
    <row r="32" spans="1:4" ht="17.100000000000001" thickBot="1">
      <c r="A32" s="55"/>
      <c r="B32" s="55"/>
      <c r="C32" s="55"/>
    </row>
    <row r="33" spans="1:4" ht="17.100000000000001" thickBot="1">
      <c r="A33" s="55"/>
      <c r="B33" s="55"/>
      <c r="C33" s="55"/>
    </row>
    <row r="34" spans="1:4" ht="17.100000000000001" thickBot="1">
      <c r="A34" s="55"/>
      <c r="B34" s="55"/>
      <c r="C34" s="55"/>
    </row>
    <row r="35" spans="1:4" ht="17.100000000000001" thickBot="1">
      <c r="A35" s="55"/>
      <c r="B35" s="55"/>
      <c r="C35" s="55"/>
    </row>
    <row r="36" spans="1:4" ht="17.100000000000001" thickBot="1">
      <c r="A36" s="55"/>
      <c r="B36" s="55"/>
      <c r="C36" s="55"/>
    </row>
    <row r="37" spans="1:4" ht="17.100000000000001" thickBot="1">
      <c r="A37" s="55"/>
      <c r="B37" s="55"/>
      <c r="C37" s="55"/>
    </row>
    <row r="38" spans="1:4" ht="17.100000000000001" thickBot="1">
      <c r="A38" s="55"/>
      <c r="B38" s="55"/>
      <c r="C38" s="55"/>
    </row>
    <row r="39" spans="1:4" ht="17.100000000000001" thickBot="1">
      <c r="A39" s="55"/>
      <c r="B39" s="55"/>
      <c r="C39" s="55"/>
    </row>
    <row r="40" spans="1:4" ht="17.100000000000001" customHeight="1">
      <c r="A40" s="60" t="s">
        <v>7</v>
      </c>
      <c r="B40" s="39" t="s">
        <v>8</v>
      </c>
      <c r="C40" s="39"/>
      <c r="D40" s="26" t="s">
        <v>6</v>
      </c>
    </row>
    <row r="41" spans="1:4" ht="17.100000000000001" thickBot="1">
      <c r="A41" s="61"/>
      <c r="B41" s="40"/>
      <c r="C41" s="40"/>
    </row>
    <row r="42" spans="1:4" ht="15.75">
      <c r="A42" s="36" t="s">
        <v>9</v>
      </c>
      <c r="B42" s="36"/>
      <c r="C42" s="36"/>
    </row>
    <row r="43" spans="1:4" ht="17.100000000000001" thickBot="1">
      <c r="A43" s="36"/>
      <c r="B43" s="36"/>
      <c r="C43" s="36"/>
    </row>
    <row r="44" spans="1:4" ht="15.75">
      <c r="A44" s="36"/>
      <c r="B44" s="36"/>
      <c r="C44" s="36"/>
    </row>
    <row r="45" spans="1:4" ht="15.75">
      <c r="A45" s="36"/>
      <c r="B45" s="36"/>
      <c r="C45" s="36"/>
    </row>
    <row r="46" spans="1:4" ht="15.75">
      <c r="A46" s="56" t="s">
        <v>10</v>
      </c>
      <c r="B46" s="56"/>
      <c r="C46" s="56"/>
    </row>
    <row r="47" spans="1:4" ht="15.75">
      <c r="A47" s="56"/>
      <c r="B47" s="56"/>
      <c r="C47" s="56"/>
    </row>
    <row r="48" spans="1:4" ht="15.75">
      <c r="A48" s="56"/>
      <c r="B48" s="56"/>
      <c r="C48" s="56"/>
    </row>
    <row r="49" spans="1:4654" ht="15.75">
      <c r="A49" s="33" t="s">
        <v>11</v>
      </c>
      <c r="B49" s="52" t="s">
        <v>12</v>
      </c>
      <c r="C49" s="46"/>
      <c r="D49" s="37" t="s">
        <v>6</v>
      </c>
    </row>
    <row r="50" spans="1:4654" ht="15.75">
      <c r="A50" s="35"/>
      <c r="B50" s="53"/>
      <c r="C50" s="54"/>
      <c r="D50" s="38"/>
    </row>
    <row r="51" spans="1:4654" ht="15.75">
      <c r="A51" s="33" t="s">
        <v>13</v>
      </c>
      <c r="B51" s="52" t="s">
        <v>14</v>
      </c>
      <c r="C51" s="57"/>
      <c r="D51"/>
    </row>
    <row r="52" spans="1:4654" ht="15.75">
      <c r="A52" s="34"/>
      <c r="B52" s="58"/>
      <c r="C52" s="59"/>
      <c r="D52"/>
    </row>
    <row r="53" spans="1:4654" ht="15.75" customHeight="1">
      <c r="A53" s="36" t="s">
        <v>15</v>
      </c>
      <c r="B53" s="36"/>
      <c r="C53" s="36"/>
      <c r="D53"/>
    </row>
    <row r="54" spans="1:4654" ht="15.75">
      <c r="A54" s="36"/>
      <c r="B54" s="36"/>
      <c r="C54" s="36"/>
      <c r="D54"/>
    </row>
    <row r="55" spans="1:4654" ht="15.75">
      <c r="A55" s="36"/>
      <c r="B55" s="36"/>
      <c r="C55" s="36"/>
      <c r="D55"/>
    </row>
    <row r="56" spans="1:4654" ht="15.75" customHeight="1">
      <c r="A56" s="33">
        <v>3</v>
      </c>
      <c r="B56" s="49" t="s">
        <v>16</v>
      </c>
      <c r="C56" s="49"/>
      <c r="D56" s="44" t="s">
        <v>6</v>
      </c>
    </row>
    <row r="57" spans="1:4654" ht="15.75">
      <c r="A57" s="34"/>
      <c r="B57" s="50"/>
      <c r="C57" s="50"/>
      <c r="D57" s="45"/>
    </row>
    <row r="58" spans="1:4654" ht="15.75">
      <c r="A58" s="35"/>
      <c r="B58" s="51"/>
      <c r="C58" s="51"/>
      <c r="D58" s="45"/>
    </row>
    <row r="59" spans="1:4654" ht="15.75"/>
    <row r="60" spans="1:4654" ht="15.75">
      <c r="A60" s="29" t="s">
        <v>17</v>
      </c>
      <c r="B60" s="29"/>
      <c r="C60" s="29"/>
    </row>
    <row r="61" spans="1:4654" ht="15.75">
      <c r="A61" s="29"/>
      <c r="B61" s="29"/>
      <c r="C61" s="29"/>
      <c r="G61" s="28"/>
      <c r="H61" s="28"/>
      <c r="I61" s="28"/>
    </row>
    <row r="62" spans="1:4654" ht="15.75">
      <c r="A62" s="46" t="s">
        <v>18</v>
      </c>
      <c r="B62" s="46"/>
      <c r="C62" s="46"/>
      <c r="G62" s="27" t="s">
        <v>19</v>
      </c>
      <c r="H62" t="s">
        <v>20</v>
      </c>
      <c r="I62" t="s">
        <v>21</v>
      </c>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c r="RH62"/>
      <c r="RI62"/>
      <c r="RJ62"/>
      <c r="RK62"/>
      <c r="RL62"/>
      <c r="RM62"/>
      <c r="RN62"/>
      <c r="RO62"/>
      <c r="RP62"/>
      <c r="RQ62"/>
      <c r="RR62"/>
      <c r="RS62"/>
      <c r="RT62"/>
      <c r="RU62"/>
      <c r="RV62"/>
      <c r="RW62"/>
      <c r="RX62"/>
      <c r="RY62"/>
      <c r="RZ62"/>
      <c r="SA62"/>
      <c r="SB62"/>
      <c r="SC62"/>
      <c r="SD62"/>
      <c r="SE62"/>
      <c r="SF62"/>
      <c r="SG62"/>
      <c r="SH62"/>
      <c r="SI62"/>
      <c r="SJ62"/>
      <c r="SK62"/>
      <c r="SL62"/>
      <c r="SM62"/>
      <c r="SN62"/>
      <c r="SO62"/>
      <c r="SP62"/>
      <c r="SQ62"/>
      <c r="SR62"/>
      <c r="SS62"/>
      <c r="ST62"/>
      <c r="SU62"/>
      <c r="SV62"/>
      <c r="SW62"/>
      <c r="SX62"/>
      <c r="SY62"/>
      <c r="SZ62"/>
      <c r="TA62"/>
      <c r="TB62"/>
      <c r="TC62"/>
      <c r="TD62"/>
      <c r="TE62"/>
      <c r="TF62"/>
      <c r="TG62"/>
      <c r="TH62"/>
      <c r="TI62"/>
      <c r="TJ62"/>
      <c r="TK62"/>
      <c r="TL62"/>
      <c r="TM62"/>
      <c r="TN62"/>
      <c r="TO62"/>
      <c r="TP62"/>
      <c r="TQ62"/>
      <c r="TR62"/>
      <c r="TS62"/>
      <c r="TT62"/>
      <c r="TU62"/>
      <c r="TV62"/>
      <c r="TW62"/>
      <c r="TX62"/>
      <c r="TY62"/>
      <c r="TZ62"/>
      <c r="UA62"/>
      <c r="UB62"/>
      <c r="UC62"/>
      <c r="UD62"/>
      <c r="UE62"/>
      <c r="UF62"/>
      <c r="UG62"/>
      <c r="UH62"/>
      <c r="UI62"/>
      <c r="UJ62"/>
      <c r="UK62"/>
      <c r="UL62"/>
      <c r="UM62"/>
      <c r="UN62"/>
      <c r="UO62"/>
      <c r="UP62"/>
      <c r="UQ62"/>
      <c r="UR62"/>
      <c r="US62"/>
      <c r="UT62"/>
      <c r="UU62"/>
      <c r="UV62"/>
      <c r="UW62"/>
      <c r="UX62"/>
      <c r="UY62"/>
      <c r="UZ62"/>
      <c r="VA62"/>
      <c r="VB62"/>
      <c r="VC62"/>
      <c r="VD62"/>
      <c r="VE62"/>
      <c r="VF62"/>
      <c r="VG62"/>
      <c r="VH62"/>
      <c r="VI62"/>
      <c r="VJ62"/>
      <c r="VK62"/>
      <c r="VL62"/>
      <c r="VM62"/>
      <c r="VN62"/>
      <c r="VO62"/>
      <c r="VP62"/>
      <c r="VQ62"/>
      <c r="VR62"/>
      <c r="VS62"/>
      <c r="VT62"/>
      <c r="VU62"/>
      <c r="VV62"/>
      <c r="VW62"/>
      <c r="VX62"/>
      <c r="VY62"/>
      <c r="VZ62"/>
      <c r="WA62"/>
      <c r="WB62"/>
      <c r="WC62"/>
      <c r="WD62"/>
      <c r="WE62"/>
      <c r="WF62"/>
      <c r="WG62"/>
      <c r="WH62"/>
      <c r="WI62"/>
      <c r="WJ62"/>
      <c r="WK62"/>
      <c r="WL62"/>
      <c r="WM62"/>
      <c r="WN62"/>
      <c r="WO62"/>
      <c r="WP62"/>
      <c r="WQ62"/>
      <c r="WR62"/>
      <c r="WS62"/>
      <c r="WT62"/>
      <c r="WU62"/>
      <c r="WV62"/>
      <c r="WW62"/>
      <c r="WX62"/>
      <c r="WY62"/>
      <c r="WZ62"/>
      <c r="XA62"/>
      <c r="XB62"/>
      <c r="XC62"/>
      <c r="XD62"/>
      <c r="XE62"/>
      <c r="XF62"/>
      <c r="XG62"/>
      <c r="XH62"/>
      <c r="XI62"/>
      <c r="XJ62"/>
      <c r="XK62"/>
      <c r="XL62"/>
      <c r="XM62"/>
      <c r="XN62"/>
      <c r="XO62"/>
      <c r="XP62"/>
      <c r="XQ62"/>
      <c r="XR62"/>
      <c r="XS62"/>
      <c r="XT62"/>
      <c r="XU62"/>
      <c r="XV62"/>
      <c r="XW62"/>
      <c r="XX62"/>
      <c r="XY62"/>
      <c r="XZ62"/>
      <c r="YA62"/>
      <c r="YB62"/>
      <c r="YC62"/>
      <c r="YD62"/>
      <c r="YE62"/>
      <c r="YF62"/>
      <c r="YG62"/>
      <c r="YH62"/>
      <c r="YI62"/>
      <c r="YJ62"/>
      <c r="YK62"/>
      <c r="YL62"/>
      <c r="YM62"/>
      <c r="YN62"/>
      <c r="YO62"/>
      <c r="YP62"/>
      <c r="YQ62"/>
      <c r="YR62"/>
      <c r="YS62"/>
      <c r="YT62"/>
      <c r="YU62"/>
      <c r="YV62"/>
      <c r="YW62"/>
      <c r="YX62"/>
      <c r="YY62"/>
      <c r="YZ62"/>
      <c r="ZA62"/>
      <c r="ZB62"/>
      <c r="ZC62"/>
      <c r="ZD62"/>
      <c r="ZE62"/>
      <c r="ZF62"/>
      <c r="ZG62"/>
      <c r="ZH62"/>
      <c r="ZI62"/>
      <c r="ZJ62"/>
      <c r="ZK62"/>
      <c r="ZL62"/>
      <c r="ZM62"/>
      <c r="ZN62"/>
      <c r="ZO62"/>
      <c r="ZP62"/>
      <c r="ZQ62"/>
      <c r="ZR62"/>
      <c r="ZS62"/>
      <c r="ZT62"/>
      <c r="ZU62"/>
      <c r="ZV62"/>
      <c r="ZW62"/>
      <c r="ZX62"/>
      <c r="ZY62"/>
      <c r="ZZ62"/>
      <c r="AAA62"/>
      <c r="AAB62"/>
      <c r="AAC62"/>
      <c r="AAD62"/>
      <c r="AAE62"/>
      <c r="AAF62"/>
      <c r="AAG62"/>
      <c r="AAH62"/>
      <c r="AAI62"/>
      <c r="AAJ62"/>
      <c r="AAK62"/>
      <c r="AAL62"/>
      <c r="AAM62"/>
      <c r="AAN62"/>
      <c r="AAO62"/>
      <c r="AAP62"/>
      <c r="AAQ62"/>
      <c r="AAR62"/>
      <c r="AAS62"/>
      <c r="AAT62"/>
      <c r="AAU62"/>
      <c r="AAV62"/>
      <c r="AAW62"/>
      <c r="AAX62"/>
      <c r="AAY62"/>
      <c r="AAZ62"/>
      <c r="ABA62"/>
      <c r="ABB62"/>
      <c r="ABC62"/>
      <c r="ABD62"/>
      <c r="ABE62"/>
      <c r="ABF62"/>
      <c r="ABG62"/>
      <c r="ABH62"/>
      <c r="ABI62"/>
      <c r="ABJ62"/>
      <c r="ABK62"/>
      <c r="ABL62"/>
      <c r="ABM62"/>
      <c r="ABN62"/>
      <c r="ABO62"/>
      <c r="ABP62"/>
      <c r="ABQ62"/>
      <c r="ABR62"/>
      <c r="ABS62"/>
      <c r="ABT62"/>
      <c r="ABU62"/>
      <c r="ABV62"/>
      <c r="ABW62"/>
      <c r="ABX62"/>
      <c r="ABY62"/>
      <c r="ABZ62"/>
      <c r="ACA62"/>
      <c r="ACB62"/>
      <c r="ACC62"/>
      <c r="ACD62"/>
      <c r="ACE62"/>
      <c r="ACF62"/>
      <c r="ACG62"/>
      <c r="ACH62"/>
      <c r="ACI62"/>
      <c r="ACJ62"/>
      <c r="ACK62"/>
      <c r="ACL62"/>
      <c r="ACM62"/>
      <c r="ACN62"/>
      <c r="ACO62"/>
      <c r="ACP62"/>
      <c r="ACQ62"/>
      <c r="ACR62"/>
      <c r="ACS62"/>
      <c r="ACT62"/>
      <c r="ACU62"/>
      <c r="ACV62"/>
      <c r="ACW62"/>
      <c r="ACX62"/>
      <c r="ACY62"/>
      <c r="ACZ62"/>
      <c r="ADA62"/>
      <c r="ADB62"/>
      <c r="ADC62"/>
      <c r="ADD62"/>
      <c r="ADE62"/>
      <c r="ADF62"/>
      <c r="ADG62"/>
      <c r="ADH62"/>
      <c r="ADI62"/>
      <c r="ADJ62"/>
      <c r="ADK62"/>
      <c r="ADL62"/>
      <c r="ADM62"/>
      <c r="ADN62"/>
      <c r="ADO62"/>
      <c r="ADP62"/>
      <c r="ADQ62"/>
      <c r="ADR62"/>
      <c r="ADS62"/>
      <c r="ADT62"/>
      <c r="ADU62"/>
      <c r="ADV62"/>
      <c r="ADW62"/>
      <c r="ADX62"/>
      <c r="ADY62"/>
      <c r="ADZ62"/>
      <c r="AEA62"/>
      <c r="AEB62"/>
      <c r="AEC62"/>
      <c r="AED62"/>
      <c r="AEE62"/>
      <c r="AEF62"/>
      <c r="AEG62"/>
      <c r="AEH62"/>
      <c r="AEI62"/>
      <c r="AEJ62"/>
      <c r="AEK62"/>
      <c r="AEL62"/>
      <c r="AEM62"/>
      <c r="AEN62"/>
      <c r="AEO62"/>
      <c r="AEP62"/>
      <c r="AEQ62"/>
      <c r="AER62"/>
      <c r="AES62"/>
      <c r="AET62"/>
      <c r="AEU62"/>
      <c r="AEV62"/>
      <c r="AEW62"/>
      <c r="AEX62"/>
      <c r="AEY62"/>
      <c r="AEZ62"/>
      <c r="AFA62"/>
      <c r="AFB62"/>
      <c r="AFC62"/>
      <c r="AFD62"/>
      <c r="AFE62"/>
      <c r="AFF62"/>
      <c r="AFG62"/>
      <c r="AFH62"/>
      <c r="AFI62"/>
      <c r="AFJ62"/>
      <c r="AFK62"/>
      <c r="AFL62"/>
      <c r="AFM62"/>
      <c r="AFN62"/>
      <c r="AFO62"/>
      <c r="AFP62"/>
      <c r="AFQ62"/>
      <c r="AFR62"/>
      <c r="AFS62"/>
      <c r="AFT62"/>
      <c r="AFU62"/>
      <c r="AFV62"/>
      <c r="AFW62"/>
      <c r="AFX62"/>
      <c r="AFY62"/>
      <c r="AFZ62"/>
      <c r="AGA62"/>
      <c r="AGB62"/>
      <c r="AGC62"/>
      <c r="AGD62"/>
      <c r="AGE62"/>
      <c r="AGF62"/>
      <c r="AGG62"/>
      <c r="AGH62"/>
      <c r="AGI62"/>
      <c r="AGJ62"/>
      <c r="AGK62"/>
      <c r="AGL62"/>
      <c r="AGM62"/>
      <c r="AGN62"/>
      <c r="AGO62"/>
      <c r="AGP62"/>
      <c r="AGQ62"/>
      <c r="AGR62"/>
      <c r="AGS62"/>
      <c r="AGT62"/>
      <c r="AGU62"/>
      <c r="AGV62"/>
      <c r="AGW62"/>
      <c r="AGX62"/>
      <c r="AGY62"/>
      <c r="AGZ62"/>
      <c r="AHA62"/>
      <c r="AHB62"/>
      <c r="AHC62"/>
      <c r="AHD62"/>
      <c r="AHE62"/>
      <c r="AHF62"/>
      <c r="AHG62"/>
      <c r="AHH62"/>
      <c r="AHI62"/>
      <c r="AHJ62"/>
      <c r="AHK62"/>
      <c r="AHL62"/>
      <c r="AHM62"/>
      <c r="AHN62"/>
      <c r="AHO62"/>
      <c r="AHP62"/>
      <c r="AHQ62"/>
      <c r="AHR62"/>
      <c r="AHS62"/>
      <c r="AHT62"/>
      <c r="AHU62"/>
      <c r="AHV62"/>
      <c r="AHW62"/>
      <c r="AHX62"/>
      <c r="AHY62"/>
      <c r="AHZ62"/>
      <c r="AIA62"/>
      <c r="AIB62"/>
      <c r="AIC62"/>
      <c r="AID62"/>
      <c r="AIE62"/>
      <c r="AIF62"/>
      <c r="AIG62"/>
      <c r="AIH62"/>
      <c r="AII62"/>
      <c r="AIJ62"/>
      <c r="AIK62"/>
      <c r="AIL62"/>
      <c r="AIM62"/>
      <c r="AIN62"/>
      <c r="AIO62"/>
      <c r="AIP62"/>
      <c r="AIQ62"/>
      <c r="AIR62"/>
      <c r="AIS62"/>
      <c r="AIT62"/>
      <c r="AIU62"/>
      <c r="AIV62"/>
      <c r="AIW62"/>
      <c r="AIX62"/>
      <c r="AIY62"/>
      <c r="AIZ62"/>
      <c r="AJA62"/>
      <c r="AJB62"/>
      <c r="AJC62"/>
      <c r="AJD62"/>
      <c r="AJE62"/>
      <c r="AJF62"/>
      <c r="AJG62"/>
      <c r="AJH62"/>
      <c r="AJI62"/>
      <c r="AJJ62"/>
      <c r="AJK62"/>
      <c r="AJL62"/>
      <c r="AJM62"/>
      <c r="AJN62"/>
      <c r="AJO62"/>
      <c r="AJP62"/>
      <c r="AJQ62"/>
      <c r="AJR62"/>
      <c r="AJS62"/>
      <c r="AJT62"/>
      <c r="AJU62"/>
      <c r="AJV62"/>
      <c r="AJW62"/>
      <c r="AJX62"/>
      <c r="AJY62"/>
      <c r="AJZ62"/>
      <c r="AKA62"/>
      <c r="AKB62"/>
      <c r="AKC62"/>
      <c r="AKD62"/>
      <c r="AKE62"/>
      <c r="AKF62"/>
      <c r="AKG62"/>
      <c r="AKH62"/>
      <c r="AKI62"/>
      <c r="AKJ62"/>
      <c r="AKK62"/>
      <c r="AKL62"/>
      <c r="AKM62"/>
      <c r="AKN62"/>
      <c r="AKO62"/>
      <c r="AKP62"/>
      <c r="AKQ62"/>
      <c r="AKR62"/>
      <c r="AKS62"/>
      <c r="AKT62"/>
      <c r="AKU62"/>
      <c r="AKV62"/>
      <c r="AKW62"/>
      <c r="AKX62"/>
      <c r="AKY62"/>
      <c r="AKZ62"/>
      <c r="ALA62"/>
      <c r="ALB62"/>
      <c r="ALC62"/>
      <c r="ALD62"/>
      <c r="ALE62"/>
      <c r="ALF62"/>
      <c r="ALG62"/>
      <c r="ALH62"/>
      <c r="ALI62"/>
      <c r="ALJ62"/>
      <c r="ALK62"/>
      <c r="ALL62"/>
      <c r="ALM62"/>
      <c r="ALN62"/>
      <c r="ALO62"/>
      <c r="ALP62"/>
      <c r="ALQ62"/>
      <c r="ALR62"/>
      <c r="ALS62"/>
      <c r="ALT62"/>
      <c r="ALU62"/>
      <c r="ALV62"/>
      <c r="ALW62"/>
      <c r="ALX62"/>
      <c r="ALY62"/>
      <c r="ALZ62"/>
      <c r="AMA62"/>
      <c r="AMB62"/>
      <c r="AMC62"/>
      <c r="AMD62"/>
      <c r="AME62"/>
      <c r="AMF62"/>
      <c r="AMG62"/>
      <c r="AMH62"/>
      <c r="AMI62"/>
      <c r="AMJ62"/>
      <c r="AMK62"/>
      <c r="AML62"/>
      <c r="AMM62"/>
      <c r="AMN62"/>
      <c r="AMO62"/>
      <c r="AMP62"/>
      <c r="AMQ62"/>
      <c r="AMR62"/>
      <c r="AMS62"/>
      <c r="AMT62"/>
      <c r="AMU62"/>
      <c r="AMV62"/>
      <c r="AMW62"/>
      <c r="AMX62"/>
      <c r="AMY62"/>
      <c r="AMZ62"/>
      <c r="ANA62"/>
      <c r="ANB62"/>
      <c r="ANC62"/>
      <c r="AND62"/>
      <c r="ANE62"/>
      <c r="ANF62"/>
      <c r="ANG62"/>
      <c r="ANH62"/>
      <c r="ANI62"/>
      <c r="ANJ62"/>
      <c r="ANK62"/>
      <c r="ANL62"/>
      <c r="ANM62"/>
      <c r="ANN62"/>
      <c r="ANO62"/>
      <c r="ANP62"/>
      <c r="ANQ62"/>
      <c r="ANR62"/>
      <c r="ANS62"/>
      <c r="ANT62"/>
      <c r="ANU62"/>
      <c r="ANV62"/>
      <c r="ANW62"/>
      <c r="ANX62"/>
      <c r="ANY62"/>
      <c r="ANZ62"/>
      <c r="AOA62"/>
      <c r="AOB62"/>
      <c r="AOC62"/>
      <c r="AOD62"/>
      <c r="AOE62"/>
      <c r="AOF62"/>
      <c r="AOG62"/>
      <c r="AOH62"/>
      <c r="AOI62"/>
      <c r="AOJ62"/>
      <c r="AOK62"/>
      <c r="AOL62"/>
      <c r="AOM62"/>
      <c r="AON62"/>
      <c r="AOO62"/>
      <c r="AOP62"/>
      <c r="AOQ62"/>
      <c r="AOR62"/>
      <c r="AOS62"/>
      <c r="AOT62"/>
      <c r="AOU62"/>
      <c r="AOV62"/>
      <c r="AOW62"/>
      <c r="AOX62"/>
      <c r="AOY62"/>
      <c r="AOZ62"/>
      <c r="APA62"/>
      <c r="APB62"/>
      <c r="APC62"/>
      <c r="APD62"/>
      <c r="APE62"/>
      <c r="APF62"/>
      <c r="APG62"/>
      <c r="APH62"/>
      <c r="API62"/>
      <c r="APJ62"/>
      <c r="APK62"/>
      <c r="APL62"/>
      <c r="APM62"/>
      <c r="APN62"/>
      <c r="APO62"/>
      <c r="APP62"/>
      <c r="APQ62"/>
      <c r="APR62"/>
      <c r="APS62"/>
      <c r="APT62"/>
      <c r="APU62"/>
      <c r="APV62"/>
      <c r="APW62"/>
      <c r="APX62"/>
      <c r="APY62"/>
      <c r="APZ62"/>
      <c r="AQA62"/>
      <c r="AQB62"/>
      <c r="AQC62"/>
      <c r="AQD62"/>
      <c r="AQE62"/>
      <c r="AQF62"/>
      <c r="AQG62"/>
      <c r="AQH62"/>
      <c r="AQI62"/>
      <c r="AQJ62"/>
      <c r="AQK62"/>
      <c r="AQL62"/>
      <c r="AQM62"/>
      <c r="AQN62"/>
      <c r="AQO62"/>
      <c r="AQP62"/>
      <c r="AQQ62"/>
      <c r="AQR62"/>
      <c r="AQS62"/>
      <c r="AQT62"/>
      <c r="AQU62"/>
      <c r="AQV62"/>
      <c r="AQW62"/>
      <c r="AQX62"/>
      <c r="AQY62"/>
      <c r="AQZ62"/>
      <c r="ARA62"/>
      <c r="ARB62"/>
      <c r="ARC62"/>
      <c r="ARD62"/>
      <c r="ARE62"/>
      <c r="ARF62"/>
      <c r="ARG62"/>
      <c r="ARH62"/>
      <c r="ARI62"/>
      <c r="ARJ62"/>
      <c r="ARK62"/>
      <c r="ARL62"/>
      <c r="ARM62"/>
      <c r="ARN62"/>
      <c r="ARO62"/>
      <c r="ARP62"/>
      <c r="ARQ62"/>
      <c r="ARR62"/>
      <c r="ARS62"/>
      <c r="ART62"/>
      <c r="ARU62"/>
      <c r="ARV62"/>
      <c r="ARW62"/>
      <c r="ARX62"/>
      <c r="ARY62"/>
      <c r="ARZ62"/>
      <c r="ASA62"/>
      <c r="ASB62"/>
      <c r="ASC62"/>
      <c r="ASD62"/>
      <c r="ASE62"/>
      <c r="ASF62"/>
      <c r="ASG62"/>
      <c r="ASH62"/>
      <c r="ASI62"/>
      <c r="ASJ62"/>
      <c r="ASK62"/>
      <c r="ASL62"/>
      <c r="ASM62"/>
      <c r="ASN62"/>
      <c r="ASO62"/>
      <c r="ASP62"/>
      <c r="ASQ62"/>
      <c r="ASR62"/>
      <c r="ASS62"/>
      <c r="AST62"/>
      <c r="ASU62"/>
      <c r="ASV62"/>
      <c r="ASW62"/>
      <c r="ASX62"/>
      <c r="ASY62"/>
      <c r="ASZ62"/>
      <c r="ATA62"/>
      <c r="ATB62"/>
      <c r="ATC62"/>
      <c r="ATD62"/>
      <c r="ATE62"/>
      <c r="ATF62"/>
      <c r="ATG62"/>
      <c r="ATH62"/>
      <c r="ATI62"/>
      <c r="ATJ62"/>
      <c r="ATK62"/>
      <c r="ATL62"/>
      <c r="ATM62"/>
      <c r="ATN62"/>
      <c r="ATO62"/>
      <c r="ATP62"/>
      <c r="ATQ62"/>
      <c r="ATR62"/>
      <c r="ATS62"/>
      <c r="ATT62"/>
      <c r="ATU62"/>
      <c r="ATV62"/>
      <c r="ATW62"/>
      <c r="ATX62"/>
      <c r="ATY62"/>
      <c r="ATZ62"/>
      <c r="AUA62"/>
      <c r="AUB62"/>
      <c r="AUC62"/>
      <c r="AUD62"/>
      <c r="AUE62"/>
      <c r="AUF62"/>
      <c r="AUG62"/>
      <c r="AUH62"/>
      <c r="AUI62"/>
      <c r="AUJ62"/>
      <c r="AUK62"/>
      <c r="AUL62"/>
      <c r="AUM62"/>
      <c r="AUN62"/>
      <c r="AUO62"/>
      <c r="AUP62"/>
      <c r="AUQ62"/>
      <c r="AUR62"/>
      <c r="AUS62"/>
      <c r="AUT62"/>
      <c r="AUU62"/>
      <c r="AUV62"/>
      <c r="AUW62"/>
      <c r="AUX62"/>
      <c r="AUY62"/>
      <c r="AUZ62"/>
      <c r="AVA62"/>
      <c r="AVB62"/>
      <c r="AVC62"/>
      <c r="AVD62"/>
      <c r="AVE62"/>
      <c r="AVF62"/>
      <c r="AVG62"/>
      <c r="AVH62"/>
      <c r="AVI62"/>
      <c r="AVJ62"/>
      <c r="AVK62"/>
      <c r="AVL62"/>
      <c r="AVM62"/>
      <c r="AVN62"/>
      <c r="AVO62"/>
      <c r="AVP62"/>
      <c r="AVQ62"/>
      <c r="AVR62"/>
      <c r="AVS62"/>
      <c r="AVT62"/>
      <c r="AVU62"/>
      <c r="AVV62"/>
      <c r="AVW62"/>
      <c r="AVX62"/>
      <c r="AVY62"/>
      <c r="AVZ62"/>
      <c r="AWA62"/>
      <c r="AWB62"/>
      <c r="AWC62"/>
      <c r="AWD62"/>
      <c r="AWE62"/>
      <c r="AWF62"/>
      <c r="AWG62"/>
      <c r="AWH62"/>
      <c r="AWI62"/>
      <c r="AWJ62"/>
      <c r="AWK62"/>
      <c r="AWL62"/>
      <c r="AWM62"/>
      <c r="AWN62"/>
      <c r="AWO62"/>
      <c r="AWP62"/>
      <c r="AWQ62"/>
      <c r="AWR62"/>
      <c r="AWS62"/>
      <c r="AWT62"/>
      <c r="AWU62"/>
      <c r="AWV62"/>
      <c r="AWW62"/>
      <c r="AWX62"/>
      <c r="AWY62"/>
      <c r="AWZ62"/>
      <c r="AXA62"/>
      <c r="AXB62"/>
      <c r="AXC62"/>
      <c r="AXD62"/>
      <c r="AXE62"/>
      <c r="AXF62"/>
      <c r="AXG62"/>
      <c r="AXH62"/>
      <c r="AXI62"/>
      <c r="AXJ62"/>
      <c r="AXK62"/>
      <c r="AXL62"/>
      <c r="AXM62"/>
      <c r="AXN62"/>
      <c r="AXO62"/>
      <c r="AXP62"/>
      <c r="AXQ62"/>
      <c r="AXR62"/>
      <c r="AXS62"/>
      <c r="AXT62"/>
      <c r="AXU62"/>
      <c r="AXV62"/>
      <c r="AXW62"/>
      <c r="AXX62"/>
      <c r="AXY62"/>
      <c r="AXZ62"/>
      <c r="AYA62"/>
      <c r="AYB62"/>
      <c r="AYC62"/>
      <c r="AYD62"/>
      <c r="AYE62"/>
      <c r="AYF62"/>
      <c r="AYG62"/>
      <c r="AYH62"/>
      <c r="AYI62"/>
      <c r="AYJ62"/>
      <c r="AYK62"/>
      <c r="AYL62"/>
      <c r="AYM62"/>
      <c r="AYN62"/>
      <c r="AYO62"/>
      <c r="AYP62"/>
      <c r="AYQ62"/>
      <c r="AYR62"/>
      <c r="AYS62"/>
      <c r="AYT62"/>
      <c r="AYU62"/>
      <c r="AYV62"/>
      <c r="AYW62"/>
      <c r="AYX62"/>
      <c r="AYY62"/>
      <c r="AYZ62"/>
      <c r="AZA62"/>
      <c r="AZB62"/>
      <c r="AZC62"/>
      <c r="AZD62"/>
      <c r="AZE62"/>
      <c r="AZF62"/>
      <c r="AZG62"/>
      <c r="AZH62"/>
      <c r="AZI62"/>
      <c r="AZJ62"/>
      <c r="AZK62"/>
      <c r="AZL62"/>
      <c r="AZM62"/>
      <c r="AZN62"/>
      <c r="AZO62"/>
      <c r="AZP62"/>
      <c r="AZQ62"/>
      <c r="AZR62"/>
      <c r="AZS62"/>
      <c r="AZT62"/>
      <c r="AZU62"/>
      <c r="AZV62"/>
      <c r="AZW62"/>
      <c r="AZX62"/>
      <c r="AZY62"/>
      <c r="AZZ62"/>
      <c r="BAA62"/>
      <c r="BAB62"/>
      <c r="BAC62"/>
      <c r="BAD62"/>
      <c r="BAE62"/>
      <c r="BAF62"/>
      <c r="BAG62"/>
      <c r="BAH62"/>
      <c r="BAI62"/>
      <c r="BAJ62"/>
      <c r="BAK62"/>
      <c r="BAL62"/>
      <c r="BAM62"/>
      <c r="BAN62"/>
      <c r="BAO62"/>
      <c r="BAP62"/>
      <c r="BAQ62"/>
      <c r="BAR62"/>
      <c r="BAS62"/>
      <c r="BAT62"/>
      <c r="BAU62"/>
      <c r="BAV62"/>
      <c r="BAW62"/>
      <c r="BAX62"/>
      <c r="BAY62"/>
      <c r="BAZ62"/>
      <c r="BBA62"/>
      <c r="BBB62"/>
      <c r="BBC62"/>
      <c r="BBD62"/>
      <c r="BBE62"/>
      <c r="BBF62"/>
      <c r="BBG62"/>
      <c r="BBH62"/>
      <c r="BBI62"/>
      <c r="BBJ62"/>
      <c r="BBK62"/>
      <c r="BBL62"/>
      <c r="BBM62"/>
      <c r="BBN62"/>
      <c r="BBO62"/>
      <c r="BBP62"/>
      <c r="BBQ62"/>
      <c r="BBR62"/>
      <c r="BBS62"/>
      <c r="BBT62"/>
      <c r="BBU62"/>
      <c r="BBV62"/>
      <c r="BBW62"/>
      <c r="BBX62"/>
      <c r="BBY62"/>
      <c r="BBZ62"/>
      <c r="BCA62"/>
      <c r="BCB62"/>
      <c r="BCC62"/>
      <c r="BCD62"/>
      <c r="BCE62"/>
      <c r="BCF62"/>
      <c r="BCG62"/>
      <c r="BCH62"/>
      <c r="BCI62"/>
      <c r="BCJ62"/>
      <c r="BCK62"/>
      <c r="BCL62"/>
      <c r="BCM62"/>
      <c r="BCN62"/>
      <c r="BCO62"/>
      <c r="BCP62"/>
      <c r="BCQ62"/>
      <c r="BCR62"/>
      <c r="BCS62"/>
      <c r="BCT62"/>
      <c r="BCU62"/>
      <c r="BCV62"/>
      <c r="BCW62"/>
      <c r="BCX62"/>
      <c r="BCY62"/>
      <c r="BCZ62"/>
      <c r="BDA62"/>
      <c r="BDB62"/>
      <c r="BDC62"/>
      <c r="BDD62"/>
      <c r="BDE62"/>
      <c r="BDF62"/>
      <c r="BDG62"/>
      <c r="BDH62"/>
      <c r="BDI62"/>
      <c r="BDJ62"/>
      <c r="BDK62"/>
      <c r="BDL62"/>
      <c r="BDM62"/>
      <c r="BDN62"/>
      <c r="BDO62"/>
      <c r="BDP62"/>
      <c r="BDQ62"/>
      <c r="BDR62"/>
      <c r="BDS62"/>
      <c r="BDT62"/>
      <c r="BDU62"/>
      <c r="BDV62"/>
      <c r="BDW62"/>
      <c r="BDX62"/>
      <c r="BDY62"/>
      <c r="BDZ62"/>
      <c r="BEA62"/>
      <c r="BEB62"/>
      <c r="BEC62"/>
      <c r="BED62"/>
      <c r="BEE62"/>
      <c r="BEF62"/>
      <c r="BEG62"/>
      <c r="BEH62"/>
      <c r="BEI62"/>
      <c r="BEJ62"/>
      <c r="BEK62"/>
      <c r="BEL62"/>
      <c r="BEM62"/>
      <c r="BEN62"/>
      <c r="BEO62"/>
      <c r="BEP62"/>
      <c r="BEQ62"/>
      <c r="BER62"/>
      <c r="BES62"/>
      <c r="BET62"/>
      <c r="BEU62"/>
      <c r="BEV62"/>
      <c r="BEW62"/>
      <c r="BEX62"/>
      <c r="BEY62"/>
      <c r="BEZ62"/>
      <c r="BFA62"/>
      <c r="BFB62"/>
      <c r="BFC62"/>
      <c r="BFD62"/>
      <c r="BFE62"/>
      <c r="BFF62"/>
      <c r="BFG62"/>
      <c r="BFH62"/>
      <c r="BFI62"/>
      <c r="BFJ62"/>
      <c r="BFK62"/>
      <c r="BFL62"/>
      <c r="BFM62"/>
      <c r="BFN62"/>
      <c r="BFO62"/>
      <c r="BFP62"/>
      <c r="BFQ62"/>
      <c r="BFR62"/>
      <c r="BFS62"/>
      <c r="BFT62"/>
      <c r="BFU62"/>
      <c r="BFV62"/>
      <c r="BFW62"/>
      <c r="BFX62"/>
      <c r="BFY62"/>
      <c r="BFZ62"/>
      <c r="BGA62"/>
      <c r="BGB62"/>
      <c r="BGC62"/>
      <c r="BGD62"/>
      <c r="BGE62"/>
      <c r="BGF62"/>
      <c r="BGG62"/>
      <c r="BGH62"/>
      <c r="BGI62"/>
      <c r="BGJ62"/>
      <c r="BGK62"/>
      <c r="BGL62"/>
      <c r="BGM62"/>
      <c r="BGN62"/>
      <c r="BGO62"/>
      <c r="BGP62"/>
      <c r="BGQ62"/>
      <c r="BGR62"/>
      <c r="BGS62"/>
      <c r="BGT62"/>
      <c r="BGU62"/>
      <c r="BGV62"/>
      <c r="BGW62"/>
      <c r="BGX62"/>
      <c r="BGY62"/>
      <c r="BGZ62"/>
      <c r="BHA62"/>
      <c r="BHB62"/>
      <c r="BHC62"/>
      <c r="BHD62"/>
      <c r="BHE62"/>
      <c r="BHF62"/>
      <c r="BHG62"/>
      <c r="BHH62"/>
      <c r="BHI62"/>
      <c r="BHJ62"/>
      <c r="BHK62"/>
      <c r="BHL62"/>
      <c r="BHM62"/>
      <c r="BHN62"/>
      <c r="BHO62"/>
      <c r="BHP62"/>
      <c r="BHQ62"/>
      <c r="BHR62"/>
      <c r="BHS62"/>
      <c r="BHT62"/>
      <c r="BHU62"/>
      <c r="BHV62"/>
      <c r="BHW62"/>
      <c r="BHX62"/>
      <c r="BHY62"/>
      <c r="BHZ62"/>
      <c r="BIA62"/>
      <c r="BIB62"/>
      <c r="BIC62"/>
      <c r="BID62"/>
      <c r="BIE62"/>
      <c r="BIF62"/>
      <c r="BIG62"/>
      <c r="BIH62"/>
      <c r="BII62"/>
      <c r="BIJ62"/>
      <c r="BIK62"/>
      <c r="BIL62"/>
      <c r="BIM62"/>
      <c r="BIN62"/>
      <c r="BIO62"/>
      <c r="BIP62"/>
      <c r="BIQ62"/>
      <c r="BIR62"/>
      <c r="BIS62"/>
      <c r="BIT62"/>
      <c r="BIU62"/>
      <c r="BIV62"/>
      <c r="BIW62"/>
      <c r="BIX62"/>
      <c r="BIY62"/>
      <c r="BIZ62"/>
      <c r="BJA62"/>
      <c r="BJB62"/>
      <c r="BJC62"/>
      <c r="BJD62"/>
      <c r="BJE62"/>
      <c r="BJF62"/>
      <c r="BJG62"/>
      <c r="BJH62"/>
      <c r="BJI62"/>
      <c r="BJJ62"/>
      <c r="BJK62"/>
      <c r="BJL62"/>
      <c r="BJM62"/>
      <c r="BJN62"/>
      <c r="BJO62"/>
      <c r="BJP62"/>
      <c r="BJQ62"/>
      <c r="BJR62"/>
      <c r="BJS62"/>
      <c r="BJT62"/>
      <c r="BJU62"/>
      <c r="BJV62"/>
      <c r="BJW62"/>
      <c r="BJX62"/>
      <c r="BJY62"/>
      <c r="BJZ62"/>
      <c r="BKA62"/>
      <c r="BKB62"/>
      <c r="BKC62"/>
      <c r="BKD62"/>
      <c r="BKE62"/>
      <c r="BKF62"/>
      <c r="BKG62"/>
      <c r="BKH62"/>
      <c r="BKI62"/>
      <c r="BKJ62"/>
      <c r="BKK62"/>
      <c r="BKL62"/>
      <c r="BKM62"/>
      <c r="BKN62"/>
      <c r="BKO62"/>
      <c r="BKP62"/>
      <c r="BKQ62"/>
      <c r="BKR62"/>
      <c r="BKS62"/>
      <c r="BKT62"/>
      <c r="BKU62"/>
      <c r="BKV62"/>
      <c r="BKW62"/>
      <c r="BKX62"/>
      <c r="BKY62"/>
      <c r="BKZ62"/>
      <c r="BLA62"/>
      <c r="BLB62"/>
      <c r="BLC62"/>
      <c r="BLD62"/>
      <c r="BLE62"/>
      <c r="BLF62"/>
      <c r="BLG62"/>
      <c r="BLH62"/>
      <c r="BLI62"/>
      <c r="BLJ62"/>
      <c r="BLK62"/>
      <c r="BLL62"/>
      <c r="BLM62"/>
      <c r="BLN62"/>
      <c r="BLO62"/>
      <c r="BLP62"/>
      <c r="BLQ62"/>
      <c r="BLR62"/>
      <c r="BLS62"/>
      <c r="BLT62"/>
      <c r="BLU62"/>
      <c r="BLV62"/>
      <c r="BLW62"/>
      <c r="BLX62"/>
      <c r="BLY62"/>
      <c r="BLZ62"/>
      <c r="BMA62"/>
      <c r="BMB62"/>
      <c r="BMC62"/>
      <c r="BMD62"/>
      <c r="BME62"/>
      <c r="BMF62"/>
      <c r="BMG62"/>
      <c r="BMH62"/>
      <c r="BMI62"/>
      <c r="BMJ62"/>
      <c r="BMK62"/>
      <c r="BML62"/>
      <c r="BMM62"/>
      <c r="BMN62"/>
      <c r="BMO62"/>
      <c r="BMP62"/>
      <c r="BMQ62"/>
      <c r="BMR62"/>
      <c r="BMS62"/>
      <c r="BMT62"/>
      <c r="BMU62"/>
      <c r="BMV62"/>
      <c r="BMW62"/>
      <c r="BMX62"/>
      <c r="BMY62"/>
      <c r="BMZ62"/>
      <c r="BNA62"/>
      <c r="BNB62"/>
      <c r="BNC62"/>
      <c r="BND62"/>
      <c r="BNE62"/>
      <c r="BNF62"/>
      <c r="BNG62"/>
      <c r="BNH62"/>
      <c r="BNI62"/>
      <c r="BNJ62"/>
      <c r="BNK62"/>
      <c r="BNL62"/>
      <c r="BNM62"/>
      <c r="BNN62"/>
      <c r="BNO62"/>
      <c r="BNP62"/>
      <c r="BNQ62"/>
      <c r="BNR62"/>
      <c r="BNS62"/>
      <c r="BNT62"/>
      <c r="BNU62"/>
      <c r="BNV62"/>
      <c r="BNW62"/>
      <c r="BNX62"/>
      <c r="BNY62"/>
      <c r="BNZ62"/>
      <c r="BOA62"/>
      <c r="BOB62"/>
      <c r="BOC62"/>
      <c r="BOD62"/>
      <c r="BOE62"/>
      <c r="BOF62"/>
      <c r="BOG62"/>
      <c r="BOH62"/>
      <c r="BOI62"/>
      <c r="BOJ62"/>
      <c r="BOK62"/>
      <c r="BOL62"/>
      <c r="BOM62"/>
      <c r="BON62"/>
      <c r="BOO62"/>
      <c r="BOP62"/>
      <c r="BOQ62"/>
      <c r="BOR62"/>
      <c r="BOS62"/>
      <c r="BOT62"/>
      <c r="BOU62"/>
      <c r="BOV62"/>
      <c r="BOW62"/>
      <c r="BOX62"/>
      <c r="BOY62"/>
      <c r="BOZ62"/>
      <c r="BPA62"/>
      <c r="BPB62"/>
      <c r="BPC62"/>
      <c r="BPD62"/>
      <c r="BPE62"/>
      <c r="BPF62"/>
      <c r="BPG62"/>
      <c r="BPH62"/>
      <c r="BPI62"/>
      <c r="BPJ62"/>
      <c r="BPK62"/>
      <c r="BPL62"/>
      <c r="BPM62"/>
      <c r="BPN62"/>
      <c r="BPO62"/>
      <c r="BPP62"/>
      <c r="BPQ62"/>
      <c r="BPR62"/>
      <c r="BPS62"/>
      <c r="BPT62"/>
      <c r="BPU62"/>
      <c r="BPV62"/>
      <c r="BPW62"/>
      <c r="BPX62"/>
      <c r="BPY62"/>
      <c r="BPZ62"/>
      <c r="BQA62"/>
      <c r="BQB62"/>
      <c r="BQC62"/>
      <c r="BQD62"/>
      <c r="BQE62"/>
      <c r="BQF62"/>
      <c r="BQG62"/>
      <c r="BQH62"/>
      <c r="BQI62"/>
      <c r="BQJ62"/>
      <c r="BQK62"/>
      <c r="BQL62"/>
      <c r="BQM62"/>
      <c r="BQN62"/>
      <c r="BQO62"/>
      <c r="BQP62"/>
      <c r="BQQ62"/>
      <c r="BQR62"/>
      <c r="BQS62"/>
      <c r="BQT62"/>
      <c r="BQU62"/>
      <c r="BQV62"/>
      <c r="BQW62"/>
      <c r="BQX62"/>
      <c r="BQY62"/>
      <c r="BQZ62"/>
      <c r="BRA62"/>
      <c r="BRB62"/>
      <c r="BRC62"/>
      <c r="BRD62"/>
      <c r="BRE62"/>
      <c r="BRF62"/>
      <c r="BRG62"/>
      <c r="BRH62"/>
      <c r="BRI62"/>
      <c r="BRJ62"/>
      <c r="BRK62"/>
      <c r="BRL62"/>
      <c r="BRM62"/>
      <c r="BRN62"/>
      <c r="BRO62"/>
      <c r="BRP62"/>
      <c r="BRQ62"/>
      <c r="BRR62"/>
      <c r="BRS62"/>
      <c r="BRT62"/>
      <c r="BRU62"/>
      <c r="BRV62"/>
      <c r="BRW62"/>
      <c r="BRX62"/>
      <c r="BRY62"/>
      <c r="BRZ62"/>
      <c r="BSA62"/>
      <c r="BSB62"/>
      <c r="BSC62"/>
      <c r="BSD62"/>
      <c r="BSE62"/>
      <c r="BSF62"/>
      <c r="BSG62"/>
      <c r="BSH62"/>
      <c r="BSI62"/>
      <c r="BSJ62"/>
      <c r="BSK62"/>
      <c r="BSL62"/>
      <c r="BSM62"/>
      <c r="BSN62"/>
      <c r="BSO62"/>
      <c r="BSP62"/>
      <c r="BSQ62"/>
      <c r="BSR62"/>
      <c r="BSS62"/>
      <c r="BST62"/>
      <c r="BSU62"/>
      <c r="BSV62"/>
      <c r="BSW62"/>
      <c r="BSX62"/>
      <c r="BSY62"/>
      <c r="BSZ62"/>
      <c r="BTA62"/>
      <c r="BTB62"/>
      <c r="BTC62"/>
      <c r="BTD62"/>
      <c r="BTE62"/>
      <c r="BTF62"/>
      <c r="BTG62"/>
      <c r="BTH62"/>
      <c r="BTI62"/>
      <c r="BTJ62"/>
      <c r="BTK62"/>
      <c r="BTL62"/>
      <c r="BTM62"/>
      <c r="BTN62"/>
      <c r="BTO62"/>
      <c r="BTP62"/>
      <c r="BTQ62"/>
      <c r="BTR62"/>
      <c r="BTS62"/>
      <c r="BTT62"/>
      <c r="BTU62"/>
      <c r="BTV62"/>
      <c r="BTW62"/>
      <c r="BTX62"/>
      <c r="BTY62"/>
      <c r="BTZ62"/>
      <c r="BUA62"/>
      <c r="BUB62"/>
      <c r="BUC62"/>
      <c r="BUD62"/>
      <c r="BUE62"/>
      <c r="BUF62"/>
      <c r="BUG62"/>
      <c r="BUH62"/>
      <c r="BUI62"/>
      <c r="BUJ62"/>
      <c r="BUK62"/>
      <c r="BUL62"/>
      <c r="BUM62"/>
      <c r="BUN62"/>
      <c r="BUO62"/>
      <c r="BUP62"/>
      <c r="BUQ62"/>
      <c r="BUR62"/>
      <c r="BUS62"/>
      <c r="BUT62"/>
      <c r="BUU62"/>
      <c r="BUV62"/>
      <c r="BUW62"/>
      <c r="BUX62"/>
      <c r="BUY62"/>
      <c r="BUZ62"/>
      <c r="BVA62"/>
      <c r="BVB62"/>
      <c r="BVC62"/>
      <c r="BVD62"/>
      <c r="BVE62"/>
      <c r="BVF62"/>
      <c r="BVG62"/>
      <c r="BVH62"/>
      <c r="BVI62"/>
      <c r="BVJ62"/>
      <c r="BVK62"/>
      <c r="BVL62"/>
      <c r="BVM62"/>
      <c r="BVN62"/>
      <c r="BVO62"/>
      <c r="BVP62"/>
      <c r="BVQ62"/>
      <c r="BVR62"/>
      <c r="BVS62"/>
      <c r="BVT62"/>
      <c r="BVU62"/>
      <c r="BVV62"/>
      <c r="BVW62"/>
      <c r="BVX62"/>
      <c r="BVY62"/>
      <c r="BVZ62"/>
      <c r="BWA62"/>
      <c r="BWB62"/>
      <c r="BWC62"/>
      <c r="BWD62"/>
      <c r="BWE62"/>
      <c r="BWF62"/>
      <c r="BWG62"/>
      <c r="BWH62"/>
      <c r="BWI62"/>
      <c r="BWJ62"/>
      <c r="BWK62"/>
      <c r="BWL62"/>
      <c r="BWM62"/>
      <c r="BWN62"/>
      <c r="BWO62"/>
      <c r="BWP62"/>
      <c r="BWQ62"/>
      <c r="BWR62"/>
      <c r="BWS62"/>
      <c r="BWT62"/>
      <c r="BWU62"/>
      <c r="BWV62"/>
      <c r="BWW62"/>
      <c r="BWX62"/>
      <c r="BWY62"/>
      <c r="BWZ62"/>
      <c r="BXA62"/>
      <c r="BXB62"/>
      <c r="BXC62"/>
      <c r="BXD62"/>
      <c r="BXE62"/>
      <c r="BXF62"/>
      <c r="BXG62"/>
      <c r="BXH62"/>
      <c r="BXI62"/>
      <c r="BXJ62"/>
      <c r="BXK62"/>
      <c r="BXL62"/>
      <c r="BXM62"/>
      <c r="BXN62"/>
      <c r="BXO62"/>
      <c r="BXP62"/>
      <c r="BXQ62"/>
      <c r="BXR62"/>
      <c r="BXS62"/>
      <c r="BXT62"/>
      <c r="BXU62"/>
      <c r="BXV62"/>
      <c r="BXW62"/>
      <c r="BXX62"/>
      <c r="BXY62"/>
      <c r="BXZ62"/>
      <c r="BYA62"/>
      <c r="BYB62"/>
      <c r="BYC62"/>
      <c r="BYD62"/>
      <c r="BYE62"/>
      <c r="BYF62"/>
      <c r="BYG62"/>
      <c r="BYH62"/>
      <c r="BYI62"/>
      <c r="BYJ62"/>
      <c r="BYK62"/>
      <c r="BYL62"/>
      <c r="BYM62"/>
      <c r="BYN62"/>
      <c r="BYO62"/>
      <c r="BYP62"/>
      <c r="BYQ62"/>
      <c r="BYR62"/>
      <c r="BYS62"/>
      <c r="BYT62"/>
      <c r="BYU62"/>
      <c r="BYV62"/>
      <c r="BYW62"/>
      <c r="BYX62"/>
      <c r="BYY62"/>
      <c r="BYZ62"/>
      <c r="BZA62"/>
      <c r="BZB62"/>
      <c r="BZC62"/>
      <c r="BZD62"/>
      <c r="BZE62"/>
      <c r="BZF62"/>
      <c r="BZG62"/>
      <c r="BZH62"/>
      <c r="BZI62"/>
      <c r="BZJ62"/>
      <c r="BZK62"/>
      <c r="BZL62"/>
      <c r="BZM62"/>
      <c r="BZN62"/>
      <c r="BZO62"/>
      <c r="BZP62"/>
      <c r="BZQ62"/>
      <c r="BZR62"/>
      <c r="BZS62"/>
      <c r="BZT62"/>
      <c r="BZU62"/>
      <c r="BZV62"/>
      <c r="BZW62"/>
      <c r="BZX62"/>
      <c r="BZY62"/>
      <c r="BZZ62"/>
      <c r="CAA62"/>
      <c r="CAB62"/>
      <c r="CAC62"/>
      <c r="CAD62"/>
      <c r="CAE62"/>
      <c r="CAF62"/>
      <c r="CAG62"/>
      <c r="CAH62"/>
      <c r="CAI62"/>
      <c r="CAJ62"/>
      <c r="CAK62"/>
      <c r="CAL62"/>
      <c r="CAM62"/>
      <c r="CAN62"/>
      <c r="CAO62"/>
      <c r="CAP62"/>
      <c r="CAQ62"/>
      <c r="CAR62"/>
      <c r="CAS62"/>
      <c r="CAT62"/>
      <c r="CAU62"/>
      <c r="CAV62"/>
      <c r="CAW62"/>
      <c r="CAX62"/>
      <c r="CAY62"/>
      <c r="CAZ62"/>
      <c r="CBA62"/>
      <c r="CBB62"/>
      <c r="CBC62"/>
      <c r="CBD62"/>
      <c r="CBE62"/>
      <c r="CBF62"/>
      <c r="CBG62"/>
      <c r="CBH62"/>
      <c r="CBI62"/>
      <c r="CBJ62"/>
      <c r="CBK62"/>
      <c r="CBL62"/>
      <c r="CBM62"/>
      <c r="CBN62"/>
      <c r="CBO62"/>
      <c r="CBP62"/>
      <c r="CBQ62"/>
      <c r="CBR62"/>
      <c r="CBS62"/>
      <c r="CBT62"/>
      <c r="CBU62"/>
      <c r="CBV62"/>
      <c r="CBW62"/>
      <c r="CBX62"/>
      <c r="CBY62"/>
      <c r="CBZ62"/>
      <c r="CCA62"/>
      <c r="CCB62"/>
      <c r="CCC62"/>
      <c r="CCD62"/>
      <c r="CCE62"/>
      <c r="CCF62"/>
      <c r="CCG62"/>
      <c r="CCH62"/>
      <c r="CCI62"/>
      <c r="CCJ62"/>
      <c r="CCK62"/>
      <c r="CCL62"/>
      <c r="CCM62"/>
      <c r="CCN62"/>
      <c r="CCO62"/>
      <c r="CCP62"/>
      <c r="CCQ62"/>
      <c r="CCR62"/>
      <c r="CCS62"/>
      <c r="CCT62"/>
      <c r="CCU62"/>
      <c r="CCV62"/>
      <c r="CCW62"/>
      <c r="CCX62"/>
      <c r="CCY62"/>
      <c r="CCZ62"/>
      <c r="CDA62"/>
      <c r="CDB62"/>
      <c r="CDC62"/>
      <c r="CDD62"/>
      <c r="CDE62"/>
      <c r="CDF62"/>
      <c r="CDG62"/>
      <c r="CDH62"/>
      <c r="CDI62"/>
      <c r="CDJ62"/>
      <c r="CDK62"/>
      <c r="CDL62"/>
      <c r="CDM62"/>
      <c r="CDN62"/>
      <c r="CDO62"/>
      <c r="CDP62"/>
      <c r="CDQ62"/>
      <c r="CDR62"/>
      <c r="CDS62"/>
      <c r="CDT62"/>
      <c r="CDU62"/>
      <c r="CDV62"/>
      <c r="CDW62"/>
      <c r="CDX62"/>
      <c r="CDY62"/>
      <c r="CDZ62"/>
      <c r="CEA62"/>
      <c r="CEB62"/>
      <c r="CEC62"/>
      <c r="CED62"/>
      <c r="CEE62"/>
      <c r="CEF62"/>
      <c r="CEG62"/>
      <c r="CEH62"/>
      <c r="CEI62"/>
      <c r="CEJ62"/>
      <c r="CEK62"/>
      <c r="CEL62"/>
      <c r="CEM62"/>
      <c r="CEN62"/>
      <c r="CEO62"/>
      <c r="CEP62"/>
      <c r="CEQ62"/>
      <c r="CER62"/>
      <c r="CES62"/>
      <c r="CET62"/>
      <c r="CEU62"/>
      <c r="CEV62"/>
      <c r="CEW62"/>
      <c r="CEX62"/>
      <c r="CEY62"/>
      <c r="CEZ62"/>
      <c r="CFA62"/>
      <c r="CFB62"/>
      <c r="CFC62"/>
      <c r="CFD62"/>
      <c r="CFE62"/>
      <c r="CFF62"/>
      <c r="CFG62"/>
      <c r="CFH62"/>
      <c r="CFI62"/>
      <c r="CFJ62"/>
      <c r="CFK62"/>
      <c r="CFL62"/>
      <c r="CFM62"/>
      <c r="CFN62"/>
      <c r="CFO62"/>
      <c r="CFP62"/>
      <c r="CFQ62"/>
      <c r="CFR62"/>
      <c r="CFS62"/>
      <c r="CFT62"/>
      <c r="CFU62"/>
      <c r="CFV62"/>
      <c r="CFW62"/>
      <c r="CFX62"/>
      <c r="CFY62"/>
      <c r="CFZ62"/>
      <c r="CGA62"/>
      <c r="CGB62"/>
      <c r="CGC62"/>
      <c r="CGD62"/>
      <c r="CGE62"/>
      <c r="CGF62"/>
      <c r="CGG62"/>
      <c r="CGH62"/>
      <c r="CGI62"/>
      <c r="CGJ62"/>
      <c r="CGK62"/>
      <c r="CGL62"/>
      <c r="CGM62"/>
      <c r="CGN62"/>
      <c r="CGO62"/>
      <c r="CGP62"/>
      <c r="CGQ62"/>
      <c r="CGR62"/>
      <c r="CGS62"/>
      <c r="CGT62"/>
      <c r="CGU62"/>
      <c r="CGV62"/>
      <c r="CGW62"/>
      <c r="CGX62"/>
      <c r="CGY62"/>
      <c r="CGZ62"/>
      <c r="CHA62"/>
      <c r="CHB62"/>
      <c r="CHC62"/>
      <c r="CHD62"/>
      <c r="CHE62"/>
      <c r="CHF62"/>
      <c r="CHG62"/>
      <c r="CHH62"/>
      <c r="CHI62"/>
      <c r="CHJ62"/>
      <c r="CHK62"/>
      <c r="CHL62"/>
      <c r="CHM62"/>
      <c r="CHN62"/>
      <c r="CHO62"/>
      <c r="CHP62"/>
      <c r="CHQ62"/>
      <c r="CHR62"/>
      <c r="CHS62"/>
      <c r="CHT62"/>
      <c r="CHU62"/>
      <c r="CHV62"/>
      <c r="CHW62"/>
      <c r="CHX62"/>
      <c r="CHY62"/>
      <c r="CHZ62"/>
      <c r="CIA62"/>
      <c r="CIB62"/>
      <c r="CIC62"/>
      <c r="CID62"/>
      <c r="CIE62"/>
      <c r="CIF62"/>
      <c r="CIG62"/>
      <c r="CIH62"/>
      <c r="CII62"/>
      <c r="CIJ62"/>
      <c r="CIK62"/>
      <c r="CIL62"/>
      <c r="CIM62"/>
      <c r="CIN62"/>
      <c r="CIO62"/>
      <c r="CIP62"/>
      <c r="CIQ62"/>
      <c r="CIR62"/>
      <c r="CIS62"/>
      <c r="CIT62"/>
      <c r="CIU62"/>
      <c r="CIV62"/>
      <c r="CIW62"/>
      <c r="CIX62"/>
      <c r="CIY62"/>
      <c r="CIZ62"/>
      <c r="CJA62"/>
      <c r="CJB62"/>
      <c r="CJC62"/>
      <c r="CJD62"/>
      <c r="CJE62"/>
      <c r="CJF62"/>
      <c r="CJG62"/>
      <c r="CJH62"/>
      <c r="CJI62"/>
      <c r="CJJ62"/>
      <c r="CJK62"/>
      <c r="CJL62"/>
      <c r="CJM62"/>
      <c r="CJN62"/>
      <c r="CJO62"/>
      <c r="CJP62"/>
      <c r="CJQ62"/>
      <c r="CJR62"/>
      <c r="CJS62"/>
      <c r="CJT62"/>
      <c r="CJU62"/>
      <c r="CJV62"/>
      <c r="CJW62"/>
      <c r="CJX62"/>
      <c r="CJY62"/>
      <c r="CJZ62"/>
      <c r="CKA62"/>
      <c r="CKB62"/>
      <c r="CKC62"/>
      <c r="CKD62"/>
      <c r="CKE62"/>
      <c r="CKF62"/>
      <c r="CKG62"/>
      <c r="CKH62"/>
      <c r="CKI62"/>
      <c r="CKJ62"/>
      <c r="CKK62"/>
      <c r="CKL62"/>
      <c r="CKM62"/>
      <c r="CKN62"/>
      <c r="CKO62"/>
      <c r="CKP62"/>
      <c r="CKQ62"/>
      <c r="CKR62"/>
      <c r="CKS62"/>
      <c r="CKT62"/>
      <c r="CKU62"/>
      <c r="CKV62"/>
      <c r="CKW62"/>
      <c r="CKX62"/>
      <c r="CKY62"/>
      <c r="CKZ62"/>
      <c r="CLA62"/>
      <c r="CLB62"/>
      <c r="CLC62"/>
      <c r="CLD62"/>
      <c r="CLE62"/>
      <c r="CLF62"/>
      <c r="CLG62"/>
      <c r="CLH62"/>
      <c r="CLI62"/>
      <c r="CLJ62"/>
      <c r="CLK62"/>
      <c r="CLL62"/>
      <c r="CLM62"/>
      <c r="CLN62"/>
      <c r="CLO62"/>
      <c r="CLP62"/>
      <c r="CLQ62"/>
      <c r="CLR62"/>
      <c r="CLS62"/>
      <c r="CLT62"/>
      <c r="CLU62"/>
      <c r="CLV62"/>
      <c r="CLW62"/>
      <c r="CLX62"/>
      <c r="CLY62"/>
      <c r="CLZ62"/>
      <c r="CMA62"/>
      <c r="CMB62"/>
      <c r="CMC62"/>
      <c r="CMD62"/>
      <c r="CME62"/>
      <c r="CMF62"/>
      <c r="CMG62"/>
      <c r="CMH62"/>
      <c r="CMI62"/>
      <c r="CMJ62"/>
      <c r="CMK62"/>
      <c r="CML62"/>
      <c r="CMM62"/>
      <c r="CMN62"/>
      <c r="CMO62"/>
      <c r="CMP62"/>
      <c r="CMQ62"/>
      <c r="CMR62"/>
      <c r="CMS62"/>
      <c r="CMT62"/>
      <c r="CMU62"/>
      <c r="CMV62"/>
      <c r="CMW62"/>
      <c r="CMX62"/>
      <c r="CMY62"/>
      <c r="CMZ62"/>
      <c r="CNA62"/>
      <c r="CNB62"/>
      <c r="CNC62"/>
      <c r="CND62"/>
      <c r="CNE62"/>
      <c r="CNF62"/>
      <c r="CNG62"/>
      <c r="CNH62"/>
      <c r="CNI62"/>
      <c r="CNJ62"/>
      <c r="CNK62"/>
      <c r="CNL62"/>
      <c r="CNM62"/>
      <c r="CNN62"/>
      <c r="CNO62"/>
      <c r="CNP62"/>
      <c r="CNQ62"/>
      <c r="CNR62"/>
      <c r="CNS62"/>
      <c r="CNT62"/>
      <c r="CNU62"/>
      <c r="CNV62"/>
      <c r="CNW62"/>
      <c r="CNX62"/>
      <c r="CNY62"/>
      <c r="CNZ62"/>
      <c r="COA62"/>
      <c r="COB62"/>
      <c r="COC62"/>
      <c r="COD62"/>
      <c r="COE62"/>
      <c r="COF62"/>
      <c r="COG62"/>
      <c r="COH62"/>
      <c r="COI62"/>
      <c r="COJ62"/>
      <c r="COK62"/>
      <c r="COL62"/>
      <c r="COM62"/>
      <c r="CON62"/>
      <c r="COO62"/>
      <c r="COP62"/>
      <c r="COQ62"/>
      <c r="COR62"/>
      <c r="COS62"/>
      <c r="COT62"/>
      <c r="COU62"/>
      <c r="COV62"/>
      <c r="COW62"/>
      <c r="COX62"/>
      <c r="COY62"/>
      <c r="COZ62"/>
      <c r="CPA62"/>
      <c r="CPB62"/>
      <c r="CPC62"/>
      <c r="CPD62"/>
      <c r="CPE62"/>
      <c r="CPF62"/>
      <c r="CPG62"/>
      <c r="CPH62"/>
      <c r="CPI62"/>
      <c r="CPJ62"/>
      <c r="CPK62"/>
      <c r="CPL62"/>
      <c r="CPM62"/>
      <c r="CPN62"/>
      <c r="CPO62"/>
      <c r="CPP62"/>
      <c r="CPQ62"/>
      <c r="CPR62"/>
      <c r="CPS62"/>
      <c r="CPT62"/>
      <c r="CPU62"/>
      <c r="CPV62"/>
      <c r="CPW62"/>
      <c r="CPX62"/>
      <c r="CPY62"/>
      <c r="CPZ62"/>
      <c r="CQA62"/>
      <c r="CQB62"/>
      <c r="CQC62"/>
      <c r="CQD62"/>
      <c r="CQE62"/>
      <c r="CQF62"/>
      <c r="CQG62"/>
      <c r="CQH62"/>
      <c r="CQI62"/>
      <c r="CQJ62"/>
      <c r="CQK62"/>
      <c r="CQL62"/>
      <c r="CQM62"/>
      <c r="CQN62"/>
      <c r="CQO62"/>
      <c r="CQP62"/>
      <c r="CQQ62"/>
      <c r="CQR62"/>
      <c r="CQS62"/>
      <c r="CQT62"/>
      <c r="CQU62"/>
      <c r="CQV62"/>
      <c r="CQW62"/>
      <c r="CQX62"/>
      <c r="CQY62"/>
      <c r="CQZ62"/>
      <c r="CRA62"/>
      <c r="CRB62"/>
      <c r="CRC62"/>
      <c r="CRD62"/>
      <c r="CRE62"/>
      <c r="CRF62"/>
      <c r="CRG62"/>
      <c r="CRH62"/>
      <c r="CRI62"/>
      <c r="CRJ62"/>
      <c r="CRK62"/>
      <c r="CRL62"/>
      <c r="CRM62"/>
      <c r="CRN62"/>
      <c r="CRO62"/>
      <c r="CRP62"/>
      <c r="CRQ62"/>
      <c r="CRR62"/>
      <c r="CRS62"/>
      <c r="CRT62"/>
      <c r="CRU62"/>
      <c r="CRV62"/>
      <c r="CRW62"/>
      <c r="CRX62"/>
      <c r="CRY62"/>
      <c r="CRZ62"/>
      <c r="CSA62"/>
      <c r="CSB62"/>
      <c r="CSC62"/>
      <c r="CSD62"/>
      <c r="CSE62"/>
      <c r="CSF62"/>
      <c r="CSG62"/>
      <c r="CSH62"/>
      <c r="CSI62"/>
      <c r="CSJ62"/>
      <c r="CSK62"/>
      <c r="CSL62"/>
      <c r="CSM62"/>
      <c r="CSN62"/>
      <c r="CSO62"/>
      <c r="CSP62"/>
      <c r="CSQ62"/>
      <c r="CSR62"/>
      <c r="CSS62"/>
      <c r="CST62"/>
      <c r="CSU62"/>
      <c r="CSV62"/>
      <c r="CSW62"/>
      <c r="CSX62"/>
      <c r="CSY62"/>
      <c r="CSZ62"/>
      <c r="CTA62"/>
      <c r="CTB62"/>
      <c r="CTC62"/>
      <c r="CTD62"/>
      <c r="CTE62"/>
      <c r="CTF62"/>
      <c r="CTG62"/>
      <c r="CTH62"/>
      <c r="CTI62"/>
      <c r="CTJ62"/>
      <c r="CTK62"/>
      <c r="CTL62"/>
      <c r="CTM62"/>
      <c r="CTN62"/>
      <c r="CTO62"/>
      <c r="CTP62"/>
      <c r="CTQ62"/>
      <c r="CTR62"/>
      <c r="CTS62"/>
      <c r="CTT62"/>
      <c r="CTU62"/>
      <c r="CTV62"/>
      <c r="CTW62"/>
      <c r="CTX62"/>
      <c r="CTY62"/>
      <c r="CTZ62"/>
      <c r="CUA62"/>
      <c r="CUB62"/>
      <c r="CUC62"/>
      <c r="CUD62"/>
      <c r="CUE62"/>
      <c r="CUF62"/>
      <c r="CUG62"/>
      <c r="CUH62"/>
      <c r="CUI62"/>
      <c r="CUJ62"/>
      <c r="CUK62"/>
      <c r="CUL62"/>
      <c r="CUM62"/>
      <c r="CUN62"/>
      <c r="CUO62"/>
      <c r="CUP62"/>
      <c r="CUQ62"/>
      <c r="CUR62"/>
      <c r="CUS62"/>
      <c r="CUT62"/>
      <c r="CUU62"/>
      <c r="CUV62"/>
      <c r="CUW62"/>
      <c r="CUX62"/>
      <c r="CUY62"/>
      <c r="CUZ62"/>
      <c r="CVA62"/>
      <c r="CVB62"/>
      <c r="CVC62"/>
      <c r="CVD62"/>
      <c r="CVE62"/>
      <c r="CVF62"/>
      <c r="CVG62"/>
      <c r="CVH62"/>
      <c r="CVI62"/>
      <c r="CVJ62"/>
      <c r="CVK62"/>
      <c r="CVL62"/>
      <c r="CVM62"/>
      <c r="CVN62"/>
      <c r="CVO62"/>
      <c r="CVP62"/>
      <c r="CVQ62"/>
      <c r="CVR62"/>
      <c r="CVS62"/>
      <c r="CVT62"/>
      <c r="CVU62"/>
      <c r="CVV62"/>
      <c r="CVW62"/>
      <c r="CVX62"/>
      <c r="CVY62"/>
      <c r="CVZ62"/>
      <c r="CWA62"/>
      <c r="CWB62"/>
      <c r="CWC62"/>
      <c r="CWD62"/>
      <c r="CWE62"/>
      <c r="CWF62"/>
      <c r="CWG62"/>
      <c r="CWH62"/>
      <c r="CWI62"/>
      <c r="CWJ62"/>
      <c r="CWK62"/>
      <c r="CWL62"/>
      <c r="CWM62"/>
      <c r="CWN62"/>
      <c r="CWO62"/>
      <c r="CWP62"/>
      <c r="CWQ62"/>
      <c r="CWR62"/>
      <c r="CWS62"/>
      <c r="CWT62"/>
      <c r="CWU62"/>
      <c r="CWV62"/>
      <c r="CWW62"/>
      <c r="CWX62"/>
      <c r="CWY62"/>
      <c r="CWZ62"/>
      <c r="CXA62"/>
      <c r="CXB62"/>
      <c r="CXC62"/>
      <c r="CXD62"/>
      <c r="CXE62"/>
      <c r="CXF62"/>
      <c r="CXG62"/>
      <c r="CXH62"/>
      <c r="CXI62"/>
      <c r="CXJ62"/>
      <c r="CXK62"/>
      <c r="CXL62"/>
      <c r="CXM62"/>
      <c r="CXN62"/>
      <c r="CXO62"/>
      <c r="CXP62"/>
      <c r="CXQ62"/>
      <c r="CXR62"/>
      <c r="CXS62"/>
      <c r="CXT62"/>
      <c r="CXU62"/>
      <c r="CXV62"/>
      <c r="CXW62"/>
      <c r="CXX62"/>
      <c r="CXY62"/>
      <c r="CXZ62"/>
      <c r="CYA62"/>
      <c r="CYB62"/>
      <c r="CYC62"/>
      <c r="CYD62"/>
      <c r="CYE62"/>
      <c r="CYF62"/>
      <c r="CYG62"/>
      <c r="CYH62"/>
      <c r="CYI62"/>
      <c r="CYJ62"/>
      <c r="CYK62"/>
      <c r="CYL62"/>
      <c r="CYM62"/>
      <c r="CYN62"/>
      <c r="CYO62"/>
      <c r="CYP62"/>
      <c r="CYQ62"/>
      <c r="CYR62"/>
      <c r="CYS62"/>
      <c r="CYT62"/>
      <c r="CYU62"/>
      <c r="CYV62"/>
      <c r="CYW62"/>
      <c r="CYX62"/>
      <c r="CYY62"/>
      <c r="CYZ62"/>
      <c r="CZA62"/>
      <c r="CZB62"/>
      <c r="CZC62"/>
      <c r="CZD62"/>
      <c r="CZE62"/>
      <c r="CZF62"/>
      <c r="CZG62"/>
      <c r="CZH62"/>
      <c r="CZI62"/>
      <c r="CZJ62"/>
      <c r="CZK62"/>
      <c r="CZL62"/>
      <c r="CZM62"/>
      <c r="CZN62"/>
      <c r="CZO62"/>
      <c r="CZP62"/>
      <c r="CZQ62"/>
      <c r="CZR62"/>
      <c r="CZS62"/>
      <c r="CZT62"/>
      <c r="CZU62"/>
      <c r="CZV62"/>
      <c r="CZW62"/>
      <c r="CZX62"/>
      <c r="CZY62"/>
      <c r="CZZ62"/>
      <c r="DAA62"/>
      <c r="DAB62"/>
      <c r="DAC62"/>
      <c r="DAD62"/>
      <c r="DAE62"/>
      <c r="DAF62"/>
      <c r="DAG62"/>
      <c r="DAH62"/>
      <c r="DAI62"/>
      <c r="DAJ62"/>
      <c r="DAK62"/>
      <c r="DAL62"/>
      <c r="DAM62"/>
      <c r="DAN62"/>
      <c r="DAO62"/>
      <c r="DAP62"/>
      <c r="DAQ62"/>
      <c r="DAR62"/>
      <c r="DAS62"/>
      <c r="DAT62"/>
      <c r="DAU62"/>
      <c r="DAV62"/>
      <c r="DAW62"/>
      <c r="DAX62"/>
      <c r="DAY62"/>
      <c r="DAZ62"/>
      <c r="DBA62"/>
      <c r="DBB62"/>
      <c r="DBC62"/>
      <c r="DBD62"/>
      <c r="DBE62"/>
      <c r="DBF62"/>
      <c r="DBG62"/>
      <c r="DBH62"/>
      <c r="DBI62"/>
      <c r="DBJ62"/>
      <c r="DBK62"/>
      <c r="DBL62"/>
      <c r="DBM62"/>
      <c r="DBN62"/>
      <c r="DBO62"/>
      <c r="DBP62"/>
      <c r="DBQ62"/>
      <c r="DBR62"/>
      <c r="DBS62"/>
      <c r="DBT62"/>
      <c r="DBU62"/>
      <c r="DBV62"/>
      <c r="DBW62"/>
      <c r="DBX62"/>
      <c r="DBY62"/>
      <c r="DBZ62"/>
      <c r="DCA62"/>
      <c r="DCB62"/>
      <c r="DCC62"/>
      <c r="DCD62"/>
      <c r="DCE62"/>
      <c r="DCF62"/>
      <c r="DCG62"/>
      <c r="DCH62"/>
      <c r="DCI62"/>
      <c r="DCJ62"/>
      <c r="DCK62"/>
      <c r="DCL62"/>
      <c r="DCM62"/>
      <c r="DCN62"/>
      <c r="DCO62"/>
      <c r="DCP62"/>
      <c r="DCQ62"/>
      <c r="DCR62"/>
      <c r="DCS62"/>
      <c r="DCT62"/>
      <c r="DCU62"/>
      <c r="DCV62"/>
      <c r="DCW62"/>
      <c r="DCX62"/>
      <c r="DCY62"/>
      <c r="DCZ62"/>
      <c r="DDA62"/>
      <c r="DDB62"/>
      <c r="DDC62"/>
      <c r="DDD62"/>
      <c r="DDE62"/>
      <c r="DDF62"/>
      <c r="DDG62"/>
      <c r="DDH62"/>
      <c r="DDI62"/>
      <c r="DDJ62"/>
      <c r="DDK62"/>
      <c r="DDL62"/>
      <c r="DDM62"/>
      <c r="DDN62"/>
      <c r="DDO62"/>
      <c r="DDP62"/>
      <c r="DDQ62"/>
      <c r="DDR62"/>
      <c r="DDS62"/>
      <c r="DDT62"/>
      <c r="DDU62"/>
      <c r="DDV62"/>
      <c r="DDW62"/>
      <c r="DDX62"/>
      <c r="DDY62"/>
      <c r="DDZ62"/>
      <c r="DEA62"/>
      <c r="DEB62"/>
      <c r="DEC62"/>
      <c r="DED62"/>
      <c r="DEE62"/>
      <c r="DEF62"/>
      <c r="DEG62"/>
      <c r="DEH62"/>
      <c r="DEI62"/>
      <c r="DEJ62"/>
      <c r="DEK62"/>
      <c r="DEL62"/>
      <c r="DEM62"/>
      <c r="DEN62"/>
      <c r="DEO62"/>
      <c r="DEP62"/>
      <c r="DEQ62"/>
      <c r="DER62"/>
      <c r="DES62"/>
      <c r="DET62"/>
      <c r="DEU62"/>
      <c r="DEV62"/>
      <c r="DEW62"/>
      <c r="DEX62"/>
      <c r="DEY62"/>
      <c r="DEZ62"/>
      <c r="DFA62"/>
      <c r="DFB62"/>
      <c r="DFC62"/>
      <c r="DFD62"/>
      <c r="DFE62"/>
      <c r="DFF62"/>
      <c r="DFG62"/>
      <c r="DFH62"/>
      <c r="DFI62"/>
      <c r="DFJ62"/>
      <c r="DFK62"/>
      <c r="DFL62"/>
      <c r="DFM62"/>
      <c r="DFN62"/>
      <c r="DFO62"/>
      <c r="DFP62"/>
      <c r="DFQ62"/>
      <c r="DFR62"/>
      <c r="DFS62"/>
      <c r="DFT62"/>
      <c r="DFU62"/>
      <c r="DFV62"/>
      <c r="DFW62"/>
      <c r="DFX62"/>
      <c r="DFY62"/>
      <c r="DFZ62"/>
      <c r="DGA62"/>
      <c r="DGB62"/>
      <c r="DGC62"/>
      <c r="DGD62"/>
      <c r="DGE62"/>
      <c r="DGF62"/>
      <c r="DGG62"/>
      <c r="DGH62"/>
      <c r="DGI62"/>
      <c r="DGJ62"/>
      <c r="DGK62"/>
      <c r="DGL62"/>
      <c r="DGM62"/>
      <c r="DGN62"/>
      <c r="DGO62"/>
      <c r="DGP62"/>
      <c r="DGQ62"/>
      <c r="DGR62"/>
      <c r="DGS62"/>
      <c r="DGT62"/>
      <c r="DGU62"/>
      <c r="DGV62"/>
      <c r="DGW62"/>
      <c r="DGX62"/>
      <c r="DGY62"/>
      <c r="DGZ62"/>
      <c r="DHA62"/>
      <c r="DHB62"/>
      <c r="DHC62"/>
      <c r="DHD62"/>
      <c r="DHE62"/>
      <c r="DHF62"/>
      <c r="DHG62"/>
      <c r="DHH62"/>
      <c r="DHI62"/>
      <c r="DHJ62"/>
      <c r="DHK62"/>
      <c r="DHL62"/>
      <c r="DHM62"/>
      <c r="DHN62"/>
      <c r="DHO62"/>
      <c r="DHP62"/>
      <c r="DHQ62"/>
      <c r="DHR62"/>
      <c r="DHS62"/>
      <c r="DHT62"/>
      <c r="DHU62"/>
      <c r="DHV62"/>
      <c r="DHW62"/>
      <c r="DHX62"/>
      <c r="DHY62"/>
      <c r="DHZ62"/>
      <c r="DIA62"/>
      <c r="DIB62"/>
      <c r="DIC62"/>
      <c r="DID62"/>
      <c r="DIE62"/>
      <c r="DIF62"/>
      <c r="DIG62"/>
      <c r="DIH62"/>
      <c r="DII62"/>
      <c r="DIJ62"/>
      <c r="DIK62"/>
      <c r="DIL62"/>
      <c r="DIM62"/>
      <c r="DIN62"/>
      <c r="DIO62"/>
      <c r="DIP62"/>
      <c r="DIQ62"/>
      <c r="DIR62"/>
      <c r="DIS62"/>
      <c r="DIT62"/>
      <c r="DIU62"/>
      <c r="DIV62"/>
      <c r="DIW62"/>
      <c r="DIX62"/>
      <c r="DIY62"/>
      <c r="DIZ62"/>
      <c r="DJA62"/>
      <c r="DJB62"/>
      <c r="DJC62"/>
      <c r="DJD62"/>
      <c r="DJE62"/>
      <c r="DJF62"/>
      <c r="DJG62"/>
      <c r="DJH62"/>
      <c r="DJI62"/>
      <c r="DJJ62"/>
      <c r="DJK62"/>
      <c r="DJL62"/>
      <c r="DJM62"/>
      <c r="DJN62"/>
      <c r="DJO62"/>
      <c r="DJP62"/>
      <c r="DJQ62"/>
      <c r="DJR62"/>
      <c r="DJS62"/>
      <c r="DJT62"/>
      <c r="DJU62"/>
      <c r="DJV62"/>
      <c r="DJW62"/>
      <c r="DJX62"/>
      <c r="DJY62"/>
      <c r="DJZ62"/>
      <c r="DKA62"/>
      <c r="DKB62"/>
      <c r="DKC62"/>
      <c r="DKD62"/>
      <c r="DKE62"/>
      <c r="DKF62"/>
      <c r="DKG62"/>
      <c r="DKH62"/>
      <c r="DKI62"/>
      <c r="DKJ62"/>
      <c r="DKK62"/>
      <c r="DKL62"/>
      <c r="DKM62"/>
      <c r="DKN62"/>
      <c r="DKO62"/>
      <c r="DKP62"/>
      <c r="DKQ62"/>
      <c r="DKR62"/>
      <c r="DKS62"/>
      <c r="DKT62"/>
      <c r="DKU62"/>
      <c r="DKV62"/>
      <c r="DKW62"/>
      <c r="DKX62"/>
      <c r="DKY62"/>
      <c r="DKZ62"/>
      <c r="DLA62"/>
      <c r="DLB62"/>
      <c r="DLC62"/>
      <c r="DLD62"/>
      <c r="DLE62"/>
      <c r="DLF62"/>
      <c r="DLG62"/>
      <c r="DLH62"/>
      <c r="DLI62"/>
      <c r="DLJ62"/>
      <c r="DLK62"/>
      <c r="DLL62"/>
      <c r="DLM62"/>
      <c r="DLN62"/>
      <c r="DLO62"/>
      <c r="DLP62"/>
      <c r="DLQ62"/>
      <c r="DLR62"/>
      <c r="DLS62"/>
      <c r="DLT62"/>
      <c r="DLU62"/>
      <c r="DLV62"/>
      <c r="DLW62"/>
      <c r="DLX62"/>
      <c r="DLY62"/>
      <c r="DLZ62"/>
      <c r="DMA62"/>
      <c r="DMB62"/>
      <c r="DMC62"/>
      <c r="DMD62"/>
      <c r="DME62"/>
      <c r="DMF62"/>
      <c r="DMG62"/>
      <c r="DMH62"/>
      <c r="DMI62"/>
      <c r="DMJ62"/>
      <c r="DMK62"/>
      <c r="DML62"/>
      <c r="DMM62"/>
      <c r="DMN62"/>
      <c r="DMO62"/>
      <c r="DMP62"/>
      <c r="DMQ62"/>
      <c r="DMR62"/>
      <c r="DMS62"/>
      <c r="DMT62"/>
      <c r="DMU62"/>
      <c r="DMV62"/>
      <c r="DMW62"/>
      <c r="DMX62"/>
      <c r="DMY62"/>
      <c r="DMZ62"/>
      <c r="DNA62"/>
      <c r="DNB62"/>
      <c r="DNC62"/>
      <c r="DND62"/>
      <c r="DNE62"/>
      <c r="DNF62"/>
      <c r="DNG62"/>
      <c r="DNH62"/>
      <c r="DNI62"/>
      <c r="DNJ62"/>
      <c r="DNK62"/>
      <c r="DNL62"/>
      <c r="DNM62"/>
      <c r="DNN62"/>
      <c r="DNO62"/>
      <c r="DNP62"/>
      <c r="DNQ62"/>
      <c r="DNR62"/>
      <c r="DNS62"/>
      <c r="DNT62"/>
      <c r="DNU62"/>
      <c r="DNV62"/>
      <c r="DNW62"/>
      <c r="DNX62"/>
      <c r="DNY62"/>
      <c r="DNZ62"/>
      <c r="DOA62"/>
      <c r="DOB62"/>
      <c r="DOC62"/>
      <c r="DOD62"/>
      <c r="DOE62"/>
      <c r="DOF62"/>
      <c r="DOG62"/>
      <c r="DOH62"/>
      <c r="DOI62"/>
      <c r="DOJ62"/>
      <c r="DOK62"/>
      <c r="DOL62"/>
      <c r="DOM62"/>
      <c r="DON62"/>
      <c r="DOO62"/>
      <c r="DOP62"/>
      <c r="DOQ62"/>
      <c r="DOR62"/>
      <c r="DOS62"/>
      <c r="DOT62"/>
      <c r="DOU62"/>
      <c r="DOV62"/>
      <c r="DOW62"/>
      <c r="DOX62"/>
      <c r="DOY62"/>
      <c r="DOZ62"/>
      <c r="DPA62"/>
      <c r="DPB62"/>
      <c r="DPC62"/>
      <c r="DPD62"/>
      <c r="DPE62"/>
      <c r="DPF62"/>
      <c r="DPG62"/>
      <c r="DPH62"/>
      <c r="DPI62"/>
      <c r="DPJ62"/>
      <c r="DPK62"/>
      <c r="DPL62"/>
      <c r="DPM62"/>
      <c r="DPN62"/>
      <c r="DPO62"/>
      <c r="DPP62"/>
      <c r="DPQ62"/>
      <c r="DPR62"/>
      <c r="DPS62"/>
      <c r="DPT62"/>
      <c r="DPU62"/>
      <c r="DPV62"/>
      <c r="DPW62"/>
      <c r="DPX62"/>
      <c r="DPY62"/>
      <c r="DPZ62"/>
      <c r="DQA62"/>
      <c r="DQB62"/>
      <c r="DQC62"/>
      <c r="DQD62"/>
      <c r="DQE62"/>
      <c r="DQF62"/>
      <c r="DQG62"/>
      <c r="DQH62"/>
      <c r="DQI62"/>
      <c r="DQJ62"/>
      <c r="DQK62"/>
      <c r="DQL62"/>
      <c r="DQM62"/>
      <c r="DQN62"/>
      <c r="DQO62"/>
      <c r="DQP62"/>
      <c r="DQQ62"/>
      <c r="DQR62"/>
      <c r="DQS62"/>
      <c r="DQT62"/>
      <c r="DQU62"/>
      <c r="DQV62"/>
      <c r="DQW62"/>
      <c r="DQX62"/>
      <c r="DQY62"/>
      <c r="DQZ62"/>
      <c r="DRA62"/>
      <c r="DRB62"/>
      <c r="DRC62"/>
      <c r="DRD62"/>
      <c r="DRE62"/>
      <c r="DRF62"/>
      <c r="DRG62"/>
      <c r="DRH62"/>
      <c r="DRI62"/>
      <c r="DRJ62"/>
      <c r="DRK62"/>
      <c r="DRL62"/>
      <c r="DRM62"/>
      <c r="DRN62"/>
      <c r="DRO62"/>
      <c r="DRP62"/>
      <c r="DRQ62"/>
      <c r="DRR62"/>
      <c r="DRS62"/>
      <c r="DRT62"/>
      <c r="DRU62"/>
      <c r="DRV62"/>
      <c r="DRW62"/>
      <c r="DRX62"/>
      <c r="DRY62"/>
      <c r="DRZ62"/>
      <c r="DSA62"/>
      <c r="DSB62"/>
      <c r="DSC62"/>
      <c r="DSD62"/>
      <c r="DSE62"/>
      <c r="DSF62"/>
      <c r="DSG62"/>
      <c r="DSH62"/>
      <c r="DSI62"/>
      <c r="DSJ62"/>
      <c r="DSK62"/>
      <c r="DSL62"/>
      <c r="DSM62"/>
      <c r="DSN62"/>
      <c r="DSO62"/>
      <c r="DSP62"/>
      <c r="DSQ62"/>
      <c r="DSR62"/>
      <c r="DSS62"/>
      <c r="DST62"/>
      <c r="DSU62"/>
      <c r="DSV62"/>
      <c r="DSW62"/>
      <c r="DSX62"/>
      <c r="DSY62"/>
      <c r="DSZ62"/>
      <c r="DTA62"/>
      <c r="DTB62"/>
      <c r="DTC62"/>
      <c r="DTD62"/>
      <c r="DTE62"/>
      <c r="DTF62"/>
      <c r="DTG62"/>
      <c r="DTH62"/>
      <c r="DTI62"/>
      <c r="DTJ62"/>
      <c r="DTK62"/>
      <c r="DTL62"/>
      <c r="DTM62"/>
      <c r="DTN62"/>
      <c r="DTO62"/>
      <c r="DTP62"/>
      <c r="DTQ62"/>
      <c r="DTR62"/>
      <c r="DTS62"/>
      <c r="DTT62"/>
      <c r="DTU62"/>
      <c r="DTV62"/>
      <c r="DTW62"/>
      <c r="DTX62"/>
      <c r="DTY62"/>
      <c r="DTZ62"/>
      <c r="DUA62"/>
      <c r="DUB62"/>
      <c r="DUC62"/>
      <c r="DUD62"/>
      <c r="DUE62"/>
      <c r="DUF62"/>
      <c r="DUG62"/>
      <c r="DUH62"/>
      <c r="DUI62"/>
      <c r="DUJ62"/>
      <c r="DUK62"/>
      <c r="DUL62"/>
      <c r="DUM62"/>
      <c r="DUN62"/>
      <c r="DUO62"/>
      <c r="DUP62"/>
      <c r="DUQ62"/>
      <c r="DUR62"/>
      <c r="DUS62"/>
      <c r="DUT62"/>
      <c r="DUU62"/>
      <c r="DUV62"/>
      <c r="DUW62"/>
      <c r="DUX62"/>
      <c r="DUY62"/>
      <c r="DUZ62"/>
      <c r="DVA62"/>
      <c r="DVB62"/>
      <c r="DVC62"/>
      <c r="DVD62"/>
      <c r="DVE62"/>
      <c r="DVF62"/>
      <c r="DVG62"/>
      <c r="DVH62"/>
      <c r="DVI62"/>
      <c r="DVJ62"/>
      <c r="DVK62"/>
      <c r="DVL62"/>
      <c r="DVM62"/>
      <c r="DVN62"/>
      <c r="DVO62"/>
      <c r="DVP62"/>
      <c r="DVQ62"/>
      <c r="DVR62"/>
      <c r="DVS62"/>
      <c r="DVT62"/>
      <c r="DVU62"/>
      <c r="DVV62"/>
      <c r="DVW62"/>
      <c r="DVX62"/>
      <c r="DVY62"/>
      <c r="DVZ62"/>
      <c r="DWA62"/>
      <c r="DWB62"/>
      <c r="DWC62"/>
      <c r="DWD62"/>
      <c r="DWE62"/>
      <c r="DWF62"/>
      <c r="DWG62"/>
      <c r="DWH62"/>
      <c r="DWI62"/>
      <c r="DWJ62"/>
      <c r="DWK62"/>
      <c r="DWL62"/>
      <c r="DWM62"/>
      <c r="DWN62"/>
      <c r="DWO62"/>
      <c r="DWP62"/>
      <c r="DWQ62"/>
      <c r="DWR62"/>
      <c r="DWS62"/>
      <c r="DWT62"/>
      <c r="DWU62"/>
      <c r="DWV62"/>
      <c r="DWW62"/>
      <c r="DWX62"/>
      <c r="DWY62"/>
      <c r="DWZ62"/>
      <c r="DXA62"/>
      <c r="DXB62"/>
      <c r="DXC62"/>
      <c r="DXD62"/>
      <c r="DXE62"/>
      <c r="DXF62"/>
      <c r="DXG62"/>
      <c r="DXH62"/>
      <c r="DXI62"/>
      <c r="DXJ62"/>
      <c r="DXK62"/>
      <c r="DXL62"/>
      <c r="DXM62"/>
      <c r="DXN62"/>
      <c r="DXO62"/>
      <c r="DXP62"/>
      <c r="DXQ62"/>
      <c r="DXR62"/>
      <c r="DXS62"/>
      <c r="DXT62"/>
      <c r="DXU62"/>
      <c r="DXV62"/>
      <c r="DXW62"/>
      <c r="DXX62"/>
      <c r="DXY62"/>
      <c r="DXZ62"/>
      <c r="DYA62"/>
      <c r="DYB62"/>
      <c r="DYC62"/>
      <c r="DYD62"/>
      <c r="DYE62"/>
      <c r="DYF62"/>
      <c r="DYG62"/>
      <c r="DYH62"/>
      <c r="DYI62"/>
      <c r="DYJ62"/>
      <c r="DYK62"/>
      <c r="DYL62"/>
      <c r="DYM62"/>
      <c r="DYN62"/>
      <c r="DYO62"/>
      <c r="DYP62"/>
      <c r="DYQ62"/>
      <c r="DYR62"/>
      <c r="DYS62"/>
      <c r="DYT62"/>
      <c r="DYU62"/>
      <c r="DYV62"/>
      <c r="DYW62"/>
      <c r="DYX62"/>
      <c r="DYY62"/>
      <c r="DYZ62"/>
      <c r="DZA62"/>
      <c r="DZB62"/>
      <c r="DZC62"/>
      <c r="DZD62"/>
      <c r="DZE62"/>
      <c r="DZF62"/>
      <c r="DZG62"/>
      <c r="DZH62"/>
      <c r="DZI62"/>
      <c r="DZJ62"/>
      <c r="DZK62"/>
      <c r="DZL62"/>
      <c r="DZM62"/>
      <c r="DZN62"/>
      <c r="DZO62"/>
      <c r="DZP62"/>
      <c r="DZQ62"/>
      <c r="DZR62"/>
      <c r="DZS62"/>
      <c r="DZT62"/>
      <c r="DZU62"/>
      <c r="DZV62"/>
      <c r="DZW62"/>
      <c r="DZX62"/>
      <c r="DZY62"/>
      <c r="DZZ62"/>
      <c r="EAA62"/>
      <c r="EAB62"/>
      <c r="EAC62"/>
      <c r="EAD62"/>
      <c r="EAE62"/>
      <c r="EAF62"/>
      <c r="EAG62"/>
      <c r="EAH62"/>
      <c r="EAI62"/>
      <c r="EAJ62"/>
      <c r="EAK62"/>
      <c r="EAL62"/>
      <c r="EAM62"/>
      <c r="EAN62"/>
      <c r="EAO62"/>
      <c r="EAP62"/>
      <c r="EAQ62"/>
      <c r="EAR62"/>
      <c r="EAS62"/>
      <c r="EAT62"/>
      <c r="EAU62"/>
      <c r="EAV62"/>
      <c r="EAW62"/>
      <c r="EAX62"/>
      <c r="EAY62"/>
      <c r="EAZ62"/>
      <c r="EBA62"/>
      <c r="EBB62"/>
      <c r="EBC62"/>
      <c r="EBD62"/>
      <c r="EBE62"/>
      <c r="EBF62"/>
      <c r="EBG62"/>
      <c r="EBH62"/>
      <c r="EBI62"/>
      <c r="EBJ62"/>
      <c r="EBK62"/>
      <c r="EBL62"/>
      <c r="EBM62"/>
      <c r="EBN62"/>
      <c r="EBO62"/>
      <c r="EBP62"/>
      <c r="EBQ62"/>
      <c r="EBR62"/>
      <c r="EBS62"/>
      <c r="EBT62"/>
      <c r="EBU62"/>
      <c r="EBV62"/>
      <c r="EBW62"/>
      <c r="EBX62"/>
      <c r="EBY62"/>
      <c r="EBZ62"/>
      <c r="ECA62"/>
      <c r="ECB62"/>
      <c r="ECC62"/>
      <c r="ECD62"/>
      <c r="ECE62"/>
      <c r="ECF62"/>
      <c r="ECG62"/>
      <c r="ECH62"/>
      <c r="ECI62"/>
      <c r="ECJ62"/>
      <c r="ECK62"/>
      <c r="ECL62"/>
      <c r="ECM62"/>
      <c r="ECN62"/>
      <c r="ECO62"/>
      <c r="ECP62"/>
      <c r="ECQ62"/>
      <c r="ECR62"/>
      <c r="ECS62"/>
      <c r="ECT62"/>
      <c r="ECU62"/>
      <c r="ECV62"/>
      <c r="ECW62"/>
      <c r="ECX62"/>
      <c r="ECY62"/>
      <c r="ECZ62"/>
      <c r="EDA62"/>
      <c r="EDB62"/>
      <c r="EDC62"/>
      <c r="EDD62"/>
      <c r="EDE62"/>
      <c r="EDF62"/>
      <c r="EDG62"/>
      <c r="EDH62"/>
      <c r="EDI62"/>
      <c r="EDJ62"/>
      <c r="EDK62"/>
      <c r="EDL62"/>
      <c r="EDM62"/>
      <c r="EDN62"/>
      <c r="EDO62"/>
      <c r="EDP62"/>
      <c r="EDQ62"/>
      <c r="EDR62"/>
      <c r="EDS62"/>
      <c r="EDT62"/>
      <c r="EDU62"/>
      <c r="EDV62"/>
      <c r="EDW62"/>
      <c r="EDX62"/>
      <c r="EDY62"/>
      <c r="EDZ62"/>
      <c r="EEA62"/>
      <c r="EEB62"/>
      <c r="EEC62"/>
      <c r="EED62"/>
      <c r="EEE62"/>
      <c r="EEF62"/>
      <c r="EEG62"/>
      <c r="EEH62"/>
      <c r="EEI62"/>
      <c r="EEJ62"/>
      <c r="EEK62"/>
      <c r="EEL62"/>
      <c r="EEM62"/>
      <c r="EEN62"/>
      <c r="EEO62"/>
      <c r="EEP62"/>
      <c r="EEQ62"/>
      <c r="EER62"/>
      <c r="EES62"/>
      <c r="EET62"/>
      <c r="EEU62"/>
      <c r="EEV62"/>
      <c r="EEW62"/>
      <c r="EEX62"/>
      <c r="EEY62"/>
      <c r="EEZ62"/>
      <c r="EFA62"/>
      <c r="EFB62"/>
      <c r="EFC62"/>
      <c r="EFD62"/>
      <c r="EFE62"/>
      <c r="EFF62"/>
      <c r="EFG62"/>
      <c r="EFH62"/>
      <c r="EFI62"/>
      <c r="EFJ62"/>
      <c r="EFK62"/>
      <c r="EFL62"/>
      <c r="EFM62"/>
      <c r="EFN62"/>
      <c r="EFO62"/>
      <c r="EFP62"/>
      <c r="EFQ62"/>
      <c r="EFR62"/>
      <c r="EFS62"/>
      <c r="EFT62"/>
      <c r="EFU62"/>
      <c r="EFV62"/>
      <c r="EFW62"/>
      <c r="EFX62"/>
      <c r="EFY62"/>
      <c r="EFZ62"/>
      <c r="EGA62"/>
      <c r="EGB62"/>
      <c r="EGC62"/>
      <c r="EGD62"/>
      <c r="EGE62"/>
      <c r="EGF62"/>
      <c r="EGG62"/>
      <c r="EGH62"/>
      <c r="EGI62"/>
      <c r="EGJ62"/>
      <c r="EGK62"/>
      <c r="EGL62"/>
      <c r="EGM62"/>
      <c r="EGN62"/>
      <c r="EGO62"/>
      <c r="EGP62"/>
      <c r="EGQ62"/>
      <c r="EGR62"/>
      <c r="EGS62"/>
      <c r="EGT62"/>
      <c r="EGU62"/>
      <c r="EGV62"/>
      <c r="EGW62"/>
      <c r="EGX62"/>
      <c r="EGY62"/>
      <c r="EGZ62"/>
      <c r="EHA62"/>
      <c r="EHB62"/>
      <c r="EHC62"/>
      <c r="EHD62"/>
      <c r="EHE62"/>
      <c r="EHF62"/>
      <c r="EHG62"/>
      <c r="EHH62"/>
      <c r="EHI62"/>
      <c r="EHJ62"/>
      <c r="EHK62"/>
      <c r="EHL62"/>
      <c r="EHM62"/>
      <c r="EHN62"/>
      <c r="EHO62"/>
      <c r="EHP62"/>
      <c r="EHQ62"/>
      <c r="EHR62"/>
      <c r="EHS62"/>
      <c r="EHT62"/>
      <c r="EHU62"/>
      <c r="EHV62"/>
      <c r="EHW62"/>
      <c r="EHX62"/>
      <c r="EHY62"/>
      <c r="EHZ62"/>
      <c r="EIA62"/>
      <c r="EIB62"/>
      <c r="EIC62"/>
      <c r="EID62"/>
      <c r="EIE62"/>
      <c r="EIF62"/>
      <c r="EIG62"/>
      <c r="EIH62"/>
      <c r="EII62"/>
      <c r="EIJ62"/>
      <c r="EIK62"/>
      <c r="EIL62"/>
      <c r="EIM62"/>
      <c r="EIN62"/>
      <c r="EIO62"/>
      <c r="EIP62"/>
      <c r="EIQ62"/>
      <c r="EIR62"/>
      <c r="EIS62"/>
      <c r="EIT62"/>
      <c r="EIU62"/>
      <c r="EIV62"/>
      <c r="EIW62"/>
      <c r="EIX62"/>
      <c r="EIY62"/>
      <c r="EIZ62"/>
      <c r="EJA62"/>
      <c r="EJB62"/>
      <c r="EJC62"/>
      <c r="EJD62"/>
      <c r="EJE62"/>
      <c r="EJF62"/>
      <c r="EJG62"/>
      <c r="EJH62"/>
      <c r="EJI62"/>
      <c r="EJJ62"/>
      <c r="EJK62"/>
      <c r="EJL62"/>
      <c r="EJM62"/>
      <c r="EJN62"/>
      <c r="EJO62"/>
      <c r="EJP62"/>
      <c r="EJQ62"/>
      <c r="EJR62"/>
      <c r="EJS62"/>
      <c r="EJT62"/>
      <c r="EJU62"/>
      <c r="EJV62"/>
      <c r="EJW62"/>
      <c r="EJX62"/>
      <c r="EJY62"/>
      <c r="EJZ62"/>
      <c r="EKA62"/>
      <c r="EKB62"/>
      <c r="EKC62"/>
      <c r="EKD62"/>
      <c r="EKE62"/>
      <c r="EKF62"/>
      <c r="EKG62"/>
      <c r="EKH62"/>
      <c r="EKI62"/>
      <c r="EKJ62"/>
      <c r="EKK62"/>
      <c r="EKL62"/>
      <c r="EKM62"/>
      <c r="EKN62"/>
      <c r="EKO62"/>
      <c r="EKP62"/>
      <c r="EKQ62"/>
      <c r="EKR62"/>
      <c r="EKS62"/>
      <c r="EKT62"/>
      <c r="EKU62"/>
      <c r="EKV62"/>
      <c r="EKW62"/>
      <c r="EKX62"/>
      <c r="EKY62"/>
      <c r="EKZ62"/>
      <c r="ELA62"/>
      <c r="ELB62"/>
      <c r="ELC62"/>
      <c r="ELD62"/>
      <c r="ELE62"/>
      <c r="ELF62"/>
      <c r="ELG62"/>
      <c r="ELH62"/>
      <c r="ELI62"/>
      <c r="ELJ62"/>
      <c r="ELK62"/>
      <c r="ELL62"/>
      <c r="ELM62"/>
      <c r="ELN62"/>
      <c r="ELO62"/>
      <c r="ELP62"/>
      <c r="ELQ62"/>
      <c r="ELR62"/>
      <c r="ELS62"/>
      <c r="ELT62"/>
      <c r="ELU62"/>
      <c r="ELV62"/>
      <c r="ELW62"/>
      <c r="ELX62"/>
      <c r="ELY62"/>
      <c r="ELZ62"/>
      <c r="EMA62"/>
      <c r="EMB62"/>
      <c r="EMC62"/>
      <c r="EMD62"/>
      <c r="EME62"/>
      <c r="EMF62"/>
      <c r="EMG62"/>
      <c r="EMH62"/>
      <c r="EMI62"/>
      <c r="EMJ62"/>
      <c r="EMK62"/>
      <c r="EML62"/>
      <c r="EMM62"/>
      <c r="EMN62"/>
      <c r="EMO62"/>
      <c r="EMP62"/>
      <c r="EMQ62"/>
      <c r="EMR62"/>
      <c r="EMS62"/>
      <c r="EMT62"/>
      <c r="EMU62"/>
      <c r="EMV62"/>
      <c r="EMW62"/>
      <c r="EMX62"/>
      <c r="EMY62"/>
      <c r="EMZ62"/>
      <c r="ENA62"/>
      <c r="ENB62"/>
      <c r="ENC62"/>
      <c r="END62"/>
      <c r="ENE62"/>
      <c r="ENF62"/>
      <c r="ENG62"/>
      <c r="ENH62"/>
      <c r="ENI62"/>
      <c r="ENJ62"/>
      <c r="ENK62"/>
      <c r="ENL62"/>
      <c r="ENM62"/>
      <c r="ENN62"/>
      <c r="ENO62"/>
      <c r="ENP62"/>
      <c r="ENQ62"/>
      <c r="ENR62"/>
      <c r="ENS62"/>
      <c r="ENT62"/>
      <c r="ENU62"/>
      <c r="ENV62"/>
      <c r="ENW62"/>
      <c r="ENX62"/>
      <c r="ENY62"/>
      <c r="ENZ62"/>
      <c r="EOA62"/>
      <c r="EOB62"/>
      <c r="EOC62"/>
      <c r="EOD62"/>
      <c r="EOE62"/>
      <c r="EOF62"/>
      <c r="EOG62"/>
      <c r="EOH62"/>
      <c r="EOI62"/>
      <c r="EOJ62"/>
      <c r="EOK62"/>
      <c r="EOL62"/>
      <c r="EOM62"/>
      <c r="EON62"/>
      <c r="EOO62"/>
      <c r="EOP62"/>
      <c r="EOQ62"/>
      <c r="EOR62"/>
      <c r="EOS62"/>
      <c r="EOT62"/>
      <c r="EOU62"/>
      <c r="EOV62"/>
      <c r="EOW62"/>
      <c r="EOX62"/>
      <c r="EOY62"/>
      <c r="EOZ62"/>
      <c r="EPA62"/>
      <c r="EPB62"/>
      <c r="EPC62"/>
      <c r="EPD62"/>
      <c r="EPE62"/>
      <c r="EPF62"/>
      <c r="EPG62"/>
      <c r="EPH62"/>
      <c r="EPI62"/>
      <c r="EPJ62"/>
      <c r="EPK62"/>
      <c r="EPL62"/>
      <c r="EPM62"/>
      <c r="EPN62"/>
      <c r="EPO62"/>
      <c r="EPP62"/>
      <c r="EPQ62"/>
      <c r="EPR62"/>
      <c r="EPS62"/>
      <c r="EPT62"/>
      <c r="EPU62"/>
      <c r="EPV62"/>
      <c r="EPW62"/>
      <c r="EPX62"/>
      <c r="EPY62"/>
      <c r="EPZ62"/>
      <c r="EQA62"/>
      <c r="EQB62"/>
      <c r="EQC62"/>
      <c r="EQD62"/>
      <c r="EQE62"/>
      <c r="EQF62"/>
      <c r="EQG62"/>
      <c r="EQH62"/>
      <c r="EQI62"/>
      <c r="EQJ62"/>
      <c r="EQK62"/>
      <c r="EQL62"/>
      <c r="EQM62"/>
      <c r="EQN62"/>
      <c r="EQO62"/>
      <c r="EQP62"/>
      <c r="EQQ62"/>
      <c r="EQR62"/>
      <c r="EQS62"/>
      <c r="EQT62"/>
      <c r="EQU62"/>
      <c r="EQV62"/>
      <c r="EQW62"/>
      <c r="EQX62"/>
      <c r="EQY62"/>
      <c r="EQZ62"/>
      <c r="ERA62"/>
      <c r="ERB62"/>
      <c r="ERC62"/>
      <c r="ERD62"/>
      <c r="ERE62"/>
      <c r="ERF62"/>
      <c r="ERG62"/>
      <c r="ERH62"/>
      <c r="ERI62"/>
      <c r="ERJ62"/>
      <c r="ERK62"/>
      <c r="ERL62"/>
      <c r="ERM62"/>
      <c r="ERN62"/>
      <c r="ERO62"/>
      <c r="ERP62"/>
      <c r="ERQ62"/>
      <c r="ERR62"/>
      <c r="ERS62"/>
      <c r="ERT62"/>
      <c r="ERU62"/>
      <c r="ERV62"/>
      <c r="ERW62"/>
      <c r="ERX62"/>
      <c r="ERY62"/>
      <c r="ERZ62"/>
      <c r="ESA62"/>
      <c r="ESB62"/>
      <c r="ESC62"/>
      <c r="ESD62"/>
      <c r="ESE62"/>
      <c r="ESF62"/>
      <c r="ESG62"/>
      <c r="ESH62"/>
      <c r="ESI62"/>
      <c r="ESJ62"/>
      <c r="ESK62"/>
      <c r="ESL62"/>
      <c r="ESM62"/>
      <c r="ESN62"/>
      <c r="ESO62"/>
      <c r="ESP62"/>
      <c r="ESQ62"/>
      <c r="ESR62"/>
      <c r="ESS62"/>
      <c r="EST62"/>
      <c r="ESU62"/>
      <c r="ESV62"/>
      <c r="ESW62"/>
      <c r="ESX62"/>
      <c r="ESY62"/>
      <c r="ESZ62"/>
      <c r="ETA62"/>
      <c r="ETB62"/>
      <c r="ETC62"/>
      <c r="ETD62"/>
      <c r="ETE62"/>
      <c r="ETF62"/>
      <c r="ETG62"/>
      <c r="ETH62"/>
      <c r="ETI62"/>
      <c r="ETJ62"/>
      <c r="ETK62"/>
      <c r="ETL62"/>
      <c r="ETM62"/>
      <c r="ETN62"/>
      <c r="ETO62"/>
      <c r="ETP62"/>
      <c r="ETQ62"/>
      <c r="ETR62"/>
      <c r="ETS62"/>
      <c r="ETT62"/>
      <c r="ETU62"/>
      <c r="ETV62"/>
      <c r="ETW62"/>
      <c r="ETX62"/>
      <c r="ETY62"/>
      <c r="ETZ62"/>
      <c r="EUA62"/>
      <c r="EUB62"/>
      <c r="EUC62"/>
      <c r="EUD62"/>
      <c r="EUE62"/>
      <c r="EUF62"/>
      <c r="EUG62"/>
      <c r="EUH62"/>
      <c r="EUI62"/>
      <c r="EUJ62"/>
      <c r="EUK62"/>
      <c r="EUL62"/>
      <c r="EUM62"/>
      <c r="EUN62"/>
      <c r="EUO62"/>
      <c r="EUP62"/>
      <c r="EUQ62"/>
      <c r="EUR62"/>
      <c r="EUS62"/>
      <c r="EUT62"/>
      <c r="EUU62"/>
      <c r="EUV62"/>
      <c r="EUW62"/>
      <c r="EUX62"/>
      <c r="EUY62"/>
      <c r="EUZ62"/>
      <c r="EVA62"/>
      <c r="EVB62"/>
      <c r="EVC62"/>
      <c r="EVD62"/>
      <c r="EVE62"/>
      <c r="EVF62"/>
      <c r="EVG62"/>
      <c r="EVH62"/>
      <c r="EVI62"/>
      <c r="EVJ62"/>
      <c r="EVK62"/>
      <c r="EVL62"/>
      <c r="EVM62"/>
      <c r="EVN62"/>
      <c r="EVO62"/>
      <c r="EVP62"/>
      <c r="EVQ62"/>
      <c r="EVR62"/>
      <c r="EVS62"/>
      <c r="EVT62"/>
      <c r="EVU62"/>
      <c r="EVV62"/>
      <c r="EVW62"/>
      <c r="EVX62"/>
      <c r="EVY62"/>
      <c r="EVZ62"/>
      <c r="EWA62"/>
      <c r="EWB62"/>
      <c r="EWC62"/>
      <c r="EWD62"/>
      <c r="EWE62"/>
      <c r="EWF62"/>
      <c r="EWG62"/>
      <c r="EWH62"/>
      <c r="EWI62"/>
      <c r="EWJ62"/>
      <c r="EWK62"/>
      <c r="EWL62"/>
      <c r="EWM62"/>
      <c r="EWN62"/>
      <c r="EWO62"/>
      <c r="EWP62"/>
      <c r="EWQ62"/>
      <c r="EWR62"/>
      <c r="EWS62"/>
      <c r="EWT62"/>
      <c r="EWU62"/>
      <c r="EWV62"/>
      <c r="EWW62"/>
      <c r="EWX62"/>
      <c r="EWY62"/>
      <c r="EWZ62"/>
      <c r="EXA62"/>
      <c r="EXB62"/>
      <c r="EXC62"/>
      <c r="EXD62"/>
      <c r="EXE62"/>
      <c r="EXF62"/>
      <c r="EXG62"/>
      <c r="EXH62"/>
      <c r="EXI62"/>
      <c r="EXJ62"/>
      <c r="EXK62"/>
      <c r="EXL62"/>
      <c r="EXM62"/>
      <c r="EXN62"/>
      <c r="EXO62"/>
      <c r="EXP62"/>
      <c r="EXQ62"/>
      <c r="EXR62"/>
      <c r="EXS62"/>
      <c r="EXT62"/>
      <c r="EXU62"/>
      <c r="EXV62"/>
      <c r="EXW62"/>
      <c r="EXX62"/>
      <c r="EXY62"/>
      <c r="EXZ62"/>
      <c r="EYA62"/>
      <c r="EYB62"/>
      <c r="EYC62"/>
      <c r="EYD62"/>
      <c r="EYE62"/>
      <c r="EYF62"/>
      <c r="EYG62"/>
      <c r="EYH62"/>
      <c r="EYI62"/>
      <c r="EYJ62"/>
      <c r="EYK62"/>
      <c r="EYL62"/>
      <c r="EYM62"/>
      <c r="EYN62"/>
      <c r="EYO62"/>
      <c r="EYP62"/>
      <c r="EYQ62"/>
      <c r="EYR62"/>
      <c r="EYS62"/>
      <c r="EYT62"/>
      <c r="EYU62"/>
      <c r="EYV62"/>
      <c r="EYW62"/>
      <c r="EYX62"/>
      <c r="EYY62"/>
      <c r="EYZ62"/>
      <c r="EZA62"/>
      <c r="EZB62"/>
      <c r="EZC62"/>
      <c r="EZD62"/>
      <c r="EZE62"/>
      <c r="EZF62"/>
      <c r="EZG62"/>
      <c r="EZH62"/>
      <c r="EZI62"/>
      <c r="EZJ62"/>
      <c r="EZK62"/>
      <c r="EZL62"/>
      <c r="EZM62"/>
      <c r="EZN62"/>
      <c r="EZO62"/>
      <c r="EZP62"/>
      <c r="EZQ62"/>
      <c r="EZR62"/>
      <c r="EZS62"/>
      <c r="EZT62"/>
      <c r="EZU62"/>
      <c r="EZV62"/>
      <c r="EZW62"/>
      <c r="EZX62"/>
      <c r="EZY62"/>
      <c r="EZZ62"/>
      <c r="FAA62"/>
      <c r="FAB62"/>
      <c r="FAC62"/>
      <c r="FAD62"/>
      <c r="FAE62"/>
      <c r="FAF62"/>
      <c r="FAG62"/>
      <c r="FAH62"/>
      <c r="FAI62"/>
      <c r="FAJ62"/>
      <c r="FAK62"/>
      <c r="FAL62"/>
      <c r="FAM62"/>
      <c r="FAN62"/>
      <c r="FAO62"/>
      <c r="FAP62"/>
      <c r="FAQ62"/>
      <c r="FAR62"/>
      <c r="FAS62"/>
      <c r="FAT62"/>
      <c r="FAU62"/>
      <c r="FAV62"/>
      <c r="FAW62"/>
      <c r="FAX62"/>
      <c r="FAY62"/>
      <c r="FAZ62"/>
      <c r="FBA62"/>
      <c r="FBB62"/>
      <c r="FBC62"/>
      <c r="FBD62"/>
      <c r="FBE62"/>
      <c r="FBF62"/>
      <c r="FBG62"/>
      <c r="FBH62"/>
      <c r="FBI62"/>
      <c r="FBJ62"/>
      <c r="FBK62"/>
      <c r="FBL62"/>
      <c r="FBM62"/>
      <c r="FBN62"/>
      <c r="FBO62"/>
      <c r="FBP62"/>
      <c r="FBQ62"/>
      <c r="FBR62"/>
      <c r="FBS62"/>
      <c r="FBT62"/>
      <c r="FBU62"/>
      <c r="FBV62"/>
      <c r="FBW62"/>
      <c r="FBX62"/>
      <c r="FBY62"/>
      <c r="FBZ62"/>
      <c r="FCA62"/>
      <c r="FCB62"/>
      <c r="FCC62"/>
      <c r="FCD62"/>
      <c r="FCE62"/>
      <c r="FCF62"/>
      <c r="FCG62"/>
      <c r="FCH62"/>
      <c r="FCI62"/>
      <c r="FCJ62"/>
      <c r="FCK62"/>
      <c r="FCL62"/>
      <c r="FCM62"/>
      <c r="FCN62"/>
      <c r="FCO62"/>
      <c r="FCP62"/>
      <c r="FCQ62"/>
      <c r="FCR62"/>
      <c r="FCS62"/>
      <c r="FCT62"/>
      <c r="FCU62"/>
      <c r="FCV62"/>
      <c r="FCW62"/>
      <c r="FCX62"/>
      <c r="FCY62"/>
      <c r="FCZ62"/>
      <c r="FDA62"/>
      <c r="FDB62"/>
      <c r="FDC62"/>
      <c r="FDD62"/>
      <c r="FDE62"/>
      <c r="FDF62"/>
      <c r="FDG62"/>
      <c r="FDH62"/>
      <c r="FDI62"/>
      <c r="FDJ62"/>
      <c r="FDK62"/>
      <c r="FDL62"/>
      <c r="FDM62"/>
      <c r="FDN62"/>
      <c r="FDO62"/>
      <c r="FDP62"/>
      <c r="FDQ62"/>
      <c r="FDR62"/>
      <c r="FDS62"/>
      <c r="FDT62"/>
      <c r="FDU62"/>
      <c r="FDV62"/>
      <c r="FDW62"/>
      <c r="FDX62"/>
      <c r="FDY62"/>
      <c r="FDZ62"/>
      <c r="FEA62"/>
      <c r="FEB62"/>
      <c r="FEC62"/>
      <c r="FED62"/>
      <c r="FEE62"/>
      <c r="FEF62"/>
      <c r="FEG62"/>
      <c r="FEH62"/>
      <c r="FEI62"/>
      <c r="FEJ62"/>
      <c r="FEK62"/>
      <c r="FEL62"/>
      <c r="FEM62"/>
      <c r="FEN62"/>
      <c r="FEO62"/>
      <c r="FEP62"/>
      <c r="FEQ62"/>
      <c r="FER62"/>
      <c r="FES62"/>
      <c r="FET62"/>
      <c r="FEU62"/>
      <c r="FEV62"/>
      <c r="FEW62"/>
      <c r="FEX62"/>
      <c r="FEY62"/>
      <c r="FEZ62"/>
      <c r="FFA62"/>
      <c r="FFB62"/>
      <c r="FFC62"/>
      <c r="FFD62"/>
      <c r="FFE62"/>
      <c r="FFF62"/>
      <c r="FFG62"/>
      <c r="FFH62"/>
      <c r="FFI62"/>
      <c r="FFJ62"/>
      <c r="FFK62"/>
      <c r="FFL62"/>
      <c r="FFM62"/>
      <c r="FFN62"/>
      <c r="FFO62"/>
      <c r="FFP62"/>
      <c r="FFQ62"/>
      <c r="FFR62"/>
      <c r="FFS62"/>
      <c r="FFT62"/>
      <c r="FFU62"/>
      <c r="FFV62"/>
      <c r="FFW62"/>
      <c r="FFX62"/>
      <c r="FFY62"/>
      <c r="FFZ62"/>
      <c r="FGA62"/>
      <c r="FGB62"/>
      <c r="FGC62"/>
      <c r="FGD62"/>
      <c r="FGE62"/>
      <c r="FGF62"/>
      <c r="FGG62"/>
      <c r="FGH62"/>
      <c r="FGI62"/>
      <c r="FGJ62"/>
      <c r="FGK62"/>
      <c r="FGL62"/>
      <c r="FGM62"/>
      <c r="FGN62"/>
      <c r="FGO62"/>
      <c r="FGP62"/>
      <c r="FGQ62"/>
      <c r="FGR62"/>
      <c r="FGS62"/>
      <c r="FGT62"/>
      <c r="FGU62"/>
      <c r="FGV62"/>
      <c r="FGW62"/>
      <c r="FGX62"/>
      <c r="FGY62"/>
      <c r="FGZ62"/>
      <c r="FHA62"/>
      <c r="FHB62"/>
      <c r="FHC62"/>
      <c r="FHD62"/>
      <c r="FHE62"/>
      <c r="FHF62"/>
      <c r="FHG62"/>
      <c r="FHH62"/>
      <c r="FHI62"/>
      <c r="FHJ62"/>
      <c r="FHK62"/>
      <c r="FHL62"/>
      <c r="FHM62"/>
      <c r="FHN62"/>
      <c r="FHO62"/>
      <c r="FHP62"/>
      <c r="FHQ62"/>
      <c r="FHR62"/>
      <c r="FHS62"/>
      <c r="FHT62"/>
      <c r="FHU62"/>
      <c r="FHV62"/>
      <c r="FHW62"/>
      <c r="FHX62"/>
      <c r="FHY62"/>
      <c r="FHZ62"/>
      <c r="FIA62"/>
      <c r="FIB62"/>
      <c r="FIC62"/>
      <c r="FID62"/>
      <c r="FIE62"/>
      <c r="FIF62"/>
      <c r="FIG62"/>
      <c r="FIH62"/>
      <c r="FII62"/>
      <c r="FIJ62"/>
      <c r="FIK62"/>
      <c r="FIL62"/>
      <c r="FIM62"/>
      <c r="FIN62"/>
      <c r="FIO62"/>
      <c r="FIP62"/>
      <c r="FIQ62"/>
      <c r="FIR62"/>
      <c r="FIS62"/>
      <c r="FIT62"/>
      <c r="FIU62"/>
      <c r="FIV62"/>
      <c r="FIW62"/>
      <c r="FIX62"/>
      <c r="FIY62"/>
      <c r="FIZ62"/>
      <c r="FJA62"/>
      <c r="FJB62"/>
      <c r="FJC62"/>
      <c r="FJD62"/>
      <c r="FJE62"/>
      <c r="FJF62"/>
      <c r="FJG62"/>
      <c r="FJH62"/>
      <c r="FJI62"/>
      <c r="FJJ62"/>
      <c r="FJK62"/>
      <c r="FJL62"/>
      <c r="FJM62"/>
      <c r="FJN62"/>
      <c r="FJO62"/>
      <c r="FJP62"/>
      <c r="FJQ62"/>
      <c r="FJR62"/>
      <c r="FJS62"/>
      <c r="FJT62"/>
      <c r="FJU62"/>
      <c r="FJV62"/>
      <c r="FJW62"/>
      <c r="FJX62"/>
      <c r="FJY62"/>
      <c r="FJZ62"/>
      <c r="FKA62"/>
      <c r="FKB62"/>
      <c r="FKC62"/>
      <c r="FKD62"/>
      <c r="FKE62"/>
      <c r="FKF62"/>
      <c r="FKG62"/>
      <c r="FKH62"/>
      <c r="FKI62"/>
      <c r="FKJ62"/>
      <c r="FKK62"/>
      <c r="FKL62"/>
      <c r="FKM62"/>
      <c r="FKN62"/>
      <c r="FKO62"/>
      <c r="FKP62"/>
      <c r="FKQ62"/>
      <c r="FKR62"/>
      <c r="FKS62"/>
      <c r="FKT62"/>
      <c r="FKU62"/>
      <c r="FKV62"/>
      <c r="FKW62"/>
      <c r="FKX62"/>
      <c r="FKY62"/>
      <c r="FKZ62"/>
      <c r="FLA62"/>
      <c r="FLB62"/>
      <c r="FLC62"/>
      <c r="FLD62"/>
      <c r="FLE62"/>
      <c r="FLF62"/>
      <c r="FLG62"/>
      <c r="FLH62"/>
      <c r="FLI62"/>
      <c r="FLJ62"/>
      <c r="FLK62"/>
      <c r="FLL62"/>
      <c r="FLM62"/>
      <c r="FLN62"/>
      <c r="FLO62"/>
      <c r="FLP62"/>
      <c r="FLQ62"/>
      <c r="FLR62"/>
      <c r="FLS62"/>
      <c r="FLT62"/>
      <c r="FLU62"/>
      <c r="FLV62"/>
      <c r="FLW62"/>
      <c r="FLX62"/>
      <c r="FLY62"/>
      <c r="FLZ62"/>
      <c r="FMA62"/>
      <c r="FMB62"/>
      <c r="FMC62"/>
      <c r="FMD62"/>
      <c r="FME62"/>
      <c r="FMF62"/>
      <c r="FMG62"/>
      <c r="FMH62"/>
      <c r="FMI62"/>
      <c r="FMJ62"/>
      <c r="FMK62"/>
      <c r="FML62"/>
      <c r="FMM62"/>
      <c r="FMN62"/>
      <c r="FMO62"/>
      <c r="FMP62"/>
      <c r="FMQ62"/>
      <c r="FMR62"/>
      <c r="FMS62"/>
      <c r="FMT62"/>
      <c r="FMU62"/>
      <c r="FMV62"/>
      <c r="FMW62"/>
      <c r="FMX62"/>
      <c r="FMY62"/>
      <c r="FMZ62"/>
      <c r="FNA62"/>
      <c r="FNB62"/>
      <c r="FNC62"/>
      <c r="FND62"/>
      <c r="FNE62"/>
      <c r="FNF62"/>
      <c r="FNG62"/>
      <c r="FNH62"/>
      <c r="FNI62"/>
      <c r="FNJ62"/>
      <c r="FNK62"/>
      <c r="FNL62"/>
      <c r="FNM62"/>
      <c r="FNN62"/>
      <c r="FNO62"/>
      <c r="FNP62"/>
      <c r="FNQ62"/>
      <c r="FNR62"/>
      <c r="FNS62"/>
      <c r="FNT62"/>
      <c r="FNU62"/>
      <c r="FNV62"/>
      <c r="FNW62"/>
      <c r="FNX62"/>
      <c r="FNY62"/>
      <c r="FNZ62"/>
      <c r="FOA62"/>
      <c r="FOB62"/>
      <c r="FOC62"/>
      <c r="FOD62"/>
      <c r="FOE62"/>
      <c r="FOF62"/>
      <c r="FOG62"/>
      <c r="FOH62"/>
      <c r="FOI62"/>
      <c r="FOJ62"/>
      <c r="FOK62"/>
      <c r="FOL62"/>
      <c r="FOM62"/>
      <c r="FON62"/>
      <c r="FOO62"/>
      <c r="FOP62"/>
      <c r="FOQ62"/>
      <c r="FOR62"/>
      <c r="FOS62"/>
      <c r="FOT62"/>
      <c r="FOU62"/>
      <c r="FOV62"/>
      <c r="FOW62"/>
      <c r="FOX62"/>
      <c r="FOY62"/>
      <c r="FOZ62"/>
      <c r="FPA62"/>
      <c r="FPB62"/>
      <c r="FPC62"/>
      <c r="FPD62"/>
      <c r="FPE62"/>
      <c r="FPF62"/>
      <c r="FPG62"/>
      <c r="FPH62"/>
      <c r="FPI62"/>
      <c r="FPJ62"/>
      <c r="FPK62"/>
      <c r="FPL62"/>
      <c r="FPM62"/>
      <c r="FPN62"/>
      <c r="FPO62"/>
      <c r="FPP62"/>
      <c r="FPQ62"/>
      <c r="FPR62"/>
      <c r="FPS62"/>
      <c r="FPT62"/>
      <c r="FPU62"/>
      <c r="FPV62"/>
      <c r="FPW62"/>
      <c r="FPX62"/>
      <c r="FPY62"/>
      <c r="FPZ62"/>
      <c r="FQA62"/>
      <c r="FQB62"/>
      <c r="FQC62"/>
      <c r="FQD62"/>
      <c r="FQE62"/>
      <c r="FQF62"/>
      <c r="FQG62"/>
      <c r="FQH62"/>
      <c r="FQI62"/>
      <c r="FQJ62"/>
      <c r="FQK62"/>
      <c r="FQL62"/>
      <c r="FQM62"/>
      <c r="FQN62"/>
      <c r="FQO62"/>
      <c r="FQP62"/>
      <c r="FQQ62"/>
      <c r="FQR62"/>
      <c r="FQS62"/>
      <c r="FQT62"/>
      <c r="FQU62"/>
      <c r="FQV62"/>
      <c r="FQW62"/>
      <c r="FQX62"/>
      <c r="FQY62"/>
      <c r="FQZ62"/>
      <c r="FRA62"/>
      <c r="FRB62"/>
      <c r="FRC62"/>
      <c r="FRD62"/>
      <c r="FRE62"/>
      <c r="FRF62"/>
      <c r="FRG62"/>
      <c r="FRH62"/>
      <c r="FRI62"/>
      <c r="FRJ62"/>
      <c r="FRK62"/>
      <c r="FRL62"/>
      <c r="FRM62"/>
      <c r="FRN62"/>
      <c r="FRO62"/>
      <c r="FRP62"/>
      <c r="FRQ62"/>
      <c r="FRR62"/>
      <c r="FRS62"/>
      <c r="FRT62"/>
      <c r="FRU62"/>
      <c r="FRV62"/>
      <c r="FRW62"/>
      <c r="FRX62"/>
      <c r="FRY62"/>
      <c r="FRZ62"/>
      <c r="FSA62"/>
      <c r="FSB62"/>
      <c r="FSC62"/>
      <c r="FSD62"/>
      <c r="FSE62"/>
      <c r="FSF62"/>
      <c r="FSG62"/>
      <c r="FSH62"/>
      <c r="FSI62"/>
      <c r="FSJ62"/>
      <c r="FSK62"/>
      <c r="FSL62"/>
      <c r="FSM62"/>
      <c r="FSN62"/>
      <c r="FSO62"/>
      <c r="FSP62"/>
      <c r="FSQ62"/>
      <c r="FSR62"/>
      <c r="FSS62"/>
      <c r="FST62"/>
      <c r="FSU62"/>
      <c r="FSV62"/>
      <c r="FSW62"/>
      <c r="FSX62"/>
      <c r="FSY62"/>
      <c r="FSZ62"/>
      <c r="FTA62"/>
      <c r="FTB62"/>
      <c r="FTC62"/>
      <c r="FTD62"/>
      <c r="FTE62"/>
      <c r="FTF62"/>
      <c r="FTG62"/>
      <c r="FTH62"/>
      <c r="FTI62"/>
      <c r="FTJ62"/>
      <c r="FTK62"/>
      <c r="FTL62"/>
      <c r="FTM62"/>
      <c r="FTN62"/>
      <c r="FTO62"/>
      <c r="FTP62"/>
      <c r="FTQ62"/>
      <c r="FTR62"/>
      <c r="FTS62"/>
      <c r="FTT62"/>
      <c r="FTU62"/>
      <c r="FTV62"/>
      <c r="FTW62"/>
      <c r="FTX62"/>
      <c r="FTY62"/>
      <c r="FTZ62"/>
      <c r="FUA62"/>
      <c r="FUB62"/>
      <c r="FUC62"/>
      <c r="FUD62"/>
      <c r="FUE62"/>
      <c r="FUF62"/>
      <c r="FUG62"/>
      <c r="FUH62"/>
      <c r="FUI62"/>
      <c r="FUJ62"/>
      <c r="FUK62"/>
      <c r="FUL62"/>
      <c r="FUM62"/>
      <c r="FUN62"/>
      <c r="FUO62"/>
      <c r="FUP62"/>
      <c r="FUQ62"/>
      <c r="FUR62"/>
      <c r="FUS62"/>
      <c r="FUT62"/>
      <c r="FUU62"/>
      <c r="FUV62"/>
      <c r="FUW62"/>
      <c r="FUX62"/>
      <c r="FUY62"/>
      <c r="FUZ62"/>
      <c r="FVA62"/>
      <c r="FVB62"/>
      <c r="FVC62"/>
      <c r="FVD62"/>
      <c r="FVE62"/>
      <c r="FVF62"/>
      <c r="FVG62"/>
      <c r="FVH62"/>
      <c r="FVI62"/>
      <c r="FVJ62"/>
      <c r="FVK62"/>
      <c r="FVL62"/>
      <c r="FVM62"/>
      <c r="FVN62"/>
      <c r="FVO62"/>
      <c r="FVP62"/>
      <c r="FVQ62"/>
      <c r="FVR62"/>
      <c r="FVS62"/>
      <c r="FVT62"/>
      <c r="FVU62"/>
      <c r="FVV62"/>
      <c r="FVW62"/>
      <c r="FVX62"/>
      <c r="FVY62"/>
      <c r="FVZ62"/>
    </row>
    <row r="63" spans="1:4654" ht="15.75">
      <c r="A63" s="47"/>
      <c r="B63" s="47"/>
      <c r="C63" s="47"/>
      <c r="G63" t="s">
        <v>22</v>
      </c>
      <c r="H63">
        <v>54576120</v>
      </c>
      <c r="I63">
        <v>24220888</v>
      </c>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c r="LT63"/>
      <c r="LU63"/>
      <c r="LV63"/>
      <c r="LW63"/>
      <c r="LX63"/>
      <c r="LY63"/>
      <c r="LZ63"/>
      <c r="MA63"/>
      <c r="MB63"/>
      <c r="MC63"/>
      <c r="MD63"/>
      <c r="ME63"/>
      <c r="MF63"/>
      <c r="MG63"/>
      <c r="MH63"/>
      <c r="MI63"/>
      <c r="MJ63"/>
      <c r="MK63"/>
      <c r="ML63"/>
      <c r="MM63"/>
      <c r="MN63"/>
      <c r="MO63"/>
      <c r="MP63"/>
      <c r="MQ63"/>
      <c r="MR63"/>
      <c r="MS63"/>
      <c r="MT63"/>
      <c r="MU63"/>
      <c r="MV63"/>
      <c r="MW63"/>
      <c r="MX63"/>
      <c r="MY63"/>
      <c r="MZ63"/>
      <c r="NA63"/>
      <c r="NB63"/>
      <c r="NC63"/>
      <c r="ND63"/>
      <c r="NE63"/>
      <c r="NF63"/>
      <c r="NG63"/>
      <c r="NH63"/>
      <c r="NI63"/>
      <c r="NJ63"/>
      <c r="NK63"/>
      <c r="NL63"/>
      <c r="NM63"/>
      <c r="NN63"/>
      <c r="NO63"/>
      <c r="NP63"/>
      <c r="NQ63"/>
      <c r="NR63"/>
      <c r="NS63"/>
      <c r="NT63"/>
      <c r="NU63"/>
      <c r="NV63"/>
      <c r="NW63"/>
      <c r="NX63"/>
      <c r="NY63"/>
      <c r="NZ63"/>
      <c r="OA63"/>
      <c r="OB63"/>
      <c r="OC63"/>
      <c r="OD63"/>
      <c r="OE63"/>
      <c r="OF63"/>
      <c r="OG63"/>
      <c r="OH63"/>
      <c r="OI63"/>
      <c r="OJ63"/>
      <c r="OK63"/>
      <c r="OL63"/>
      <c r="OM63"/>
      <c r="ON63"/>
      <c r="OO63"/>
      <c r="OP63"/>
      <c r="OQ63"/>
      <c r="OR63"/>
      <c r="OS63"/>
      <c r="OT63"/>
      <c r="OU63"/>
      <c r="OV63"/>
      <c r="OW63"/>
      <c r="OX63"/>
      <c r="OY63"/>
      <c r="OZ63"/>
      <c r="PA63"/>
      <c r="PB63"/>
      <c r="PC63"/>
      <c r="PD63"/>
      <c r="PE63"/>
      <c r="PF63"/>
      <c r="PG63"/>
      <c r="PH63"/>
      <c r="PI63"/>
      <c r="PJ63"/>
      <c r="PK63"/>
      <c r="PL63"/>
      <c r="PM63"/>
      <c r="PN63"/>
      <c r="PO63"/>
      <c r="PP63"/>
      <c r="PQ63"/>
      <c r="PR63"/>
      <c r="PS63"/>
      <c r="PT63"/>
      <c r="PU63"/>
      <c r="PV63"/>
      <c r="PW63"/>
      <c r="PX63"/>
      <c r="PY63"/>
      <c r="PZ63"/>
      <c r="QA63"/>
      <c r="QB63"/>
      <c r="QC63"/>
      <c r="QD63"/>
      <c r="QE63"/>
      <c r="QF63"/>
      <c r="QG63"/>
      <c r="QH63"/>
      <c r="QI63"/>
      <c r="QJ63"/>
      <c r="QK63"/>
      <c r="QL63"/>
      <c r="QM63"/>
      <c r="QN63"/>
      <c r="QO63"/>
      <c r="QP63"/>
      <c r="QQ63"/>
      <c r="QR63"/>
      <c r="QS63"/>
      <c r="QT63"/>
      <c r="QU63"/>
      <c r="QV63"/>
      <c r="QW63"/>
      <c r="QX63"/>
      <c r="QY63"/>
      <c r="QZ63"/>
      <c r="RA63"/>
      <c r="RB63"/>
      <c r="RC63"/>
      <c r="RD63"/>
      <c r="RE63"/>
      <c r="RF63"/>
      <c r="RG63"/>
      <c r="RH63"/>
      <c r="RI63"/>
      <c r="RJ63"/>
      <c r="RK63"/>
      <c r="RL63"/>
      <c r="RM63"/>
      <c r="RN63"/>
      <c r="RO63"/>
      <c r="RP63"/>
      <c r="RQ63"/>
      <c r="RR63"/>
      <c r="RS63"/>
      <c r="RT63"/>
      <c r="RU63"/>
      <c r="RV63"/>
      <c r="RW63"/>
      <c r="RX63"/>
      <c r="RY63"/>
      <c r="RZ63"/>
      <c r="SA63"/>
      <c r="SB63"/>
      <c r="SC63"/>
      <c r="SD63"/>
      <c r="SE63"/>
      <c r="SF63"/>
      <c r="SG63"/>
      <c r="SH63"/>
      <c r="SI63"/>
      <c r="SJ63"/>
      <c r="SK63"/>
      <c r="SL63"/>
      <c r="SM63"/>
      <c r="SN63"/>
      <c r="SO63"/>
      <c r="SP63"/>
      <c r="SQ63"/>
      <c r="SR63"/>
      <c r="SS63"/>
      <c r="ST63"/>
      <c r="SU63"/>
      <c r="SV63"/>
      <c r="SW63"/>
      <c r="SX63"/>
      <c r="SY63"/>
      <c r="SZ63"/>
      <c r="TA63"/>
      <c r="TB63"/>
      <c r="TC63"/>
      <c r="TD63"/>
      <c r="TE63"/>
      <c r="TF63"/>
      <c r="TG63"/>
      <c r="TH63"/>
      <c r="TI63"/>
      <c r="TJ63"/>
      <c r="TK63"/>
      <c r="TL63"/>
      <c r="TM63"/>
      <c r="TN63"/>
      <c r="TO63"/>
      <c r="TP63"/>
      <c r="TQ63"/>
      <c r="TR63"/>
      <c r="TS63"/>
      <c r="TT63"/>
      <c r="TU63"/>
      <c r="TV63"/>
      <c r="TW63"/>
      <c r="TX63"/>
      <c r="TY63"/>
      <c r="TZ63"/>
      <c r="UA63"/>
      <c r="UB63"/>
      <c r="UC63"/>
      <c r="UD63"/>
      <c r="UE63"/>
      <c r="UF63"/>
      <c r="UG63"/>
      <c r="UH63"/>
      <c r="UI63"/>
      <c r="UJ63"/>
      <c r="UK63"/>
      <c r="UL63"/>
      <c r="UM63"/>
      <c r="UN63"/>
      <c r="UO63"/>
      <c r="UP63"/>
      <c r="UQ63"/>
      <c r="UR63"/>
      <c r="US63"/>
      <c r="UT63"/>
      <c r="UU63"/>
      <c r="UV63"/>
      <c r="UW63"/>
      <c r="UX63"/>
      <c r="UY63"/>
      <c r="UZ63"/>
      <c r="VA63"/>
      <c r="VB63"/>
      <c r="VC63"/>
      <c r="VD63"/>
      <c r="VE63"/>
      <c r="VF63"/>
      <c r="VG63"/>
      <c r="VH63"/>
      <c r="VI63"/>
      <c r="VJ63"/>
      <c r="VK63"/>
      <c r="VL63"/>
      <c r="VM63"/>
      <c r="VN63"/>
      <c r="VO63"/>
      <c r="VP63"/>
      <c r="VQ63"/>
      <c r="VR63"/>
      <c r="VS63"/>
      <c r="VT63"/>
      <c r="VU63"/>
      <c r="VV63"/>
      <c r="VW63"/>
      <c r="VX63"/>
      <c r="VY63"/>
      <c r="VZ63"/>
      <c r="WA63"/>
      <c r="WB63"/>
      <c r="WC63"/>
      <c r="WD63"/>
      <c r="WE63"/>
      <c r="WF63"/>
      <c r="WG63"/>
      <c r="WH63"/>
      <c r="WI63"/>
      <c r="WJ63"/>
      <c r="WK63"/>
      <c r="WL63"/>
      <c r="WM63"/>
      <c r="WN63"/>
      <c r="WO63"/>
      <c r="WP63"/>
      <c r="WQ63"/>
      <c r="WR63"/>
      <c r="WS63"/>
      <c r="WT63"/>
      <c r="WU63"/>
      <c r="WV63"/>
      <c r="WW63"/>
      <c r="WX63"/>
      <c r="WY63"/>
      <c r="WZ63"/>
      <c r="XA63"/>
      <c r="XB63"/>
      <c r="XC63"/>
      <c r="XD63"/>
      <c r="XE63"/>
      <c r="XF63"/>
      <c r="XG63"/>
      <c r="XH63"/>
      <c r="XI63"/>
      <c r="XJ63"/>
      <c r="XK63"/>
      <c r="XL63"/>
      <c r="XM63"/>
      <c r="XN63"/>
      <c r="XO63"/>
      <c r="XP63"/>
      <c r="XQ63"/>
      <c r="XR63"/>
      <c r="XS63"/>
      <c r="XT63"/>
      <c r="XU63"/>
      <c r="XV63"/>
      <c r="XW63"/>
      <c r="XX63"/>
      <c r="XY63"/>
      <c r="XZ63"/>
      <c r="YA63"/>
      <c r="YB63"/>
      <c r="YC63"/>
      <c r="YD63"/>
      <c r="YE63"/>
      <c r="YF63"/>
      <c r="YG63"/>
      <c r="YH63"/>
      <c r="YI63"/>
      <c r="YJ63"/>
      <c r="YK63"/>
      <c r="YL63"/>
      <c r="YM63"/>
      <c r="YN63"/>
      <c r="YO63"/>
      <c r="YP63"/>
      <c r="YQ63"/>
      <c r="YR63"/>
      <c r="YS63"/>
      <c r="YT63"/>
      <c r="YU63"/>
      <c r="YV63"/>
      <c r="YW63"/>
      <c r="YX63"/>
      <c r="YY63"/>
      <c r="YZ63"/>
      <c r="ZA63"/>
      <c r="ZB63"/>
      <c r="ZC63"/>
      <c r="ZD63"/>
      <c r="ZE63"/>
      <c r="ZF63"/>
      <c r="ZG63"/>
      <c r="ZH63"/>
      <c r="ZI63"/>
      <c r="ZJ63"/>
      <c r="ZK63"/>
      <c r="ZL63"/>
      <c r="ZM63"/>
      <c r="ZN63"/>
      <c r="ZO63"/>
      <c r="ZP63"/>
      <c r="ZQ63"/>
      <c r="ZR63"/>
      <c r="ZS63"/>
      <c r="ZT63"/>
      <c r="ZU63"/>
      <c r="ZV63"/>
      <c r="ZW63"/>
      <c r="ZX63"/>
      <c r="ZY63"/>
      <c r="ZZ63"/>
      <c r="AAA63"/>
      <c r="AAB63"/>
      <c r="AAC63"/>
      <c r="AAD63"/>
      <c r="AAE63"/>
      <c r="AAF63"/>
      <c r="AAG63"/>
      <c r="AAH63"/>
      <c r="AAI63"/>
      <c r="AAJ63"/>
      <c r="AAK63"/>
      <c r="AAL63"/>
      <c r="AAM63"/>
      <c r="AAN63"/>
      <c r="AAO63"/>
      <c r="AAP63"/>
      <c r="AAQ63"/>
      <c r="AAR63"/>
      <c r="AAS63"/>
      <c r="AAT63"/>
      <c r="AAU63"/>
      <c r="AAV63"/>
      <c r="AAW63"/>
      <c r="AAX63"/>
      <c r="AAY63"/>
      <c r="AAZ63"/>
      <c r="ABA63"/>
      <c r="ABB63"/>
      <c r="ABC63"/>
      <c r="ABD63"/>
      <c r="ABE63"/>
      <c r="ABF63"/>
      <c r="ABG63"/>
      <c r="ABH63"/>
      <c r="ABI63"/>
      <c r="ABJ63"/>
      <c r="ABK63"/>
      <c r="ABL63"/>
      <c r="ABM63"/>
      <c r="ABN63"/>
      <c r="ABO63"/>
      <c r="ABP63"/>
      <c r="ABQ63"/>
      <c r="ABR63"/>
      <c r="ABS63"/>
      <c r="ABT63"/>
      <c r="ABU63"/>
      <c r="ABV63"/>
      <c r="ABW63"/>
      <c r="ABX63"/>
      <c r="ABY63"/>
      <c r="ABZ63"/>
      <c r="ACA63"/>
      <c r="ACB63"/>
      <c r="ACC63"/>
      <c r="ACD63"/>
      <c r="ACE63"/>
      <c r="ACF63"/>
      <c r="ACG63"/>
      <c r="ACH63"/>
      <c r="ACI63"/>
      <c r="ACJ63"/>
      <c r="ACK63"/>
      <c r="ACL63"/>
      <c r="ACM63"/>
      <c r="ACN63"/>
      <c r="ACO63"/>
      <c r="ACP63"/>
      <c r="ACQ63"/>
      <c r="ACR63"/>
      <c r="ACS63"/>
      <c r="ACT63"/>
      <c r="ACU63"/>
      <c r="ACV63"/>
      <c r="ACW63"/>
      <c r="ACX63"/>
      <c r="ACY63"/>
      <c r="ACZ63"/>
      <c r="ADA63"/>
      <c r="ADB63"/>
      <c r="ADC63"/>
      <c r="ADD63"/>
      <c r="ADE63"/>
      <c r="ADF63"/>
      <c r="ADG63"/>
      <c r="ADH63"/>
      <c r="ADI63"/>
      <c r="ADJ63"/>
      <c r="ADK63"/>
      <c r="ADL63"/>
      <c r="ADM63"/>
      <c r="ADN63"/>
      <c r="ADO63"/>
      <c r="ADP63"/>
      <c r="ADQ63"/>
      <c r="ADR63"/>
      <c r="ADS63"/>
      <c r="ADT63"/>
      <c r="ADU63"/>
      <c r="ADV63"/>
      <c r="ADW63"/>
      <c r="ADX63"/>
      <c r="ADY63"/>
      <c r="ADZ63"/>
      <c r="AEA63"/>
      <c r="AEB63"/>
      <c r="AEC63"/>
      <c r="AED63"/>
      <c r="AEE63"/>
      <c r="AEF63"/>
      <c r="AEG63"/>
      <c r="AEH63"/>
      <c r="AEI63"/>
      <c r="AEJ63"/>
      <c r="AEK63"/>
      <c r="AEL63"/>
      <c r="AEM63"/>
      <c r="AEN63"/>
      <c r="AEO63"/>
      <c r="AEP63"/>
      <c r="AEQ63"/>
      <c r="AER63"/>
      <c r="AES63"/>
      <c r="AET63"/>
      <c r="AEU63"/>
      <c r="AEV63"/>
      <c r="AEW63"/>
      <c r="AEX63"/>
      <c r="AEY63"/>
      <c r="AEZ63"/>
      <c r="AFA63"/>
      <c r="AFB63"/>
      <c r="AFC63"/>
      <c r="AFD63"/>
      <c r="AFE63"/>
      <c r="AFF63"/>
      <c r="AFG63"/>
      <c r="AFH63"/>
      <c r="AFI63"/>
      <c r="AFJ63"/>
      <c r="AFK63"/>
      <c r="AFL63"/>
      <c r="AFM63"/>
      <c r="AFN63"/>
      <c r="AFO63"/>
      <c r="AFP63"/>
      <c r="AFQ63"/>
      <c r="AFR63"/>
      <c r="AFS63"/>
      <c r="AFT63"/>
      <c r="AFU63"/>
      <c r="AFV63"/>
      <c r="AFW63"/>
      <c r="AFX63"/>
      <c r="AFY63"/>
      <c r="AFZ63"/>
      <c r="AGA63"/>
      <c r="AGB63"/>
      <c r="AGC63"/>
      <c r="AGD63"/>
      <c r="AGE63"/>
      <c r="AGF63"/>
      <c r="AGG63"/>
      <c r="AGH63"/>
      <c r="AGI63"/>
      <c r="AGJ63"/>
      <c r="AGK63"/>
      <c r="AGL63"/>
      <c r="AGM63"/>
      <c r="AGN63"/>
      <c r="AGO63"/>
      <c r="AGP63"/>
      <c r="AGQ63"/>
      <c r="AGR63"/>
      <c r="AGS63"/>
      <c r="AGT63"/>
      <c r="AGU63"/>
      <c r="AGV63"/>
      <c r="AGW63"/>
      <c r="AGX63"/>
      <c r="AGY63"/>
      <c r="AGZ63"/>
      <c r="AHA63"/>
      <c r="AHB63"/>
      <c r="AHC63"/>
      <c r="AHD63"/>
      <c r="AHE63"/>
      <c r="AHF63"/>
      <c r="AHG63"/>
      <c r="AHH63"/>
      <c r="AHI63"/>
      <c r="AHJ63"/>
      <c r="AHK63"/>
      <c r="AHL63"/>
      <c r="AHM63"/>
      <c r="AHN63"/>
      <c r="AHO63"/>
      <c r="AHP63"/>
      <c r="AHQ63"/>
      <c r="AHR63"/>
      <c r="AHS63"/>
      <c r="AHT63"/>
      <c r="AHU63"/>
      <c r="AHV63"/>
      <c r="AHW63"/>
      <c r="AHX63"/>
      <c r="AHY63"/>
      <c r="AHZ63"/>
      <c r="AIA63"/>
      <c r="AIB63"/>
      <c r="AIC63"/>
      <c r="AID63"/>
      <c r="AIE63"/>
      <c r="AIF63"/>
      <c r="AIG63"/>
      <c r="AIH63"/>
      <c r="AII63"/>
      <c r="AIJ63"/>
      <c r="AIK63"/>
      <c r="AIL63"/>
      <c r="AIM63"/>
      <c r="AIN63"/>
      <c r="AIO63"/>
      <c r="AIP63"/>
      <c r="AIQ63"/>
      <c r="AIR63"/>
      <c r="AIS63"/>
      <c r="AIT63"/>
      <c r="AIU63"/>
      <c r="AIV63"/>
      <c r="AIW63"/>
      <c r="AIX63"/>
      <c r="AIY63"/>
      <c r="AIZ63"/>
      <c r="AJA63"/>
      <c r="AJB63"/>
      <c r="AJC63"/>
      <c r="AJD63"/>
      <c r="AJE63"/>
      <c r="AJF63"/>
      <c r="AJG63"/>
      <c r="AJH63"/>
      <c r="AJI63"/>
      <c r="AJJ63"/>
      <c r="AJK63"/>
      <c r="AJL63"/>
      <c r="AJM63"/>
      <c r="AJN63"/>
      <c r="AJO63"/>
      <c r="AJP63"/>
      <c r="AJQ63"/>
      <c r="AJR63"/>
      <c r="AJS63"/>
      <c r="AJT63"/>
      <c r="AJU63"/>
      <c r="AJV63"/>
      <c r="AJW63"/>
      <c r="AJX63"/>
      <c r="AJY63"/>
      <c r="AJZ63"/>
      <c r="AKA63"/>
      <c r="AKB63"/>
      <c r="AKC63"/>
      <c r="AKD63"/>
      <c r="AKE63"/>
      <c r="AKF63"/>
      <c r="AKG63"/>
      <c r="AKH63"/>
      <c r="AKI63"/>
      <c r="AKJ63"/>
      <c r="AKK63"/>
      <c r="AKL63"/>
      <c r="AKM63"/>
      <c r="AKN63"/>
      <c r="AKO63"/>
      <c r="AKP63"/>
      <c r="AKQ63"/>
      <c r="AKR63"/>
      <c r="AKS63"/>
      <c r="AKT63"/>
      <c r="AKU63"/>
      <c r="AKV63"/>
      <c r="AKW63"/>
      <c r="AKX63"/>
      <c r="AKY63"/>
      <c r="AKZ63"/>
      <c r="ALA63"/>
      <c r="ALB63"/>
      <c r="ALC63"/>
      <c r="ALD63"/>
      <c r="ALE63"/>
      <c r="ALF63"/>
      <c r="ALG63"/>
      <c r="ALH63"/>
      <c r="ALI63"/>
      <c r="ALJ63"/>
      <c r="ALK63"/>
      <c r="ALL63"/>
      <c r="ALM63"/>
      <c r="ALN63"/>
      <c r="ALO63"/>
      <c r="ALP63"/>
      <c r="ALQ63"/>
      <c r="ALR63"/>
      <c r="ALS63"/>
      <c r="ALT63"/>
      <c r="ALU63"/>
      <c r="ALV63"/>
      <c r="ALW63"/>
      <c r="ALX63"/>
      <c r="ALY63"/>
      <c r="ALZ63"/>
      <c r="AMA63"/>
      <c r="AMB63"/>
      <c r="AMC63"/>
      <c r="AMD63"/>
      <c r="AME63"/>
      <c r="AMF63"/>
      <c r="AMG63"/>
      <c r="AMH63"/>
      <c r="AMI63"/>
      <c r="AMJ63"/>
      <c r="AMK63"/>
      <c r="AML63"/>
      <c r="AMM63"/>
      <c r="AMN63"/>
      <c r="AMO63"/>
      <c r="AMP63"/>
      <c r="AMQ63"/>
      <c r="AMR63"/>
      <c r="AMS63"/>
      <c r="AMT63"/>
      <c r="AMU63"/>
      <c r="AMV63"/>
      <c r="AMW63"/>
      <c r="AMX63"/>
      <c r="AMY63"/>
      <c r="AMZ63"/>
      <c r="ANA63"/>
      <c r="ANB63"/>
      <c r="ANC63"/>
      <c r="AND63"/>
      <c r="ANE63"/>
      <c r="ANF63"/>
      <c r="ANG63"/>
      <c r="ANH63"/>
      <c r="ANI63"/>
      <c r="ANJ63"/>
      <c r="ANK63"/>
      <c r="ANL63"/>
      <c r="ANM63"/>
      <c r="ANN63"/>
      <c r="ANO63"/>
      <c r="ANP63"/>
      <c r="ANQ63"/>
      <c r="ANR63"/>
      <c r="ANS63"/>
      <c r="ANT63"/>
      <c r="ANU63"/>
      <c r="ANV63"/>
      <c r="ANW63"/>
      <c r="ANX63"/>
      <c r="ANY63"/>
      <c r="ANZ63"/>
      <c r="AOA63"/>
      <c r="AOB63"/>
      <c r="AOC63"/>
      <c r="AOD63"/>
      <c r="AOE63"/>
      <c r="AOF63"/>
      <c r="AOG63"/>
      <c r="AOH63"/>
      <c r="AOI63"/>
      <c r="AOJ63"/>
      <c r="AOK63"/>
      <c r="AOL63"/>
      <c r="AOM63"/>
      <c r="AON63"/>
      <c r="AOO63"/>
      <c r="AOP63"/>
      <c r="AOQ63"/>
      <c r="AOR63"/>
      <c r="AOS63"/>
      <c r="AOT63"/>
      <c r="AOU63"/>
      <c r="AOV63"/>
      <c r="AOW63"/>
      <c r="AOX63"/>
      <c r="AOY63"/>
      <c r="AOZ63"/>
      <c r="APA63"/>
      <c r="APB63"/>
      <c r="APC63"/>
      <c r="APD63"/>
      <c r="APE63"/>
      <c r="APF63"/>
      <c r="APG63"/>
      <c r="APH63"/>
      <c r="API63"/>
      <c r="APJ63"/>
      <c r="APK63"/>
      <c r="APL63"/>
      <c r="APM63"/>
      <c r="APN63"/>
      <c r="APO63"/>
      <c r="APP63"/>
      <c r="APQ63"/>
      <c r="APR63"/>
      <c r="APS63"/>
      <c r="APT63"/>
      <c r="APU63"/>
      <c r="APV63"/>
      <c r="APW63"/>
      <c r="APX63"/>
      <c r="APY63"/>
      <c r="APZ63"/>
      <c r="AQA63"/>
      <c r="AQB63"/>
      <c r="AQC63"/>
      <c r="AQD63"/>
      <c r="AQE63"/>
      <c r="AQF63"/>
      <c r="AQG63"/>
      <c r="AQH63"/>
      <c r="AQI63"/>
      <c r="AQJ63"/>
      <c r="AQK63"/>
      <c r="AQL63"/>
      <c r="AQM63"/>
      <c r="AQN63"/>
      <c r="AQO63"/>
      <c r="AQP63"/>
      <c r="AQQ63"/>
      <c r="AQR63"/>
      <c r="AQS63"/>
      <c r="AQT63"/>
      <c r="AQU63"/>
      <c r="AQV63"/>
      <c r="AQW63"/>
      <c r="AQX63"/>
      <c r="AQY63"/>
      <c r="AQZ63"/>
      <c r="ARA63"/>
      <c r="ARB63"/>
      <c r="ARC63"/>
      <c r="ARD63"/>
      <c r="ARE63"/>
      <c r="ARF63"/>
      <c r="ARG63"/>
      <c r="ARH63"/>
      <c r="ARI63"/>
      <c r="ARJ63"/>
      <c r="ARK63"/>
      <c r="ARL63"/>
      <c r="ARM63"/>
      <c r="ARN63"/>
      <c r="ARO63"/>
      <c r="ARP63"/>
      <c r="ARQ63"/>
      <c r="ARR63"/>
      <c r="ARS63"/>
      <c r="ART63"/>
      <c r="ARU63"/>
      <c r="ARV63"/>
      <c r="ARW63"/>
      <c r="ARX63"/>
      <c r="ARY63"/>
      <c r="ARZ63"/>
      <c r="ASA63"/>
      <c r="ASB63"/>
      <c r="ASC63"/>
      <c r="ASD63"/>
      <c r="ASE63"/>
      <c r="ASF63"/>
      <c r="ASG63"/>
      <c r="ASH63"/>
      <c r="ASI63"/>
      <c r="ASJ63"/>
      <c r="ASK63"/>
      <c r="ASL63"/>
      <c r="ASM63"/>
      <c r="ASN63"/>
      <c r="ASO63"/>
      <c r="ASP63"/>
      <c r="ASQ63"/>
      <c r="ASR63"/>
      <c r="ASS63"/>
      <c r="AST63"/>
      <c r="ASU63"/>
      <c r="ASV63"/>
      <c r="ASW63"/>
      <c r="ASX63"/>
      <c r="ASY63"/>
      <c r="ASZ63"/>
      <c r="ATA63"/>
      <c r="ATB63"/>
      <c r="ATC63"/>
      <c r="ATD63"/>
      <c r="ATE63"/>
      <c r="ATF63"/>
      <c r="ATG63"/>
      <c r="ATH63"/>
      <c r="ATI63"/>
      <c r="ATJ63"/>
      <c r="ATK63"/>
      <c r="ATL63"/>
      <c r="ATM63"/>
      <c r="ATN63"/>
      <c r="ATO63"/>
      <c r="ATP63"/>
      <c r="ATQ63"/>
      <c r="ATR63"/>
      <c r="ATS63"/>
      <c r="ATT63"/>
      <c r="ATU63"/>
      <c r="ATV63"/>
      <c r="ATW63"/>
      <c r="ATX63"/>
      <c r="ATY63"/>
      <c r="ATZ63"/>
      <c r="AUA63"/>
      <c r="AUB63"/>
      <c r="AUC63"/>
      <c r="AUD63"/>
      <c r="AUE63"/>
      <c r="AUF63"/>
      <c r="AUG63"/>
      <c r="AUH63"/>
      <c r="AUI63"/>
      <c r="AUJ63"/>
      <c r="AUK63"/>
      <c r="AUL63"/>
      <c r="AUM63"/>
      <c r="AUN63"/>
      <c r="AUO63"/>
      <c r="AUP63"/>
      <c r="AUQ63"/>
      <c r="AUR63"/>
      <c r="AUS63"/>
      <c r="AUT63"/>
      <c r="AUU63"/>
      <c r="AUV63"/>
      <c r="AUW63"/>
      <c r="AUX63"/>
      <c r="AUY63"/>
      <c r="AUZ63"/>
      <c r="AVA63"/>
      <c r="AVB63"/>
      <c r="AVC63"/>
      <c r="AVD63"/>
      <c r="AVE63"/>
      <c r="AVF63"/>
      <c r="AVG63"/>
      <c r="AVH63"/>
      <c r="AVI63"/>
      <c r="AVJ63"/>
      <c r="AVK63"/>
      <c r="AVL63"/>
      <c r="AVM63"/>
      <c r="AVN63"/>
      <c r="AVO63"/>
      <c r="AVP63"/>
      <c r="AVQ63"/>
      <c r="AVR63"/>
      <c r="AVS63"/>
      <c r="AVT63"/>
      <c r="AVU63"/>
      <c r="AVV63"/>
      <c r="AVW63"/>
      <c r="AVX63"/>
      <c r="AVY63"/>
      <c r="AVZ63"/>
      <c r="AWA63"/>
      <c r="AWB63"/>
      <c r="AWC63"/>
      <c r="AWD63"/>
      <c r="AWE63"/>
      <c r="AWF63"/>
      <c r="AWG63"/>
      <c r="AWH63"/>
      <c r="AWI63"/>
      <c r="AWJ63"/>
      <c r="AWK63"/>
      <c r="AWL63"/>
      <c r="AWM63"/>
      <c r="AWN63"/>
      <c r="AWO63"/>
      <c r="AWP63"/>
      <c r="AWQ63"/>
      <c r="AWR63"/>
      <c r="AWS63"/>
      <c r="AWT63"/>
      <c r="AWU63"/>
      <c r="AWV63"/>
      <c r="AWW63"/>
      <c r="AWX63"/>
      <c r="AWY63"/>
      <c r="AWZ63"/>
      <c r="AXA63"/>
      <c r="AXB63"/>
      <c r="AXC63"/>
      <c r="AXD63"/>
      <c r="AXE63"/>
      <c r="AXF63"/>
      <c r="AXG63"/>
      <c r="AXH63"/>
      <c r="AXI63"/>
      <c r="AXJ63"/>
      <c r="AXK63"/>
      <c r="AXL63"/>
      <c r="AXM63"/>
      <c r="AXN63"/>
      <c r="AXO63"/>
      <c r="AXP63"/>
      <c r="AXQ63"/>
      <c r="AXR63"/>
      <c r="AXS63"/>
      <c r="AXT63"/>
      <c r="AXU63"/>
      <c r="AXV63"/>
      <c r="AXW63"/>
      <c r="AXX63"/>
      <c r="AXY63"/>
      <c r="AXZ63"/>
      <c r="AYA63"/>
      <c r="AYB63"/>
      <c r="AYC63"/>
      <c r="AYD63"/>
      <c r="AYE63"/>
      <c r="AYF63"/>
      <c r="AYG63"/>
      <c r="AYH63"/>
      <c r="AYI63"/>
      <c r="AYJ63"/>
      <c r="AYK63"/>
      <c r="AYL63"/>
      <c r="AYM63"/>
      <c r="AYN63"/>
      <c r="AYO63"/>
      <c r="AYP63"/>
      <c r="AYQ63"/>
      <c r="AYR63"/>
      <c r="AYS63"/>
      <c r="AYT63"/>
      <c r="AYU63"/>
      <c r="AYV63"/>
      <c r="AYW63"/>
      <c r="AYX63"/>
      <c r="AYY63"/>
      <c r="AYZ63"/>
      <c r="AZA63"/>
      <c r="AZB63"/>
      <c r="AZC63"/>
      <c r="AZD63"/>
      <c r="AZE63"/>
      <c r="AZF63"/>
      <c r="AZG63"/>
      <c r="AZH63"/>
      <c r="AZI63"/>
      <c r="AZJ63"/>
      <c r="AZK63"/>
      <c r="AZL63"/>
      <c r="AZM63"/>
      <c r="AZN63"/>
      <c r="AZO63"/>
      <c r="AZP63"/>
      <c r="AZQ63"/>
      <c r="AZR63"/>
      <c r="AZS63"/>
      <c r="AZT63"/>
      <c r="AZU63"/>
      <c r="AZV63"/>
      <c r="AZW63"/>
      <c r="AZX63"/>
      <c r="AZY63"/>
      <c r="AZZ63"/>
      <c r="BAA63"/>
      <c r="BAB63"/>
      <c r="BAC63"/>
      <c r="BAD63"/>
      <c r="BAE63"/>
      <c r="BAF63"/>
      <c r="BAG63"/>
      <c r="BAH63"/>
      <c r="BAI63"/>
      <c r="BAJ63"/>
      <c r="BAK63"/>
      <c r="BAL63"/>
      <c r="BAM63"/>
      <c r="BAN63"/>
      <c r="BAO63"/>
      <c r="BAP63"/>
      <c r="BAQ63"/>
      <c r="BAR63"/>
      <c r="BAS63"/>
      <c r="BAT63"/>
      <c r="BAU63"/>
      <c r="BAV63"/>
      <c r="BAW63"/>
      <c r="BAX63"/>
      <c r="BAY63"/>
      <c r="BAZ63"/>
      <c r="BBA63"/>
      <c r="BBB63"/>
      <c r="BBC63"/>
      <c r="BBD63"/>
      <c r="BBE63"/>
      <c r="BBF63"/>
      <c r="BBG63"/>
      <c r="BBH63"/>
      <c r="BBI63"/>
      <c r="BBJ63"/>
      <c r="BBK63"/>
      <c r="BBL63"/>
      <c r="BBM63"/>
      <c r="BBN63"/>
      <c r="BBO63"/>
      <c r="BBP63"/>
      <c r="BBQ63"/>
      <c r="BBR63"/>
      <c r="BBS63"/>
      <c r="BBT63"/>
      <c r="BBU63"/>
      <c r="BBV63"/>
      <c r="BBW63"/>
      <c r="BBX63"/>
      <c r="BBY63"/>
      <c r="BBZ63"/>
      <c r="BCA63"/>
      <c r="BCB63"/>
      <c r="BCC63"/>
      <c r="BCD63"/>
      <c r="BCE63"/>
      <c r="BCF63"/>
      <c r="BCG63"/>
      <c r="BCH63"/>
      <c r="BCI63"/>
      <c r="BCJ63"/>
      <c r="BCK63"/>
      <c r="BCL63"/>
      <c r="BCM63"/>
      <c r="BCN63"/>
      <c r="BCO63"/>
      <c r="BCP63"/>
      <c r="BCQ63"/>
      <c r="BCR63"/>
      <c r="BCS63"/>
      <c r="BCT63"/>
      <c r="BCU63"/>
      <c r="BCV63"/>
      <c r="BCW63"/>
      <c r="BCX63"/>
      <c r="BCY63"/>
      <c r="BCZ63"/>
      <c r="BDA63"/>
      <c r="BDB63"/>
      <c r="BDC63"/>
      <c r="BDD63"/>
      <c r="BDE63"/>
      <c r="BDF63"/>
      <c r="BDG63"/>
      <c r="BDH63"/>
      <c r="BDI63"/>
      <c r="BDJ63"/>
      <c r="BDK63"/>
      <c r="BDL63"/>
      <c r="BDM63"/>
      <c r="BDN63"/>
      <c r="BDO63"/>
      <c r="BDP63"/>
      <c r="BDQ63"/>
      <c r="BDR63"/>
      <c r="BDS63"/>
      <c r="BDT63"/>
      <c r="BDU63"/>
      <c r="BDV63"/>
      <c r="BDW63"/>
      <c r="BDX63"/>
      <c r="BDY63"/>
      <c r="BDZ63"/>
      <c r="BEA63"/>
      <c r="BEB63"/>
      <c r="BEC63"/>
      <c r="BED63"/>
      <c r="BEE63"/>
      <c r="BEF63"/>
      <c r="BEG63"/>
      <c r="BEH63"/>
      <c r="BEI63"/>
      <c r="BEJ63"/>
      <c r="BEK63"/>
      <c r="BEL63"/>
      <c r="BEM63"/>
      <c r="BEN63"/>
      <c r="BEO63"/>
      <c r="BEP63"/>
      <c r="BEQ63"/>
      <c r="BER63"/>
      <c r="BES63"/>
      <c r="BET63"/>
      <c r="BEU63"/>
      <c r="BEV63"/>
      <c r="BEW63"/>
      <c r="BEX63"/>
      <c r="BEY63"/>
      <c r="BEZ63"/>
      <c r="BFA63"/>
      <c r="BFB63"/>
      <c r="BFC63"/>
      <c r="BFD63"/>
      <c r="BFE63"/>
      <c r="BFF63"/>
      <c r="BFG63"/>
      <c r="BFH63"/>
      <c r="BFI63"/>
      <c r="BFJ63"/>
      <c r="BFK63"/>
      <c r="BFL63"/>
      <c r="BFM63"/>
      <c r="BFN63"/>
      <c r="BFO63"/>
      <c r="BFP63"/>
      <c r="BFQ63"/>
      <c r="BFR63"/>
      <c r="BFS63"/>
      <c r="BFT63"/>
      <c r="BFU63"/>
      <c r="BFV63"/>
      <c r="BFW63"/>
      <c r="BFX63"/>
      <c r="BFY63"/>
      <c r="BFZ63"/>
      <c r="BGA63"/>
      <c r="BGB63"/>
      <c r="BGC63"/>
      <c r="BGD63"/>
      <c r="BGE63"/>
      <c r="BGF63"/>
      <c r="BGG63"/>
      <c r="BGH63"/>
      <c r="BGI63"/>
      <c r="BGJ63"/>
      <c r="BGK63"/>
      <c r="BGL63"/>
      <c r="BGM63"/>
      <c r="BGN63"/>
      <c r="BGO63"/>
      <c r="BGP63"/>
      <c r="BGQ63"/>
      <c r="BGR63"/>
      <c r="BGS63"/>
      <c r="BGT63"/>
      <c r="BGU63"/>
      <c r="BGV63"/>
      <c r="BGW63"/>
      <c r="BGX63"/>
      <c r="BGY63"/>
      <c r="BGZ63"/>
      <c r="BHA63"/>
      <c r="BHB63"/>
      <c r="BHC63"/>
      <c r="BHD63"/>
      <c r="BHE63"/>
      <c r="BHF63"/>
      <c r="BHG63"/>
      <c r="BHH63"/>
      <c r="BHI63"/>
      <c r="BHJ63"/>
      <c r="BHK63"/>
      <c r="BHL63"/>
      <c r="BHM63"/>
      <c r="BHN63"/>
      <c r="BHO63"/>
      <c r="BHP63"/>
      <c r="BHQ63"/>
      <c r="BHR63"/>
      <c r="BHS63"/>
      <c r="BHT63"/>
      <c r="BHU63"/>
      <c r="BHV63"/>
      <c r="BHW63"/>
      <c r="BHX63"/>
      <c r="BHY63"/>
      <c r="BHZ63"/>
      <c r="BIA63"/>
      <c r="BIB63"/>
      <c r="BIC63"/>
      <c r="BID63"/>
      <c r="BIE63"/>
      <c r="BIF63"/>
      <c r="BIG63"/>
      <c r="BIH63"/>
      <c r="BII63"/>
      <c r="BIJ63"/>
      <c r="BIK63"/>
      <c r="BIL63"/>
      <c r="BIM63"/>
      <c r="BIN63"/>
      <c r="BIO63"/>
      <c r="BIP63"/>
      <c r="BIQ63"/>
      <c r="BIR63"/>
      <c r="BIS63"/>
      <c r="BIT63"/>
      <c r="BIU63"/>
      <c r="BIV63"/>
      <c r="BIW63"/>
      <c r="BIX63"/>
      <c r="BIY63"/>
      <c r="BIZ63"/>
      <c r="BJA63"/>
      <c r="BJB63"/>
      <c r="BJC63"/>
      <c r="BJD63"/>
      <c r="BJE63"/>
      <c r="BJF63"/>
      <c r="BJG63"/>
      <c r="BJH63"/>
      <c r="BJI63"/>
      <c r="BJJ63"/>
      <c r="BJK63"/>
      <c r="BJL63"/>
      <c r="BJM63"/>
      <c r="BJN63"/>
      <c r="BJO63"/>
      <c r="BJP63"/>
      <c r="BJQ63"/>
      <c r="BJR63"/>
      <c r="BJS63"/>
      <c r="BJT63"/>
      <c r="BJU63"/>
      <c r="BJV63"/>
      <c r="BJW63"/>
      <c r="BJX63"/>
      <c r="BJY63"/>
      <c r="BJZ63"/>
      <c r="BKA63"/>
      <c r="BKB63"/>
      <c r="BKC63"/>
      <c r="BKD63"/>
      <c r="BKE63"/>
      <c r="BKF63"/>
      <c r="BKG63"/>
      <c r="BKH63"/>
      <c r="BKI63"/>
      <c r="BKJ63"/>
      <c r="BKK63"/>
      <c r="BKL63"/>
      <c r="BKM63"/>
      <c r="BKN63"/>
      <c r="BKO63"/>
      <c r="BKP63"/>
      <c r="BKQ63"/>
      <c r="BKR63"/>
      <c r="BKS63"/>
      <c r="BKT63"/>
      <c r="BKU63"/>
      <c r="BKV63"/>
      <c r="BKW63"/>
      <c r="BKX63"/>
      <c r="BKY63"/>
      <c r="BKZ63"/>
      <c r="BLA63"/>
      <c r="BLB63"/>
      <c r="BLC63"/>
      <c r="BLD63"/>
      <c r="BLE63"/>
      <c r="BLF63"/>
      <c r="BLG63"/>
      <c r="BLH63"/>
      <c r="BLI63"/>
      <c r="BLJ63"/>
      <c r="BLK63"/>
      <c r="BLL63"/>
      <c r="BLM63"/>
      <c r="BLN63"/>
      <c r="BLO63"/>
      <c r="BLP63"/>
      <c r="BLQ63"/>
      <c r="BLR63"/>
      <c r="BLS63"/>
      <c r="BLT63"/>
      <c r="BLU63"/>
      <c r="BLV63"/>
      <c r="BLW63"/>
      <c r="BLX63"/>
      <c r="BLY63"/>
      <c r="BLZ63"/>
      <c r="BMA63"/>
      <c r="BMB63"/>
      <c r="BMC63"/>
      <c r="BMD63"/>
      <c r="BME63"/>
      <c r="BMF63"/>
      <c r="BMG63"/>
      <c r="BMH63"/>
      <c r="BMI63"/>
      <c r="BMJ63"/>
      <c r="BMK63"/>
      <c r="BML63"/>
      <c r="BMM63"/>
      <c r="BMN63"/>
      <c r="BMO63"/>
      <c r="BMP63"/>
      <c r="BMQ63"/>
      <c r="BMR63"/>
      <c r="BMS63"/>
      <c r="BMT63"/>
      <c r="BMU63"/>
      <c r="BMV63"/>
      <c r="BMW63"/>
      <c r="BMX63"/>
      <c r="BMY63"/>
      <c r="BMZ63"/>
      <c r="BNA63"/>
      <c r="BNB63"/>
      <c r="BNC63"/>
      <c r="BND63"/>
      <c r="BNE63"/>
      <c r="BNF63"/>
      <c r="BNG63"/>
      <c r="BNH63"/>
      <c r="BNI63"/>
      <c r="BNJ63"/>
      <c r="BNK63"/>
      <c r="BNL63"/>
      <c r="BNM63"/>
      <c r="BNN63"/>
      <c r="BNO63"/>
      <c r="BNP63"/>
      <c r="BNQ63"/>
      <c r="BNR63"/>
      <c r="BNS63"/>
      <c r="BNT63"/>
      <c r="BNU63"/>
      <c r="BNV63"/>
      <c r="BNW63"/>
      <c r="BNX63"/>
      <c r="BNY63"/>
      <c r="BNZ63"/>
      <c r="BOA63"/>
      <c r="BOB63"/>
      <c r="BOC63"/>
      <c r="BOD63"/>
      <c r="BOE63"/>
      <c r="BOF63"/>
      <c r="BOG63"/>
      <c r="BOH63"/>
      <c r="BOI63"/>
      <c r="BOJ63"/>
      <c r="BOK63"/>
      <c r="BOL63"/>
      <c r="BOM63"/>
      <c r="BON63"/>
      <c r="BOO63"/>
      <c r="BOP63"/>
      <c r="BOQ63"/>
      <c r="BOR63"/>
      <c r="BOS63"/>
      <c r="BOT63"/>
      <c r="BOU63"/>
      <c r="BOV63"/>
      <c r="BOW63"/>
      <c r="BOX63"/>
      <c r="BOY63"/>
      <c r="BOZ63"/>
      <c r="BPA63"/>
      <c r="BPB63"/>
      <c r="BPC63"/>
      <c r="BPD63"/>
      <c r="BPE63"/>
      <c r="BPF63"/>
      <c r="BPG63"/>
      <c r="BPH63"/>
      <c r="BPI63"/>
      <c r="BPJ63"/>
      <c r="BPK63"/>
      <c r="BPL63"/>
      <c r="BPM63"/>
      <c r="BPN63"/>
      <c r="BPO63"/>
      <c r="BPP63"/>
      <c r="BPQ63"/>
      <c r="BPR63"/>
      <c r="BPS63"/>
      <c r="BPT63"/>
      <c r="BPU63"/>
      <c r="BPV63"/>
      <c r="BPW63"/>
      <c r="BPX63"/>
      <c r="BPY63"/>
      <c r="BPZ63"/>
      <c r="BQA63"/>
      <c r="BQB63"/>
      <c r="BQC63"/>
      <c r="BQD63"/>
      <c r="BQE63"/>
      <c r="BQF63"/>
      <c r="BQG63"/>
      <c r="BQH63"/>
      <c r="BQI63"/>
      <c r="BQJ63"/>
      <c r="BQK63"/>
      <c r="BQL63"/>
      <c r="BQM63"/>
      <c r="BQN63"/>
      <c r="BQO63"/>
      <c r="BQP63"/>
      <c r="BQQ63"/>
      <c r="BQR63"/>
      <c r="BQS63"/>
      <c r="BQT63"/>
      <c r="BQU63"/>
      <c r="BQV63"/>
      <c r="BQW63"/>
      <c r="BQX63"/>
      <c r="BQY63"/>
      <c r="BQZ63"/>
      <c r="BRA63"/>
      <c r="BRB63"/>
      <c r="BRC63"/>
      <c r="BRD63"/>
      <c r="BRE63"/>
      <c r="BRF63"/>
      <c r="BRG63"/>
      <c r="BRH63"/>
      <c r="BRI63"/>
      <c r="BRJ63"/>
      <c r="BRK63"/>
      <c r="BRL63"/>
      <c r="BRM63"/>
      <c r="BRN63"/>
      <c r="BRO63"/>
      <c r="BRP63"/>
      <c r="BRQ63"/>
      <c r="BRR63"/>
      <c r="BRS63"/>
      <c r="BRT63"/>
      <c r="BRU63"/>
      <c r="BRV63"/>
      <c r="BRW63"/>
      <c r="BRX63"/>
      <c r="BRY63"/>
      <c r="BRZ63"/>
      <c r="BSA63"/>
      <c r="BSB63"/>
      <c r="BSC63"/>
      <c r="BSD63"/>
      <c r="BSE63"/>
      <c r="BSF63"/>
      <c r="BSG63"/>
      <c r="BSH63"/>
      <c r="BSI63"/>
      <c r="BSJ63"/>
      <c r="BSK63"/>
      <c r="BSL63"/>
      <c r="BSM63"/>
      <c r="BSN63"/>
      <c r="BSO63"/>
      <c r="BSP63"/>
      <c r="BSQ63"/>
      <c r="BSR63"/>
      <c r="BSS63"/>
      <c r="BST63"/>
      <c r="BSU63"/>
      <c r="BSV63"/>
      <c r="BSW63"/>
      <c r="BSX63"/>
      <c r="BSY63"/>
      <c r="BSZ63"/>
      <c r="BTA63"/>
      <c r="BTB63"/>
      <c r="BTC63"/>
      <c r="BTD63"/>
      <c r="BTE63"/>
      <c r="BTF63"/>
      <c r="BTG63"/>
      <c r="BTH63"/>
      <c r="BTI63"/>
      <c r="BTJ63"/>
      <c r="BTK63"/>
      <c r="BTL63"/>
      <c r="BTM63"/>
      <c r="BTN63"/>
      <c r="BTO63"/>
      <c r="BTP63"/>
      <c r="BTQ63"/>
      <c r="BTR63"/>
      <c r="BTS63"/>
      <c r="BTT63"/>
      <c r="BTU63"/>
      <c r="BTV63"/>
      <c r="BTW63"/>
      <c r="BTX63"/>
      <c r="BTY63"/>
      <c r="BTZ63"/>
      <c r="BUA63"/>
      <c r="BUB63"/>
      <c r="BUC63"/>
      <c r="BUD63"/>
      <c r="BUE63"/>
      <c r="BUF63"/>
      <c r="BUG63"/>
      <c r="BUH63"/>
      <c r="BUI63"/>
      <c r="BUJ63"/>
      <c r="BUK63"/>
      <c r="BUL63"/>
      <c r="BUM63"/>
      <c r="BUN63"/>
      <c r="BUO63"/>
      <c r="BUP63"/>
      <c r="BUQ63"/>
      <c r="BUR63"/>
      <c r="BUS63"/>
      <c r="BUT63"/>
      <c r="BUU63"/>
      <c r="BUV63"/>
      <c r="BUW63"/>
      <c r="BUX63"/>
      <c r="BUY63"/>
      <c r="BUZ63"/>
      <c r="BVA63"/>
      <c r="BVB63"/>
      <c r="BVC63"/>
      <c r="BVD63"/>
      <c r="BVE63"/>
      <c r="BVF63"/>
      <c r="BVG63"/>
      <c r="BVH63"/>
      <c r="BVI63"/>
      <c r="BVJ63"/>
      <c r="BVK63"/>
      <c r="BVL63"/>
      <c r="BVM63"/>
      <c r="BVN63"/>
      <c r="BVO63"/>
      <c r="BVP63"/>
      <c r="BVQ63"/>
      <c r="BVR63"/>
      <c r="BVS63"/>
      <c r="BVT63"/>
      <c r="BVU63"/>
      <c r="BVV63"/>
      <c r="BVW63"/>
      <c r="BVX63"/>
      <c r="BVY63"/>
      <c r="BVZ63"/>
      <c r="BWA63"/>
      <c r="BWB63"/>
      <c r="BWC63"/>
      <c r="BWD63"/>
      <c r="BWE63"/>
      <c r="BWF63"/>
      <c r="BWG63"/>
      <c r="BWH63"/>
      <c r="BWI63"/>
      <c r="BWJ63"/>
      <c r="BWK63"/>
      <c r="BWL63"/>
      <c r="BWM63"/>
      <c r="BWN63"/>
      <c r="BWO63"/>
      <c r="BWP63"/>
      <c r="BWQ63"/>
      <c r="BWR63"/>
      <c r="BWS63"/>
      <c r="BWT63"/>
      <c r="BWU63"/>
      <c r="BWV63"/>
      <c r="BWW63"/>
      <c r="BWX63"/>
      <c r="BWY63"/>
      <c r="BWZ63"/>
      <c r="BXA63"/>
      <c r="BXB63"/>
      <c r="BXC63"/>
      <c r="BXD63"/>
      <c r="BXE63"/>
      <c r="BXF63"/>
      <c r="BXG63"/>
      <c r="BXH63"/>
      <c r="BXI63"/>
      <c r="BXJ63"/>
      <c r="BXK63"/>
      <c r="BXL63"/>
      <c r="BXM63"/>
      <c r="BXN63"/>
      <c r="BXO63"/>
      <c r="BXP63"/>
      <c r="BXQ63"/>
      <c r="BXR63"/>
      <c r="BXS63"/>
      <c r="BXT63"/>
      <c r="BXU63"/>
      <c r="BXV63"/>
      <c r="BXW63"/>
      <c r="BXX63"/>
      <c r="BXY63"/>
      <c r="BXZ63"/>
      <c r="BYA63"/>
      <c r="BYB63"/>
      <c r="BYC63"/>
      <c r="BYD63"/>
      <c r="BYE63"/>
      <c r="BYF63"/>
      <c r="BYG63"/>
      <c r="BYH63"/>
      <c r="BYI63"/>
      <c r="BYJ63"/>
      <c r="BYK63"/>
      <c r="BYL63"/>
      <c r="BYM63"/>
      <c r="BYN63"/>
      <c r="BYO63"/>
      <c r="BYP63"/>
      <c r="BYQ63"/>
      <c r="BYR63"/>
      <c r="BYS63"/>
      <c r="BYT63"/>
      <c r="BYU63"/>
      <c r="BYV63"/>
      <c r="BYW63"/>
      <c r="BYX63"/>
      <c r="BYY63"/>
      <c r="BYZ63"/>
      <c r="BZA63"/>
      <c r="BZB63"/>
      <c r="BZC63"/>
      <c r="BZD63"/>
      <c r="BZE63"/>
      <c r="BZF63"/>
      <c r="BZG63"/>
      <c r="BZH63"/>
      <c r="BZI63"/>
      <c r="BZJ63"/>
      <c r="BZK63"/>
      <c r="BZL63"/>
      <c r="BZM63"/>
      <c r="BZN63"/>
      <c r="BZO63"/>
      <c r="BZP63"/>
      <c r="BZQ63"/>
      <c r="BZR63"/>
      <c r="BZS63"/>
      <c r="BZT63"/>
      <c r="BZU63"/>
      <c r="BZV63"/>
      <c r="BZW63"/>
      <c r="BZX63"/>
      <c r="BZY63"/>
      <c r="BZZ63"/>
      <c r="CAA63"/>
      <c r="CAB63"/>
      <c r="CAC63"/>
      <c r="CAD63"/>
      <c r="CAE63"/>
      <c r="CAF63"/>
      <c r="CAG63"/>
      <c r="CAH63"/>
      <c r="CAI63"/>
      <c r="CAJ63"/>
      <c r="CAK63"/>
      <c r="CAL63"/>
      <c r="CAM63"/>
      <c r="CAN63"/>
      <c r="CAO63"/>
      <c r="CAP63"/>
      <c r="CAQ63"/>
      <c r="CAR63"/>
      <c r="CAS63"/>
      <c r="CAT63"/>
      <c r="CAU63"/>
      <c r="CAV63"/>
      <c r="CAW63"/>
      <c r="CAX63"/>
      <c r="CAY63"/>
      <c r="CAZ63"/>
      <c r="CBA63"/>
      <c r="CBB63"/>
      <c r="CBC63"/>
      <c r="CBD63"/>
      <c r="CBE63"/>
      <c r="CBF63"/>
      <c r="CBG63"/>
      <c r="CBH63"/>
      <c r="CBI63"/>
      <c r="CBJ63"/>
      <c r="CBK63"/>
      <c r="CBL63"/>
      <c r="CBM63"/>
      <c r="CBN63"/>
      <c r="CBO63"/>
      <c r="CBP63"/>
      <c r="CBQ63"/>
      <c r="CBR63"/>
      <c r="CBS63"/>
      <c r="CBT63"/>
      <c r="CBU63"/>
      <c r="CBV63"/>
      <c r="CBW63"/>
      <c r="CBX63"/>
      <c r="CBY63"/>
      <c r="CBZ63"/>
      <c r="CCA63"/>
      <c r="CCB63"/>
      <c r="CCC63"/>
      <c r="CCD63"/>
      <c r="CCE63"/>
      <c r="CCF63"/>
      <c r="CCG63"/>
      <c r="CCH63"/>
      <c r="CCI63"/>
      <c r="CCJ63"/>
      <c r="CCK63"/>
      <c r="CCL63"/>
      <c r="CCM63"/>
      <c r="CCN63"/>
      <c r="CCO63"/>
      <c r="CCP63"/>
      <c r="CCQ63"/>
      <c r="CCR63"/>
      <c r="CCS63"/>
      <c r="CCT63"/>
      <c r="CCU63"/>
      <c r="CCV63"/>
      <c r="CCW63"/>
      <c r="CCX63"/>
      <c r="CCY63"/>
      <c r="CCZ63"/>
      <c r="CDA63"/>
      <c r="CDB63"/>
      <c r="CDC63"/>
      <c r="CDD63"/>
      <c r="CDE63"/>
      <c r="CDF63"/>
      <c r="CDG63"/>
      <c r="CDH63"/>
      <c r="CDI63"/>
      <c r="CDJ63"/>
      <c r="CDK63"/>
      <c r="CDL63"/>
      <c r="CDM63"/>
      <c r="CDN63"/>
      <c r="CDO63"/>
      <c r="CDP63"/>
      <c r="CDQ63"/>
      <c r="CDR63"/>
      <c r="CDS63"/>
      <c r="CDT63"/>
      <c r="CDU63"/>
      <c r="CDV63"/>
      <c r="CDW63"/>
      <c r="CDX63"/>
      <c r="CDY63"/>
      <c r="CDZ63"/>
      <c r="CEA63"/>
      <c r="CEB63"/>
      <c r="CEC63"/>
      <c r="CED63"/>
      <c r="CEE63"/>
      <c r="CEF63"/>
      <c r="CEG63"/>
      <c r="CEH63"/>
      <c r="CEI63"/>
      <c r="CEJ63"/>
      <c r="CEK63"/>
      <c r="CEL63"/>
      <c r="CEM63"/>
      <c r="CEN63"/>
      <c r="CEO63"/>
      <c r="CEP63"/>
      <c r="CEQ63"/>
      <c r="CER63"/>
      <c r="CES63"/>
      <c r="CET63"/>
      <c r="CEU63"/>
      <c r="CEV63"/>
      <c r="CEW63"/>
      <c r="CEX63"/>
      <c r="CEY63"/>
      <c r="CEZ63"/>
      <c r="CFA63"/>
      <c r="CFB63"/>
      <c r="CFC63"/>
      <c r="CFD63"/>
      <c r="CFE63"/>
      <c r="CFF63"/>
      <c r="CFG63"/>
      <c r="CFH63"/>
      <c r="CFI63"/>
      <c r="CFJ63"/>
      <c r="CFK63"/>
      <c r="CFL63"/>
      <c r="CFM63"/>
      <c r="CFN63"/>
      <c r="CFO63"/>
      <c r="CFP63"/>
      <c r="CFQ63"/>
      <c r="CFR63"/>
      <c r="CFS63"/>
      <c r="CFT63"/>
      <c r="CFU63"/>
      <c r="CFV63"/>
      <c r="CFW63"/>
      <c r="CFX63"/>
      <c r="CFY63"/>
      <c r="CFZ63"/>
      <c r="CGA63"/>
      <c r="CGB63"/>
      <c r="CGC63"/>
      <c r="CGD63"/>
      <c r="CGE63"/>
      <c r="CGF63"/>
      <c r="CGG63"/>
      <c r="CGH63"/>
      <c r="CGI63"/>
      <c r="CGJ63"/>
      <c r="CGK63"/>
      <c r="CGL63"/>
      <c r="CGM63"/>
      <c r="CGN63"/>
      <c r="CGO63"/>
      <c r="CGP63"/>
      <c r="CGQ63"/>
      <c r="CGR63"/>
      <c r="CGS63"/>
      <c r="CGT63"/>
      <c r="CGU63"/>
      <c r="CGV63"/>
      <c r="CGW63"/>
      <c r="CGX63"/>
      <c r="CGY63"/>
      <c r="CGZ63"/>
      <c r="CHA63"/>
      <c r="CHB63"/>
      <c r="CHC63"/>
      <c r="CHD63"/>
      <c r="CHE63"/>
      <c r="CHF63"/>
      <c r="CHG63"/>
      <c r="CHH63"/>
      <c r="CHI63"/>
      <c r="CHJ63"/>
      <c r="CHK63"/>
      <c r="CHL63"/>
      <c r="CHM63"/>
      <c r="CHN63"/>
      <c r="CHO63"/>
      <c r="CHP63"/>
      <c r="CHQ63"/>
      <c r="CHR63"/>
      <c r="CHS63"/>
      <c r="CHT63"/>
      <c r="CHU63"/>
      <c r="CHV63"/>
      <c r="CHW63"/>
      <c r="CHX63"/>
      <c r="CHY63"/>
      <c r="CHZ63"/>
      <c r="CIA63"/>
      <c r="CIB63"/>
      <c r="CIC63"/>
      <c r="CID63"/>
      <c r="CIE63"/>
      <c r="CIF63"/>
      <c r="CIG63"/>
      <c r="CIH63"/>
      <c r="CII63"/>
      <c r="CIJ63"/>
      <c r="CIK63"/>
      <c r="CIL63"/>
      <c r="CIM63"/>
      <c r="CIN63"/>
      <c r="CIO63"/>
      <c r="CIP63"/>
      <c r="CIQ63"/>
      <c r="CIR63"/>
      <c r="CIS63"/>
      <c r="CIT63"/>
      <c r="CIU63"/>
      <c r="CIV63"/>
      <c r="CIW63"/>
      <c r="CIX63"/>
      <c r="CIY63"/>
      <c r="CIZ63"/>
      <c r="CJA63"/>
      <c r="CJB63"/>
      <c r="CJC63"/>
      <c r="CJD63"/>
      <c r="CJE63"/>
      <c r="CJF63"/>
      <c r="CJG63"/>
      <c r="CJH63"/>
      <c r="CJI63"/>
      <c r="CJJ63"/>
      <c r="CJK63"/>
      <c r="CJL63"/>
      <c r="CJM63"/>
      <c r="CJN63"/>
      <c r="CJO63"/>
      <c r="CJP63"/>
      <c r="CJQ63"/>
      <c r="CJR63"/>
      <c r="CJS63"/>
      <c r="CJT63"/>
      <c r="CJU63"/>
      <c r="CJV63"/>
      <c r="CJW63"/>
      <c r="CJX63"/>
      <c r="CJY63"/>
      <c r="CJZ63"/>
      <c r="CKA63"/>
      <c r="CKB63"/>
      <c r="CKC63"/>
      <c r="CKD63"/>
      <c r="CKE63"/>
      <c r="CKF63"/>
      <c r="CKG63"/>
      <c r="CKH63"/>
      <c r="CKI63"/>
      <c r="CKJ63"/>
      <c r="CKK63"/>
      <c r="CKL63"/>
      <c r="CKM63"/>
      <c r="CKN63"/>
      <c r="CKO63"/>
      <c r="CKP63"/>
      <c r="CKQ63"/>
      <c r="CKR63"/>
      <c r="CKS63"/>
      <c r="CKT63"/>
      <c r="CKU63"/>
      <c r="CKV63"/>
      <c r="CKW63"/>
      <c r="CKX63"/>
      <c r="CKY63"/>
      <c r="CKZ63"/>
      <c r="CLA63"/>
      <c r="CLB63"/>
      <c r="CLC63"/>
      <c r="CLD63"/>
      <c r="CLE63"/>
      <c r="CLF63"/>
      <c r="CLG63"/>
      <c r="CLH63"/>
      <c r="CLI63"/>
      <c r="CLJ63"/>
      <c r="CLK63"/>
      <c r="CLL63"/>
      <c r="CLM63"/>
      <c r="CLN63"/>
      <c r="CLO63"/>
      <c r="CLP63"/>
      <c r="CLQ63"/>
      <c r="CLR63"/>
      <c r="CLS63"/>
      <c r="CLT63"/>
      <c r="CLU63"/>
      <c r="CLV63"/>
      <c r="CLW63"/>
      <c r="CLX63"/>
      <c r="CLY63"/>
      <c r="CLZ63"/>
      <c r="CMA63"/>
      <c r="CMB63"/>
      <c r="CMC63"/>
      <c r="CMD63"/>
      <c r="CME63"/>
      <c r="CMF63"/>
      <c r="CMG63"/>
      <c r="CMH63"/>
      <c r="CMI63"/>
      <c r="CMJ63"/>
      <c r="CMK63"/>
      <c r="CML63"/>
      <c r="CMM63"/>
      <c r="CMN63"/>
      <c r="CMO63"/>
      <c r="CMP63"/>
      <c r="CMQ63"/>
      <c r="CMR63"/>
      <c r="CMS63"/>
      <c r="CMT63"/>
      <c r="CMU63"/>
      <c r="CMV63"/>
      <c r="CMW63"/>
      <c r="CMX63"/>
      <c r="CMY63"/>
      <c r="CMZ63"/>
      <c r="CNA63"/>
      <c r="CNB63"/>
      <c r="CNC63"/>
      <c r="CND63"/>
      <c r="CNE63"/>
      <c r="CNF63"/>
      <c r="CNG63"/>
      <c r="CNH63"/>
      <c r="CNI63"/>
      <c r="CNJ63"/>
      <c r="CNK63"/>
      <c r="CNL63"/>
      <c r="CNM63"/>
      <c r="CNN63"/>
      <c r="CNO63"/>
      <c r="CNP63"/>
      <c r="CNQ63"/>
      <c r="CNR63"/>
      <c r="CNS63"/>
      <c r="CNT63"/>
      <c r="CNU63"/>
      <c r="CNV63"/>
      <c r="CNW63"/>
      <c r="CNX63"/>
      <c r="CNY63"/>
      <c r="CNZ63"/>
      <c r="COA63"/>
      <c r="COB63"/>
      <c r="COC63"/>
      <c r="COD63"/>
      <c r="COE63"/>
      <c r="COF63"/>
      <c r="COG63"/>
      <c r="COH63"/>
      <c r="COI63"/>
      <c r="COJ63"/>
      <c r="COK63"/>
      <c r="COL63"/>
      <c r="COM63"/>
      <c r="CON63"/>
      <c r="COO63"/>
      <c r="COP63"/>
      <c r="COQ63"/>
      <c r="COR63"/>
      <c r="COS63"/>
      <c r="COT63"/>
      <c r="COU63"/>
      <c r="COV63"/>
      <c r="COW63"/>
      <c r="COX63"/>
      <c r="COY63"/>
      <c r="COZ63"/>
      <c r="CPA63"/>
      <c r="CPB63"/>
      <c r="CPC63"/>
      <c r="CPD63"/>
      <c r="CPE63"/>
      <c r="CPF63"/>
      <c r="CPG63"/>
      <c r="CPH63"/>
      <c r="CPI63"/>
      <c r="CPJ63"/>
      <c r="CPK63"/>
      <c r="CPL63"/>
      <c r="CPM63"/>
      <c r="CPN63"/>
      <c r="CPO63"/>
      <c r="CPP63"/>
      <c r="CPQ63"/>
      <c r="CPR63"/>
      <c r="CPS63"/>
      <c r="CPT63"/>
      <c r="CPU63"/>
      <c r="CPV63"/>
      <c r="CPW63"/>
      <c r="CPX63"/>
      <c r="CPY63"/>
      <c r="CPZ63"/>
      <c r="CQA63"/>
      <c r="CQB63"/>
      <c r="CQC63"/>
      <c r="CQD63"/>
      <c r="CQE63"/>
      <c r="CQF63"/>
      <c r="CQG63"/>
      <c r="CQH63"/>
      <c r="CQI63"/>
      <c r="CQJ63"/>
      <c r="CQK63"/>
      <c r="CQL63"/>
      <c r="CQM63"/>
      <c r="CQN63"/>
      <c r="CQO63"/>
      <c r="CQP63"/>
      <c r="CQQ63"/>
      <c r="CQR63"/>
      <c r="CQS63"/>
      <c r="CQT63"/>
      <c r="CQU63"/>
      <c r="CQV63"/>
      <c r="CQW63"/>
      <c r="CQX63"/>
      <c r="CQY63"/>
      <c r="CQZ63"/>
      <c r="CRA63"/>
      <c r="CRB63"/>
      <c r="CRC63"/>
      <c r="CRD63"/>
      <c r="CRE63"/>
      <c r="CRF63"/>
      <c r="CRG63"/>
      <c r="CRH63"/>
      <c r="CRI63"/>
      <c r="CRJ63"/>
      <c r="CRK63"/>
      <c r="CRL63"/>
      <c r="CRM63"/>
      <c r="CRN63"/>
      <c r="CRO63"/>
      <c r="CRP63"/>
      <c r="CRQ63"/>
      <c r="CRR63"/>
      <c r="CRS63"/>
      <c r="CRT63"/>
      <c r="CRU63"/>
      <c r="CRV63"/>
      <c r="CRW63"/>
      <c r="CRX63"/>
      <c r="CRY63"/>
      <c r="CRZ63"/>
      <c r="CSA63"/>
      <c r="CSB63"/>
      <c r="CSC63"/>
      <c r="CSD63"/>
      <c r="CSE63"/>
      <c r="CSF63"/>
      <c r="CSG63"/>
      <c r="CSH63"/>
      <c r="CSI63"/>
      <c r="CSJ63"/>
      <c r="CSK63"/>
      <c r="CSL63"/>
      <c r="CSM63"/>
      <c r="CSN63"/>
      <c r="CSO63"/>
      <c r="CSP63"/>
      <c r="CSQ63"/>
      <c r="CSR63"/>
      <c r="CSS63"/>
      <c r="CST63"/>
      <c r="CSU63"/>
      <c r="CSV63"/>
      <c r="CSW63"/>
      <c r="CSX63"/>
      <c r="CSY63"/>
      <c r="CSZ63"/>
      <c r="CTA63"/>
      <c r="CTB63"/>
      <c r="CTC63"/>
      <c r="CTD63"/>
      <c r="CTE63"/>
      <c r="CTF63"/>
      <c r="CTG63"/>
      <c r="CTH63"/>
      <c r="CTI63"/>
      <c r="CTJ63"/>
      <c r="CTK63"/>
      <c r="CTL63"/>
      <c r="CTM63"/>
      <c r="CTN63"/>
      <c r="CTO63"/>
      <c r="CTP63"/>
      <c r="CTQ63"/>
      <c r="CTR63"/>
      <c r="CTS63"/>
      <c r="CTT63"/>
      <c r="CTU63"/>
      <c r="CTV63"/>
      <c r="CTW63"/>
      <c r="CTX63"/>
      <c r="CTY63"/>
      <c r="CTZ63"/>
      <c r="CUA63"/>
      <c r="CUB63"/>
      <c r="CUC63"/>
      <c r="CUD63"/>
      <c r="CUE63"/>
      <c r="CUF63"/>
      <c r="CUG63"/>
      <c r="CUH63"/>
      <c r="CUI63"/>
      <c r="CUJ63"/>
      <c r="CUK63"/>
      <c r="CUL63"/>
      <c r="CUM63"/>
      <c r="CUN63"/>
      <c r="CUO63"/>
      <c r="CUP63"/>
      <c r="CUQ63"/>
      <c r="CUR63"/>
      <c r="CUS63"/>
      <c r="CUT63"/>
      <c r="CUU63"/>
      <c r="CUV63"/>
      <c r="CUW63"/>
      <c r="CUX63"/>
      <c r="CUY63"/>
      <c r="CUZ63"/>
      <c r="CVA63"/>
      <c r="CVB63"/>
      <c r="CVC63"/>
      <c r="CVD63"/>
      <c r="CVE63"/>
      <c r="CVF63"/>
      <c r="CVG63"/>
      <c r="CVH63"/>
      <c r="CVI63"/>
      <c r="CVJ63"/>
      <c r="CVK63"/>
      <c r="CVL63"/>
      <c r="CVM63"/>
      <c r="CVN63"/>
      <c r="CVO63"/>
      <c r="CVP63"/>
      <c r="CVQ63"/>
      <c r="CVR63"/>
      <c r="CVS63"/>
      <c r="CVT63"/>
      <c r="CVU63"/>
      <c r="CVV63"/>
      <c r="CVW63"/>
      <c r="CVX63"/>
      <c r="CVY63"/>
      <c r="CVZ63"/>
      <c r="CWA63"/>
      <c r="CWB63"/>
      <c r="CWC63"/>
      <c r="CWD63"/>
      <c r="CWE63"/>
      <c r="CWF63"/>
      <c r="CWG63"/>
      <c r="CWH63"/>
      <c r="CWI63"/>
      <c r="CWJ63"/>
      <c r="CWK63"/>
      <c r="CWL63"/>
      <c r="CWM63"/>
      <c r="CWN63"/>
      <c r="CWO63"/>
      <c r="CWP63"/>
      <c r="CWQ63"/>
      <c r="CWR63"/>
      <c r="CWS63"/>
      <c r="CWT63"/>
      <c r="CWU63"/>
      <c r="CWV63"/>
      <c r="CWW63"/>
      <c r="CWX63"/>
      <c r="CWY63"/>
      <c r="CWZ63"/>
      <c r="CXA63"/>
      <c r="CXB63"/>
      <c r="CXC63"/>
      <c r="CXD63"/>
      <c r="CXE63"/>
      <c r="CXF63"/>
      <c r="CXG63"/>
      <c r="CXH63"/>
      <c r="CXI63"/>
      <c r="CXJ63"/>
      <c r="CXK63"/>
      <c r="CXL63"/>
      <c r="CXM63"/>
      <c r="CXN63"/>
      <c r="CXO63"/>
      <c r="CXP63"/>
      <c r="CXQ63"/>
      <c r="CXR63"/>
      <c r="CXS63"/>
      <c r="CXT63"/>
      <c r="CXU63"/>
      <c r="CXV63"/>
      <c r="CXW63"/>
      <c r="CXX63"/>
      <c r="CXY63"/>
      <c r="CXZ63"/>
      <c r="CYA63"/>
      <c r="CYB63"/>
      <c r="CYC63"/>
      <c r="CYD63"/>
      <c r="CYE63"/>
      <c r="CYF63"/>
      <c r="CYG63"/>
      <c r="CYH63"/>
      <c r="CYI63"/>
      <c r="CYJ63"/>
      <c r="CYK63"/>
      <c r="CYL63"/>
      <c r="CYM63"/>
      <c r="CYN63"/>
      <c r="CYO63"/>
      <c r="CYP63"/>
      <c r="CYQ63"/>
      <c r="CYR63"/>
      <c r="CYS63"/>
      <c r="CYT63"/>
      <c r="CYU63"/>
      <c r="CYV63"/>
      <c r="CYW63"/>
      <c r="CYX63"/>
      <c r="CYY63"/>
      <c r="CYZ63"/>
      <c r="CZA63"/>
      <c r="CZB63"/>
      <c r="CZC63"/>
      <c r="CZD63"/>
      <c r="CZE63"/>
      <c r="CZF63"/>
      <c r="CZG63"/>
      <c r="CZH63"/>
      <c r="CZI63"/>
      <c r="CZJ63"/>
      <c r="CZK63"/>
      <c r="CZL63"/>
      <c r="CZM63"/>
      <c r="CZN63"/>
      <c r="CZO63"/>
      <c r="CZP63"/>
      <c r="CZQ63"/>
      <c r="CZR63"/>
      <c r="CZS63"/>
      <c r="CZT63"/>
      <c r="CZU63"/>
      <c r="CZV63"/>
      <c r="CZW63"/>
      <c r="CZX63"/>
      <c r="CZY63"/>
      <c r="CZZ63"/>
      <c r="DAA63"/>
      <c r="DAB63"/>
      <c r="DAC63"/>
      <c r="DAD63"/>
      <c r="DAE63"/>
      <c r="DAF63"/>
      <c r="DAG63"/>
      <c r="DAH63"/>
      <c r="DAI63"/>
      <c r="DAJ63"/>
      <c r="DAK63"/>
      <c r="DAL63"/>
      <c r="DAM63"/>
      <c r="DAN63"/>
      <c r="DAO63"/>
      <c r="DAP63"/>
      <c r="DAQ63"/>
      <c r="DAR63"/>
      <c r="DAS63"/>
      <c r="DAT63"/>
      <c r="DAU63"/>
      <c r="DAV63"/>
      <c r="DAW63"/>
      <c r="DAX63"/>
      <c r="DAY63"/>
      <c r="DAZ63"/>
      <c r="DBA63"/>
      <c r="DBB63"/>
      <c r="DBC63"/>
      <c r="DBD63"/>
      <c r="DBE63"/>
      <c r="DBF63"/>
      <c r="DBG63"/>
      <c r="DBH63"/>
      <c r="DBI63"/>
      <c r="DBJ63"/>
      <c r="DBK63"/>
      <c r="DBL63"/>
      <c r="DBM63"/>
      <c r="DBN63"/>
      <c r="DBO63"/>
      <c r="DBP63"/>
      <c r="DBQ63"/>
      <c r="DBR63"/>
      <c r="DBS63"/>
      <c r="DBT63"/>
      <c r="DBU63"/>
      <c r="DBV63"/>
      <c r="DBW63"/>
      <c r="DBX63"/>
      <c r="DBY63"/>
      <c r="DBZ63"/>
      <c r="DCA63"/>
      <c r="DCB63"/>
      <c r="DCC63"/>
      <c r="DCD63"/>
      <c r="DCE63"/>
      <c r="DCF63"/>
      <c r="DCG63"/>
      <c r="DCH63"/>
      <c r="DCI63"/>
      <c r="DCJ63"/>
      <c r="DCK63"/>
      <c r="DCL63"/>
      <c r="DCM63"/>
      <c r="DCN63"/>
      <c r="DCO63"/>
      <c r="DCP63"/>
      <c r="DCQ63"/>
      <c r="DCR63"/>
      <c r="DCS63"/>
      <c r="DCT63"/>
      <c r="DCU63"/>
      <c r="DCV63"/>
      <c r="DCW63"/>
      <c r="DCX63"/>
      <c r="DCY63"/>
      <c r="DCZ63"/>
      <c r="DDA63"/>
      <c r="DDB63"/>
      <c r="DDC63"/>
      <c r="DDD63"/>
      <c r="DDE63"/>
      <c r="DDF63"/>
      <c r="DDG63"/>
      <c r="DDH63"/>
      <c r="DDI63"/>
      <c r="DDJ63"/>
      <c r="DDK63"/>
      <c r="DDL63"/>
      <c r="DDM63"/>
      <c r="DDN63"/>
      <c r="DDO63"/>
      <c r="DDP63"/>
      <c r="DDQ63"/>
      <c r="DDR63"/>
      <c r="DDS63"/>
      <c r="DDT63"/>
      <c r="DDU63"/>
      <c r="DDV63"/>
      <c r="DDW63"/>
      <c r="DDX63"/>
      <c r="DDY63"/>
      <c r="DDZ63"/>
      <c r="DEA63"/>
      <c r="DEB63"/>
      <c r="DEC63"/>
      <c r="DED63"/>
      <c r="DEE63"/>
      <c r="DEF63"/>
      <c r="DEG63"/>
      <c r="DEH63"/>
      <c r="DEI63"/>
      <c r="DEJ63"/>
      <c r="DEK63"/>
      <c r="DEL63"/>
      <c r="DEM63"/>
      <c r="DEN63"/>
      <c r="DEO63"/>
      <c r="DEP63"/>
      <c r="DEQ63"/>
      <c r="DER63"/>
      <c r="DES63"/>
      <c r="DET63"/>
      <c r="DEU63"/>
      <c r="DEV63"/>
      <c r="DEW63"/>
      <c r="DEX63"/>
      <c r="DEY63"/>
      <c r="DEZ63"/>
      <c r="DFA63"/>
      <c r="DFB63"/>
      <c r="DFC63"/>
      <c r="DFD63"/>
      <c r="DFE63"/>
      <c r="DFF63"/>
      <c r="DFG63"/>
      <c r="DFH63"/>
      <c r="DFI63"/>
      <c r="DFJ63"/>
      <c r="DFK63"/>
      <c r="DFL63"/>
      <c r="DFM63"/>
      <c r="DFN63"/>
      <c r="DFO63"/>
      <c r="DFP63"/>
      <c r="DFQ63"/>
      <c r="DFR63"/>
      <c r="DFS63"/>
      <c r="DFT63"/>
      <c r="DFU63"/>
      <c r="DFV63"/>
      <c r="DFW63"/>
      <c r="DFX63"/>
      <c r="DFY63"/>
      <c r="DFZ63"/>
      <c r="DGA63"/>
      <c r="DGB63"/>
      <c r="DGC63"/>
      <c r="DGD63"/>
      <c r="DGE63"/>
      <c r="DGF63"/>
      <c r="DGG63"/>
      <c r="DGH63"/>
      <c r="DGI63"/>
      <c r="DGJ63"/>
      <c r="DGK63"/>
      <c r="DGL63"/>
      <c r="DGM63"/>
      <c r="DGN63"/>
      <c r="DGO63"/>
      <c r="DGP63"/>
      <c r="DGQ63"/>
      <c r="DGR63"/>
      <c r="DGS63"/>
      <c r="DGT63"/>
      <c r="DGU63"/>
      <c r="DGV63"/>
      <c r="DGW63"/>
      <c r="DGX63"/>
      <c r="DGY63"/>
      <c r="DGZ63"/>
      <c r="DHA63"/>
      <c r="DHB63"/>
      <c r="DHC63"/>
      <c r="DHD63"/>
      <c r="DHE63"/>
      <c r="DHF63"/>
      <c r="DHG63"/>
      <c r="DHH63"/>
      <c r="DHI63"/>
      <c r="DHJ63"/>
      <c r="DHK63"/>
      <c r="DHL63"/>
      <c r="DHM63"/>
      <c r="DHN63"/>
      <c r="DHO63"/>
      <c r="DHP63"/>
      <c r="DHQ63"/>
      <c r="DHR63"/>
      <c r="DHS63"/>
      <c r="DHT63"/>
      <c r="DHU63"/>
      <c r="DHV63"/>
      <c r="DHW63"/>
      <c r="DHX63"/>
      <c r="DHY63"/>
      <c r="DHZ63"/>
      <c r="DIA63"/>
      <c r="DIB63"/>
      <c r="DIC63"/>
      <c r="DID63"/>
      <c r="DIE63"/>
      <c r="DIF63"/>
      <c r="DIG63"/>
      <c r="DIH63"/>
      <c r="DII63"/>
      <c r="DIJ63"/>
      <c r="DIK63"/>
      <c r="DIL63"/>
      <c r="DIM63"/>
      <c r="DIN63"/>
      <c r="DIO63"/>
      <c r="DIP63"/>
      <c r="DIQ63"/>
      <c r="DIR63"/>
      <c r="DIS63"/>
      <c r="DIT63"/>
      <c r="DIU63"/>
      <c r="DIV63"/>
      <c r="DIW63"/>
      <c r="DIX63"/>
      <c r="DIY63"/>
      <c r="DIZ63"/>
      <c r="DJA63"/>
      <c r="DJB63"/>
      <c r="DJC63"/>
      <c r="DJD63"/>
      <c r="DJE63"/>
      <c r="DJF63"/>
      <c r="DJG63"/>
      <c r="DJH63"/>
      <c r="DJI63"/>
      <c r="DJJ63"/>
      <c r="DJK63"/>
      <c r="DJL63"/>
      <c r="DJM63"/>
      <c r="DJN63"/>
      <c r="DJO63"/>
      <c r="DJP63"/>
      <c r="DJQ63"/>
      <c r="DJR63"/>
      <c r="DJS63"/>
      <c r="DJT63"/>
      <c r="DJU63"/>
      <c r="DJV63"/>
      <c r="DJW63"/>
      <c r="DJX63"/>
      <c r="DJY63"/>
      <c r="DJZ63"/>
      <c r="DKA63"/>
      <c r="DKB63"/>
      <c r="DKC63"/>
      <c r="DKD63"/>
      <c r="DKE63"/>
      <c r="DKF63"/>
      <c r="DKG63"/>
      <c r="DKH63"/>
      <c r="DKI63"/>
      <c r="DKJ63"/>
      <c r="DKK63"/>
      <c r="DKL63"/>
      <c r="DKM63"/>
      <c r="DKN63"/>
      <c r="DKO63"/>
      <c r="DKP63"/>
      <c r="DKQ63"/>
      <c r="DKR63"/>
      <c r="DKS63"/>
      <c r="DKT63"/>
      <c r="DKU63"/>
      <c r="DKV63"/>
      <c r="DKW63"/>
      <c r="DKX63"/>
      <c r="DKY63"/>
      <c r="DKZ63"/>
      <c r="DLA63"/>
      <c r="DLB63"/>
      <c r="DLC63"/>
      <c r="DLD63"/>
      <c r="DLE63"/>
      <c r="DLF63"/>
      <c r="DLG63"/>
      <c r="DLH63"/>
      <c r="DLI63"/>
      <c r="DLJ63"/>
      <c r="DLK63"/>
      <c r="DLL63"/>
      <c r="DLM63"/>
      <c r="DLN63"/>
      <c r="DLO63"/>
      <c r="DLP63"/>
      <c r="DLQ63"/>
      <c r="DLR63"/>
      <c r="DLS63"/>
      <c r="DLT63"/>
      <c r="DLU63"/>
      <c r="DLV63"/>
      <c r="DLW63"/>
      <c r="DLX63"/>
      <c r="DLY63"/>
      <c r="DLZ63"/>
      <c r="DMA63"/>
      <c r="DMB63"/>
      <c r="DMC63"/>
      <c r="DMD63"/>
      <c r="DME63"/>
      <c r="DMF63"/>
      <c r="DMG63"/>
      <c r="DMH63"/>
      <c r="DMI63"/>
      <c r="DMJ63"/>
      <c r="DMK63"/>
      <c r="DML63"/>
      <c r="DMM63"/>
      <c r="DMN63"/>
      <c r="DMO63"/>
      <c r="DMP63"/>
      <c r="DMQ63"/>
      <c r="DMR63"/>
      <c r="DMS63"/>
      <c r="DMT63"/>
      <c r="DMU63"/>
      <c r="DMV63"/>
      <c r="DMW63"/>
      <c r="DMX63"/>
      <c r="DMY63"/>
      <c r="DMZ63"/>
      <c r="DNA63"/>
      <c r="DNB63"/>
      <c r="DNC63"/>
      <c r="DND63"/>
      <c r="DNE63"/>
      <c r="DNF63"/>
      <c r="DNG63"/>
      <c r="DNH63"/>
      <c r="DNI63"/>
      <c r="DNJ63"/>
      <c r="DNK63"/>
      <c r="DNL63"/>
      <c r="DNM63"/>
      <c r="DNN63"/>
      <c r="DNO63"/>
      <c r="DNP63"/>
      <c r="DNQ63"/>
      <c r="DNR63"/>
      <c r="DNS63"/>
      <c r="DNT63"/>
      <c r="DNU63"/>
      <c r="DNV63"/>
      <c r="DNW63"/>
      <c r="DNX63"/>
      <c r="DNY63"/>
      <c r="DNZ63"/>
      <c r="DOA63"/>
      <c r="DOB63"/>
      <c r="DOC63"/>
      <c r="DOD63"/>
      <c r="DOE63"/>
      <c r="DOF63"/>
      <c r="DOG63"/>
      <c r="DOH63"/>
      <c r="DOI63"/>
      <c r="DOJ63"/>
      <c r="DOK63"/>
      <c r="DOL63"/>
      <c r="DOM63"/>
      <c r="DON63"/>
      <c r="DOO63"/>
      <c r="DOP63"/>
      <c r="DOQ63"/>
      <c r="DOR63"/>
      <c r="DOS63"/>
      <c r="DOT63"/>
      <c r="DOU63"/>
      <c r="DOV63"/>
      <c r="DOW63"/>
      <c r="DOX63"/>
      <c r="DOY63"/>
      <c r="DOZ63"/>
      <c r="DPA63"/>
      <c r="DPB63"/>
      <c r="DPC63"/>
      <c r="DPD63"/>
      <c r="DPE63"/>
      <c r="DPF63"/>
      <c r="DPG63"/>
      <c r="DPH63"/>
      <c r="DPI63"/>
      <c r="DPJ63"/>
      <c r="DPK63"/>
      <c r="DPL63"/>
      <c r="DPM63"/>
      <c r="DPN63"/>
      <c r="DPO63"/>
      <c r="DPP63"/>
      <c r="DPQ63"/>
      <c r="DPR63"/>
      <c r="DPS63"/>
      <c r="DPT63"/>
      <c r="DPU63"/>
      <c r="DPV63"/>
      <c r="DPW63"/>
      <c r="DPX63"/>
      <c r="DPY63"/>
      <c r="DPZ63"/>
      <c r="DQA63"/>
      <c r="DQB63"/>
      <c r="DQC63"/>
      <c r="DQD63"/>
      <c r="DQE63"/>
      <c r="DQF63"/>
      <c r="DQG63"/>
      <c r="DQH63"/>
      <c r="DQI63"/>
      <c r="DQJ63"/>
      <c r="DQK63"/>
      <c r="DQL63"/>
      <c r="DQM63"/>
      <c r="DQN63"/>
      <c r="DQO63"/>
      <c r="DQP63"/>
      <c r="DQQ63"/>
      <c r="DQR63"/>
      <c r="DQS63"/>
      <c r="DQT63"/>
      <c r="DQU63"/>
      <c r="DQV63"/>
      <c r="DQW63"/>
      <c r="DQX63"/>
      <c r="DQY63"/>
      <c r="DQZ63"/>
      <c r="DRA63"/>
      <c r="DRB63"/>
      <c r="DRC63"/>
      <c r="DRD63"/>
      <c r="DRE63"/>
      <c r="DRF63"/>
      <c r="DRG63"/>
      <c r="DRH63"/>
      <c r="DRI63"/>
      <c r="DRJ63"/>
      <c r="DRK63"/>
      <c r="DRL63"/>
      <c r="DRM63"/>
      <c r="DRN63"/>
      <c r="DRO63"/>
      <c r="DRP63"/>
      <c r="DRQ63"/>
      <c r="DRR63"/>
      <c r="DRS63"/>
      <c r="DRT63"/>
      <c r="DRU63"/>
      <c r="DRV63"/>
      <c r="DRW63"/>
      <c r="DRX63"/>
      <c r="DRY63"/>
      <c r="DRZ63"/>
      <c r="DSA63"/>
      <c r="DSB63"/>
      <c r="DSC63"/>
      <c r="DSD63"/>
      <c r="DSE63"/>
      <c r="DSF63"/>
      <c r="DSG63"/>
      <c r="DSH63"/>
      <c r="DSI63"/>
      <c r="DSJ63"/>
      <c r="DSK63"/>
      <c r="DSL63"/>
      <c r="DSM63"/>
      <c r="DSN63"/>
      <c r="DSO63"/>
      <c r="DSP63"/>
      <c r="DSQ63"/>
      <c r="DSR63"/>
      <c r="DSS63"/>
      <c r="DST63"/>
      <c r="DSU63"/>
      <c r="DSV63"/>
      <c r="DSW63"/>
      <c r="DSX63"/>
      <c r="DSY63"/>
      <c r="DSZ63"/>
      <c r="DTA63"/>
      <c r="DTB63"/>
      <c r="DTC63"/>
      <c r="DTD63"/>
      <c r="DTE63"/>
      <c r="DTF63"/>
      <c r="DTG63"/>
      <c r="DTH63"/>
      <c r="DTI63"/>
      <c r="DTJ63"/>
      <c r="DTK63"/>
      <c r="DTL63"/>
      <c r="DTM63"/>
      <c r="DTN63"/>
      <c r="DTO63"/>
      <c r="DTP63"/>
      <c r="DTQ63"/>
      <c r="DTR63"/>
      <c r="DTS63"/>
      <c r="DTT63"/>
      <c r="DTU63"/>
      <c r="DTV63"/>
      <c r="DTW63"/>
      <c r="DTX63"/>
      <c r="DTY63"/>
      <c r="DTZ63"/>
      <c r="DUA63"/>
      <c r="DUB63"/>
      <c r="DUC63"/>
      <c r="DUD63"/>
      <c r="DUE63"/>
      <c r="DUF63"/>
      <c r="DUG63"/>
      <c r="DUH63"/>
      <c r="DUI63"/>
      <c r="DUJ63"/>
      <c r="DUK63"/>
      <c r="DUL63"/>
      <c r="DUM63"/>
      <c r="DUN63"/>
      <c r="DUO63"/>
      <c r="DUP63"/>
      <c r="DUQ63"/>
      <c r="DUR63"/>
      <c r="DUS63"/>
      <c r="DUT63"/>
      <c r="DUU63"/>
      <c r="DUV63"/>
      <c r="DUW63"/>
      <c r="DUX63"/>
      <c r="DUY63"/>
      <c r="DUZ63"/>
      <c r="DVA63"/>
      <c r="DVB63"/>
      <c r="DVC63"/>
      <c r="DVD63"/>
      <c r="DVE63"/>
      <c r="DVF63"/>
      <c r="DVG63"/>
      <c r="DVH63"/>
      <c r="DVI63"/>
      <c r="DVJ63"/>
      <c r="DVK63"/>
      <c r="DVL63"/>
      <c r="DVM63"/>
      <c r="DVN63"/>
      <c r="DVO63"/>
      <c r="DVP63"/>
      <c r="DVQ63"/>
      <c r="DVR63"/>
      <c r="DVS63"/>
      <c r="DVT63"/>
      <c r="DVU63"/>
      <c r="DVV63"/>
      <c r="DVW63"/>
      <c r="DVX63"/>
      <c r="DVY63"/>
      <c r="DVZ63"/>
      <c r="DWA63"/>
      <c r="DWB63"/>
      <c r="DWC63"/>
      <c r="DWD63"/>
      <c r="DWE63"/>
      <c r="DWF63"/>
      <c r="DWG63"/>
      <c r="DWH63"/>
      <c r="DWI63"/>
      <c r="DWJ63"/>
      <c r="DWK63"/>
      <c r="DWL63"/>
      <c r="DWM63"/>
      <c r="DWN63"/>
      <c r="DWO63"/>
      <c r="DWP63"/>
      <c r="DWQ63"/>
      <c r="DWR63"/>
      <c r="DWS63"/>
      <c r="DWT63"/>
      <c r="DWU63"/>
      <c r="DWV63"/>
      <c r="DWW63"/>
      <c r="DWX63"/>
      <c r="DWY63"/>
      <c r="DWZ63"/>
      <c r="DXA63"/>
      <c r="DXB63"/>
      <c r="DXC63"/>
      <c r="DXD63"/>
      <c r="DXE63"/>
      <c r="DXF63"/>
      <c r="DXG63"/>
      <c r="DXH63"/>
      <c r="DXI63"/>
      <c r="DXJ63"/>
      <c r="DXK63"/>
      <c r="DXL63"/>
      <c r="DXM63"/>
      <c r="DXN63"/>
      <c r="DXO63"/>
      <c r="DXP63"/>
      <c r="DXQ63"/>
      <c r="DXR63"/>
      <c r="DXS63"/>
      <c r="DXT63"/>
      <c r="DXU63"/>
      <c r="DXV63"/>
      <c r="DXW63"/>
      <c r="DXX63"/>
      <c r="DXY63"/>
      <c r="DXZ63"/>
      <c r="DYA63"/>
      <c r="DYB63"/>
      <c r="DYC63"/>
      <c r="DYD63"/>
      <c r="DYE63"/>
      <c r="DYF63"/>
      <c r="DYG63"/>
      <c r="DYH63"/>
      <c r="DYI63"/>
      <c r="DYJ63"/>
      <c r="DYK63"/>
      <c r="DYL63"/>
      <c r="DYM63"/>
      <c r="DYN63"/>
      <c r="DYO63"/>
      <c r="DYP63"/>
      <c r="DYQ63"/>
      <c r="DYR63"/>
      <c r="DYS63"/>
      <c r="DYT63"/>
      <c r="DYU63"/>
      <c r="DYV63"/>
      <c r="DYW63"/>
      <c r="DYX63"/>
      <c r="DYY63"/>
      <c r="DYZ63"/>
      <c r="DZA63"/>
      <c r="DZB63"/>
      <c r="DZC63"/>
      <c r="DZD63"/>
      <c r="DZE63"/>
      <c r="DZF63"/>
      <c r="DZG63"/>
      <c r="DZH63"/>
      <c r="DZI63"/>
      <c r="DZJ63"/>
      <c r="DZK63"/>
      <c r="DZL63"/>
      <c r="DZM63"/>
      <c r="DZN63"/>
      <c r="DZO63"/>
      <c r="DZP63"/>
      <c r="DZQ63"/>
      <c r="DZR63"/>
      <c r="DZS63"/>
      <c r="DZT63"/>
      <c r="DZU63"/>
      <c r="DZV63"/>
      <c r="DZW63"/>
      <c r="DZX63"/>
      <c r="DZY63"/>
      <c r="DZZ63"/>
      <c r="EAA63"/>
      <c r="EAB63"/>
      <c r="EAC63"/>
      <c r="EAD63"/>
      <c r="EAE63"/>
      <c r="EAF63"/>
      <c r="EAG63"/>
      <c r="EAH63"/>
      <c r="EAI63"/>
      <c r="EAJ63"/>
      <c r="EAK63"/>
      <c r="EAL63"/>
      <c r="EAM63"/>
      <c r="EAN63"/>
      <c r="EAO63"/>
      <c r="EAP63"/>
      <c r="EAQ63"/>
      <c r="EAR63"/>
      <c r="EAS63"/>
      <c r="EAT63"/>
      <c r="EAU63"/>
      <c r="EAV63"/>
      <c r="EAW63"/>
      <c r="EAX63"/>
      <c r="EAY63"/>
      <c r="EAZ63"/>
      <c r="EBA63"/>
      <c r="EBB63"/>
      <c r="EBC63"/>
      <c r="EBD63"/>
      <c r="EBE63"/>
      <c r="EBF63"/>
      <c r="EBG63"/>
      <c r="EBH63"/>
      <c r="EBI63"/>
      <c r="EBJ63"/>
      <c r="EBK63"/>
      <c r="EBL63"/>
      <c r="EBM63"/>
      <c r="EBN63"/>
      <c r="EBO63"/>
      <c r="EBP63"/>
      <c r="EBQ63"/>
      <c r="EBR63"/>
      <c r="EBS63"/>
      <c r="EBT63"/>
      <c r="EBU63"/>
      <c r="EBV63"/>
      <c r="EBW63"/>
      <c r="EBX63"/>
      <c r="EBY63"/>
      <c r="EBZ63"/>
      <c r="ECA63"/>
      <c r="ECB63"/>
      <c r="ECC63"/>
      <c r="ECD63"/>
      <c r="ECE63"/>
      <c r="ECF63"/>
      <c r="ECG63"/>
      <c r="ECH63"/>
      <c r="ECI63"/>
      <c r="ECJ63"/>
      <c r="ECK63"/>
      <c r="ECL63"/>
      <c r="ECM63"/>
      <c r="ECN63"/>
      <c r="ECO63"/>
      <c r="ECP63"/>
      <c r="ECQ63"/>
      <c r="ECR63"/>
      <c r="ECS63"/>
      <c r="ECT63"/>
      <c r="ECU63"/>
      <c r="ECV63"/>
      <c r="ECW63"/>
      <c r="ECX63"/>
      <c r="ECY63"/>
      <c r="ECZ63"/>
      <c r="EDA63"/>
      <c r="EDB63"/>
      <c r="EDC63"/>
      <c r="EDD63"/>
      <c r="EDE63"/>
      <c r="EDF63"/>
      <c r="EDG63"/>
      <c r="EDH63"/>
      <c r="EDI63"/>
      <c r="EDJ63"/>
      <c r="EDK63"/>
      <c r="EDL63"/>
      <c r="EDM63"/>
      <c r="EDN63"/>
      <c r="EDO63"/>
      <c r="EDP63"/>
      <c r="EDQ63"/>
      <c r="EDR63"/>
      <c r="EDS63"/>
      <c r="EDT63"/>
      <c r="EDU63"/>
      <c r="EDV63"/>
      <c r="EDW63"/>
      <c r="EDX63"/>
      <c r="EDY63"/>
      <c r="EDZ63"/>
      <c r="EEA63"/>
      <c r="EEB63"/>
      <c r="EEC63"/>
      <c r="EED63"/>
      <c r="EEE63"/>
      <c r="EEF63"/>
      <c r="EEG63"/>
      <c r="EEH63"/>
      <c r="EEI63"/>
      <c r="EEJ63"/>
      <c r="EEK63"/>
      <c r="EEL63"/>
      <c r="EEM63"/>
      <c r="EEN63"/>
      <c r="EEO63"/>
      <c r="EEP63"/>
      <c r="EEQ63"/>
      <c r="EER63"/>
      <c r="EES63"/>
      <c r="EET63"/>
      <c r="EEU63"/>
      <c r="EEV63"/>
      <c r="EEW63"/>
      <c r="EEX63"/>
      <c r="EEY63"/>
      <c r="EEZ63"/>
      <c r="EFA63"/>
      <c r="EFB63"/>
      <c r="EFC63"/>
      <c r="EFD63"/>
      <c r="EFE63"/>
      <c r="EFF63"/>
      <c r="EFG63"/>
      <c r="EFH63"/>
      <c r="EFI63"/>
      <c r="EFJ63"/>
      <c r="EFK63"/>
      <c r="EFL63"/>
      <c r="EFM63"/>
      <c r="EFN63"/>
      <c r="EFO63"/>
      <c r="EFP63"/>
      <c r="EFQ63"/>
      <c r="EFR63"/>
      <c r="EFS63"/>
      <c r="EFT63"/>
      <c r="EFU63"/>
      <c r="EFV63"/>
      <c r="EFW63"/>
      <c r="EFX63"/>
      <c r="EFY63"/>
      <c r="EFZ63"/>
      <c r="EGA63"/>
      <c r="EGB63"/>
      <c r="EGC63"/>
      <c r="EGD63"/>
      <c r="EGE63"/>
      <c r="EGF63"/>
      <c r="EGG63"/>
      <c r="EGH63"/>
      <c r="EGI63"/>
      <c r="EGJ63"/>
      <c r="EGK63"/>
      <c r="EGL63"/>
      <c r="EGM63"/>
      <c r="EGN63"/>
      <c r="EGO63"/>
      <c r="EGP63"/>
      <c r="EGQ63"/>
      <c r="EGR63"/>
      <c r="EGS63"/>
      <c r="EGT63"/>
      <c r="EGU63"/>
      <c r="EGV63"/>
      <c r="EGW63"/>
      <c r="EGX63"/>
      <c r="EGY63"/>
      <c r="EGZ63"/>
      <c r="EHA63"/>
      <c r="EHB63"/>
      <c r="EHC63"/>
      <c r="EHD63"/>
      <c r="EHE63"/>
      <c r="EHF63"/>
      <c r="EHG63"/>
      <c r="EHH63"/>
      <c r="EHI63"/>
      <c r="EHJ63"/>
      <c r="EHK63"/>
      <c r="EHL63"/>
      <c r="EHM63"/>
      <c r="EHN63"/>
      <c r="EHO63"/>
      <c r="EHP63"/>
      <c r="EHQ63"/>
      <c r="EHR63"/>
      <c r="EHS63"/>
      <c r="EHT63"/>
      <c r="EHU63"/>
      <c r="EHV63"/>
      <c r="EHW63"/>
      <c r="EHX63"/>
      <c r="EHY63"/>
      <c r="EHZ63"/>
      <c r="EIA63"/>
      <c r="EIB63"/>
      <c r="EIC63"/>
      <c r="EID63"/>
      <c r="EIE63"/>
      <c r="EIF63"/>
      <c r="EIG63"/>
      <c r="EIH63"/>
      <c r="EII63"/>
      <c r="EIJ63"/>
      <c r="EIK63"/>
      <c r="EIL63"/>
      <c r="EIM63"/>
      <c r="EIN63"/>
      <c r="EIO63"/>
      <c r="EIP63"/>
      <c r="EIQ63"/>
      <c r="EIR63"/>
      <c r="EIS63"/>
      <c r="EIT63"/>
      <c r="EIU63"/>
      <c r="EIV63"/>
      <c r="EIW63"/>
      <c r="EIX63"/>
      <c r="EIY63"/>
      <c r="EIZ63"/>
      <c r="EJA63"/>
      <c r="EJB63"/>
      <c r="EJC63"/>
      <c r="EJD63"/>
      <c r="EJE63"/>
      <c r="EJF63"/>
      <c r="EJG63"/>
      <c r="EJH63"/>
      <c r="EJI63"/>
      <c r="EJJ63"/>
      <c r="EJK63"/>
      <c r="EJL63"/>
      <c r="EJM63"/>
      <c r="EJN63"/>
      <c r="EJO63"/>
      <c r="EJP63"/>
      <c r="EJQ63"/>
      <c r="EJR63"/>
      <c r="EJS63"/>
      <c r="EJT63"/>
      <c r="EJU63"/>
      <c r="EJV63"/>
      <c r="EJW63"/>
      <c r="EJX63"/>
      <c r="EJY63"/>
      <c r="EJZ63"/>
      <c r="EKA63"/>
      <c r="EKB63"/>
      <c r="EKC63"/>
      <c r="EKD63"/>
      <c r="EKE63"/>
      <c r="EKF63"/>
      <c r="EKG63"/>
      <c r="EKH63"/>
      <c r="EKI63"/>
      <c r="EKJ63"/>
      <c r="EKK63"/>
      <c r="EKL63"/>
      <c r="EKM63"/>
      <c r="EKN63"/>
      <c r="EKO63"/>
      <c r="EKP63"/>
      <c r="EKQ63"/>
      <c r="EKR63"/>
      <c r="EKS63"/>
      <c r="EKT63"/>
      <c r="EKU63"/>
      <c r="EKV63"/>
      <c r="EKW63"/>
      <c r="EKX63"/>
      <c r="EKY63"/>
      <c r="EKZ63"/>
      <c r="ELA63"/>
      <c r="ELB63"/>
      <c r="ELC63"/>
      <c r="ELD63"/>
      <c r="ELE63"/>
      <c r="ELF63"/>
      <c r="ELG63"/>
      <c r="ELH63"/>
      <c r="ELI63"/>
      <c r="ELJ63"/>
      <c r="ELK63"/>
      <c r="ELL63"/>
      <c r="ELM63"/>
      <c r="ELN63"/>
      <c r="ELO63"/>
      <c r="ELP63"/>
      <c r="ELQ63"/>
      <c r="ELR63"/>
      <c r="ELS63"/>
      <c r="ELT63"/>
      <c r="ELU63"/>
      <c r="ELV63"/>
      <c r="ELW63"/>
      <c r="ELX63"/>
      <c r="ELY63"/>
      <c r="ELZ63"/>
      <c r="EMA63"/>
      <c r="EMB63"/>
      <c r="EMC63"/>
      <c r="EMD63"/>
      <c r="EME63"/>
      <c r="EMF63"/>
      <c r="EMG63"/>
      <c r="EMH63"/>
      <c r="EMI63"/>
      <c r="EMJ63"/>
      <c r="EMK63"/>
      <c r="EML63"/>
      <c r="EMM63"/>
      <c r="EMN63"/>
      <c r="EMO63"/>
      <c r="EMP63"/>
      <c r="EMQ63"/>
      <c r="EMR63"/>
      <c r="EMS63"/>
      <c r="EMT63"/>
      <c r="EMU63"/>
      <c r="EMV63"/>
      <c r="EMW63"/>
      <c r="EMX63"/>
      <c r="EMY63"/>
      <c r="EMZ63"/>
      <c r="ENA63"/>
      <c r="ENB63"/>
      <c r="ENC63"/>
      <c r="END63"/>
      <c r="ENE63"/>
      <c r="ENF63"/>
      <c r="ENG63"/>
      <c r="ENH63"/>
      <c r="ENI63"/>
      <c r="ENJ63"/>
      <c r="ENK63"/>
      <c r="ENL63"/>
      <c r="ENM63"/>
      <c r="ENN63"/>
      <c r="ENO63"/>
      <c r="ENP63"/>
      <c r="ENQ63"/>
      <c r="ENR63"/>
      <c r="ENS63"/>
      <c r="ENT63"/>
      <c r="ENU63"/>
      <c r="ENV63"/>
      <c r="ENW63"/>
      <c r="ENX63"/>
      <c r="ENY63"/>
      <c r="ENZ63"/>
      <c r="EOA63"/>
      <c r="EOB63"/>
      <c r="EOC63"/>
      <c r="EOD63"/>
      <c r="EOE63"/>
      <c r="EOF63"/>
      <c r="EOG63"/>
      <c r="EOH63"/>
      <c r="EOI63"/>
      <c r="EOJ63"/>
      <c r="EOK63"/>
      <c r="EOL63"/>
      <c r="EOM63"/>
      <c r="EON63"/>
      <c r="EOO63"/>
      <c r="EOP63"/>
      <c r="EOQ63"/>
      <c r="EOR63"/>
      <c r="EOS63"/>
      <c r="EOT63"/>
      <c r="EOU63"/>
      <c r="EOV63"/>
      <c r="EOW63"/>
      <c r="EOX63"/>
      <c r="EOY63"/>
      <c r="EOZ63"/>
      <c r="EPA63"/>
      <c r="EPB63"/>
      <c r="EPC63"/>
      <c r="EPD63"/>
      <c r="EPE63"/>
      <c r="EPF63"/>
      <c r="EPG63"/>
      <c r="EPH63"/>
      <c r="EPI63"/>
      <c r="EPJ63"/>
      <c r="EPK63"/>
      <c r="EPL63"/>
      <c r="EPM63"/>
      <c r="EPN63"/>
      <c r="EPO63"/>
      <c r="EPP63"/>
      <c r="EPQ63"/>
      <c r="EPR63"/>
      <c r="EPS63"/>
      <c r="EPT63"/>
      <c r="EPU63"/>
      <c r="EPV63"/>
      <c r="EPW63"/>
      <c r="EPX63"/>
      <c r="EPY63"/>
      <c r="EPZ63"/>
      <c r="EQA63"/>
      <c r="EQB63"/>
      <c r="EQC63"/>
      <c r="EQD63"/>
      <c r="EQE63"/>
      <c r="EQF63"/>
      <c r="EQG63"/>
      <c r="EQH63"/>
      <c r="EQI63"/>
      <c r="EQJ63"/>
      <c r="EQK63"/>
      <c r="EQL63"/>
      <c r="EQM63"/>
      <c r="EQN63"/>
      <c r="EQO63"/>
      <c r="EQP63"/>
      <c r="EQQ63"/>
      <c r="EQR63"/>
      <c r="EQS63"/>
      <c r="EQT63"/>
      <c r="EQU63"/>
      <c r="EQV63"/>
      <c r="EQW63"/>
      <c r="EQX63"/>
      <c r="EQY63"/>
      <c r="EQZ63"/>
      <c r="ERA63"/>
      <c r="ERB63"/>
      <c r="ERC63"/>
      <c r="ERD63"/>
      <c r="ERE63"/>
      <c r="ERF63"/>
      <c r="ERG63"/>
      <c r="ERH63"/>
      <c r="ERI63"/>
      <c r="ERJ63"/>
      <c r="ERK63"/>
      <c r="ERL63"/>
      <c r="ERM63"/>
      <c r="ERN63"/>
      <c r="ERO63"/>
      <c r="ERP63"/>
      <c r="ERQ63"/>
      <c r="ERR63"/>
      <c r="ERS63"/>
      <c r="ERT63"/>
      <c r="ERU63"/>
      <c r="ERV63"/>
      <c r="ERW63"/>
      <c r="ERX63"/>
      <c r="ERY63"/>
      <c r="ERZ63"/>
      <c r="ESA63"/>
      <c r="ESB63"/>
      <c r="ESC63"/>
      <c r="ESD63"/>
      <c r="ESE63"/>
      <c r="ESF63"/>
      <c r="ESG63"/>
      <c r="ESH63"/>
      <c r="ESI63"/>
      <c r="ESJ63"/>
      <c r="ESK63"/>
      <c r="ESL63"/>
      <c r="ESM63"/>
      <c r="ESN63"/>
      <c r="ESO63"/>
      <c r="ESP63"/>
      <c r="ESQ63"/>
      <c r="ESR63"/>
      <c r="ESS63"/>
      <c r="EST63"/>
      <c r="ESU63"/>
      <c r="ESV63"/>
      <c r="ESW63"/>
      <c r="ESX63"/>
      <c r="ESY63"/>
      <c r="ESZ63"/>
      <c r="ETA63"/>
      <c r="ETB63"/>
      <c r="ETC63"/>
      <c r="ETD63"/>
      <c r="ETE63"/>
      <c r="ETF63"/>
      <c r="ETG63"/>
      <c r="ETH63"/>
      <c r="ETI63"/>
      <c r="ETJ63"/>
      <c r="ETK63"/>
      <c r="ETL63"/>
      <c r="ETM63"/>
      <c r="ETN63"/>
      <c r="ETO63"/>
      <c r="ETP63"/>
      <c r="ETQ63"/>
      <c r="ETR63"/>
      <c r="ETS63"/>
      <c r="ETT63"/>
      <c r="ETU63"/>
      <c r="ETV63"/>
      <c r="ETW63"/>
      <c r="ETX63"/>
      <c r="ETY63"/>
      <c r="ETZ63"/>
      <c r="EUA63"/>
      <c r="EUB63"/>
      <c r="EUC63"/>
      <c r="EUD63"/>
      <c r="EUE63"/>
      <c r="EUF63"/>
      <c r="EUG63"/>
      <c r="EUH63"/>
      <c r="EUI63"/>
      <c r="EUJ63"/>
      <c r="EUK63"/>
      <c r="EUL63"/>
      <c r="EUM63"/>
      <c r="EUN63"/>
      <c r="EUO63"/>
      <c r="EUP63"/>
      <c r="EUQ63"/>
      <c r="EUR63"/>
      <c r="EUS63"/>
      <c r="EUT63"/>
      <c r="EUU63"/>
      <c r="EUV63"/>
      <c r="EUW63"/>
      <c r="EUX63"/>
      <c r="EUY63"/>
      <c r="EUZ63"/>
      <c r="EVA63"/>
      <c r="EVB63"/>
      <c r="EVC63"/>
      <c r="EVD63"/>
      <c r="EVE63"/>
      <c r="EVF63"/>
      <c r="EVG63"/>
      <c r="EVH63"/>
      <c r="EVI63"/>
      <c r="EVJ63"/>
      <c r="EVK63"/>
      <c r="EVL63"/>
      <c r="EVM63"/>
      <c r="EVN63"/>
      <c r="EVO63"/>
      <c r="EVP63"/>
      <c r="EVQ63"/>
      <c r="EVR63"/>
      <c r="EVS63"/>
      <c r="EVT63"/>
      <c r="EVU63"/>
      <c r="EVV63"/>
      <c r="EVW63"/>
      <c r="EVX63"/>
      <c r="EVY63"/>
      <c r="EVZ63"/>
      <c r="EWA63"/>
      <c r="EWB63"/>
      <c r="EWC63"/>
      <c r="EWD63"/>
      <c r="EWE63"/>
      <c r="EWF63"/>
      <c r="EWG63"/>
      <c r="EWH63"/>
      <c r="EWI63"/>
      <c r="EWJ63"/>
      <c r="EWK63"/>
      <c r="EWL63"/>
      <c r="EWM63"/>
      <c r="EWN63"/>
      <c r="EWO63"/>
      <c r="EWP63"/>
      <c r="EWQ63"/>
      <c r="EWR63"/>
      <c r="EWS63"/>
      <c r="EWT63"/>
      <c r="EWU63"/>
      <c r="EWV63"/>
      <c r="EWW63"/>
      <c r="EWX63"/>
      <c r="EWY63"/>
      <c r="EWZ63"/>
      <c r="EXA63"/>
      <c r="EXB63"/>
      <c r="EXC63"/>
      <c r="EXD63"/>
      <c r="EXE63"/>
      <c r="EXF63"/>
      <c r="EXG63"/>
      <c r="EXH63"/>
      <c r="EXI63"/>
      <c r="EXJ63"/>
      <c r="EXK63"/>
      <c r="EXL63"/>
      <c r="EXM63"/>
      <c r="EXN63"/>
      <c r="EXO63"/>
      <c r="EXP63"/>
      <c r="EXQ63"/>
      <c r="EXR63"/>
      <c r="EXS63"/>
      <c r="EXT63"/>
      <c r="EXU63"/>
      <c r="EXV63"/>
      <c r="EXW63"/>
      <c r="EXX63"/>
      <c r="EXY63"/>
      <c r="EXZ63"/>
      <c r="EYA63"/>
      <c r="EYB63"/>
      <c r="EYC63"/>
      <c r="EYD63"/>
      <c r="EYE63"/>
      <c r="EYF63"/>
      <c r="EYG63"/>
      <c r="EYH63"/>
      <c r="EYI63"/>
      <c r="EYJ63"/>
      <c r="EYK63"/>
      <c r="EYL63"/>
      <c r="EYM63"/>
      <c r="EYN63"/>
      <c r="EYO63"/>
      <c r="EYP63"/>
      <c r="EYQ63"/>
      <c r="EYR63"/>
      <c r="EYS63"/>
      <c r="EYT63"/>
      <c r="EYU63"/>
      <c r="EYV63"/>
      <c r="EYW63"/>
      <c r="EYX63"/>
      <c r="EYY63"/>
      <c r="EYZ63"/>
      <c r="EZA63"/>
      <c r="EZB63"/>
      <c r="EZC63"/>
      <c r="EZD63"/>
      <c r="EZE63"/>
      <c r="EZF63"/>
      <c r="EZG63"/>
      <c r="EZH63"/>
      <c r="EZI63"/>
      <c r="EZJ63"/>
      <c r="EZK63"/>
      <c r="EZL63"/>
      <c r="EZM63"/>
      <c r="EZN63"/>
      <c r="EZO63"/>
      <c r="EZP63"/>
      <c r="EZQ63"/>
      <c r="EZR63"/>
      <c r="EZS63"/>
      <c r="EZT63"/>
      <c r="EZU63"/>
      <c r="EZV63"/>
      <c r="EZW63"/>
      <c r="EZX63"/>
      <c r="EZY63"/>
      <c r="EZZ63"/>
      <c r="FAA63"/>
      <c r="FAB63"/>
      <c r="FAC63"/>
      <c r="FAD63"/>
      <c r="FAE63"/>
      <c r="FAF63"/>
      <c r="FAG63"/>
      <c r="FAH63"/>
      <c r="FAI63"/>
      <c r="FAJ63"/>
      <c r="FAK63"/>
      <c r="FAL63"/>
      <c r="FAM63"/>
      <c r="FAN63"/>
      <c r="FAO63"/>
      <c r="FAP63"/>
      <c r="FAQ63"/>
      <c r="FAR63"/>
      <c r="FAS63"/>
      <c r="FAT63"/>
      <c r="FAU63"/>
      <c r="FAV63"/>
      <c r="FAW63"/>
      <c r="FAX63"/>
      <c r="FAY63"/>
      <c r="FAZ63"/>
      <c r="FBA63"/>
      <c r="FBB63"/>
      <c r="FBC63"/>
      <c r="FBD63"/>
      <c r="FBE63"/>
      <c r="FBF63"/>
      <c r="FBG63"/>
      <c r="FBH63"/>
      <c r="FBI63"/>
      <c r="FBJ63"/>
      <c r="FBK63"/>
      <c r="FBL63"/>
      <c r="FBM63"/>
      <c r="FBN63"/>
      <c r="FBO63"/>
      <c r="FBP63"/>
      <c r="FBQ63"/>
      <c r="FBR63"/>
      <c r="FBS63"/>
      <c r="FBT63"/>
      <c r="FBU63"/>
      <c r="FBV63"/>
      <c r="FBW63"/>
      <c r="FBX63"/>
      <c r="FBY63"/>
      <c r="FBZ63"/>
      <c r="FCA63"/>
      <c r="FCB63"/>
      <c r="FCC63"/>
      <c r="FCD63"/>
      <c r="FCE63"/>
      <c r="FCF63"/>
      <c r="FCG63"/>
      <c r="FCH63"/>
      <c r="FCI63"/>
      <c r="FCJ63"/>
      <c r="FCK63"/>
      <c r="FCL63"/>
      <c r="FCM63"/>
      <c r="FCN63"/>
      <c r="FCO63"/>
      <c r="FCP63"/>
      <c r="FCQ63"/>
      <c r="FCR63"/>
      <c r="FCS63"/>
      <c r="FCT63"/>
      <c r="FCU63"/>
      <c r="FCV63"/>
      <c r="FCW63"/>
      <c r="FCX63"/>
      <c r="FCY63"/>
      <c r="FCZ63"/>
      <c r="FDA63"/>
      <c r="FDB63"/>
      <c r="FDC63"/>
      <c r="FDD63"/>
      <c r="FDE63"/>
      <c r="FDF63"/>
      <c r="FDG63"/>
      <c r="FDH63"/>
      <c r="FDI63"/>
      <c r="FDJ63"/>
      <c r="FDK63"/>
      <c r="FDL63"/>
      <c r="FDM63"/>
      <c r="FDN63"/>
      <c r="FDO63"/>
      <c r="FDP63"/>
      <c r="FDQ63"/>
      <c r="FDR63"/>
      <c r="FDS63"/>
      <c r="FDT63"/>
      <c r="FDU63"/>
      <c r="FDV63"/>
      <c r="FDW63"/>
      <c r="FDX63"/>
      <c r="FDY63"/>
      <c r="FDZ63"/>
      <c r="FEA63"/>
      <c r="FEB63"/>
      <c r="FEC63"/>
      <c r="FED63"/>
      <c r="FEE63"/>
      <c r="FEF63"/>
      <c r="FEG63"/>
      <c r="FEH63"/>
      <c r="FEI63"/>
      <c r="FEJ63"/>
      <c r="FEK63"/>
      <c r="FEL63"/>
      <c r="FEM63"/>
      <c r="FEN63"/>
      <c r="FEO63"/>
      <c r="FEP63"/>
      <c r="FEQ63"/>
      <c r="FER63"/>
      <c r="FES63"/>
      <c r="FET63"/>
      <c r="FEU63"/>
      <c r="FEV63"/>
      <c r="FEW63"/>
      <c r="FEX63"/>
      <c r="FEY63"/>
      <c r="FEZ63"/>
      <c r="FFA63"/>
      <c r="FFB63"/>
      <c r="FFC63"/>
      <c r="FFD63"/>
      <c r="FFE63"/>
      <c r="FFF63"/>
      <c r="FFG63"/>
      <c r="FFH63"/>
      <c r="FFI63"/>
      <c r="FFJ63"/>
      <c r="FFK63"/>
      <c r="FFL63"/>
      <c r="FFM63"/>
      <c r="FFN63"/>
      <c r="FFO63"/>
      <c r="FFP63"/>
      <c r="FFQ63"/>
      <c r="FFR63"/>
      <c r="FFS63"/>
      <c r="FFT63"/>
      <c r="FFU63"/>
      <c r="FFV63"/>
      <c r="FFW63"/>
      <c r="FFX63"/>
      <c r="FFY63"/>
      <c r="FFZ63"/>
      <c r="FGA63"/>
      <c r="FGB63"/>
      <c r="FGC63"/>
      <c r="FGD63"/>
      <c r="FGE63"/>
      <c r="FGF63"/>
      <c r="FGG63"/>
      <c r="FGH63"/>
      <c r="FGI63"/>
      <c r="FGJ63"/>
      <c r="FGK63"/>
      <c r="FGL63"/>
      <c r="FGM63"/>
      <c r="FGN63"/>
      <c r="FGO63"/>
      <c r="FGP63"/>
      <c r="FGQ63"/>
      <c r="FGR63"/>
      <c r="FGS63"/>
      <c r="FGT63"/>
      <c r="FGU63"/>
      <c r="FGV63"/>
      <c r="FGW63"/>
      <c r="FGX63"/>
      <c r="FGY63"/>
      <c r="FGZ63"/>
      <c r="FHA63"/>
      <c r="FHB63"/>
      <c r="FHC63"/>
      <c r="FHD63"/>
      <c r="FHE63"/>
      <c r="FHF63"/>
      <c r="FHG63"/>
      <c r="FHH63"/>
      <c r="FHI63"/>
      <c r="FHJ63"/>
      <c r="FHK63"/>
      <c r="FHL63"/>
      <c r="FHM63"/>
      <c r="FHN63"/>
      <c r="FHO63"/>
      <c r="FHP63"/>
      <c r="FHQ63"/>
      <c r="FHR63"/>
      <c r="FHS63"/>
      <c r="FHT63"/>
      <c r="FHU63"/>
      <c r="FHV63"/>
      <c r="FHW63"/>
      <c r="FHX63"/>
      <c r="FHY63"/>
      <c r="FHZ63"/>
      <c r="FIA63"/>
      <c r="FIB63"/>
      <c r="FIC63"/>
      <c r="FID63"/>
      <c r="FIE63"/>
      <c r="FIF63"/>
      <c r="FIG63"/>
      <c r="FIH63"/>
      <c r="FII63"/>
      <c r="FIJ63"/>
      <c r="FIK63"/>
      <c r="FIL63"/>
      <c r="FIM63"/>
      <c r="FIN63"/>
      <c r="FIO63"/>
      <c r="FIP63"/>
      <c r="FIQ63"/>
      <c r="FIR63"/>
      <c r="FIS63"/>
      <c r="FIT63"/>
      <c r="FIU63"/>
      <c r="FIV63"/>
      <c r="FIW63"/>
      <c r="FIX63"/>
      <c r="FIY63"/>
      <c r="FIZ63"/>
      <c r="FJA63"/>
      <c r="FJB63"/>
      <c r="FJC63"/>
      <c r="FJD63"/>
      <c r="FJE63"/>
      <c r="FJF63"/>
      <c r="FJG63"/>
      <c r="FJH63"/>
      <c r="FJI63"/>
      <c r="FJJ63"/>
      <c r="FJK63"/>
      <c r="FJL63"/>
      <c r="FJM63"/>
      <c r="FJN63"/>
      <c r="FJO63"/>
      <c r="FJP63"/>
      <c r="FJQ63"/>
      <c r="FJR63"/>
      <c r="FJS63"/>
      <c r="FJT63"/>
      <c r="FJU63"/>
      <c r="FJV63"/>
      <c r="FJW63"/>
      <c r="FJX63"/>
      <c r="FJY63"/>
      <c r="FJZ63"/>
      <c r="FKA63"/>
      <c r="FKB63"/>
      <c r="FKC63"/>
      <c r="FKD63"/>
      <c r="FKE63"/>
      <c r="FKF63"/>
      <c r="FKG63"/>
      <c r="FKH63"/>
      <c r="FKI63"/>
      <c r="FKJ63"/>
      <c r="FKK63"/>
      <c r="FKL63"/>
      <c r="FKM63"/>
      <c r="FKN63"/>
      <c r="FKO63"/>
      <c r="FKP63"/>
      <c r="FKQ63"/>
      <c r="FKR63"/>
      <c r="FKS63"/>
      <c r="FKT63"/>
      <c r="FKU63"/>
      <c r="FKV63"/>
      <c r="FKW63"/>
      <c r="FKX63"/>
      <c r="FKY63"/>
      <c r="FKZ63"/>
      <c r="FLA63"/>
      <c r="FLB63"/>
      <c r="FLC63"/>
      <c r="FLD63"/>
      <c r="FLE63"/>
      <c r="FLF63"/>
      <c r="FLG63"/>
      <c r="FLH63"/>
      <c r="FLI63"/>
      <c r="FLJ63"/>
      <c r="FLK63"/>
      <c r="FLL63"/>
      <c r="FLM63"/>
      <c r="FLN63"/>
      <c r="FLO63"/>
      <c r="FLP63"/>
      <c r="FLQ63"/>
      <c r="FLR63"/>
      <c r="FLS63"/>
      <c r="FLT63"/>
      <c r="FLU63"/>
      <c r="FLV63"/>
      <c r="FLW63"/>
      <c r="FLX63"/>
      <c r="FLY63"/>
      <c r="FLZ63"/>
      <c r="FMA63"/>
      <c r="FMB63"/>
      <c r="FMC63"/>
      <c r="FMD63"/>
      <c r="FME63"/>
      <c r="FMF63"/>
      <c r="FMG63"/>
      <c r="FMH63"/>
      <c r="FMI63"/>
      <c r="FMJ63"/>
      <c r="FMK63"/>
      <c r="FML63"/>
      <c r="FMM63"/>
      <c r="FMN63"/>
      <c r="FMO63"/>
      <c r="FMP63"/>
      <c r="FMQ63"/>
      <c r="FMR63"/>
      <c r="FMS63"/>
      <c r="FMT63"/>
      <c r="FMU63"/>
      <c r="FMV63"/>
      <c r="FMW63"/>
      <c r="FMX63"/>
      <c r="FMY63"/>
      <c r="FMZ63"/>
      <c r="FNA63"/>
      <c r="FNB63"/>
      <c r="FNC63"/>
      <c r="FND63"/>
      <c r="FNE63"/>
      <c r="FNF63"/>
      <c r="FNG63"/>
      <c r="FNH63"/>
      <c r="FNI63"/>
      <c r="FNJ63"/>
      <c r="FNK63"/>
      <c r="FNL63"/>
      <c r="FNM63"/>
      <c r="FNN63"/>
      <c r="FNO63"/>
      <c r="FNP63"/>
      <c r="FNQ63"/>
      <c r="FNR63"/>
      <c r="FNS63"/>
      <c r="FNT63"/>
      <c r="FNU63"/>
      <c r="FNV63"/>
      <c r="FNW63"/>
      <c r="FNX63"/>
      <c r="FNY63"/>
      <c r="FNZ63"/>
      <c r="FOA63"/>
      <c r="FOB63"/>
      <c r="FOC63"/>
      <c r="FOD63"/>
      <c r="FOE63"/>
      <c r="FOF63"/>
      <c r="FOG63"/>
      <c r="FOH63"/>
      <c r="FOI63"/>
      <c r="FOJ63"/>
      <c r="FOK63"/>
      <c r="FOL63"/>
      <c r="FOM63"/>
      <c r="FON63"/>
      <c r="FOO63"/>
      <c r="FOP63"/>
      <c r="FOQ63"/>
      <c r="FOR63"/>
      <c r="FOS63"/>
      <c r="FOT63"/>
      <c r="FOU63"/>
      <c r="FOV63"/>
      <c r="FOW63"/>
      <c r="FOX63"/>
      <c r="FOY63"/>
      <c r="FOZ63"/>
      <c r="FPA63"/>
      <c r="FPB63"/>
      <c r="FPC63"/>
      <c r="FPD63"/>
      <c r="FPE63"/>
      <c r="FPF63"/>
      <c r="FPG63"/>
      <c r="FPH63"/>
      <c r="FPI63"/>
      <c r="FPJ63"/>
      <c r="FPK63"/>
      <c r="FPL63"/>
      <c r="FPM63"/>
      <c r="FPN63"/>
      <c r="FPO63"/>
      <c r="FPP63"/>
      <c r="FPQ63"/>
      <c r="FPR63"/>
      <c r="FPS63"/>
      <c r="FPT63"/>
      <c r="FPU63"/>
      <c r="FPV63"/>
      <c r="FPW63"/>
      <c r="FPX63"/>
      <c r="FPY63"/>
      <c r="FPZ63"/>
      <c r="FQA63"/>
      <c r="FQB63"/>
      <c r="FQC63"/>
      <c r="FQD63"/>
      <c r="FQE63"/>
      <c r="FQF63"/>
      <c r="FQG63"/>
      <c r="FQH63"/>
      <c r="FQI63"/>
      <c r="FQJ63"/>
      <c r="FQK63"/>
      <c r="FQL63"/>
      <c r="FQM63"/>
      <c r="FQN63"/>
      <c r="FQO63"/>
      <c r="FQP63"/>
      <c r="FQQ63"/>
      <c r="FQR63"/>
      <c r="FQS63"/>
      <c r="FQT63"/>
      <c r="FQU63"/>
      <c r="FQV63"/>
      <c r="FQW63"/>
      <c r="FQX63"/>
      <c r="FQY63"/>
      <c r="FQZ63"/>
      <c r="FRA63"/>
      <c r="FRB63"/>
      <c r="FRC63"/>
      <c r="FRD63"/>
      <c r="FRE63"/>
      <c r="FRF63"/>
      <c r="FRG63"/>
      <c r="FRH63"/>
      <c r="FRI63"/>
      <c r="FRJ63"/>
      <c r="FRK63"/>
      <c r="FRL63"/>
      <c r="FRM63"/>
      <c r="FRN63"/>
      <c r="FRO63"/>
      <c r="FRP63"/>
      <c r="FRQ63"/>
      <c r="FRR63"/>
      <c r="FRS63"/>
      <c r="FRT63"/>
      <c r="FRU63"/>
      <c r="FRV63"/>
      <c r="FRW63"/>
      <c r="FRX63"/>
      <c r="FRY63"/>
      <c r="FRZ63"/>
      <c r="FSA63"/>
      <c r="FSB63"/>
      <c r="FSC63"/>
      <c r="FSD63"/>
      <c r="FSE63"/>
      <c r="FSF63"/>
      <c r="FSG63"/>
      <c r="FSH63"/>
      <c r="FSI63"/>
      <c r="FSJ63"/>
      <c r="FSK63"/>
      <c r="FSL63"/>
      <c r="FSM63"/>
      <c r="FSN63"/>
      <c r="FSO63"/>
      <c r="FSP63"/>
      <c r="FSQ63"/>
      <c r="FSR63"/>
      <c r="FSS63"/>
      <c r="FST63"/>
      <c r="FSU63"/>
      <c r="FSV63"/>
      <c r="FSW63"/>
      <c r="FSX63"/>
      <c r="FSY63"/>
      <c r="FSZ63"/>
      <c r="FTA63"/>
      <c r="FTB63"/>
      <c r="FTC63"/>
      <c r="FTD63"/>
      <c r="FTE63"/>
      <c r="FTF63"/>
      <c r="FTG63"/>
      <c r="FTH63"/>
      <c r="FTI63"/>
      <c r="FTJ63"/>
      <c r="FTK63"/>
      <c r="FTL63"/>
      <c r="FTM63"/>
      <c r="FTN63"/>
      <c r="FTO63"/>
      <c r="FTP63"/>
      <c r="FTQ63"/>
      <c r="FTR63"/>
      <c r="FTS63"/>
      <c r="FTT63"/>
      <c r="FTU63"/>
      <c r="FTV63"/>
      <c r="FTW63"/>
      <c r="FTX63"/>
      <c r="FTY63"/>
      <c r="FTZ63"/>
      <c r="FUA63"/>
      <c r="FUB63"/>
      <c r="FUC63"/>
      <c r="FUD63"/>
      <c r="FUE63"/>
      <c r="FUF63"/>
      <c r="FUG63"/>
      <c r="FUH63"/>
      <c r="FUI63"/>
      <c r="FUJ63"/>
      <c r="FUK63"/>
      <c r="FUL63"/>
      <c r="FUM63"/>
      <c r="FUN63"/>
      <c r="FUO63"/>
      <c r="FUP63"/>
      <c r="FUQ63"/>
      <c r="FUR63"/>
      <c r="FUS63"/>
      <c r="FUT63"/>
      <c r="FUU63"/>
      <c r="FUV63"/>
      <c r="FUW63"/>
      <c r="FUX63"/>
      <c r="FUY63"/>
      <c r="FUZ63"/>
      <c r="FVA63"/>
      <c r="FVB63"/>
      <c r="FVC63"/>
      <c r="FVD63"/>
      <c r="FVE63"/>
      <c r="FVF63"/>
      <c r="FVG63"/>
      <c r="FVH63"/>
      <c r="FVI63"/>
      <c r="FVJ63"/>
      <c r="FVK63"/>
      <c r="FVL63"/>
      <c r="FVM63"/>
      <c r="FVN63"/>
      <c r="FVO63"/>
      <c r="FVP63"/>
      <c r="FVQ63"/>
      <c r="FVR63"/>
      <c r="FVS63"/>
      <c r="FVT63"/>
      <c r="FVU63"/>
      <c r="FVV63"/>
      <c r="FVW63"/>
      <c r="FVX63"/>
      <c r="FVY63"/>
      <c r="FVZ63"/>
    </row>
    <row r="64" spans="1:4654" ht="15.75">
      <c r="A64" s="47"/>
      <c r="B64" s="47"/>
      <c r="C64" s="47"/>
      <c r="G64" t="s">
        <v>23</v>
      </c>
      <c r="H64">
        <v>149619377</v>
      </c>
      <c r="I64">
        <v>80414221</v>
      </c>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c r="LJ64"/>
      <c r="LK64"/>
      <c r="LL64"/>
      <c r="LM64"/>
      <c r="LN64"/>
      <c r="LO64"/>
      <c r="LP64"/>
      <c r="LQ64"/>
      <c r="LR64"/>
      <c r="LS64"/>
      <c r="LT64"/>
      <c r="LU64"/>
      <c r="LV64"/>
      <c r="LW64"/>
      <c r="LX64"/>
      <c r="LY64"/>
      <c r="LZ64"/>
      <c r="MA64"/>
      <c r="MB64"/>
      <c r="MC64"/>
      <c r="MD64"/>
      <c r="ME64"/>
      <c r="MF64"/>
      <c r="MG64"/>
      <c r="MH64"/>
      <c r="MI64"/>
      <c r="MJ64"/>
      <c r="MK64"/>
      <c r="ML64"/>
      <c r="MM64"/>
      <c r="MN64"/>
      <c r="MO64"/>
      <c r="MP64"/>
      <c r="MQ64"/>
      <c r="MR64"/>
      <c r="MS64"/>
      <c r="MT64"/>
      <c r="MU64"/>
      <c r="MV64"/>
      <c r="MW64"/>
      <c r="MX64"/>
      <c r="MY64"/>
      <c r="MZ64"/>
      <c r="NA64"/>
      <c r="NB64"/>
      <c r="NC64"/>
      <c r="ND64"/>
      <c r="NE64"/>
      <c r="NF64"/>
      <c r="NG64"/>
      <c r="NH64"/>
      <c r="NI64"/>
      <c r="NJ64"/>
      <c r="NK64"/>
      <c r="NL64"/>
      <c r="NM64"/>
      <c r="NN64"/>
      <c r="NO64"/>
      <c r="NP64"/>
      <c r="NQ64"/>
      <c r="NR64"/>
      <c r="NS64"/>
      <c r="NT64"/>
      <c r="NU64"/>
      <c r="NV64"/>
      <c r="NW64"/>
      <c r="NX64"/>
      <c r="NY64"/>
      <c r="NZ64"/>
      <c r="OA64"/>
      <c r="OB64"/>
      <c r="OC64"/>
      <c r="OD64"/>
      <c r="OE64"/>
      <c r="OF64"/>
      <c r="OG64"/>
      <c r="OH64"/>
      <c r="OI64"/>
      <c r="OJ64"/>
      <c r="OK64"/>
      <c r="OL64"/>
      <c r="OM64"/>
      <c r="ON64"/>
      <c r="OO64"/>
      <c r="OP64"/>
      <c r="OQ64"/>
      <c r="OR64"/>
      <c r="OS64"/>
      <c r="OT64"/>
      <c r="OU64"/>
      <c r="OV64"/>
      <c r="OW64"/>
      <c r="OX64"/>
      <c r="OY64"/>
      <c r="OZ64"/>
      <c r="PA64"/>
      <c r="PB64"/>
      <c r="PC64"/>
      <c r="PD64"/>
      <c r="PE64"/>
      <c r="PF64"/>
      <c r="PG64"/>
      <c r="PH64"/>
      <c r="PI64"/>
      <c r="PJ64"/>
      <c r="PK64"/>
      <c r="PL64"/>
      <c r="PM64"/>
      <c r="PN64"/>
      <c r="PO64"/>
      <c r="PP64"/>
      <c r="PQ64"/>
      <c r="PR64"/>
      <c r="PS64"/>
      <c r="PT64"/>
      <c r="PU64"/>
      <c r="PV64"/>
      <c r="PW64"/>
      <c r="PX64"/>
      <c r="PY64"/>
      <c r="PZ64"/>
      <c r="QA64"/>
      <c r="QB64"/>
      <c r="QC64"/>
      <c r="QD64"/>
      <c r="QE64"/>
      <c r="QF64"/>
      <c r="QG64"/>
      <c r="QH64"/>
      <c r="QI64"/>
      <c r="QJ64"/>
      <c r="QK64"/>
      <c r="QL64"/>
      <c r="QM64"/>
      <c r="QN64"/>
      <c r="QO64"/>
      <c r="QP64"/>
      <c r="QQ64"/>
      <c r="QR64"/>
      <c r="QS64"/>
      <c r="QT64"/>
      <c r="QU64"/>
      <c r="QV64"/>
      <c r="QW64"/>
      <c r="QX64"/>
      <c r="QY64"/>
      <c r="QZ64"/>
      <c r="RA64"/>
      <c r="RB64"/>
      <c r="RC64"/>
      <c r="RD64"/>
      <c r="RE64"/>
      <c r="RF64"/>
      <c r="RG64"/>
      <c r="RH64"/>
      <c r="RI64"/>
      <c r="RJ64"/>
      <c r="RK64"/>
      <c r="RL64"/>
      <c r="RM64"/>
      <c r="RN64"/>
      <c r="RO64"/>
      <c r="RP64"/>
      <c r="RQ64"/>
      <c r="RR64"/>
      <c r="RS64"/>
      <c r="RT64"/>
      <c r="RU64"/>
      <c r="RV64"/>
      <c r="RW64"/>
      <c r="RX64"/>
      <c r="RY64"/>
      <c r="RZ64"/>
      <c r="SA64"/>
      <c r="SB64"/>
      <c r="SC64"/>
      <c r="SD64"/>
      <c r="SE64"/>
      <c r="SF64"/>
      <c r="SG64"/>
      <c r="SH64"/>
      <c r="SI64"/>
      <c r="SJ64"/>
      <c r="SK64"/>
      <c r="SL64"/>
      <c r="SM64"/>
      <c r="SN64"/>
      <c r="SO64"/>
      <c r="SP64"/>
      <c r="SQ64"/>
      <c r="SR64"/>
      <c r="SS64"/>
      <c r="ST64"/>
      <c r="SU64"/>
      <c r="SV64"/>
      <c r="SW64"/>
      <c r="SX64"/>
      <c r="SY64"/>
      <c r="SZ64"/>
      <c r="TA64"/>
      <c r="TB64"/>
      <c r="TC64"/>
      <c r="TD64"/>
      <c r="TE64"/>
      <c r="TF64"/>
      <c r="TG64"/>
      <c r="TH64"/>
      <c r="TI64"/>
      <c r="TJ64"/>
      <c r="TK64"/>
      <c r="TL64"/>
      <c r="TM64"/>
      <c r="TN64"/>
      <c r="TO64"/>
      <c r="TP64"/>
      <c r="TQ64"/>
      <c r="TR64"/>
      <c r="TS64"/>
      <c r="TT64"/>
      <c r="TU64"/>
      <c r="TV64"/>
      <c r="TW64"/>
      <c r="TX64"/>
      <c r="TY64"/>
      <c r="TZ64"/>
      <c r="UA64"/>
      <c r="UB64"/>
      <c r="UC64"/>
      <c r="UD64"/>
      <c r="UE64"/>
      <c r="UF64"/>
      <c r="UG64"/>
      <c r="UH64"/>
      <c r="UI64"/>
      <c r="UJ64"/>
      <c r="UK64"/>
      <c r="UL64"/>
      <c r="UM64"/>
      <c r="UN64"/>
      <c r="UO64"/>
      <c r="UP64"/>
      <c r="UQ64"/>
      <c r="UR64"/>
      <c r="US64"/>
      <c r="UT64"/>
      <c r="UU64"/>
      <c r="UV64"/>
      <c r="UW64"/>
      <c r="UX64"/>
      <c r="UY64"/>
      <c r="UZ64"/>
      <c r="VA64"/>
      <c r="VB64"/>
      <c r="VC64"/>
      <c r="VD64"/>
      <c r="VE64"/>
      <c r="VF64"/>
      <c r="VG64"/>
      <c r="VH64"/>
      <c r="VI64"/>
      <c r="VJ64"/>
      <c r="VK64"/>
      <c r="VL64"/>
      <c r="VM64"/>
      <c r="VN64"/>
      <c r="VO64"/>
      <c r="VP64"/>
      <c r="VQ64"/>
      <c r="VR64"/>
      <c r="VS64"/>
      <c r="VT64"/>
      <c r="VU64"/>
      <c r="VV64"/>
      <c r="VW64"/>
      <c r="VX64"/>
      <c r="VY64"/>
      <c r="VZ64"/>
      <c r="WA64"/>
      <c r="WB64"/>
      <c r="WC64"/>
      <c r="WD64"/>
      <c r="WE64"/>
      <c r="WF64"/>
      <c r="WG64"/>
      <c r="WH64"/>
      <c r="WI64"/>
      <c r="WJ64"/>
      <c r="WK64"/>
      <c r="WL64"/>
      <c r="WM64"/>
      <c r="WN64"/>
      <c r="WO64"/>
      <c r="WP64"/>
      <c r="WQ64"/>
      <c r="WR64"/>
      <c r="WS64"/>
      <c r="WT64"/>
      <c r="WU64"/>
      <c r="WV64"/>
      <c r="WW64"/>
      <c r="WX64"/>
      <c r="WY64"/>
      <c r="WZ64"/>
      <c r="XA64"/>
      <c r="XB64"/>
      <c r="XC64"/>
      <c r="XD64"/>
      <c r="XE64"/>
      <c r="XF64"/>
      <c r="XG64"/>
      <c r="XH64"/>
      <c r="XI64"/>
      <c r="XJ64"/>
      <c r="XK64"/>
      <c r="XL64"/>
      <c r="XM64"/>
      <c r="XN64"/>
      <c r="XO64"/>
      <c r="XP64"/>
      <c r="XQ64"/>
      <c r="XR64"/>
      <c r="XS64"/>
      <c r="XT64"/>
      <c r="XU64"/>
      <c r="XV64"/>
      <c r="XW64"/>
      <c r="XX64"/>
      <c r="XY64"/>
      <c r="XZ64"/>
      <c r="YA64"/>
      <c r="YB64"/>
      <c r="YC64"/>
      <c r="YD64"/>
      <c r="YE64"/>
      <c r="YF64"/>
      <c r="YG64"/>
      <c r="YH64"/>
      <c r="YI64"/>
      <c r="YJ64"/>
      <c r="YK64"/>
      <c r="YL64"/>
      <c r="YM64"/>
      <c r="YN64"/>
      <c r="YO64"/>
      <c r="YP64"/>
      <c r="YQ64"/>
      <c r="YR64"/>
      <c r="YS64"/>
      <c r="YT64"/>
      <c r="YU64"/>
      <c r="YV64"/>
      <c r="YW64"/>
      <c r="YX64"/>
      <c r="YY64"/>
      <c r="YZ64"/>
      <c r="ZA64"/>
      <c r="ZB64"/>
      <c r="ZC64"/>
      <c r="ZD64"/>
      <c r="ZE64"/>
      <c r="ZF64"/>
      <c r="ZG64"/>
      <c r="ZH64"/>
      <c r="ZI64"/>
      <c r="ZJ64"/>
      <c r="ZK64"/>
      <c r="ZL64"/>
      <c r="ZM64"/>
      <c r="ZN64"/>
      <c r="ZO64"/>
      <c r="ZP64"/>
      <c r="ZQ64"/>
      <c r="ZR64"/>
      <c r="ZS64"/>
      <c r="ZT64"/>
      <c r="ZU64"/>
      <c r="ZV64"/>
      <c r="ZW64"/>
      <c r="ZX64"/>
      <c r="ZY64"/>
      <c r="ZZ64"/>
      <c r="AAA64"/>
      <c r="AAB64"/>
      <c r="AAC64"/>
      <c r="AAD64"/>
      <c r="AAE64"/>
      <c r="AAF64"/>
      <c r="AAG64"/>
      <c r="AAH64"/>
      <c r="AAI64"/>
      <c r="AAJ64"/>
      <c r="AAK64"/>
      <c r="AAL64"/>
      <c r="AAM64"/>
      <c r="AAN64"/>
      <c r="AAO64"/>
      <c r="AAP64"/>
      <c r="AAQ64"/>
      <c r="AAR64"/>
      <c r="AAS64"/>
      <c r="AAT64"/>
      <c r="AAU64"/>
      <c r="AAV64"/>
      <c r="AAW64"/>
      <c r="AAX64"/>
      <c r="AAY64"/>
      <c r="AAZ64"/>
      <c r="ABA64"/>
      <c r="ABB64"/>
      <c r="ABC64"/>
      <c r="ABD64"/>
      <c r="ABE64"/>
      <c r="ABF64"/>
      <c r="ABG64"/>
      <c r="ABH64"/>
      <c r="ABI64"/>
      <c r="ABJ64"/>
      <c r="ABK64"/>
      <c r="ABL64"/>
      <c r="ABM64"/>
      <c r="ABN64"/>
      <c r="ABO64"/>
      <c r="ABP64"/>
      <c r="ABQ64"/>
      <c r="ABR64"/>
      <c r="ABS64"/>
      <c r="ABT64"/>
      <c r="ABU64"/>
      <c r="ABV64"/>
      <c r="ABW64"/>
      <c r="ABX64"/>
      <c r="ABY64"/>
      <c r="ABZ64"/>
      <c r="ACA64"/>
      <c r="ACB64"/>
      <c r="ACC64"/>
      <c r="ACD64"/>
      <c r="ACE64"/>
      <c r="ACF64"/>
      <c r="ACG64"/>
      <c r="ACH64"/>
      <c r="ACI64"/>
      <c r="ACJ64"/>
      <c r="ACK64"/>
      <c r="ACL64"/>
      <c r="ACM64"/>
      <c r="ACN64"/>
      <c r="ACO64"/>
      <c r="ACP64"/>
      <c r="ACQ64"/>
      <c r="ACR64"/>
      <c r="ACS64"/>
      <c r="ACT64"/>
      <c r="ACU64"/>
      <c r="ACV64"/>
      <c r="ACW64"/>
      <c r="ACX64"/>
      <c r="ACY64"/>
      <c r="ACZ64"/>
      <c r="ADA64"/>
      <c r="ADB64"/>
      <c r="ADC64"/>
      <c r="ADD64"/>
      <c r="ADE64"/>
      <c r="ADF64"/>
      <c r="ADG64"/>
      <c r="ADH64"/>
      <c r="ADI64"/>
      <c r="ADJ64"/>
      <c r="ADK64"/>
      <c r="ADL64"/>
      <c r="ADM64"/>
      <c r="ADN64"/>
      <c r="ADO64"/>
      <c r="ADP64"/>
      <c r="ADQ64"/>
      <c r="ADR64"/>
      <c r="ADS64"/>
      <c r="ADT64"/>
      <c r="ADU64"/>
      <c r="ADV64"/>
      <c r="ADW64"/>
      <c r="ADX64"/>
      <c r="ADY64"/>
      <c r="ADZ64"/>
      <c r="AEA64"/>
      <c r="AEB64"/>
      <c r="AEC64"/>
      <c r="AED64"/>
      <c r="AEE64"/>
      <c r="AEF64"/>
      <c r="AEG64"/>
      <c r="AEH64"/>
      <c r="AEI64"/>
      <c r="AEJ64"/>
      <c r="AEK64"/>
      <c r="AEL64"/>
      <c r="AEM64"/>
      <c r="AEN64"/>
      <c r="AEO64"/>
      <c r="AEP64"/>
      <c r="AEQ64"/>
      <c r="AER64"/>
      <c r="AES64"/>
      <c r="AET64"/>
      <c r="AEU64"/>
      <c r="AEV64"/>
      <c r="AEW64"/>
      <c r="AEX64"/>
      <c r="AEY64"/>
      <c r="AEZ64"/>
      <c r="AFA64"/>
      <c r="AFB64"/>
      <c r="AFC64"/>
      <c r="AFD64"/>
      <c r="AFE64"/>
      <c r="AFF64"/>
      <c r="AFG64"/>
      <c r="AFH64"/>
      <c r="AFI64"/>
      <c r="AFJ64"/>
      <c r="AFK64"/>
      <c r="AFL64"/>
      <c r="AFM64"/>
      <c r="AFN64"/>
      <c r="AFO64"/>
      <c r="AFP64"/>
      <c r="AFQ64"/>
      <c r="AFR64"/>
      <c r="AFS64"/>
      <c r="AFT64"/>
      <c r="AFU64"/>
      <c r="AFV64"/>
      <c r="AFW64"/>
      <c r="AFX64"/>
      <c r="AFY64"/>
      <c r="AFZ64"/>
      <c r="AGA64"/>
      <c r="AGB64"/>
      <c r="AGC64"/>
      <c r="AGD64"/>
      <c r="AGE64"/>
      <c r="AGF64"/>
      <c r="AGG64"/>
      <c r="AGH64"/>
      <c r="AGI64"/>
      <c r="AGJ64"/>
      <c r="AGK64"/>
      <c r="AGL64"/>
      <c r="AGM64"/>
      <c r="AGN64"/>
      <c r="AGO64"/>
      <c r="AGP64"/>
      <c r="AGQ64"/>
      <c r="AGR64"/>
      <c r="AGS64"/>
      <c r="AGT64"/>
      <c r="AGU64"/>
      <c r="AGV64"/>
      <c r="AGW64"/>
      <c r="AGX64"/>
      <c r="AGY64"/>
      <c r="AGZ64"/>
      <c r="AHA64"/>
      <c r="AHB64"/>
      <c r="AHC64"/>
      <c r="AHD64"/>
      <c r="AHE64"/>
      <c r="AHF64"/>
      <c r="AHG64"/>
      <c r="AHH64"/>
      <c r="AHI64"/>
      <c r="AHJ64"/>
      <c r="AHK64"/>
      <c r="AHL64"/>
      <c r="AHM64"/>
      <c r="AHN64"/>
      <c r="AHO64"/>
      <c r="AHP64"/>
      <c r="AHQ64"/>
      <c r="AHR64"/>
      <c r="AHS64"/>
      <c r="AHT64"/>
      <c r="AHU64"/>
      <c r="AHV64"/>
      <c r="AHW64"/>
      <c r="AHX64"/>
      <c r="AHY64"/>
      <c r="AHZ64"/>
      <c r="AIA64"/>
      <c r="AIB64"/>
      <c r="AIC64"/>
      <c r="AID64"/>
      <c r="AIE64"/>
      <c r="AIF64"/>
      <c r="AIG64"/>
      <c r="AIH64"/>
      <c r="AII64"/>
      <c r="AIJ64"/>
      <c r="AIK64"/>
      <c r="AIL64"/>
      <c r="AIM64"/>
      <c r="AIN64"/>
      <c r="AIO64"/>
      <c r="AIP64"/>
      <c r="AIQ64"/>
      <c r="AIR64"/>
      <c r="AIS64"/>
      <c r="AIT64"/>
      <c r="AIU64"/>
      <c r="AIV64"/>
      <c r="AIW64"/>
      <c r="AIX64"/>
      <c r="AIY64"/>
      <c r="AIZ64"/>
      <c r="AJA64"/>
      <c r="AJB64"/>
      <c r="AJC64"/>
      <c r="AJD64"/>
      <c r="AJE64"/>
      <c r="AJF64"/>
      <c r="AJG64"/>
      <c r="AJH64"/>
      <c r="AJI64"/>
      <c r="AJJ64"/>
      <c r="AJK64"/>
      <c r="AJL64"/>
      <c r="AJM64"/>
      <c r="AJN64"/>
      <c r="AJO64"/>
      <c r="AJP64"/>
      <c r="AJQ64"/>
      <c r="AJR64"/>
      <c r="AJS64"/>
      <c r="AJT64"/>
      <c r="AJU64"/>
      <c r="AJV64"/>
      <c r="AJW64"/>
      <c r="AJX64"/>
      <c r="AJY64"/>
      <c r="AJZ64"/>
      <c r="AKA64"/>
      <c r="AKB64"/>
      <c r="AKC64"/>
      <c r="AKD64"/>
      <c r="AKE64"/>
      <c r="AKF64"/>
      <c r="AKG64"/>
      <c r="AKH64"/>
      <c r="AKI64"/>
      <c r="AKJ64"/>
      <c r="AKK64"/>
      <c r="AKL64"/>
      <c r="AKM64"/>
      <c r="AKN64"/>
      <c r="AKO64"/>
      <c r="AKP64"/>
      <c r="AKQ64"/>
      <c r="AKR64"/>
      <c r="AKS64"/>
      <c r="AKT64"/>
      <c r="AKU64"/>
      <c r="AKV64"/>
      <c r="AKW64"/>
      <c r="AKX64"/>
      <c r="AKY64"/>
      <c r="AKZ64"/>
      <c r="ALA64"/>
      <c r="ALB64"/>
      <c r="ALC64"/>
      <c r="ALD64"/>
      <c r="ALE64"/>
      <c r="ALF64"/>
      <c r="ALG64"/>
      <c r="ALH64"/>
      <c r="ALI64"/>
      <c r="ALJ64"/>
      <c r="ALK64"/>
      <c r="ALL64"/>
      <c r="ALM64"/>
      <c r="ALN64"/>
      <c r="ALO64"/>
      <c r="ALP64"/>
      <c r="ALQ64"/>
      <c r="ALR64"/>
      <c r="ALS64"/>
      <c r="ALT64"/>
      <c r="ALU64"/>
      <c r="ALV64"/>
      <c r="ALW64"/>
      <c r="ALX64"/>
      <c r="ALY64"/>
      <c r="ALZ64"/>
      <c r="AMA64"/>
      <c r="AMB64"/>
      <c r="AMC64"/>
      <c r="AMD64"/>
      <c r="AME64"/>
      <c r="AMF64"/>
      <c r="AMG64"/>
      <c r="AMH64"/>
      <c r="AMI64"/>
      <c r="AMJ64"/>
      <c r="AMK64"/>
      <c r="AML64"/>
      <c r="AMM64"/>
      <c r="AMN64"/>
      <c r="AMO64"/>
      <c r="AMP64"/>
      <c r="AMQ64"/>
      <c r="AMR64"/>
      <c r="AMS64"/>
      <c r="AMT64"/>
      <c r="AMU64"/>
      <c r="AMV64"/>
      <c r="AMW64"/>
      <c r="AMX64"/>
      <c r="AMY64"/>
      <c r="AMZ64"/>
      <c r="ANA64"/>
      <c r="ANB64"/>
      <c r="ANC64"/>
      <c r="AND64"/>
      <c r="ANE64"/>
      <c r="ANF64"/>
      <c r="ANG64"/>
      <c r="ANH64"/>
      <c r="ANI64"/>
      <c r="ANJ64"/>
      <c r="ANK64"/>
      <c r="ANL64"/>
      <c r="ANM64"/>
      <c r="ANN64"/>
      <c r="ANO64"/>
      <c r="ANP64"/>
      <c r="ANQ64"/>
      <c r="ANR64"/>
      <c r="ANS64"/>
      <c r="ANT64"/>
      <c r="ANU64"/>
      <c r="ANV64"/>
      <c r="ANW64"/>
      <c r="ANX64"/>
      <c r="ANY64"/>
      <c r="ANZ64"/>
      <c r="AOA64"/>
      <c r="AOB64"/>
      <c r="AOC64"/>
      <c r="AOD64"/>
      <c r="AOE64"/>
      <c r="AOF64"/>
      <c r="AOG64"/>
      <c r="AOH64"/>
      <c r="AOI64"/>
      <c r="AOJ64"/>
      <c r="AOK64"/>
      <c r="AOL64"/>
      <c r="AOM64"/>
      <c r="AON64"/>
      <c r="AOO64"/>
      <c r="AOP64"/>
      <c r="AOQ64"/>
      <c r="AOR64"/>
      <c r="AOS64"/>
      <c r="AOT64"/>
      <c r="AOU64"/>
      <c r="AOV64"/>
      <c r="AOW64"/>
      <c r="AOX64"/>
      <c r="AOY64"/>
      <c r="AOZ64"/>
      <c r="APA64"/>
      <c r="APB64"/>
      <c r="APC64"/>
      <c r="APD64"/>
      <c r="APE64"/>
      <c r="APF64"/>
      <c r="APG64"/>
      <c r="APH64"/>
      <c r="API64"/>
      <c r="APJ64"/>
      <c r="APK64"/>
      <c r="APL64"/>
      <c r="APM64"/>
      <c r="APN64"/>
      <c r="APO64"/>
      <c r="APP64"/>
      <c r="APQ64"/>
      <c r="APR64"/>
      <c r="APS64"/>
      <c r="APT64"/>
      <c r="APU64"/>
      <c r="APV64"/>
      <c r="APW64"/>
      <c r="APX64"/>
      <c r="APY64"/>
      <c r="APZ64"/>
      <c r="AQA64"/>
      <c r="AQB64"/>
      <c r="AQC64"/>
      <c r="AQD64"/>
      <c r="AQE64"/>
      <c r="AQF64"/>
      <c r="AQG64"/>
      <c r="AQH64"/>
      <c r="AQI64"/>
      <c r="AQJ64"/>
      <c r="AQK64"/>
      <c r="AQL64"/>
      <c r="AQM64"/>
      <c r="AQN64"/>
      <c r="AQO64"/>
      <c r="AQP64"/>
      <c r="AQQ64"/>
      <c r="AQR64"/>
      <c r="AQS64"/>
      <c r="AQT64"/>
      <c r="AQU64"/>
      <c r="AQV64"/>
      <c r="AQW64"/>
      <c r="AQX64"/>
      <c r="AQY64"/>
      <c r="AQZ64"/>
      <c r="ARA64"/>
      <c r="ARB64"/>
      <c r="ARC64"/>
      <c r="ARD64"/>
      <c r="ARE64"/>
      <c r="ARF64"/>
      <c r="ARG64"/>
      <c r="ARH64"/>
      <c r="ARI64"/>
      <c r="ARJ64"/>
      <c r="ARK64"/>
      <c r="ARL64"/>
      <c r="ARM64"/>
      <c r="ARN64"/>
      <c r="ARO64"/>
      <c r="ARP64"/>
      <c r="ARQ64"/>
      <c r="ARR64"/>
      <c r="ARS64"/>
      <c r="ART64"/>
      <c r="ARU64"/>
      <c r="ARV64"/>
      <c r="ARW64"/>
      <c r="ARX64"/>
      <c r="ARY64"/>
      <c r="ARZ64"/>
      <c r="ASA64"/>
      <c r="ASB64"/>
      <c r="ASC64"/>
      <c r="ASD64"/>
      <c r="ASE64"/>
      <c r="ASF64"/>
      <c r="ASG64"/>
      <c r="ASH64"/>
      <c r="ASI64"/>
      <c r="ASJ64"/>
      <c r="ASK64"/>
      <c r="ASL64"/>
      <c r="ASM64"/>
      <c r="ASN64"/>
      <c r="ASO64"/>
      <c r="ASP64"/>
      <c r="ASQ64"/>
      <c r="ASR64"/>
      <c r="ASS64"/>
      <c r="AST64"/>
      <c r="ASU64"/>
      <c r="ASV64"/>
      <c r="ASW64"/>
      <c r="ASX64"/>
      <c r="ASY64"/>
      <c r="ASZ64"/>
      <c r="ATA64"/>
      <c r="ATB64"/>
      <c r="ATC64"/>
      <c r="ATD64"/>
      <c r="ATE64"/>
      <c r="ATF64"/>
      <c r="ATG64"/>
      <c r="ATH64"/>
      <c r="ATI64"/>
      <c r="ATJ64"/>
      <c r="ATK64"/>
      <c r="ATL64"/>
      <c r="ATM64"/>
      <c r="ATN64"/>
      <c r="ATO64"/>
      <c r="ATP64"/>
      <c r="ATQ64"/>
      <c r="ATR64"/>
      <c r="ATS64"/>
      <c r="ATT64"/>
      <c r="ATU64"/>
      <c r="ATV64"/>
      <c r="ATW64"/>
      <c r="ATX64"/>
      <c r="ATY64"/>
      <c r="ATZ64"/>
      <c r="AUA64"/>
      <c r="AUB64"/>
      <c r="AUC64"/>
      <c r="AUD64"/>
      <c r="AUE64"/>
      <c r="AUF64"/>
      <c r="AUG64"/>
      <c r="AUH64"/>
      <c r="AUI64"/>
      <c r="AUJ64"/>
      <c r="AUK64"/>
      <c r="AUL64"/>
      <c r="AUM64"/>
      <c r="AUN64"/>
      <c r="AUO64"/>
      <c r="AUP64"/>
      <c r="AUQ64"/>
      <c r="AUR64"/>
      <c r="AUS64"/>
      <c r="AUT64"/>
      <c r="AUU64"/>
      <c r="AUV64"/>
      <c r="AUW64"/>
      <c r="AUX64"/>
      <c r="AUY64"/>
      <c r="AUZ64"/>
      <c r="AVA64"/>
      <c r="AVB64"/>
      <c r="AVC64"/>
      <c r="AVD64"/>
      <c r="AVE64"/>
      <c r="AVF64"/>
      <c r="AVG64"/>
      <c r="AVH64"/>
      <c r="AVI64"/>
      <c r="AVJ64"/>
      <c r="AVK64"/>
      <c r="AVL64"/>
      <c r="AVM64"/>
      <c r="AVN64"/>
      <c r="AVO64"/>
      <c r="AVP64"/>
      <c r="AVQ64"/>
      <c r="AVR64"/>
      <c r="AVS64"/>
      <c r="AVT64"/>
      <c r="AVU64"/>
      <c r="AVV64"/>
      <c r="AVW64"/>
      <c r="AVX64"/>
      <c r="AVY64"/>
      <c r="AVZ64"/>
      <c r="AWA64"/>
      <c r="AWB64"/>
      <c r="AWC64"/>
      <c r="AWD64"/>
      <c r="AWE64"/>
      <c r="AWF64"/>
      <c r="AWG64"/>
      <c r="AWH64"/>
      <c r="AWI64"/>
      <c r="AWJ64"/>
      <c r="AWK64"/>
      <c r="AWL64"/>
      <c r="AWM64"/>
      <c r="AWN64"/>
      <c r="AWO64"/>
      <c r="AWP64"/>
      <c r="AWQ64"/>
      <c r="AWR64"/>
      <c r="AWS64"/>
      <c r="AWT64"/>
      <c r="AWU64"/>
      <c r="AWV64"/>
      <c r="AWW64"/>
      <c r="AWX64"/>
      <c r="AWY64"/>
      <c r="AWZ64"/>
      <c r="AXA64"/>
      <c r="AXB64"/>
      <c r="AXC64"/>
      <c r="AXD64"/>
      <c r="AXE64"/>
      <c r="AXF64"/>
      <c r="AXG64"/>
      <c r="AXH64"/>
      <c r="AXI64"/>
      <c r="AXJ64"/>
      <c r="AXK64"/>
      <c r="AXL64"/>
      <c r="AXM64"/>
      <c r="AXN64"/>
      <c r="AXO64"/>
      <c r="AXP64"/>
      <c r="AXQ64"/>
      <c r="AXR64"/>
      <c r="AXS64"/>
      <c r="AXT64"/>
      <c r="AXU64"/>
      <c r="AXV64"/>
      <c r="AXW64"/>
      <c r="AXX64"/>
      <c r="AXY64"/>
      <c r="AXZ64"/>
      <c r="AYA64"/>
      <c r="AYB64"/>
      <c r="AYC64"/>
      <c r="AYD64"/>
      <c r="AYE64"/>
      <c r="AYF64"/>
      <c r="AYG64"/>
      <c r="AYH64"/>
      <c r="AYI64"/>
      <c r="AYJ64"/>
      <c r="AYK64"/>
      <c r="AYL64"/>
      <c r="AYM64"/>
      <c r="AYN64"/>
      <c r="AYO64"/>
      <c r="AYP64"/>
      <c r="AYQ64"/>
      <c r="AYR64"/>
      <c r="AYS64"/>
      <c r="AYT64"/>
      <c r="AYU64"/>
      <c r="AYV64"/>
      <c r="AYW64"/>
      <c r="AYX64"/>
      <c r="AYY64"/>
      <c r="AYZ64"/>
      <c r="AZA64"/>
      <c r="AZB64"/>
      <c r="AZC64"/>
      <c r="AZD64"/>
      <c r="AZE64"/>
      <c r="AZF64"/>
      <c r="AZG64"/>
      <c r="AZH64"/>
      <c r="AZI64"/>
      <c r="AZJ64"/>
      <c r="AZK64"/>
      <c r="AZL64"/>
      <c r="AZM64"/>
      <c r="AZN64"/>
      <c r="AZO64"/>
      <c r="AZP64"/>
      <c r="AZQ64"/>
      <c r="AZR64"/>
      <c r="AZS64"/>
      <c r="AZT64"/>
      <c r="AZU64"/>
      <c r="AZV64"/>
      <c r="AZW64"/>
      <c r="AZX64"/>
      <c r="AZY64"/>
      <c r="AZZ64"/>
      <c r="BAA64"/>
      <c r="BAB64"/>
      <c r="BAC64"/>
      <c r="BAD64"/>
      <c r="BAE64"/>
      <c r="BAF64"/>
      <c r="BAG64"/>
      <c r="BAH64"/>
      <c r="BAI64"/>
      <c r="BAJ64"/>
      <c r="BAK64"/>
      <c r="BAL64"/>
      <c r="BAM64"/>
      <c r="BAN64"/>
      <c r="BAO64"/>
      <c r="BAP64"/>
      <c r="BAQ64"/>
      <c r="BAR64"/>
      <c r="BAS64"/>
      <c r="BAT64"/>
      <c r="BAU64"/>
      <c r="BAV64"/>
      <c r="BAW64"/>
      <c r="BAX64"/>
      <c r="BAY64"/>
      <c r="BAZ64"/>
      <c r="BBA64"/>
      <c r="BBB64"/>
      <c r="BBC64"/>
      <c r="BBD64"/>
      <c r="BBE64"/>
      <c r="BBF64"/>
      <c r="BBG64"/>
      <c r="BBH64"/>
      <c r="BBI64"/>
      <c r="BBJ64"/>
      <c r="BBK64"/>
      <c r="BBL64"/>
      <c r="BBM64"/>
      <c r="BBN64"/>
      <c r="BBO64"/>
      <c r="BBP64"/>
      <c r="BBQ64"/>
      <c r="BBR64"/>
      <c r="BBS64"/>
      <c r="BBT64"/>
      <c r="BBU64"/>
      <c r="BBV64"/>
      <c r="BBW64"/>
      <c r="BBX64"/>
      <c r="BBY64"/>
      <c r="BBZ64"/>
      <c r="BCA64"/>
      <c r="BCB64"/>
      <c r="BCC64"/>
      <c r="BCD64"/>
      <c r="BCE64"/>
      <c r="BCF64"/>
      <c r="BCG64"/>
      <c r="BCH64"/>
      <c r="BCI64"/>
      <c r="BCJ64"/>
      <c r="BCK64"/>
      <c r="BCL64"/>
      <c r="BCM64"/>
      <c r="BCN64"/>
      <c r="BCO64"/>
      <c r="BCP64"/>
      <c r="BCQ64"/>
      <c r="BCR64"/>
      <c r="BCS64"/>
      <c r="BCT64"/>
      <c r="BCU64"/>
      <c r="BCV64"/>
      <c r="BCW64"/>
      <c r="BCX64"/>
      <c r="BCY64"/>
      <c r="BCZ64"/>
      <c r="BDA64"/>
      <c r="BDB64"/>
      <c r="BDC64"/>
      <c r="BDD64"/>
      <c r="BDE64"/>
      <c r="BDF64"/>
      <c r="BDG64"/>
      <c r="BDH64"/>
      <c r="BDI64"/>
      <c r="BDJ64"/>
      <c r="BDK64"/>
      <c r="BDL64"/>
      <c r="BDM64"/>
      <c r="BDN64"/>
      <c r="BDO64"/>
      <c r="BDP64"/>
      <c r="BDQ64"/>
      <c r="BDR64"/>
      <c r="BDS64"/>
      <c r="BDT64"/>
      <c r="BDU64"/>
      <c r="BDV64"/>
      <c r="BDW64"/>
      <c r="BDX64"/>
      <c r="BDY64"/>
      <c r="BDZ64"/>
      <c r="BEA64"/>
      <c r="BEB64"/>
      <c r="BEC64"/>
      <c r="BED64"/>
      <c r="BEE64"/>
      <c r="BEF64"/>
      <c r="BEG64"/>
      <c r="BEH64"/>
      <c r="BEI64"/>
      <c r="BEJ64"/>
      <c r="BEK64"/>
      <c r="BEL64"/>
      <c r="BEM64"/>
      <c r="BEN64"/>
      <c r="BEO64"/>
      <c r="BEP64"/>
      <c r="BEQ64"/>
      <c r="BER64"/>
      <c r="BES64"/>
      <c r="BET64"/>
      <c r="BEU64"/>
      <c r="BEV64"/>
      <c r="BEW64"/>
      <c r="BEX64"/>
      <c r="BEY64"/>
      <c r="BEZ64"/>
      <c r="BFA64"/>
      <c r="BFB64"/>
      <c r="BFC64"/>
      <c r="BFD64"/>
      <c r="BFE64"/>
      <c r="BFF64"/>
      <c r="BFG64"/>
      <c r="BFH64"/>
      <c r="BFI64"/>
      <c r="BFJ64"/>
      <c r="BFK64"/>
      <c r="BFL64"/>
      <c r="BFM64"/>
      <c r="BFN64"/>
      <c r="BFO64"/>
      <c r="BFP64"/>
      <c r="BFQ64"/>
      <c r="BFR64"/>
      <c r="BFS64"/>
      <c r="BFT64"/>
      <c r="BFU64"/>
      <c r="BFV64"/>
      <c r="BFW64"/>
      <c r="BFX64"/>
      <c r="BFY64"/>
      <c r="BFZ64"/>
      <c r="BGA64"/>
      <c r="BGB64"/>
      <c r="BGC64"/>
      <c r="BGD64"/>
      <c r="BGE64"/>
      <c r="BGF64"/>
      <c r="BGG64"/>
      <c r="BGH64"/>
      <c r="BGI64"/>
      <c r="BGJ64"/>
      <c r="BGK64"/>
      <c r="BGL64"/>
      <c r="BGM64"/>
      <c r="BGN64"/>
      <c r="BGO64"/>
      <c r="BGP64"/>
      <c r="BGQ64"/>
      <c r="BGR64"/>
      <c r="BGS64"/>
      <c r="BGT64"/>
      <c r="BGU64"/>
      <c r="BGV64"/>
      <c r="BGW64"/>
      <c r="BGX64"/>
      <c r="BGY64"/>
      <c r="BGZ64"/>
      <c r="BHA64"/>
      <c r="BHB64"/>
      <c r="BHC64"/>
      <c r="BHD64"/>
      <c r="BHE64"/>
      <c r="BHF64"/>
      <c r="BHG64"/>
      <c r="BHH64"/>
      <c r="BHI64"/>
      <c r="BHJ64"/>
      <c r="BHK64"/>
      <c r="BHL64"/>
      <c r="BHM64"/>
      <c r="BHN64"/>
      <c r="BHO64"/>
      <c r="BHP64"/>
      <c r="BHQ64"/>
      <c r="BHR64"/>
      <c r="BHS64"/>
      <c r="BHT64"/>
      <c r="BHU64"/>
      <c r="BHV64"/>
      <c r="BHW64"/>
      <c r="BHX64"/>
      <c r="BHY64"/>
      <c r="BHZ64"/>
      <c r="BIA64"/>
      <c r="BIB64"/>
      <c r="BIC64"/>
      <c r="BID64"/>
      <c r="BIE64"/>
      <c r="BIF64"/>
      <c r="BIG64"/>
      <c r="BIH64"/>
      <c r="BII64"/>
      <c r="BIJ64"/>
      <c r="BIK64"/>
      <c r="BIL64"/>
      <c r="BIM64"/>
      <c r="BIN64"/>
      <c r="BIO64"/>
      <c r="BIP64"/>
      <c r="BIQ64"/>
      <c r="BIR64"/>
      <c r="BIS64"/>
      <c r="BIT64"/>
      <c r="BIU64"/>
      <c r="BIV64"/>
      <c r="BIW64"/>
      <c r="BIX64"/>
      <c r="BIY64"/>
      <c r="BIZ64"/>
      <c r="BJA64"/>
      <c r="BJB64"/>
      <c r="BJC64"/>
      <c r="BJD64"/>
      <c r="BJE64"/>
      <c r="BJF64"/>
      <c r="BJG64"/>
      <c r="BJH64"/>
      <c r="BJI64"/>
      <c r="BJJ64"/>
      <c r="BJK64"/>
      <c r="BJL64"/>
      <c r="BJM64"/>
      <c r="BJN64"/>
      <c r="BJO64"/>
      <c r="BJP64"/>
      <c r="BJQ64"/>
      <c r="BJR64"/>
      <c r="BJS64"/>
      <c r="BJT64"/>
      <c r="BJU64"/>
      <c r="BJV64"/>
      <c r="BJW64"/>
      <c r="BJX64"/>
      <c r="BJY64"/>
      <c r="BJZ64"/>
      <c r="BKA64"/>
      <c r="BKB64"/>
      <c r="BKC64"/>
      <c r="BKD64"/>
      <c r="BKE64"/>
      <c r="BKF64"/>
      <c r="BKG64"/>
      <c r="BKH64"/>
      <c r="BKI64"/>
      <c r="BKJ64"/>
      <c r="BKK64"/>
      <c r="BKL64"/>
      <c r="BKM64"/>
      <c r="BKN64"/>
      <c r="BKO64"/>
      <c r="BKP64"/>
      <c r="BKQ64"/>
      <c r="BKR64"/>
      <c r="BKS64"/>
      <c r="BKT64"/>
      <c r="BKU64"/>
      <c r="BKV64"/>
      <c r="BKW64"/>
      <c r="BKX64"/>
      <c r="BKY64"/>
      <c r="BKZ64"/>
      <c r="BLA64"/>
      <c r="BLB64"/>
      <c r="BLC64"/>
      <c r="BLD64"/>
      <c r="BLE64"/>
      <c r="BLF64"/>
      <c r="BLG64"/>
      <c r="BLH64"/>
      <c r="BLI64"/>
      <c r="BLJ64"/>
      <c r="BLK64"/>
      <c r="BLL64"/>
      <c r="BLM64"/>
      <c r="BLN64"/>
      <c r="BLO64"/>
      <c r="BLP64"/>
      <c r="BLQ64"/>
      <c r="BLR64"/>
      <c r="BLS64"/>
      <c r="BLT64"/>
      <c r="BLU64"/>
      <c r="BLV64"/>
      <c r="BLW64"/>
      <c r="BLX64"/>
      <c r="BLY64"/>
      <c r="BLZ64"/>
      <c r="BMA64"/>
      <c r="BMB64"/>
      <c r="BMC64"/>
      <c r="BMD64"/>
      <c r="BME64"/>
      <c r="BMF64"/>
      <c r="BMG64"/>
      <c r="BMH64"/>
      <c r="BMI64"/>
      <c r="BMJ64"/>
      <c r="BMK64"/>
      <c r="BML64"/>
      <c r="BMM64"/>
      <c r="BMN64"/>
      <c r="BMO64"/>
      <c r="BMP64"/>
      <c r="BMQ64"/>
      <c r="BMR64"/>
      <c r="BMS64"/>
      <c r="BMT64"/>
      <c r="BMU64"/>
      <c r="BMV64"/>
      <c r="BMW64"/>
      <c r="BMX64"/>
      <c r="BMY64"/>
      <c r="BMZ64"/>
      <c r="BNA64"/>
      <c r="BNB64"/>
      <c r="BNC64"/>
      <c r="BND64"/>
      <c r="BNE64"/>
      <c r="BNF64"/>
      <c r="BNG64"/>
      <c r="BNH64"/>
      <c r="BNI64"/>
      <c r="BNJ64"/>
      <c r="BNK64"/>
      <c r="BNL64"/>
      <c r="BNM64"/>
      <c r="BNN64"/>
      <c r="BNO64"/>
      <c r="BNP64"/>
      <c r="BNQ64"/>
      <c r="BNR64"/>
      <c r="BNS64"/>
      <c r="BNT64"/>
      <c r="BNU64"/>
      <c r="BNV64"/>
      <c r="BNW64"/>
      <c r="BNX64"/>
      <c r="BNY64"/>
      <c r="BNZ64"/>
      <c r="BOA64"/>
      <c r="BOB64"/>
      <c r="BOC64"/>
      <c r="BOD64"/>
      <c r="BOE64"/>
      <c r="BOF64"/>
      <c r="BOG64"/>
      <c r="BOH64"/>
      <c r="BOI64"/>
      <c r="BOJ64"/>
      <c r="BOK64"/>
      <c r="BOL64"/>
      <c r="BOM64"/>
      <c r="BON64"/>
      <c r="BOO64"/>
      <c r="BOP64"/>
      <c r="BOQ64"/>
      <c r="BOR64"/>
      <c r="BOS64"/>
      <c r="BOT64"/>
      <c r="BOU64"/>
      <c r="BOV64"/>
      <c r="BOW64"/>
      <c r="BOX64"/>
      <c r="BOY64"/>
      <c r="BOZ64"/>
      <c r="BPA64"/>
      <c r="BPB64"/>
      <c r="BPC64"/>
      <c r="BPD64"/>
      <c r="BPE64"/>
      <c r="BPF64"/>
      <c r="BPG64"/>
      <c r="BPH64"/>
      <c r="BPI64"/>
      <c r="BPJ64"/>
      <c r="BPK64"/>
      <c r="BPL64"/>
      <c r="BPM64"/>
      <c r="BPN64"/>
      <c r="BPO64"/>
      <c r="BPP64"/>
      <c r="BPQ64"/>
      <c r="BPR64"/>
      <c r="BPS64"/>
      <c r="BPT64"/>
      <c r="BPU64"/>
      <c r="BPV64"/>
      <c r="BPW64"/>
      <c r="BPX64"/>
      <c r="BPY64"/>
      <c r="BPZ64"/>
      <c r="BQA64"/>
      <c r="BQB64"/>
      <c r="BQC64"/>
      <c r="BQD64"/>
      <c r="BQE64"/>
      <c r="BQF64"/>
      <c r="BQG64"/>
      <c r="BQH64"/>
      <c r="BQI64"/>
      <c r="BQJ64"/>
      <c r="BQK64"/>
      <c r="BQL64"/>
      <c r="BQM64"/>
      <c r="BQN64"/>
      <c r="BQO64"/>
      <c r="BQP64"/>
      <c r="BQQ64"/>
      <c r="BQR64"/>
      <c r="BQS64"/>
      <c r="BQT64"/>
      <c r="BQU64"/>
      <c r="BQV64"/>
      <c r="BQW64"/>
      <c r="BQX64"/>
      <c r="BQY64"/>
      <c r="BQZ64"/>
      <c r="BRA64"/>
      <c r="BRB64"/>
      <c r="BRC64"/>
      <c r="BRD64"/>
      <c r="BRE64"/>
      <c r="BRF64"/>
      <c r="BRG64"/>
      <c r="BRH64"/>
      <c r="BRI64"/>
      <c r="BRJ64"/>
      <c r="BRK64"/>
      <c r="BRL64"/>
      <c r="BRM64"/>
      <c r="BRN64"/>
      <c r="BRO64"/>
      <c r="BRP64"/>
      <c r="BRQ64"/>
      <c r="BRR64"/>
      <c r="BRS64"/>
      <c r="BRT64"/>
      <c r="BRU64"/>
      <c r="BRV64"/>
      <c r="BRW64"/>
      <c r="BRX64"/>
      <c r="BRY64"/>
      <c r="BRZ64"/>
      <c r="BSA64"/>
      <c r="BSB64"/>
      <c r="BSC64"/>
      <c r="BSD64"/>
      <c r="BSE64"/>
      <c r="BSF64"/>
      <c r="BSG64"/>
      <c r="BSH64"/>
      <c r="BSI64"/>
      <c r="BSJ64"/>
      <c r="BSK64"/>
      <c r="BSL64"/>
      <c r="BSM64"/>
      <c r="BSN64"/>
      <c r="BSO64"/>
      <c r="BSP64"/>
      <c r="BSQ64"/>
      <c r="BSR64"/>
      <c r="BSS64"/>
      <c r="BST64"/>
      <c r="BSU64"/>
      <c r="BSV64"/>
      <c r="BSW64"/>
      <c r="BSX64"/>
      <c r="BSY64"/>
      <c r="BSZ64"/>
      <c r="BTA64"/>
      <c r="BTB64"/>
      <c r="BTC64"/>
      <c r="BTD64"/>
      <c r="BTE64"/>
      <c r="BTF64"/>
      <c r="BTG64"/>
      <c r="BTH64"/>
      <c r="BTI64"/>
      <c r="BTJ64"/>
      <c r="BTK64"/>
      <c r="BTL64"/>
      <c r="BTM64"/>
      <c r="BTN64"/>
      <c r="BTO64"/>
      <c r="BTP64"/>
      <c r="BTQ64"/>
      <c r="BTR64"/>
      <c r="BTS64"/>
      <c r="BTT64"/>
      <c r="BTU64"/>
      <c r="BTV64"/>
      <c r="BTW64"/>
      <c r="BTX64"/>
      <c r="BTY64"/>
      <c r="BTZ64"/>
      <c r="BUA64"/>
      <c r="BUB64"/>
      <c r="BUC64"/>
      <c r="BUD64"/>
      <c r="BUE64"/>
      <c r="BUF64"/>
      <c r="BUG64"/>
      <c r="BUH64"/>
      <c r="BUI64"/>
      <c r="BUJ64"/>
      <c r="BUK64"/>
      <c r="BUL64"/>
      <c r="BUM64"/>
      <c r="BUN64"/>
      <c r="BUO64"/>
      <c r="BUP64"/>
      <c r="BUQ64"/>
      <c r="BUR64"/>
      <c r="BUS64"/>
      <c r="BUT64"/>
      <c r="BUU64"/>
      <c r="BUV64"/>
      <c r="BUW64"/>
      <c r="BUX64"/>
      <c r="BUY64"/>
      <c r="BUZ64"/>
      <c r="BVA64"/>
      <c r="BVB64"/>
      <c r="BVC64"/>
      <c r="BVD64"/>
      <c r="BVE64"/>
      <c r="BVF64"/>
      <c r="BVG64"/>
      <c r="BVH64"/>
      <c r="BVI64"/>
      <c r="BVJ64"/>
      <c r="BVK64"/>
      <c r="BVL64"/>
      <c r="BVM64"/>
      <c r="BVN64"/>
      <c r="BVO64"/>
      <c r="BVP64"/>
      <c r="BVQ64"/>
      <c r="BVR64"/>
      <c r="BVS64"/>
      <c r="BVT64"/>
      <c r="BVU64"/>
      <c r="BVV64"/>
      <c r="BVW64"/>
      <c r="BVX64"/>
      <c r="BVY64"/>
      <c r="BVZ64"/>
      <c r="BWA64"/>
      <c r="BWB64"/>
      <c r="BWC64"/>
      <c r="BWD64"/>
      <c r="BWE64"/>
      <c r="BWF64"/>
      <c r="BWG64"/>
      <c r="BWH64"/>
      <c r="BWI64"/>
      <c r="BWJ64"/>
      <c r="BWK64"/>
      <c r="BWL64"/>
      <c r="BWM64"/>
      <c r="BWN64"/>
      <c r="BWO64"/>
      <c r="BWP64"/>
      <c r="BWQ64"/>
      <c r="BWR64"/>
      <c r="BWS64"/>
      <c r="BWT64"/>
      <c r="BWU64"/>
      <c r="BWV64"/>
      <c r="BWW64"/>
      <c r="BWX64"/>
      <c r="BWY64"/>
      <c r="BWZ64"/>
      <c r="BXA64"/>
      <c r="BXB64"/>
      <c r="BXC64"/>
      <c r="BXD64"/>
      <c r="BXE64"/>
      <c r="BXF64"/>
      <c r="BXG64"/>
      <c r="BXH64"/>
      <c r="BXI64"/>
      <c r="BXJ64"/>
      <c r="BXK64"/>
      <c r="BXL64"/>
      <c r="BXM64"/>
      <c r="BXN64"/>
      <c r="BXO64"/>
      <c r="BXP64"/>
      <c r="BXQ64"/>
      <c r="BXR64"/>
      <c r="BXS64"/>
      <c r="BXT64"/>
      <c r="BXU64"/>
      <c r="BXV64"/>
      <c r="BXW64"/>
      <c r="BXX64"/>
      <c r="BXY64"/>
      <c r="BXZ64"/>
      <c r="BYA64"/>
      <c r="BYB64"/>
      <c r="BYC64"/>
      <c r="BYD64"/>
      <c r="BYE64"/>
      <c r="BYF64"/>
      <c r="BYG64"/>
      <c r="BYH64"/>
      <c r="BYI64"/>
      <c r="BYJ64"/>
      <c r="BYK64"/>
      <c r="BYL64"/>
      <c r="BYM64"/>
      <c r="BYN64"/>
      <c r="BYO64"/>
      <c r="BYP64"/>
      <c r="BYQ64"/>
      <c r="BYR64"/>
      <c r="BYS64"/>
      <c r="BYT64"/>
      <c r="BYU64"/>
      <c r="BYV64"/>
      <c r="BYW64"/>
      <c r="BYX64"/>
      <c r="BYY64"/>
      <c r="BYZ64"/>
      <c r="BZA64"/>
      <c r="BZB64"/>
      <c r="BZC64"/>
      <c r="BZD64"/>
      <c r="BZE64"/>
      <c r="BZF64"/>
      <c r="BZG64"/>
      <c r="BZH64"/>
      <c r="BZI64"/>
      <c r="BZJ64"/>
      <c r="BZK64"/>
      <c r="BZL64"/>
      <c r="BZM64"/>
      <c r="BZN64"/>
      <c r="BZO64"/>
      <c r="BZP64"/>
      <c r="BZQ64"/>
      <c r="BZR64"/>
      <c r="BZS64"/>
      <c r="BZT64"/>
      <c r="BZU64"/>
      <c r="BZV64"/>
      <c r="BZW64"/>
      <c r="BZX64"/>
      <c r="BZY64"/>
      <c r="BZZ64"/>
      <c r="CAA64"/>
      <c r="CAB64"/>
      <c r="CAC64"/>
      <c r="CAD64"/>
      <c r="CAE64"/>
      <c r="CAF64"/>
      <c r="CAG64"/>
      <c r="CAH64"/>
      <c r="CAI64"/>
      <c r="CAJ64"/>
      <c r="CAK64"/>
      <c r="CAL64"/>
      <c r="CAM64"/>
      <c r="CAN64"/>
      <c r="CAO64"/>
      <c r="CAP64"/>
      <c r="CAQ64"/>
      <c r="CAR64"/>
      <c r="CAS64"/>
      <c r="CAT64"/>
      <c r="CAU64"/>
      <c r="CAV64"/>
      <c r="CAW64"/>
      <c r="CAX64"/>
      <c r="CAY64"/>
      <c r="CAZ64"/>
      <c r="CBA64"/>
      <c r="CBB64"/>
      <c r="CBC64"/>
      <c r="CBD64"/>
      <c r="CBE64"/>
      <c r="CBF64"/>
      <c r="CBG64"/>
      <c r="CBH64"/>
      <c r="CBI64"/>
      <c r="CBJ64"/>
      <c r="CBK64"/>
      <c r="CBL64"/>
      <c r="CBM64"/>
      <c r="CBN64"/>
      <c r="CBO64"/>
      <c r="CBP64"/>
      <c r="CBQ64"/>
      <c r="CBR64"/>
      <c r="CBS64"/>
      <c r="CBT64"/>
      <c r="CBU64"/>
      <c r="CBV64"/>
      <c r="CBW64"/>
      <c r="CBX64"/>
      <c r="CBY64"/>
      <c r="CBZ64"/>
      <c r="CCA64"/>
      <c r="CCB64"/>
      <c r="CCC64"/>
      <c r="CCD64"/>
      <c r="CCE64"/>
      <c r="CCF64"/>
      <c r="CCG64"/>
      <c r="CCH64"/>
      <c r="CCI64"/>
      <c r="CCJ64"/>
      <c r="CCK64"/>
      <c r="CCL64"/>
      <c r="CCM64"/>
      <c r="CCN64"/>
      <c r="CCO64"/>
      <c r="CCP64"/>
      <c r="CCQ64"/>
      <c r="CCR64"/>
      <c r="CCS64"/>
      <c r="CCT64"/>
      <c r="CCU64"/>
      <c r="CCV64"/>
      <c r="CCW64"/>
      <c r="CCX64"/>
      <c r="CCY64"/>
      <c r="CCZ64"/>
      <c r="CDA64"/>
      <c r="CDB64"/>
      <c r="CDC64"/>
      <c r="CDD64"/>
      <c r="CDE64"/>
      <c r="CDF64"/>
      <c r="CDG64"/>
      <c r="CDH64"/>
      <c r="CDI64"/>
      <c r="CDJ64"/>
      <c r="CDK64"/>
      <c r="CDL64"/>
      <c r="CDM64"/>
      <c r="CDN64"/>
      <c r="CDO64"/>
      <c r="CDP64"/>
      <c r="CDQ64"/>
      <c r="CDR64"/>
      <c r="CDS64"/>
      <c r="CDT64"/>
      <c r="CDU64"/>
      <c r="CDV64"/>
      <c r="CDW64"/>
      <c r="CDX64"/>
      <c r="CDY64"/>
      <c r="CDZ64"/>
      <c r="CEA64"/>
      <c r="CEB64"/>
      <c r="CEC64"/>
      <c r="CED64"/>
      <c r="CEE64"/>
      <c r="CEF64"/>
      <c r="CEG64"/>
      <c r="CEH64"/>
      <c r="CEI64"/>
      <c r="CEJ64"/>
      <c r="CEK64"/>
      <c r="CEL64"/>
      <c r="CEM64"/>
      <c r="CEN64"/>
      <c r="CEO64"/>
      <c r="CEP64"/>
      <c r="CEQ64"/>
      <c r="CER64"/>
      <c r="CES64"/>
      <c r="CET64"/>
      <c r="CEU64"/>
      <c r="CEV64"/>
      <c r="CEW64"/>
      <c r="CEX64"/>
      <c r="CEY64"/>
      <c r="CEZ64"/>
      <c r="CFA64"/>
      <c r="CFB64"/>
      <c r="CFC64"/>
      <c r="CFD64"/>
      <c r="CFE64"/>
      <c r="CFF64"/>
      <c r="CFG64"/>
      <c r="CFH64"/>
      <c r="CFI64"/>
      <c r="CFJ64"/>
      <c r="CFK64"/>
      <c r="CFL64"/>
      <c r="CFM64"/>
      <c r="CFN64"/>
      <c r="CFO64"/>
      <c r="CFP64"/>
      <c r="CFQ64"/>
      <c r="CFR64"/>
      <c r="CFS64"/>
      <c r="CFT64"/>
      <c r="CFU64"/>
      <c r="CFV64"/>
      <c r="CFW64"/>
      <c r="CFX64"/>
      <c r="CFY64"/>
      <c r="CFZ64"/>
      <c r="CGA64"/>
      <c r="CGB64"/>
      <c r="CGC64"/>
      <c r="CGD64"/>
      <c r="CGE64"/>
      <c r="CGF64"/>
      <c r="CGG64"/>
      <c r="CGH64"/>
      <c r="CGI64"/>
      <c r="CGJ64"/>
      <c r="CGK64"/>
      <c r="CGL64"/>
      <c r="CGM64"/>
      <c r="CGN64"/>
      <c r="CGO64"/>
      <c r="CGP64"/>
      <c r="CGQ64"/>
      <c r="CGR64"/>
      <c r="CGS64"/>
      <c r="CGT64"/>
      <c r="CGU64"/>
      <c r="CGV64"/>
      <c r="CGW64"/>
      <c r="CGX64"/>
      <c r="CGY64"/>
      <c r="CGZ64"/>
      <c r="CHA64"/>
      <c r="CHB64"/>
      <c r="CHC64"/>
      <c r="CHD64"/>
      <c r="CHE64"/>
      <c r="CHF64"/>
      <c r="CHG64"/>
      <c r="CHH64"/>
      <c r="CHI64"/>
      <c r="CHJ64"/>
      <c r="CHK64"/>
      <c r="CHL64"/>
      <c r="CHM64"/>
      <c r="CHN64"/>
      <c r="CHO64"/>
      <c r="CHP64"/>
      <c r="CHQ64"/>
      <c r="CHR64"/>
      <c r="CHS64"/>
      <c r="CHT64"/>
      <c r="CHU64"/>
      <c r="CHV64"/>
      <c r="CHW64"/>
      <c r="CHX64"/>
      <c r="CHY64"/>
      <c r="CHZ64"/>
      <c r="CIA64"/>
      <c r="CIB64"/>
      <c r="CIC64"/>
      <c r="CID64"/>
      <c r="CIE64"/>
      <c r="CIF64"/>
      <c r="CIG64"/>
      <c r="CIH64"/>
      <c r="CII64"/>
      <c r="CIJ64"/>
      <c r="CIK64"/>
      <c r="CIL64"/>
      <c r="CIM64"/>
      <c r="CIN64"/>
      <c r="CIO64"/>
      <c r="CIP64"/>
      <c r="CIQ64"/>
      <c r="CIR64"/>
      <c r="CIS64"/>
      <c r="CIT64"/>
      <c r="CIU64"/>
      <c r="CIV64"/>
      <c r="CIW64"/>
      <c r="CIX64"/>
      <c r="CIY64"/>
      <c r="CIZ64"/>
      <c r="CJA64"/>
      <c r="CJB64"/>
      <c r="CJC64"/>
      <c r="CJD64"/>
      <c r="CJE64"/>
      <c r="CJF64"/>
      <c r="CJG64"/>
      <c r="CJH64"/>
      <c r="CJI64"/>
      <c r="CJJ64"/>
      <c r="CJK64"/>
      <c r="CJL64"/>
      <c r="CJM64"/>
      <c r="CJN64"/>
      <c r="CJO64"/>
      <c r="CJP64"/>
      <c r="CJQ64"/>
      <c r="CJR64"/>
      <c r="CJS64"/>
      <c r="CJT64"/>
      <c r="CJU64"/>
      <c r="CJV64"/>
      <c r="CJW64"/>
      <c r="CJX64"/>
      <c r="CJY64"/>
      <c r="CJZ64"/>
      <c r="CKA64"/>
      <c r="CKB64"/>
      <c r="CKC64"/>
      <c r="CKD64"/>
      <c r="CKE64"/>
      <c r="CKF64"/>
      <c r="CKG64"/>
      <c r="CKH64"/>
      <c r="CKI64"/>
      <c r="CKJ64"/>
      <c r="CKK64"/>
      <c r="CKL64"/>
      <c r="CKM64"/>
      <c r="CKN64"/>
      <c r="CKO64"/>
      <c r="CKP64"/>
      <c r="CKQ64"/>
      <c r="CKR64"/>
      <c r="CKS64"/>
      <c r="CKT64"/>
      <c r="CKU64"/>
      <c r="CKV64"/>
      <c r="CKW64"/>
      <c r="CKX64"/>
      <c r="CKY64"/>
      <c r="CKZ64"/>
      <c r="CLA64"/>
      <c r="CLB64"/>
      <c r="CLC64"/>
      <c r="CLD64"/>
      <c r="CLE64"/>
      <c r="CLF64"/>
      <c r="CLG64"/>
      <c r="CLH64"/>
      <c r="CLI64"/>
      <c r="CLJ64"/>
      <c r="CLK64"/>
      <c r="CLL64"/>
      <c r="CLM64"/>
      <c r="CLN64"/>
      <c r="CLO64"/>
      <c r="CLP64"/>
      <c r="CLQ64"/>
      <c r="CLR64"/>
      <c r="CLS64"/>
      <c r="CLT64"/>
      <c r="CLU64"/>
      <c r="CLV64"/>
      <c r="CLW64"/>
      <c r="CLX64"/>
      <c r="CLY64"/>
      <c r="CLZ64"/>
      <c r="CMA64"/>
      <c r="CMB64"/>
      <c r="CMC64"/>
      <c r="CMD64"/>
      <c r="CME64"/>
      <c r="CMF64"/>
      <c r="CMG64"/>
      <c r="CMH64"/>
      <c r="CMI64"/>
      <c r="CMJ64"/>
      <c r="CMK64"/>
      <c r="CML64"/>
      <c r="CMM64"/>
      <c r="CMN64"/>
      <c r="CMO64"/>
      <c r="CMP64"/>
      <c r="CMQ64"/>
      <c r="CMR64"/>
      <c r="CMS64"/>
      <c r="CMT64"/>
      <c r="CMU64"/>
      <c r="CMV64"/>
      <c r="CMW64"/>
      <c r="CMX64"/>
      <c r="CMY64"/>
      <c r="CMZ64"/>
      <c r="CNA64"/>
      <c r="CNB64"/>
      <c r="CNC64"/>
      <c r="CND64"/>
      <c r="CNE64"/>
      <c r="CNF64"/>
      <c r="CNG64"/>
      <c r="CNH64"/>
      <c r="CNI64"/>
      <c r="CNJ64"/>
      <c r="CNK64"/>
      <c r="CNL64"/>
      <c r="CNM64"/>
      <c r="CNN64"/>
      <c r="CNO64"/>
      <c r="CNP64"/>
      <c r="CNQ64"/>
      <c r="CNR64"/>
      <c r="CNS64"/>
      <c r="CNT64"/>
      <c r="CNU64"/>
      <c r="CNV64"/>
      <c r="CNW64"/>
      <c r="CNX64"/>
      <c r="CNY64"/>
      <c r="CNZ64"/>
      <c r="COA64"/>
      <c r="COB64"/>
      <c r="COC64"/>
      <c r="COD64"/>
      <c r="COE64"/>
      <c r="COF64"/>
      <c r="COG64"/>
      <c r="COH64"/>
      <c r="COI64"/>
      <c r="COJ64"/>
      <c r="COK64"/>
      <c r="COL64"/>
      <c r="COM64"/>
      <c r="CON64"/>
      <c r="COO64"/>
      <c r="COP64"/>
      <c r="COQ64"/>
      <c r="COR64"/>
      <c r="COS64"/>
      <c r="COT64"/>
      <c r="COU64"/>
      <c r="COV64"/>
      <c r="COW64"/>
      <c r="COX64"/>
      <c r="COY64"/>
      <c r="COZ64"/>
      <c r="CPA64"/>
      <c r="CPB64"/>
      <c r="CPC64"/>
      <c r="CPD64"/>
      <c r="CPE64"/>
      <c r="CPF64"/>
      <c r="CPG64"/>
      <c r="CPH64"/>
      <c r="CPI64"/>
      <c r="CPJ64"/>
      <c r="CPK64"/>
      <c r="CPL64"/>
      <c r="CPM64"/>
      <c r="CPN64"/>
      <c r="CPO64"/>
      <c r="CPP64"/>
      <c r="CPQ64"/>
      <c r="CPR64"/>
      <c r="CPS64"/>
      <c r="CPT64"/>
      <c r="CPU64"/>
      <c r="CPV64"/>
      <c r="CPW64"/>
      <c r="CPX64"/>
      <c r="CPY64"/>
      <c r="CPZ64"/>
      <c r="CQA64"/>
      <c r="CQB64"/>
      <c r="CQC64"/>
      <c r="CQD64"/>
      <c r="CQE64"/>
      <c r="CQF64"/>
      <c r="CQG64"/>
      <c r="CQH64"/>
      <c r="CQI64"/>
      <c r="CQJ64"/>
      <c r="CQK64"/>
      <c r="CQL64"/>
      <c r="CQM64"/>
      <c r="CQN64"/>
      <c r="CQO64"/>
      <c r="CQP64"/>
      <c r="CQQ64"/>
      <c r="CQR64"/>
      <c r="CQS64"/>
      <c r="CQT64"/>
      <c r="CQU64"/>
      <c r="CQV64"/>
      <c r="CQW64"/>
      <c r="CQX64"/>
      <c r="CQY64"/>
      <c r="CQZ64"/>
      <c r="CRA64"/>
      <c r="CRB64"/>
      <c r="CRC64"/>
      <c r="CRD64"/>
      <c r="CRE64"/>
      <c r="CRF64"/>
      <c r="CRG64"/>
      <c r="CRH64"/>
      <c r="CRI64"/>
      <c r="CRJ64"/>
      <c r="CRK64"/>
      <c r="CRL64"/>
      <c r="CRM64"/>
      <c r="CRN64"/>
      <c r="CRO64"/>
      <c r="CRP64"/>
      <c r="CRQ64"/>
      <c r="CRR64"/>
      <c r="CRS64"/>
      <c r="CRT64"/>
      <c r="CRU64"/>
      <c r="CRV64"/>
      <c r="CRW64"/>
      <c r="CRX64"/>
      <c r="CRY64"/>
      <c r="CRZ64"/>
      <c r="CSA64"/>
      <c r="CSB64"/>
      <c r="CSC64"/>
      <c r="CSD64"/>
      <c r="CSE64"/>
      <c r="CSF64"/>
      <c r="CSG64"/>
      <c r="CSH64"/>
      <c r="CSI64"/>
      <c r="CSJ64"/>
      <c r="CSK64"/>
      <c r="CSL64"/>
      <c r="CSM64"/>
      <c r="CSN64"/>
      <c r="CSO64"/>
      <c r="CSP64"/>
      <c r="CSQ64"/>
      <c r="CSR64"/>
      <c r="CSS64"/>
      <c r="CST64"/>
      <c r="CSU64"/>
      <c r="CSV64"/>
      <c r="CSW64"/>
      <c r="CSX64"/>
      <c r="CSY64"/>
      <c r="CSZ64"/>
      <c r="CTA64"/>
      <c r="CTB64"/>
      <c r="CTC64"/>
      <c r="CTD64"/>
      <c r="CTE64"/>
      <c r="CTF64"/>
      <c r="CTG64"/>
      <c r="CTH64"/>
      <c r="CTI64"/>
      <c r="CTJ64"/>
      <c r="CTK64"/>
      <c r="CTL64"/>
      <c r="CTM64"/>
      <c r="CTN64"/>
      <c r="CTO64"/>
      <c r="CTP64"/>
      <c r="CTQ64"/>
      <c r="CTR64"/>
      <c r="CTS64"/>
      <c r="CTT64"/>
      <c r="CTU64"/>
      <c r="CTV64"/>
      <c r="CTW64"/>
      <c r="CTX64"/>
      <c r="CTY64"/>
      <c r="CTZ64"/>
      <c r="CUA64"/>
      <c r="CUB64"/>
      <c r="CUC64"/>
      <c r="CUD64"/>
      <c r="CUE64"/>
      <c r="CUF64"/>
      <c r="CUG64"/>
      <c r="CUH64"/>
      <c r="CUI64"/>
      <c r="CUJ64"/>
      <c r="CUK64"/>
      <c r="CUL64"/>
      <c r="CUM64"/>
      <c r="CUN64"/>
      <c r="CUO64"/>
      <c r="CUP64"/>
      <c r="CUQ64"/>
      <c r="CUR64"/>
      <c r="CUS64"/>
      <c r="CUT64"/>
      <c r="CUU64"/>
      <c r="CUV64"/>
      <c r="CUW64"/>
      <c r="CUX64"/>
      <c r="CUY64"/>
      <c r="CUZ64"/>
      <c r="CVA64"/>
      <c r="CVB64"/>
      <c r="CVC64"/>
      <c r="CVD64"/>
      <c r="CVE64"/>
      <c r="CVF64"/>
      <c r="CVG64"/>
      <c r="CVH64"/>
      <c r="CVI64"/>
      <c r="CVJ64"/>
      <c r="CVK64"/>
      <c r="CVL64"/>
      <c r="CVM64"/>
      <c r="CVN64"/>
      <c r="CVO64"/>
      <c r="CVP64"/>
      <c r="CVQ64"/>
      <c r="CVR64"/>
      <c r="CVS64"/>
      <c r="CVT64"/>
      <c r="CVU64"/>
      <c r="CVV64"/>
      <c r="CVW64"/>
      <c r="CVX64"/>
      <c r="CVY64"/>
      <c r="CVZ64"/>
      <c r="CWA64"/>
      <c r="CWB64"/>
      <c r="CWC64"/>
      <c r="CWD64"/>
      <c r="CWE64"/>
      <c r="CWF64"/>
      <c r="CWG64"/>
      <c r="CWH64"/>
      <c r="CWI64"/>
      <c r="CWJ64"/>
      <c r="CWK64"/>
      <c r="CWL64"/>
      <c r="CWM64"/>
      <c r="CWN64"/>
      <c r="CWO64"/>
      <c r="CWP64"/>
      <c r="CWQ64"/>
      <c r="CWR64"/>
      <c r="CWS64"/>
      <c r="CWT64"/>
      <c r="CWU64"/>
      <c r="CWV64"/>
      <c r="CWW64"/>
      <c r="CWX64"/>
      <c r="CWY64"/>
      <c r="CWZ64"/>
      <c r="CXA64"/>
      <c r="CXB64"/>
      <c r="CXC64"/>
      <c r="CXD64"/>
      <c r="CXE64"/>
      <c r="CXF64"/>
      <c r="CXG64"/>
      <c r="CXH64"/>
      <c r="CXI64"/>
      <c r="CXJ64"/>
      <c r="CXK64"/>
      <c r="CXL64"/>
      <c r="CXM64"/>
      <c r="CXN64"/>
      <c r="CXO64"/>
      <c r="CXP64"/>
      <c r="CXQ64"/>
      <c r="CXR64"/>
      <c r="CXS64"/>
      <c r="CXT64"/>
      <c r="CXU64"/>
      <c r="CXV64"/>
      <c r="CXW64"/>
      <c r="CXX64"/>
      <c r="CXY64"/>
      <c r="CXZ64"/>
      <c r="CYA64"/>
      <c r="CYB64"/>
      <c r="CYC64"/>
      <c r="CYD64"/>
      <c r="CYE64"/>
      <c r="CYF64"/>
      <c r="CYG64"/>
      <c r="CYH64"/>
      <c r="CYI64"/>
      <c r="CYJ64"/>
      <c r="CYK64"/>
      <c r="CYL64"/>
      <c r="CYM64"/>
      <c r="CYN64"/>
      <c r="CYO64"/>
      <c r="CYP64"/>
      <c r="CYQ64"/>
      <c r="CYR64"/>
      <c r="CYS64"/>
      <c r="CYT64"/>
      <c r="CYU64"/>
      <c r="CYV64"/>
      <c r="CYW64"/>
      <c r="CYX64"/>
      <c r="CYY64"/>
      <c r="CYZ64"/>
      <c r="CZA64"/>
      <c r="CZB64"/>
      <c r="CZC64"/>
      <c r="CZD64"/>
      <c r="CZE64"/>
      <c r="CZF64"/>
      <c r="CZG64"/>
      <c r="CZH64"/>
      <c r="CZI64"/>
      <c r="CZJ64"/>
      <c r="CZK64"/>
      <c r="CZL64"/>
      <c r="CZM64"/>
      <c r="CZN64"/>
      <c r="CZO64"/>
      <c r="CZP64"/>
      <c r="CZQ64"/>
      <c r="CZR64"/>
      <c r="CZS64"/>
      <c r="CZT64"/>
      <c r="CZU64"/>
      <c r="CZV64"/>
      <c r="CZW64"/>
      <c r="CZX64"/>
      <c r="CZY64"/>
      <c r="CZZ64"/>
      <c r="DAA64"/>
      <c r="DAB64"/>
      <c r="DAC64"/>
      <c r="DAD64"/>
      <c r="DAE64"/>
      <c r="DAF64"/>
      <c r="DAG64"/>
      <c r="DAH64"/>
      <c r="DAI64"/>
      <c r="DAJ64"/>
      <c r="DAK64"/>
      <c r="DAL64"/>
      <c r="DAM64"/>
      <c r="DAN64"/>
      <c r="DAO64"/>
      <c r="DAP64"/>
      <c r="DAQ64"/>
      <c r="DAR64"/>
      <c r="DAS64"/>
      <c r="DAT64"/>
      <c r="DAU64"/>
      <c r="DAV64"/>
      <c r="DAW64"/>
      <c r="DAX64"/>
      <c r="DAY64"/>
      <c r="DAZ64"/>
      <c r="DBA64"/>
      <c r="DBB64"/>
      <c r="DBC64"/>
      <c r="DBD64"/>
      <c r="DBE64"/>
      <c r="DBF64"/>
      <c r="DBG64"/>
      <c r="DBH64"/>
      <c r="DBI64"/>
      <c r="DBJ64"/>
      <c r="DBK64"/>
      <c r="DBL64"/>
      <c r="DBM64"/>
      <c r="DBN64"/>
      <c r="DBO64"/>
      <c r="DBP64"/>
      <c r="DBQ64"/>
      <c r="DBR64"/>
      <c r="DBS64"/>
      <c r="DBT64"/>
      <c r="DBU64"/>
      <c r="DBV64"/>
      <c r="DBW64"/>
      <c r="DBX64"/>
      <c r="DBY64"/>
      <c r="DBZ64"/>
      <c r="DCA64"/>
      <c r="DCB64"/>
      <c r="DCC64"/>
      <c r="DCD64"/>
      <c r="DCE64"/>
      <c r="DCF64"/>
      <c r="DCG64"/>
      <c r="DCH64"/>
      <c r="DCI64"/>
      <c r="DCJ64"/>
      <c r="DCK64"/>
      <c r="DCL64"/>
      <c r="DCM64"/>
      <c r="DCN64"/>
      <c r="DCO64"/>
      <c r="DCP64"/>
      <c r="DCQ64"/>
      <c r="DCR64"/>
      <c r="DCS64"/>
      <c r="DCT64"/>
      <c r="DCU64"/>
      <c r="DCV64"/>
      <c r="DCW64"/>
      <c r="DCX64"/>
      <c r="DCY64"/>
      <c r="DCZ64"/>
      <c r="DDA64"/>
      <c r="DDB64"/>
      <c r="DDC64"/>
      <c r="DDD64"/>
      <c r="DDE64"/>
      <c r="DDF64"/>
      <c r="DDG64"/>
      <c r="DDH64"/>
      <c r="DDI64"/>
      <c r="DDJ64"/>
      <c r="DDK64"/>
      <c r="DDL64"/>
      <c r="DDM64"/>
      <c r="DDN64"/>
      <c r="DDO64"/>
      <c r="DDP64"/>
      <c r="DDQ64"/>
      <c r="DDR64"/>
      <c r="DDS64"/>
      <c r="DDT64"/>
      <c r="DDU64"/>
      <c r="DDV64"/>
      <c r="DDW64"/>
      <c r="DDX64"/>
      <c r="DDY64"/>
      <c r="DDZ64"/>
      <c r="DEA64"/>
      <c r="DEB64"/>
      <c r="DEC64"/>
      <c r="DED64"/>
      <c r="DEE64"/>
      <c r="DEF64"/>
      <c r="DEG64"/>
      <c r="DEH64"/>
      <c r="DEI64"/>
      <c r="DEJ64"/>
      <c r="DEK64"/>
      <c r="DEL64"/>
      <c r="DEM64"/>
      <c r="DEN64"/>
      <c r="DEO64"/>
      <c r="DEP64"/>
      <c r="DEQ64"/>
      <c r="DER64"/>
      <c r="DES64"/>
      <c r="DET64"/>
      <c r="DEU64"/>
      <c r="DEV64"/>
      <c r="DEW64"/>
      <c r="DEX64"/>
      <c r="DEY64"/>
      <c r="DEZ64"/>
      <c r="DFA64"/>
      <c r="DFB64"/>
      <c r="DFC64"/>
      <c r="DFD64"/>
      <c r="DFE64"/>
      <c r="DFF64"/>
      <c r="DFG64"/>
      <c r="DFH64"/>
      <c r="DFI64"/>
      <c r="DFJ64"/>
      <c r="DFK64"/>
      <c r="DFL64"/>
      <c r="DFM64"/>
      <c r="DFN64"/>
      <c r="DFO64"/>
      <c r="DFP64"/>
      <c r="DFQ64"/>
      <c r="DFR64"/>
      <c r="DFS64"/>
      <c r="DFT64"/>
      <c r="DFU64"/>
      <c r="DFV64"/>
      <c r="DFW64"/>
      <c r="DFX64"/>
      <c r="DFY64"/>
      <c r="DFZ64"/>
      <c r="DGA64"/>
      <c r="DGB64"/>
      <c r="DGC64"/>
      <c r="DGD64"/>
      <c r="DGE64"/>
      <c r="DGF64"/>
      <c r="DGG64"/>
      <c r="DGH64"/>
      <c r="DGI64"/>
      <c r="DGJ64"/>
      <c r="DGK64"/>
      <c r="DGL64"/>
      <c r="DGM64"/>
      <c r="DGN64"/>
      <c r="DGO64"/>
      <c r="DGP64"/>
      <c r="DGQ64"/>
      <c r="DGR64"/>
      <c r="DGS64"/>
      <c r="DGT64"/>
      <c r="DGU64"/>
      <c r="DGV64"/>
      <c r="DGW64"/>
      <c r="DGX64"/>
      <c r="DGY64"/>
      <c r="DGZ64"/>
      <c r="DHA64"/>
      <c r="DHB64"/>
      <c r="DHC64"/>
      <c r="DHD64"/>
      <c r="DHE64"/>
      <c r="DHF64"/>
      <c r="DHG64"/>
      <c r="DHH64"/>
      <c r="DHI64"/>
      <c r="DHJ64"/>
      <c r="DHK64"/>
      <c r="DHL64"/>
      <c r="DHM64"/>
      <c r="DHN64"/>
      <c r="DHO64"/>
      <c r="DHP64"/>
      <c r="DHQ64"/>
      <c r="DHR64"/>
      <c r="DHS64"/>
      <c r="DHT64"/>
      <c r="DHU64"/>
      <c r="DHV64"/>
      <c r="DHW64"/>
      <c r="DHX64"/>
      <c r="DHY64"/>
      <c r="DHZ64"/>
      <c r="DIA64"/>
      <c r="DIB64"/>
      <c r="DIC64"/>
      <c r="DID64"/>
      <c r="DIE64"/>
      <c r="DIF64"/>
      <c r="DIG64"/>
      <c r="DIH64"/>
      <c r="DII64"/>
      <c r="DIJ64"/>
      <c r="DIK64"/>
      <c r="DIL64"/>
      <c r="DIM64"/>
      <c r="DIN64"/>
      <c r="DIO64"/>
      <c r="DIP64"/>
      <c r="DIQ64"/>
      <c r="DIR64"/>
      <c r="DIS64"/>
      <c r="DIT64"/>
      <c r="DIU64"/>
      <c r="DIV64"/>
      <c r="DIW64"/>
      <c r="DIX64"/>
      <c r="DIY64"/>
      <c r="DIZ64"/>
      <c r="DJA64"/>
      <c r="DJB64"/>
      <c r="DJC64"/>
      <c r="DJD64"/>
      <c r="DJE64"/>
      <c r="DJF64"/>
      <c r="DJG64"/>
      <c r="DJH64"/>
      <c r="DJI64"/>
      <c r="DJJ64"/>
      <c r="DJK64"/>
      <c r="DJL64"/>
      <c r="DJM64"/>
      <c r="DJN64"/>
      <c r="DJO64"/>
      <c r="DJP64"/>
      <c r="DJQ64"/>
      <c r="DJR64"/>
      <c r="DJS64"/>
      <c r="DJT64"/>
      <c r="DJU64"/>
      <c r="DJV64"/>
      <c r="DJW64"/>
      <c r="DJX64"/>
      <c r="DJY64"/>
      <c r="DJZ64"/>
      <c r="DKA64"/>
      <c r="DKB64"/>
      <c r="DKC64"/>
      <c r="DKD64"/>
      <c r="DKE64"/>
      <c r="DKF64"/>
      <c r="DKG64"/>
      <c r="DKH64"/>
      <c r="DKI64"/>
      <c r="DKJ64"/>
      <c r="DKK64"/>
      <c r="DKL64"/>
      <c r="DKM64"/>
      <c r="DKN64"/>
      <c r="DKO64"/>
      <c r="DKP64"/>
      <c r="DKQ64"/>
      <c r="DKR64"/>
      <c r="DKS64"/>
      <c r="DKT64"/>
      <c r="DKU64"/>
      <c r="DKV64"/>
      <c r="DKW64"/>
      <c r="DKX64"/>
      <c r="DKY64"/>
      <c r="DKZ64"/>
      <c r="DLA64"/>
      <c r="DLB64"/>
      <c r="DLC64"/>
      <c r="DLD64"/>
      <c r="DLE64"/>
      <c r="DLF64"/>
      <c r="DLG64"/>
      <c r="DLH64"/>
      <c r="DLI64"/>
      <c r="DLJ64"/>
      <c r="DLK64"/>
      <c r="DLL64"/>
      <c r="DLM64"/>
      <c r="DLN64"/>
      <c r="DLO64"/>
      <c r="DLP64"/>
      <c r="DLQ64"/>
      <c r="DLR64"/>
      <c r="DLS64"/>
      <c r="DLT64"/>
      <c r="DLU64"/>
      <c r="DLV64"/>
      <c r="DLW64"/>
      <c r="DLX64"/>
      <c r="DLY64"/>
      <c r="DLZ64"/>
      <c r="DMA64"/>
      <c r="DMB64"/>
      <c r="DMC64"/>
      <c r="DMD64"/>
      <c r="DME64"/>
      <c r="DMF64"/>
      <c r="DMG64"/>
      <c r="DMH64"/>
      <c r="DMI64"/>
      <c r="DMJ64"/>
      <c r="DMK64"/>
      <c r="DML64"/>
      <c r="DMM64"/>
      <c r="DMN64"/>
      <c r="DMO64"/>
      <c r="DMP64"/>
      <c r="DMQ64"/>
      <c r="DMR64"/>
      <c r="DMS64"/>
      <c r="DMT64"/>
      <c r="DMU64"/>
      <c r="DMV64"/>
      <c r="DMW64"/>
      <c r="DMX64"/>
      <c r="DMY64"/>
      <c r="DMZ64"/>
      <c r="DNA64"/>
      <c r="DNB64"/>
      <c r="DNC64"/>
      <c r="DND64"/>
      <c r="DNE64"/>
      <c r="DNF64"/>
      <c r="DNG64"/>
      <c r="DNH64"/>
      <c r="DNI64"/>
      <c r="DNJ64"/>
      <c r="DNK64"/>
      <c r="DNL64"/>
      <c r="DNM64"/>
      <c r="DNN64"/>
      <c r="DNO64"/>
      <c r="DNP64"/>
      <c r="DNQ64"/>
      <c r="DNR64"/>
      <c r="DNS64"/>
      <c r="DNT64"/>
      <c r="DNU64"/>
      <c r="DNV64"/>
      <c r="DNW64"/>
      <c r="DNX64"/>
      <c r="DNY64"/>
      <c r="DNZ64"/>
      <c r="DOA64"/>
      <c r="DOB64"/>
      <c r="DOC64"/>
      <c r="DOD64"/>
      <c r="DOE64"/>
      <c r="DOF64"/>
      <c r="DOG64"/>
      <c r="DOH64"/>
      <c r="DOI64"/>
      <c r="DOJ64"/>
      <c r="DOK64"/>
      <c r="DOL64"/>
      <c r="DOM64"/>
      <c r="DON64"/>
      <c r="DOO64"/>
      <c r="DOP64"/>
      <c r="DOQ64"/>
      <c r="DOR64"/>
      <c r="DOS64"/>
      <c r="DOT64"/>
      <c r="DOU64"/>
      <c r="DOV64"/>
      <c r="DOW64"/>
      <c r="DOX64"/>
      <c r="DOY64"/>
      <c r="DOZ64"/>
      <c r="DPA64"/>
      <c r="DPB64"/>
      <c r="DPC64"/>
      <c r="DPD64"/>
      <c r="DPE64"/>
      <c r="DPF64"/>
      <c r="DPG64"/>
      <c r="DPH64"/>
      <c r="DPI64"/>
      <c r="DPJ64"/>
      <c r="DPK64"/>
      <c r="DPL64"/>
      <c r="DPM64"/>
      <c r="DPN64"/>
      <c r="DPO64"/>
      <c r="DPP64"/>
      <c r="DPQ64"/>
      <c r="DPR64"/>
      <c r="DPS64"/>
      <c r="DPT64"/>
      <c r="DPU64"/>
      <c r="DPV64"/>
      <c r="DPW64"/>
      <c r="DPX64"/>
      <c r="DPY64"/>
      <c r="DPZ64"/>
      <c r="DQA64"/>
      <c r="DQB64"/>
      <c r="DQC64"/>
      <c r="DQD64"/>
      <c r="DQE64"/>
      <c r="DQF64"/>
      <c r="DQG64"/>
      <c r="DQH64"/>
      <c r="DQI64"/>
      <c r="DQJ64"/>
      <c r="DQK64"/>
      <c r="DQL64"/>
      <c r="DQM64"/>
      <c r="DQN64"/>
      <c r="DQO64"/>
      <c r="DQP64"/>
      <c r="DQQ64"/>
      <c r="DQR64"/>
      <c r="DQS64"/>
      <c r="DQT64"/>
      <c r="DQU64"/>
      <c r="DQV64"/>
      <c r="DQW64"/>
      <c r="DQX64"/>
      <c r="DQY64"/>
      <c r="DQZ64"/>
      <c r="DRA64"/>
      <c r="DRB64"/>
      <c r="DRC64"/>
      <c r="DRD64"/>
      <c r="DRE64"/>
      <c r="DRF64"/>
      <c r="DRG64"/>
      <c r="DRH64"/>
      <c r="DRI64"/>
      <c r="DRJ64"/>
      <c r="DRK64"/>
      <c r="DRL64"/>
      <c r="DRM64"/>
      <c r="DRN64"/>
      <c r="DRO64"/>
      <c r="DRP64"/>
      <c r="DRQ64"/>
      <c r="DRR64"/>
      <c r="DRS64"/>
      <c r="DRT64"/>
      <c r="DRU64"/>
      <c r="DRV64"/>
      <c r="DRW64"/>
      <c r="DRX64"/>
      <c r="DRY64"/>
      <c r="DRZ64"/>
      <c r="DSA64"/>
      <c r="DSB64"/>
      <c r="DSC64"/>
      <c r="DSD64"/>
      <c r="DSE64"/>
      <c r="DSF64"/>
      <c r="DSG64"/>
      <c r="DSH64"/>
      <c r="DSI64"/>
      <c r="DSJ64"/>
      <c r="DSK64"/>
      <c r="DSL64"/>
      <c r="DSM64"/>
      <c r="DSN64"/>
      <c r="DSO64"/>
      <c r="DSP64"/>
      <c r="DSQ64"/>
      <c r="DSR64"/>
      <c r="DSS64"/>
      <c r="DST64"/>
      <c r="DSU64"/>
      <c r="DSV64"/>
      <c r="DSW64"/>
      <c r="DSX64"/>
      <c r="DSY64"/>
      <c r="DSZ64"/>
      <c r="DTA64"/>
      <c r="DTB64"/>
      <c r="DTC64"/>
      <c r="DTD64"/>
      <c r="DTE64"/>
      <c r="DTF64"/>
      <c r="DTG64"/>
      <c r="DTH64"/>
      <c r="DTI64"/>
      <c r="DTJ64"/>
      <c r="DTK64"/>
      <c r="DTL64"/>
      <c r="DTM64"/>
      <c r="DTN64"/>
      <c r="DTO64"/>
      <c r="DTP64"/>
      <c r="DTQ64"/>
      <c r="DTR64"/>
      <c r="DTS64"/>
      <c r="DTT64"/>
      <c r="DTU64"/>
      <c r="DTV64"/>
      <c r="DTW64"/>
      <c r="DTX64"/>
      <c r="DTY64"/>
      <c r="DTZ64"/>
      <c r="DUA64"/>
      <c r="DUB64"/>
      <c r="DUC64"/>
      <c r="DUD64"/>
      <c r="DUE64"/>
      <c r="DUF64"/>
      <c r="DUG64"/>
      <c r="DUH64"/>
      <c r="DUI64"/>
      <c r="DUJ64"/>
      <c r="DUK64"/>
      <c r="DUL64"/>
      <c r="DUM64"/>
      <c r="DUN64"/>
      <c r="DUO64"/>
      <c r="DUP64"/>
      <c r="DUQ64"/>
      <c r="DUR64"/>
      <c r="DUS64"/>
      <c r="DUT64"/>
      <c r="DUU64"/>
      <c r="DUV64"/>
      <c r="DUW64"/>
      <c r="DUX64"/>
      <c r="DUY64"/>
      <c r="DUZ64"/>
      <c r="DVA64"/>
      <c r="DVB64"/>
      <c r="DVC64"/>
      <c r="DVD64"/>
      <c r="DVE64"/>
      <c r="DVF64"/>
      <c r="DVG64"/>
      <c r="DVH64"/>
      <c r="DVI64"/>
      <c r="DVJ64"/>
      <c r="DVK64"/>
      <c r="DVL64"/>
      <c r="DVM64"/>
      <c r="DVN64"/>
      <c r="DVO64"/>
      <c r="DVP64"/>
      <c r="DVQ64"/>
      <c r="DVR64"/>
      <c r="DVS64"/>
      <c r="DVT64"/>
      <c r="DVU64"/>
      <c r="DVV64"/>
      <c r="DVW64"/>
      <c r="DVX64"/>
      <c r="DVY64"/>
      <c r="DVZ64"/>
      <c r="DWA64"/>
      <c r="DWB64"/>
      <c r="DWC64"/>
      <c r="DWD64"/>
      <c r="DWE64"/>
      <c r="DWF64"/>
      <c r="DWG64"/>
      <c r="DWH64"/>
      <c r="DWI64"/>
      <c r="DWJ64"/>
      <c r="DWK64"/>
      <c r="DWL64"/>
      <c r="DWM64"/>
      <c r="DWN64"/>
      <c r="DWO64"/>
      <c r="DWP64"/>
      <c r="DWQ64"/>
      <c r="DWR64"/>
      <c r="DWS64"/>
      <c r="DWT64"/>
      <c r="DWU64"/>
      <c r="DWV64"/>
      <c r="DWW64"/>
      <c r="DWX64"/>
      <c r="DWY64"/>
      <c r="DWZ64"/>
      <c r="DXA64"/>
      <c r="DXB64"/>
      <c r="DXC64"/>
      <c r="DXD64"/>
      <c r="DXE64"/>
      <c r="DXF64"/>
      <c r="DXG64"/>
      <c r="DXH64"/>
      <c r="DXI64"/>
      <c r="DXJ64"/>
      <c r="DXK64"/>
      <c r="DXL64"/>
      <c r="DXM64"/>
      <c r="DXN64"/>
      <c r="DXO64"/>
      <c r="DXP64"/>
      <c r="DXQ64"/>
      <c r="DXR64"/>
      <c r="DXS64"/>
      <c r="DXT64"/>
      <c r="DXU64"/>
      <c r="DXV64"/>
      <c r="DXW64"/>
      <c r="DXX64"/>
      <c r="DXY64"/>
      <c r="DXZ64"/>
      <c r="DYA64"/>
      <c r="DYB64"/>
      <c r="DYC64"/>
      <c r="DYD64"/>
      <c r="DYE64"/>
      <c r="DYF64"/>
      <c r="DYG64"/>
      <c r="DYH64"/>
      <c r="DYI64"/>
      <c r="DYJ64"/>
      <c r="DYK64"/>
      <c r="DYL64"/>
      <c r="DYM64"/>
      <c r="DYN64"/>
      <c r="DYO64"/>
      <c r="DYP64"/>
      <c r="DYQ64"/>
      <c r="DYR64"/>
      <c r="DYS64"/>
      <c r="DYT64"/>
      <c r="DYU64"/>
      <c r="DYV64"/>
      <c r="DYW64"/>
      <c r="DYX64"/>
      <c r="DYY64"/>
      <c r="DYZ64"/>
      <c r="DZA64"/>
      <c r="DZB64"/>
      <c r="DZC64"/>
      <c r="DZD64"/>
      <c r="DZE64"/>
      <c r="DZF64"/>
      <c r="DZG64"/>
      <c r="DZH64"/>
      <c r="DZI64"/>
      <c r="DZJ64"/>
      <c r="DZK64"/>
      <c r="DZL64"/>
      <c r="DZM64"/>
      <c r="DZN64"/>
      <c r="DZO64"/>
      <c r="DZP64"/>
      <c r="DZQ64"/>
      <c r="DZR64"/>
      <c r="DZS64"/>
      <c r="DZT64"/>
      <c r="DZU64"/>
      <c r="DZV64"/>
      <c r="DZW64"/>
      <c r="DZX64"/>
      <c r="DZY64"/>
      <c r="DZZ64"/>
      <c r="EAA64"/>
      <c r="EAB64"/>
      <c r="EAC64"/>
      <c r="EAD64"/>
      <c r="EAE64"/>
      <c r="EAF64"/>
      <c r="EAG64"/>
      <c r="EAH64"/>
      <c r="EAI64"/>
      <c r="EAJ64"/>
      <c r="EAK64"/>
      <c r="EAL64"/>
      <c r="EAM64"/>
      <c r="EAN64"/>
      <c r="EAO64"/>
      <c r="EAP64"/>
      <c r="EAQ64"/>
      <c r="EAR64"/>
      <c r="EAS64"/>
      <c r="EAT64"/>
      <c r="EAU64"/>
      <c r="EAV64"/>
      <c r="EAW64"/>
      <c r="EAX64"/>
      <c r="EAY64"/>
      <c r="EAZ64"/>
      <c r="EBA64"/>
      <c r="EBB64"/>
      <c r="EBC64"/>
      <c r="EBD64"/>
      <c r="EBE64"/>
      <c r="EBF64"/>
      <c r="EBG64"/>
      <c r="EBH64"/>
      <c r="EBI64"/>
      <c r="EBJ64"/>
      <c r="EBK64"/>
      <c r="EBL64"/>
      <c r="EBM64"/>
      <c r="EBN64"/>
      <c r="EBO64"/>
      <c r="EBP64"/>
      <c r="EBQ64"/>
      <c r="EBR64"/>
      <c r="EBS64"/>
      <c r="EBT64"/>
      <c r="EBU64"/>
      <c r="EBV64"/>
      <c r="EBW64"/>
      <c r="EBX64"/>
      <c r="EBY64"/>
      <c r="EBZ64"/>
      <c r="ECA64"/>
      <c r="ECB64"/>
      <c r="ECC64"/>
      <c r="ECD64"/>
      <c r="ECE64"/>
      <c r="ECF64"/>
      <c r="ECG64"/>
      <c r="ECH64"/>
      <c r="ECI64"/>
      <c r="ECJ64"/>
      <c r="ECK64"/>
      <c r="ECL64"/>
      <c r="ECM64"/>
      <c r="ECN64"/>
      <c r="ECO64"/>
      <c r="ECP64"/>
      <c r="ECQ64"/>
      <c r="ECR64"/>
      <c r="ECS64"/>
      <c r="ECT64"/>
      <c r="ECU64"/>
      <c r="ECV64"/>
      <c r="ECW64"/>
      <c r="ECX64"/>
      <c r="ECY64"/>
      <c r="ECZ64"/>
      <c r="EDA64"/>
      <c r="EDB64"/>
      <c r="EDC64"/>
      <c r="EDD64"/>
      <c r="EDE64"/>
      <c r="EDF64"/>
      <c r="EDG64"/>
      <c r="EDH64"/>
      <c r="EDI64"/>
      <c r="EDJ64"/>
      <c r="EDK64"/>
      <c r="EDL64"/>
      <c r="EDM64"/>
      <c r="EDN64"/>
      <c r="EDO64"/>
      <c r="EDP64"/>
      <c r="EDQ64"/>
      <c r="EDR64"/>
      <c r="EDS64"/>
      <c r="EDT64"/>
      <c r="EDU64"/>
      <c r="EDV64"/>
      <c r="EDW64"/>
      <c r="EDX64"/>
      <c r="EDY64"/>
      <c r="EDZ64"/>
      <c r="EEA64"/>
      <c r="EEB64"/>
      <c r="EEC64"/>
      <c r="EED64"/>
      <c r="EEE64"/>
      <c r="EEF64"/>
      <c r="EEG64"/>
      <c r="EEH64"/>
      <c r="EEI64"/>
      <c r="EEJ64"/>
      <c r="EEK64"/>
      <c r="EEL64"/>
      <c r="EEM64"/>
      <c r="EEN64"/>
      <c r="EEO64"/>
      <c r="EEP64"/>
      <c r="EEQ64"/>
      <c r="EER64"/>
      <c r="EES64"/>
      <c r="EET64"/>
      <c r="EEU64"/>
      <c r="EEV64"/>
      <c r="EEW64"/>
      <c r="EEX64"/>
      <c r="EEY64"/>
      <c r="EEZ64"/>
      <c r="EFA64"/>
      <c r="EFB64"/>
      <c r="EFC64"/>
      <c r="EFD64"/>
      <c r="EFE64"/>
      <c r="EFF64"/>
      <c r="EFG64"/>
      <c r="EFH64"/>
      <c r="EFI64"/>
      <c r="EFJ64"/>
      <c r="EFK64"/>
      <c r="EFL64"/>
      <c r="EFM64"/>
      <c r="EFN64"/>
      <c r="EFO64"/>
      <c r="EFP64"/>
      <c r="EFQ64"/>
      <c r="EFR64"/>
      <c r="EFS64"/>
      <c r="EFT64"/>
      <c r="EFU64"/>
      <c r="EFV64"/>
      <c r="EFW64"/>
      <c r="EFX64"/>
      <c r="EFY64"/>
      <c r="EFZ64"/>
      <c r="EGA64"/>
      <c r="EGB64"/>
      <c r="EGC64"/>
      <c r="EGD64"/>
      <c r="EGE64"/>
      <c r="EGF64"/>
      <c r="EGG64"/>
      <c r="EGH64"/>
      <c r="EGI64"/>
      <c r="EGJ64"/>
      <c r="EGK64"/>
      <c r="EGL64"/>
      <c r="EGM64"/>
      <c r="EGN64"/>
      <c r="EGO64"/>
      <c r="EGP64"/>
      <c r="EGQ64"/>
      <c r="EGR64"/>
      <c r="EGS64"/>
      <c r="EGT64"/>
      <c r="EGU64"/>
      <c r="EGV64"/>
      <c r="EGW64"/>
      <c r="EGX64"/>
      <c r="EGY64"/>
      <c r="EGZ64"/>
      <c r="EHA64"/>
      <c r="EHB64"/>
      <c r="EHC64"/>
      <c r="EHD64"/>
      <c r="EHE64"/>
      <c r="EHF64"/>
      <c r="EHG64"/>
      <c r="EHH64"/>
      <c r="EHI64"/>
      <c r="EHJ64"/>
      <c r="EHK64"/>
      <c r="EHL64"/>
      <c r="EHM64"/>
      <c r="EHN64"/>
      <c r="EHO64"/>
      <c r="EHP64"/>
      <c r="EHQ64"/>
      <c r="EHR64"/>
      <c r="EHS64"/>
      <c r="EHT64"/>
      <c r="EHU64"/>
      <c r="EHV64"/>
      <c r="EHW64"/>
      <c r="EHX64"/>
      <c r="EHY64"/>
      <c r="EHZ64"/>
      <c r="EIA64"/>
      <c r="EIB64"/>
      <c r="EIC64"/>
      <c r="EID64"/>
      <c r="EIE64"/>
      <c r="EIF64"/>
      <c r="EIG64"/>
      <c r="EIH64"/>
      <c r="EII64"/>
      <c r="EIJ64"/>
      <c r="EIK64"/>
      <c r="EIL64"/>
      <c r="EIM64"/>
      <c r="EIN64"/>
      <c r="EIO64"/>
      <c r="EIP64"/>
      <c r="EIQ64"/>
      <c r="EIR64"/>
      <c r="EIS64"/>
      <c r="EIT64"/>
      <c r="EIU64"/>
      <c r="EIV64"/>
      <c r="EIW64"/>
      <c r="EIX64"/>
      <c r="EIY64"/>
      <c r="EIZ64"/>
      <c r="EJA64"/>
      <c r="EJB64"/>
      <c r="EJC64"/>
      <c r="EJD64"/>
      <c r="EJE64"/>
      <c r="EJF64"/>
      <c r="EJG64"/>
      <c r="EJH64"/>
      <c r="EJI64"/>
      <c r="EJJ64"/>
      <c r="EJK64"/>
      <c r="EJL64"/>
      <c r="EJM64"/>
      <c r="EJN64"/>
      <c r="EJO64"/>
      <c r="EJP64"/>
      <c r="EJQ64"/>
      <c r="EJR64"/>
      <c r="EJS64"/>
      <c r="EJT64"/>
      <c r="EJU64"/>
      <c r="EJV64"/>
      <c r="EJW64"/>
      <c r="EJX64"/>
      <c r="EJY64"/>
      <c r="EJZ64"/>
      <c r="EKA64"/>
      <c r="EKB64"/>
      <c r="EKC64"/>
      <c r="EKD64"/>
      <c r="EKE64"/>
      <c r="EKF64"/>
      <c r="EKG64"/>
      <c r="EKH64"/>
      <c r="EKI64"/>
      <c r="EKJ64"/>
      <c r="EKK64"/>
      <c r="EKL64"/>
      <c r="EKM64"/>
      <c r="EKN64"/>
      <c r="EKO64"/>
      <c r="EKP64"/>
      <c r="EKQ64"/>
      <c r="EKR64"/>
      <c r="EKS64"/>
      <c r="EKT64"/>
      <c r="EKU64"/>
      <c r="EKV64"/>
      <c r="EKW64"/>
      <c r="EKX64"/>
      <c r="EKY64"/>
      <c r="EKZ64"/>
      <c r="ELA64"/>
      <c r="ELB64"/>
      <c r="ELC64"/>
      <c r="ELD64"/>
      <c r="ELE64"/>
      <c r="ELF64"/>
      <c r="ELG64"/>
      <c r="ELH64"/>
      <c r="ELI64"/>
      <c r="ELJ64"/>
      <c r="ELK64"/>
      <c r="ELL64"/>
      <c r="ELM64"/>
      <c r="ELN64"/>
      <c r="ELO64"/>
      <c r="ELP64"/>
      <c r="ELQ64"/>
      <c r="ELR64"/>
      <c r="ELS64"/>
      <c r="ELT64"/>
      <c r="ELU64"/>
      <c r="ELV64"/>
      <c r="ELW64"/>
      <c r="ELX64"/>
      <c r="ELY64"/>
      <c r="ELZ64"/>
      <c r="EMA64"/>
      <c r="EMB64"/>
      <c r="EMC64"/>
      <c r="EMD64"/>
      <c r="EME64"/>
      <c r="EMF64"/>
      <c r="EMG64"/>
      <c r="EMH64"/>
      <c r="EMI64"/>
      <c r="EMJ64"/>
      <c r="EMK64"/>
      <c r="EML64"/>
      <c r="EMM64"/>
      <c r="EMN64"/>
      <c r="EMO64"/>
      <c r="EMP64"/>
      <c r="EMQ64"/>
      <c r="EMR64"/>
      <c r="EMS64"/>
      <c r="EMT64"/>
      <c r="EMU64"/>
      <c r="EMV64"/>
      <c r="EMW64"/>
      <c r="EMX64"/>
      <c r="EMY64"/>
      <c r="EMZ64"/>
      <c r="ENA64"/>
      <c r="ENB64"/>
      <c r="ENC64"/>
      <c r="END64"/>
      <c r="ENE64"/>
      <c r="ENF64"/>
      <c r="ENG64"/>
      <c r="ENH64"/>
      <c r="ENI64"/>
      <c r="ENJ64"/>
      <c r="ENK64"/>
      <c r="ENL64"/>
      <c r="ENM64"/>
      <c r="ENN64"/>
      <c r="ENO64"/>
      <c r="ENP64"/>
      <c r="ENQ64"/>
      <c r="ENR64"/>
      <c r="ENS64"/>
      <c r="ENT64"/>
      <c r="ENU64"/>
      <c r="ENV64"/>
      <c r="ENW64"/>
      <c r="ENX64"/>
      <c r="ENY64"/>
      <c r="ENZ64"/>
      <c r="EOA64"/>
      <c r="EOB64"/>
      <c r="EOC64"/>
      <c r="EOD64"/>
      <c r="EOE64"/>
      <c r="EOF64"/>
      <c r="EOG64"/>
      <c r="EOH64"/>
      <c r="EOI64"/>
      <c r="EOJ64"/>
      <c r="EOK64"/>
      <c r="EOL64"/>
      <c r="EOM64"/>
      <c r="EON64"/>
      <c r="EOO64"/>
      <c r="EOP64"/>
      <c r="EOQ64"/>
      <c r="EOR64"/>
      <c r="EOS64"/>
      <c r="EOT64"/>
      <c r="EOU64"/>
      <c r="EOV64"/>
      <c r="EOW64"/>
      <c r="EOX64"/>
      <c r="EOY64"/>
      <c r="EOZ64"/>
      <c r="EPA64"/>
      <c r="EPB64"/>
      <c r="EPC64"/>
      <c r="EPD64"/>
      <c r="EPE64"/>
      <c r="EPF64"/>
      <c r="EPG64"/>
      <c r="EPH64"/>
      <c r="EPI64"/>
      <c r="EPJ64"/>
      <c r="EPK64"/>
      <c r="EPL64"/>
      <c r="EPM64"/>
      <c r="EPN64"/>
      <c r="EPO64"/>
      <c r="EPP64"/>
      <c r="EPQ64"/>
      <c r="EPR64"/>
      <c r="EPS64"/>
      <c r="EPT64"/>
      <c r="EPU64"/>
      <c r="EPV64"/>
      <c r="EPW64"/>
      <c r="EPX64"/>
      <c r="EPY64"/>
      <c r="EPZ64"/>
      <c r="EQA64"/>
      <c r="EQB64"/>
      <c r="EQC64"/>
      <c r="EQD64"/>
      <c r="EQE64"/>
      <c r="EQF64"/>
      <c r="EQG64"/>
      <c r="EQH64"/>
      <c r="EQI64"/>
      <c r="EQJ64"/>
      <c r="EQK64"/>
      <c r="EQL64"/>
      <c r="EQM64"/>
      <c r="EQN64"/>
      <c r="EQO64"/>
      <c r="EQP64"/>
      <c r="EQQ64"/>
      <c r="EQR64"/>
      <c r="EQS64"/>
      <c r="EQT64"/>
      <c r="EQU64"/>
      <c r="EQV64"/>
      <c r="EQW64"/>
      <c r="EQX64"/>
      <c r="EQY64"/>
      <c r="EQZ64"/>
      <c r="ERA64"/>
      <c r="ERB64"/>
      <c r="ERC64"/>
      <c r="ERD64"/>
      <c r="ERE64"/>
      <c r="ERF64"/>
      <c r="ERG64"/>
      <c r="ERH64"/>
      <c r="ERI64"/>
      <c r="ERJ64"/>
      <c r="ERK64"/>
      <c r="ERL64"/>
      <c r="ERM64"/>
      <c r="ERN64"/>
      <c r="ERO64"/>
      <c r="ERP64"/>
      <c r="ERQ64"/>
      <c r="ERR64"/>
      <c r="ERS64"/>
      <c r="ERT64"/>
      <c r="ERU64"/>
      <c r="ERV64"/>
      <c r="ERW64"/>
      <c r="ERX64"/>
      <c r="ERY64"/>
      <c r="ERZ64"/>
      <c r="ESA64"/>
      <c r="ESB64"/>
      <c r="ESC64"/>
      <c r="ESD64"/>
      <c r="ESE64"/>
      <c r="ESF64"/>
      <c r="ESG64"/>
      <c r="ESH64"/>
      <c r="ESI64"/>
      <c r="ESJ64"/>
      <c r="ESK64"/>
      <c r="ESL64"/>
      <c r="ESM64"/>
      <c r="ESN64"/>
      <c r="ESO64"/>
      <c r="ESP64"/>
      <c r="ESQ64"/>
      <c r="ESR64"/>
      <c r="ESS64"/>
      <c r="EST64"/>
      <c r="ESU64"/>
      <c r="ESV64"/>
      <c r="ESW64"/>
      <c r="ESX64"/>
      <c r="ESY64"/>
      <c r="ESZ64"/>
      <c r="ETA64"/>
      <c r="ETB64"/>
      <c r="ETC64"/>
      <c r="ETD64"/>
      <c r="ETE64"/>
      <c r="ETF64"/>
      <c r="ETG64"/>
      <c r="ETH64"/>
      <c r="ETI64"/>
      <c r="ETJ64"/>
      <c r="ETK64"/>
      <c r="ETL64"/>
      <c r="ETM64"/>
      <c r="ETN64"/>
      <c r="ETO64"/>
      <c r="ETP64"/>
      <c r="ETQ64"/>
      <c r="ETR64"/>
      <c r="ETS64"/>
      <c r="ETT64"/>
      <c r="ETU64"/>
      <c r="ETV64"/>
      <c r="ETW64"/>
      <c r="ETX64"/>
      <c r="ETY64"/>
      <c r="ETZ64"/>
      <c r="EUA64"/>
      <c r="EUB64"/>
      <c r="EUC64"/>
      <c r="EUD64"/>
      <c r="EUE64"/>
      <c r="EUF64"/>
      <c r="EUG64"/>
      <c r="EUH64"/>
      <c r="EUI64"/>
      <c r="EUJ64"/>
      <c r="EUK64"/>
      <c r="EUL64"/>
      <c r="EUM64"/>
      <c r="EUN64"/>
      <c r="EUO64"/>
      <c r="EUP64"/>
      <c r="EUQ64"/>
      <c r="EUR64"/>
      <c r="EUS64"/>
      <c r="EUT64"/>
      <c r="EUU64"/>
      <c r="EUV64"/>
      <c r="EUW64"/>
      <c r="EUX64"/>
      <c r="EUY64"/>
      <c r="EUZ64"/>
      <c r="EVA64"/>
      <c r="EVB64"/>
      <c r="EVC64"/>
      <c r="EVD64"/>
      <c r="EVE64"/>
      <c r="EVF64"/>
      <c r="EVG64"/>
      <c r="EVH64"/>
      <c r="EVI64"/>
      <c r="EVJ64"/>
      <c r="EVK64"/>
      <c r="EVL64"/>
      <c r="EVM64"/>
      <c r="EVN64"/>
      <c r="EVO64"/>
      <c r="EVP64"/>
      <c r="EVQ64"/>
      <c r="EVR64"/>
      <c r="EVS64"/>
      <c r="EVT64"/>
      <c r="EVU64"/>
      <c r="EVV64"/>
      <c r="EVW64"/>
      <c r="EVX64"/>
      <c r="EVY64"/>
      <c r="EVZ64"/>
      <c r="EWA64"/>
      <c r="EWB64"/>
      <c r="EWC64"/>
      <c r="EWD64"/>
      <c r="EWE64"/>
      <c r="EWF64"/>
      <c r="EWG64"/>
      <c r="EWH64"/>
      <c r="EWI64"/>
      <c r="EWJ64"/>
      <c r="EWK64"/>
      <c r="EWL64"/>
      <c r="EWM64"/>
      <c r="EWN64"/>
      <c r="EWO64"/>
      <c r="EWP64"/>
      <c r="EWQ64"/>
      <c r="EWR64"/>
      <c r="EWS64"/>
      <c r="EWT64"/>
      <c r="EWU64"/>
      <c r="EWV64"/>
      <c r="EWW64"/>
      <c r="EWX64"/>
      <c r="EWY64"/>
      <c r="EWZ64"/>
      <c r="EXA64"/>
      <c r="EXB64"/>
      <c r="EXC64"/>
      <c r="EXD64"/>
      <c r="EXE64"/>
      <c r="EXF64"/>
      <c r="EXG64"/>
      <c r="EXH64"/>
      <c r="EXI64"/>
      <c r="EXJ64"/>
      <c r="EXK64"/>
      <c r="EXL64"/>
      <c r="EXM64"/>
      <c r="EXN64"/>
      <c r="EXO64"/>
      <c r="EXP64"/>
      <c r="EXQ64"/>
      <c r="EXR64"/>
      <c r="EXS64"/>
      <c r="EXT64"/>
      <c r="EXU64"/>
      <c r="EXV64"/>
      <c r="EXW64"/>
      <c r="EXX64"/>
      <c r="EXY64"/>
      <c r="EXZ64"/>
      <c r="EYA64"/>
      <c r="EYB64"/>
      <c r="EYC64"/>
      <c r="EYD64"/>
      <c r="EYE64"/>
      <c r="EYF64"/>
      <c r="EYG64"/>
      <c r="EYH64"/>
      <c r="EYI64"/>
      <c r="EYJ64"/>
      <c r="EYK64"/>
      <c r="EYL64"/>
      <c r="EYM64"/>
      <c r="EYN64"/>
      <c r="EYO64"/>
      <c r="EYP64"/>
      <c r="EYQ64"/>
      <c r="EYR64"/>
      <c r="EYS64"/>
      <c r="EYT64"/>
      <c r="EYU64"/>
      <c r="EYV64"/>
      <c r="EYW64"/>
      <c r="EYX64"/>
      <c r="EYY64"/>
      <c r="EYZ64"/>
      <c r="EZA64"/>
      <c r="EZB64"/>
      <c r="EZC64"/>
      <c r="EZD64"/>
      <c r="EZE64"/>
      <c r="EZF64"/>
      <c r="EZG64"/>
      <c r="EZH64"/>
      <c r="EZI64"/>
      <c r="EZJ64"/>
      <c r="EZK64"/>
      <c r="EZL64"/>
      <c r="EZM64"/>
      <c r="EZN64"/>
      <c r="EZO64"/>
      <c r="EZP64"/>
      <c r="EZQ64"/>
      <c r="EZR64"/>
      <c r="EZS64"/>
      <c r="EZT64"/>
      <c r="EZU64"/>
      <c r="EZV64"/>
      <c r="EZW64"/>
      <c r="EZX64"/>
      <c r="EZY64"/>
      <c r="EZZ64"/>
      <c r="FAA64"/>
      <c r="FAB64"/>
      <c r="FAC64"/>
      <c r="FAD64"/>
      <c r="FAE64"/>
      <c r="FAF64"/>
      <c r="FAG64"/>
      <c r="FAH64"/>
      <c r="FAI64"/>
      <c r="FAJ64"/>
      <c r="FAK64"/>
      <c r="FAL64"/>
      <c r="FAM64"/>
      <c r="FAN64"/>
      <c r="FAO64"/>
      <c r="FAP64"/>
      <c r="FAQ64"/>
      <c r="FAR64"/>
      <c r="FAS64"/>
      <c r="FAT64"/>
      <c r="FAU64"/>
      <c r="FAV64"/>
      <c r="FAW64"/>
      <c r="FAX64"/>
      <c r="FAY64"/>
      <c r="FAZ64"/>
      <c r="FBA64"/>
      <c r="FBB64"/>
      <c r="FBC64"/>
      <c r="FBD64"/>
      <c r="FBE64"/>
      <c r="FBF64"/>
      <c r="FBG64"/>
      <c r="FBH64"/>
      <c r="FBI64"/>
      <c r="FBJ64"/>
      <c r="FBK64"/>
      <c r="FBL64"/>
      <c r="FBM64"/>
      <c r="FBN64"/>
      <c r="FBO64"/>
      <c r="FBP64"/>
      <c r="FBQ64"/>
      <c r="FBR64"/>
      <c r="FBS64"/>
      <c r="FBT64"/>
      <c r="FBU64"/>
      <c r="FBV64"/>
      <c r="FBW64"/>
      <c r="FBX64"/>
      <c r="FBY64"/>
      <c r="FBZ64"/>
      <c r="FCA64"/>
      <c r="FCB64"/>
      <c r="FCC64"/>
      <c r="FCD64"/>
      <c r="FCE64"/>
      <c r="FCF64"/>
      <c r="FCG64"/>
      <c r="FCH64"/>
      <c r="FCI64"/>
      <c r="FCJ64"/>
      <c r="FCK64"/>
      <c r="FCL64"/>
      <c r="FCM64"/>
      <c r="FCN64"/>
      <c r="FCO64"/>
      <c r="FCP64"/>
      <c r="FCQ64"/>
      <c r="FCR64"/>
      <c r="FCS64"/>
      <c r="FCT64"/>
      <c r="FCU64"/>
      <c r="FCV64"/>
      <c r="FCW64"/>
      <c r="FCX64"/>
      <c r="FCY64"/>
      <c r="FCZ64"/>
      <c r="FDA64"/>
      <c r="FDB64"/>
      <c r="FDC64"/>
      <c r="FDD64"/>
      <c r="FDE64"/>
      <c r="FDF64"/>
      <c r="FDG64"/>
      <c r="FDH64"/>
      <c r="FDI64"/>
      <c r="FDJ64"/>
      <c r="FDK64"/>
      <c r="FDL64"/>
      <c r="FDM64"/>
      <c r="FDN64"/>
      <c r="FDO64"/>
      <c r="FDP64"/>
      <c r="FDQ64"/>
      <c r="FDR64"/>
      <c r="FDS64"/>
      <c r="FDT64"/>
      <c r="FDU64"/>
      <c r="FDV64"/>
      <c r="FDW64"/>
      <c r="FDX64"/>
      <c r="FDY64"/>
      <c r="FDZ64"/>
      <c r="FEA64"/>
      <c r="FEB64"/>
      <c r="FEC64"/>
      <c r="FED64"/>
      <c r="FEE64"/>
      <c r="FEF64"/>
      <c r="FEG64"/>
      <c r="FEH64"/>
      <c r="FEI64"/>
      <c r="FEJ64"/>
      <c r="FEK64"/>
      <c r="FEL64"/>
      <c r="FEM64"/>
      <c r="FEN64"/>
      <c r="FEO64"/>
      <c r="FEP64"/>
      <c r="FEQ64"/>
      <c r="FER64"/>
      <c r="FES64"/>
      <c r="FET64"/>
      <c r="FEU64"/>
      <c r="FEV64"/>
      <c r="FEW64"/>
      <c r="FEX64"/>
      <c r="FEY64"/>
      <c r="FEZ64"/>
      <c r="FFA64"/>
      <c r="FFB64"/>
      <c r="FFC64"/>
      <c r="FFD64"/>
      <c r="FFE64"/>
      <c r="FFF64"/>
      <c r="FFG64"/>
      <c r="FFH64"/>
      <c r="FFI64"/>
      <c r="FFJ64"/>
      <c r="FFK64"/>
      <c r="FFL64"/>
      <c r="FFM64"/>
      <c r="FFN64"/>
      <c r="FFO64"/>
      <c r="FFP64"/>
      <c r="FFQ64"/>
      <c r="FFR64"/>
      <c r="FFS64"/>
      <c r="FFT64"/>
      <c r="FFU64"/>
      <c r="FFV64"/>
      <c r="FFW64"/>
      <c r="FFX64"/>
      <c r="FFY64"/>
      <c r="FFZ64"/>
      <c r="FGA64"/>
      <c r="FGB64"/>
      <c r="FGC64"/>
      <c r="FGD64"/>
      <c r="FGE64"/>
      <c r="FGF64"/>
      <c r="FGG64"/>
      <c r="FGH64"/>
      <c r="FGI64"/>
      <c r="FGJ64"/>
      <c r="FGK64"/>
      <c r="FGL64"/>
      <c r="FGM64"/>
      <c r="FGN64"/>
      <c r="FGO64"/>
      <c r="FGP64"/>
      <c r="FGQ64"/>
      <c r="FGR64"/>
      <c r="FGS64"/>
      <c r="FGT64"/>
      <c r="FGU64"/>
      <c r="FGV64"/>
      <c r="FGW64"/>
      <c r="FGX64"/>
      <c r="FGY64"/>
      <c r="FGZ64"/>
      <c r="FHA64"/>
      <c r="FHB64"/>
      <c r="FHC64"/>
      <c r="FHD64"/>
      <c r="FHE64"/>
      <c r="FHF64"/>
      <c r="FHG64"/>
      <c r="FHH64"/>
      <c r="FHI64"/>
      <c r="FHJ64"/>
      <c r="FHK64"/>
      <c r="FHL64"/>
      <c r="FHM64"/>
      <c r="FHN64"/>
      <c r="FHO64"/>
      <c r="FHP64"/>
      <c r="FHQ64"/>
      <c r="FHR64"/>
      <c r="FHS64"/>
      <c r="FHT64"/>
      <c r="FHU64"/>
      <c r="FHV64"/>
      <c r="FHW64"/>
      <c r="FHX64"/>
      <c r="FHY64"/>
      <c r="FHZ64"/>
      <c r="FIA64"/>
      <c r="FIB64"/>
      <c r="FIC64"/>
      <c r="FID64"/>
      <c r="FIE64"/>
      <c r="FIF64"/>
      <c r="FIG64"/>
      <c r="FIH64"/>
      <c r="FII64"/>
      <c r="FIJ64"/>
      <c r="FIK64"/>
      <c r="FIL64"/>
      <c r="FIM64"/>
      <c r="FIN64"/>
      <c r="FIO64"/>
      <c r="FIP64"/>
      <c r="FIQ64"/>
      <c r="FIR64"/>
      <c r="FIS64"/>
      <c r="FIT64"/>
      <c r="FIU64"/>
      <c r="FIV64"/>
      <c r="FIW64"/>
      <c r="FIX64"/>
      <c r="FIY64"/>
      <c r="FIZ64"/>
      <c r="FJA64"/>
      <c r="FJB64"/>
      <c r="FJC64"/>
      <c r="FJD64"/>
      <c r="FJE64"/>
      <c r="FJF64"/>
      <c r="FJG64"/>
      <c r="FJH64"/>
      <c r="FJI64"/>
      <c r="FJJ64"/>
      <c r="FJK64"/>
      <c r="FJL64"/>
      <c r="FJM64"/>
      <c r="FJN64"/>
      <c r="FJO64"/>
      <c r="FJP64"/>
      <c r="FJQ64"/>
      <c r="FJR64"/>
      <c r="FJS64"/>
      <c r="FJT64"/>
      <c r="FJU64"/>
      <c r="FJV64"/>
      <c r="FJW64"/>
      <c r="FJX64"/>
      <c r="FJY64"/>
      <c r="FJZ64"/>
      <c r="FKA64"/>
      <c r="FKB64"/>
      <c r="FKC64"/>
      <c r="FKD64"/>
      <c r="FKE64"/>
      <c r="FKF64"/>
      <c r="FKG64"/>
      <c r="FKH64"/>
      <c r="FKI64"/>
      <c r="FKJ64"/>
      <c r="FKK64"/>
      <c r="FKL64"/>
      <c r="FKM64"/>
      <c r="FKN64"/>
      <c r="FKO64"/>
      <c r="FKP64"/>
      <c r="FKQ64"/>
      <c r="FKR64"/>
      <c r="FKS64"/>
      <c r="FKT64"/>
      <c r="FKU64"/>
      <c r="FKV64"/>
      <c r="FKW64"/>
      <c r="FKX64"/>
      <c r="FKY64"/>
      <c r="FKZ64"/>
      <c r="FLA64"/>
      <c r="FLB64"/>
      <c r="FLC64"/>
      <c r="FLD64"/>
      <c r="FLE64"/>
      <c r="FLF64"/>
      <c r="FLG64"/>
      <c r="FLH64"/>
      <c r="FLI64"/>
      <c r="FLJ64"/>
      <c r="FLK64"/>
      <c r="FLL64"/>
      <c r="FLM64"/>
      <c r="FLN64"/>
      <c r="FLO64"/>
      <c r="FLP64"/>
      <c r="FLQ64"/>
      <c r="FLR64"/>
      <c r="FLS64"/>
      <c r="FLT64"/>
      <c r="FLU64"/>
      <c r="FLV64"/>
      <c r="FLW64"/>
      <c r="FLX64"/>
      <c r="FLY64"/>
      <c r="FLZ64"/>
      <c r="FMA64"/>
      <c r="FMB64"/>
      <c r="FMC64"/>
      <c r="FMD64"/>
      <c r="FME64"/>
      <c r="FMF64"/>
      <c r="FMG64"/>
      <c r="FMH64"/>
      <c r="FMI64"/>
      <c r="FMJ64"/>
      <c r="FMK64"/>
      <c r="FML64"/>
      <c r="FMM64"/>
      <c r="FMN64"/>
      <c r="FMO64"/>
      <c r="FMP64"/>
      <c r="FMQ64"/>
      <c r="FMR64"/>
      <c r="FMS64"/>
      <c r="FMT64"/>
      <c r="FMU64"/>
      <c r="FMV64"/>
      <c r="FMW64"/>
      <c r="FMX64"/>
      <c r="FMY64"/>
      <c r="FMZ64"/>
      <c r="FNA64"/>
      <c r="FNB64"/>
      <c r="FNC64"/>
      <c r="FND64"/>
      <c r="FNE64"/>
      <c r="FNF64"/>
      <c r="FNG64"/>
      <c r="FNH64"/>
      <c r="FNI64"/>
      <c r="FNJ64"/>
      <c r="FNK64"/>
      <c r="FNL64"/>
      <c r="FNM64"/>
      <c r="FNN64"/>
      <c r="FNO64"/>
      <c r="FNP64"/>
      <c r="FNQ64"/>
      <c r="FNR64"/>
      <c r="FNS64"/>
      <c r="FNT64"/>
      <c r="FNU64"/>
      <c r="FNV64"/>
      <c r="FNW64"/>
      <c r="FNX64"/>
      <c r="FNY64"/>
      <c r="FNZ64"/>
      <c r="FOA64"/>
      <c r="FOB64"/>
      <c r="FOC64"/>
      <c r="FOD64"/>
      <c r="FOE64"/>
      <c r="FOF64"/>
      <c r="FOG64"/>
      <c r="FOH64"/>
      <c r="FOI64"/>
      <c r="FOJ64"/>
      <c r="FOK64"/>
      <c r="FOL64"/>
      <c r="FOM64"/>
      <c r="FON64"/>
      <c r="FOO64"/>
      <c r="FOP64"/>
      <c r="FOQ64"/>
      <c r="FOR64"/>
      <c r="FOS64"/>
      <c r="FOT64"/>
      <c r="FOU64"/>
      <c r="FOV64"/>
      <c r="FOW64"/>
      <c r="FOX64"/>
      <c r="FOY64"/>
      <c r="FOZ64"/>
      <c r="FPA64"/>
      <c r="FPB64"/>
      <c r="FPC64"/>
      <c r="FPD64"/>
      <c r="FPE64"/>
      <c r="FPF64"/>
      <c r="FPG64"/>
      <c r="FPH64"/>
      <c r="FPI64"/>
      <c r="FPJ64"/>
      <c r="FPK64"/>
      <c r="FPL64"/>
      <c r="FPM64"/>
      <c r="FPN64"/>
      <c r="FPO64"/>
      <c r="FPP64"/>
      <c r="FPQ64"/>
      <c r="FPR64"/>
      <c r="FPS64"/>
      <c r="FPT64"/>
      <c r="FPU64"/>
      <c r="FPV64"/>
      <c r="FPW64"/>
      <c r="FPX64"/>
      <c r="FPY64"/>
      <c r="FPZ64"/>
      <c r="FQA64"/>
      <c r="FQB64"/>
      <c r="FQC64"/>
      <c r="FQD64"/>
      <c r="FQE64"/>
      <c r="FQF64"/>
      <c r="FQG64"/>
      <c r="FQH64"/>
      <c r="FQI64"/>
      <c r="FQJ64"/>
      <c r="FQK64"/>
      <c r="FQL64"/>
      <c r="FQM64"/>
      <c r="FQN64"/>
      <c r="FQO64"/>
      <c r="FQP64"/>
      <c r="FQQ64"/>
      <c r="FQR64"/>
      <c r="FQS64"/>
      <c r="FQT64"/>
      <c r="FQU64"/>
      <c r="FQV64"/>
      <c r="FQW64"/>
      <c r="FQX64"/>
      <c r="FQY64"/>
      <c r="FQZ64"/>
      <c r="FRA64"/>
      <c r="FRB64"/>
      <c r="FRC64"/>
      <c r="FRD64"/>
      <c r="FRE64"/>
      <c r="FRF64"/>
      <c r="FRG64"/>
      <c r="FRH64"/>
      <c r="FRI64"/>
      <c r="FRJ64"/>
      <c r="FRK64"/>
      <c r="FRL64"/>
      <c r="FRM64"/>
      <c r="FRN64"/>
      <c r="FRO64"/>
      <c r="FRP64"/>
      <c r="FRQ64"/>
      <c r="FRR64"/>
      <c r="FRS64"/>
      <c r="FRT64"/>
      <c r="FRU64"/>
      <c r="FRV64"/>
      <c r="FRW64"/>
      <c r="FRX64"/>
      <c r="FRY64"/>
      <c r="FRZ64"/>
      <c r="FSA64"/>
      <c r="FSB64"/>
      <c r="FSC64"/>
      <c r="FSD64"/>
      <c r="FSE64"/>
      <c r="FSF64"/>
      <c r="FSG64"/>
      <c r="FSH64"/>
      <c r="FSI64"/>
      <c r="FSJ64"/>
      <c r="FSK64"/>
      <c r="FSL64"/>
      <c r="FSM64"/>
      <c r="FSN64"/>
      <c r="FSO64"/>
      <c r="FSP64"/>
      <c r="FSQ64"/>
      <c r="FSR64"/>
      <c r="FSS64"/>
      <c r="FST64"/>
      <c r="FSU64"/>
      <c r="FSV64"/>
      <c r="FSW64"/>
      <c r="FSX64"/>
      <c r="FSY64"/>
      <c r="FSZ64"/>
      <c r="FTA64"/>
      <c r="FTB64"/>
      <c r="FTC64"/>
      <c r="FTD64"/>
      <c r="FTE64"/>
      <c r="FTF64"/>
      <c r="FTG64"/>
      <c r="FTH64"/>
      <c r="FTI64"/>
      <c r="FTJ64"/>
      <c r="FTK64"/>
      <c r="FTL64"/>
      <c r="FTM64"/>
      <c r="FTN64"/>
      <c r="FTO64"/>
      <c r="FTP64"/>
      <c r="FTQ64"/>
      <c r="FTR64"/>
      <c r="FTS64"/>
      <c r="FTT64"/>
      <c r="FTU64"/>
      <c r="FTV64"/>
      <c r="FTW64"/>
      <c r="FTX64"/>
      <c r="FTY64"/>
      <c r="FTZ64"/>
      <c r="FUA64"/>
      <c r="FUB64"/>
      <c r="FUC64"/>
      <c r="FUD64"/>
      <c r="FUE64"/>
      <c r="FUF64"/>
      <c r="FUG64"/>
      <c r="FUH64"/>
      <c r="FUI64"/>
      <c r="FUJ64"/>
      <c r="FUK64"/>
      <c r="FUL64"/>
      <c r="FUM64"/>
      <c r="FUN64"/>
      <c r="FUO64"/>
      <c r="FUP64"/>
      <c r="FUQ64"/>
      <c r="FUR64"/>
      <c r="FUS64"/>
      <c r="FUT64"/>
      <c r="FUU64"/>
      <c r="FUV64"/>
      <c r="FUW64"/>
      <c r="FUX64"/>
      <c r="FUY64"/>
      <c r="FUZ64"/>
      <c r="FVA64"/>
      <c r="FVB64"/>
      <c r="FVC64"/>
      <c r="FVD64"/>
      <c r="FVE64"/>
      <c r="FVF64"/>
      <c r="FVG64"/>
      <c r="FVH64"/>
      <c r="FVI64"/>
      <c r="FVJ64"/>
      <c r="FVK64"/>
      <c r="FVL64"/>
      <c r="FVM64"/>
      <c r="FVN64"/>
      <c r="FVO64"/>
      <c r="FVP64"/>
      <c r="FVQ64"/>
      <c r="FVR64"/>
      <c r="FVS64"/>
      <c r="FVT64"/>
      <c r="FVU64"/>
      <c r="FVV64"/>
      <c r="FVW64"/>
      <c r="FVX64"/>
      <c r="FVY64"/>
      <c r="FVZ64"/>
    </row>
    <row r="65" spans="1:4654" ht="15.75">
      <c r="A65" s="47"/>
      <c r="B65" s="47"/>
      <c r="C65" s="47"/>
      <c r="G65" t="s">
        <v>24</v>
      </c>
      <c r="H65">
        <v>204195497</v>
      </c>
      <c r="I65">
        <v>104635109</v>
      </c>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c r="LT65"/>
      <c r="LU65"/>
      <c r="LV65"/>
      <c r="LW65"/>
      <c r="LX65"/>
      <c r="LY65"/>
      <c r="LZ65"/>
      <c r="MA65"/>
      <c r="MB65"/>
      <c r="MC65"/>
      <c r="MD65"/>
      <c r="ME65"/>
      <c r="MF65"/>
      <c r="MG65"/>
      <c r="MH65"/>
      <c r="MI65"/>
      <c r="MJ65"/>
      <c r="MK65"/>
      <c r="ML65"/>
      <c r="MM65"/>
      <c r="MN65"/>
      <c r="MO65"/>
      <c r="MP65"/>
      <c r="MQ65"/>
      <c r="MR65"/>
      <c r="MS65"/>
      <c r="MT65"/>
      <c r="MU65"/>
      <c r="MV65"/>
      <c r="MW65"/>
      <c r="MX65"/>
      <c r="MY65"/>
      <c r="MZ65"/>
      <c r="NA65"/>
      <c r="NB65"/>
      <c r="NC65"/>
      <c r="ND65"/>
      <c r="NE65"/>
      <c r="NF65"/>
      <c r="NG65"/>
      <c r="NH65"/>
      <c r="NI65"/>
      <c r="NJ65"/>
      <c r="NK65"/>
      <c r="NL65"/>
      <c r="NM65"/>
      <c r="NN65"/>
      <c r="NO65"/>
      <c r="NP65"/>
      <c r="NQ65"/>
      <c r="NR65"/>
      <c r="NS65"/>
      <c r="NT65"/>
      <c r="NU65"/>
      <c r="NV65"/>
      <c r="NW65"/>
      <c r="NX65"/>
      <c r="NY65"/>
      <c r="NZ65"/>
      <c r="OA65"/>
      <c r="OB65"/>
      <c r="OC65"/>
      <c r="OD65"/>
      <c r="OE65"/>
      <c r="OF65"/>
      <c r="OG65"/>
      <c r="OH65"/>
      <c r="OI65"/>
      <c r="OJ65"/>
      <c r="OK65"/>
      <c r="OL65"/>
      <c r="OM65"/>
      <c r="ON65"/>
      <c r="OO65"/>
      <c r="OP65"/>
      <c r="OQ65"/>
      <c r="OR65"/>
      <c r="OS65"/>
      <c r="OT65"/>
      <c r="OU65"/>
      <c r="OV65"/>
      <c r="OW65"/>
      <c r="OX65"/>
      <c r="OY65"/>
      <c r="OZ65"/>
      <c r="PA65"/>
      <c r="PB65"/>
      <c r="PC65"/>
      <c r="PD65"/>
      <c r="PE65"/>
      <c r="PF65"/>
      <c r="PG65"/>
      <c r="PH65"/>
      <c r="PI65"/>
      <c r="PJ65"/>
      <c r="PK65"/>
      <c r="PL65"/>
      <c r="PM65"/>
      <c r="PN65"/>
      <c r="PO65"/>
      <c r="PP65"/>
      <c r="PQ65"/>
      <c r="PR65"/>
      <c r="PS65"/>
      <c r="PT65"/>
      <c r="PU65"/>
      <c r="PV65"/>
      <c r="PW65"/>
      <c r="PX65"/>
      <c r="PY65"/>
      <c r="PZ65"/>
      <c r="QA65"/>
      <c r="QB65"/>
      <c r="QC65"/>
      <c r="QD65"/>
      <c r="QE65"/>
      <c r="QF65"/>
      <c r="QG65"/>
      <c r="QH65"/>
      <c r="QI65"/>
      <c r="QJ65"/>
      <c r="QK65"/>
      <c r="QL65"/>
      <c r="QM65"/>
      <c r="QN65"/>
      <c r="QO65"/>
      <c r="QP65"/>
      <c r="QQ65"/>
      <c r="QR65"/>
      <c r="QS65"/>
      <c r="QT65"/>
      <c r="QU65"/>
      <c r="QV65"/>
      <c r="QW65"/>
      <c r="QX65"/>
      <c r="QY65"/>
      <c r="QZ65"/>
      <c r="RA65"/>
      <c r="RB65"/>
      <c r="RC65"/>
      <c r="RD65"/>
      <c r="RE65"/>
      <c r="RF65"/>
      <c r="RG65"/>
      <c r="RH65"/>
      <c r="RI65"/>
      <c r="RJ65"/>
      <c r="RK65"/>
      <c r="RL65"/>
      <c r="RM65"/>
      <c r="RN65"/>
      <c r="RO65"/>
      <c r="RP65"/>
      <c r="RQ65"/>
      <c r="RR65"/>
      <c r="RS65"/>
      <c r="RT65"/>
      <c r="RU65"/>
      <c r="RV65"/>
      <c r="RW65"/>
      <c r="RX65"/>
      <c r="RY65"/>
      <c r="RZ65"/>
      <c r="SA65"/>
      <c r="SB65"/>
      <c r="SC65"/>
      <c r="SD65"/>
      <c r="SE65"/>
      <c r="SF65"/>
      <c r="SG65"/>
      <c r="SH65"/>
      <c r="SI65"/>
      <c r="SJ65"/>
      <c r="SK65"/>
      <c r="SL65"/>
      <c r="SM65"/>
      <c r="SN65"/>
      <c r="SO65"/>
      <c r="SP65"/>
      <c r="SQ65"/>
      <c r="SR65"/>
      <c r="SS65"/>
      <c r="ST65"/>
      <c r="SU65"/>
      <c r="SV65"/>
      <c r="SW65"/>
      <c r="SX65"/>
      <c r="SY65"/>
      <c r="SZ65"/>
      <c r="TA65"/>
      <c r="TB65"/>
      <c r="TC65"/>
      <c r="TD65"/>
      <c r="TE65"/>
      <c r="TF65"/>
      <c r="TG65"/>
      <c r="TH65"/>
      <c r="TI65"/>
      <c r="TJ65"/>
      <c r="TK65"/>
      <c r="TL65"/>
      <c r="TM65"/>
      <c r="TN65"/>
      <c r="TO65"/>
      <c r="TP65"/>
      <c r="TQ65"/>
      <c r="TR65"/>
      <c r="TS65"/>
      <c r="TT65"/>
      <c r="TU65"/>
      <c r="TV65"/>
      <c r="TW65"/>
      <c r="TX65"/>
      <c r="TY65"/>
      <c r="TZ65"/>
      <c r="UA65"/>
      <c r="UB65"/>
      <c r="UC65"/>
      <c r="UD65"/>
      <c r="UE65"/>
      <c r="UF65"/>
      <c r="UG65"/>
      <c r="UH65"/>
      <c r="UI65"/>
      <c r="UJ65"/>
      <c r="UK65"/>
      <c r="UL65"/>
      <c r="UM65"/>
      <c r="UN65"/>
      <c r="UO65"/>
      <c r="UP65"/>
      <c r="UQ65"/>
      <c r="UR65"/>
      <c r="US65"/>
      <c r="UT65"/>
      <c r="UU65"/>
      <c r="UV65"/>
      <c r="UW65"/>
      <c r="UX65"/>
      <c r="UY65"/>
      <c r="UZ65"/>
      <c r="VA65"/>
      <c r="VB65"/>
      <c r="VC65"/>
      <c r="VD65"/>
      <c r="VE65"/>
      <c r="VF65"/>
      <c r="VG65"/>
      <c r="VH65"/>
      <c r="VI65"/>
      <c r="VJ65"/>
      <c r="VK65"/>
      <c r="VL65"/>
      <c r="VM65"/>
      <c r="VN65"/>
      <c r="VO65"/>
      <c r="VP65"/>
      <c r="VQ65"/>
      <c r="VR65"/>
      <c r="VS65"/>
      <c r="VT65"/>
      <c r="VU65"/>
      <c r="VV65"/>
      <c r="VW65"/>
      <c r="VX65"/>
      <c r="VY65"/>
      <c r="VZ65"/>
      <c r="WA65"/>
      <c r="WB65"/>
      <c r="WC65"/>
      <c r="WD65"/>
      <c r="WE65"/>
      <c r="WF65"/>
      <c r="WG65"/>
      <c r="WH65"/>
      <c r="WI65"/>
      <c r="WJ65"/>
      <c r="WK65"/>
      <c r="WL65"/>
      <c r="WM65"/>
      <c r="WN65"/>
      <c r="WO65"/>
      <c r="WP65"/>
      <c r="WQ65"/>
      <c r="WR65"/>
      <c r="WS65"/>
      <c r="WT65"/>
      <c r="WU65"/>
      <c r="WV65"/>
      <c r="WW65"/>
      <c r="WX65"/>
      <c r="WY65"/>
      <c r="WZ65"/>
      <c r="XA65"/>
      <c r="XB65"/>
      <c r="XC65"/>
      <c r="XD65"/>
      <c r="XE65"/>
      <c r="XF65"/>
      <c r="XG65"/>
      <c r="XH65"/>
      <c r="XI65"/>
      <c r="XJ65"/>
      <c r="XK65"/>
      <c r="XL65"/>
      <c r="XM65"/>
      <c r="XN65"/>
      <c r="XO65"/>
      <c r="XP65"/>
      <c r="XQ65"/>
      <c r="XR65"/>
      <c r="XS65"/>
      <c r="XT65"/>
      <c r="XU65"/>
      <c r="XV65"/>
      <c r="XW65"/>
      <c r="XX65"/>
      <c r="XY65"/>
      <c r="XZ65"/>
      <c r="YA65"/>
      <c r="YB65"/>
      <c r="YC65"/>
      <c r="YD65"/>
      <c r="YE65"/>
      <c r="YF65"/>
      <c r="YG65"/>
      <c r="YH65"/>
      <c r="YI65"/>
      <c r="YJ65"/>
      <c r="YK65"/>
      <c r="YL65"/>
      <c r="YM65"/>
      <c r="YN65"/>
      <c r="YO65"/>
      <c r="YP65"/>
      <c r="YQ65"/>
      <c r="YR65"/>
      <c r="YS65"/>
      <c r="YT65"/>
      <c r="YU65"/>
      <c r="YV65"/>
      <c r="YW65"/>
      <c r="YX65"/>
      <c r="YY65"/>
      <c r="YZ65"/>
      <c r="ZA65"/>
      <c r="ZB65"/>
      <c r="ZC65"/>
      <c r="ZD65"/>
      <c r="ZE65"/>
      <c r="ZF65"/>
      <c r="ZG65"/>
      <c r="ZH65"/>
      <c r="ZI65"/>
      <c r="ZJ65"/>
      <c r="ZK65"/>
      <c r="ZL65"/>
      <c r="ZM65"/>
      <c r="ZN65"/>
      <c r="ZO65"/>
      <c r="ZP65"/>
      <c r="ZQ65"/>
      <c r="ZR65"/>
      <c r="ZS65"/>
      <c r="ZT65"/>
      <c r="ZU65"/>
      <c r="ZV65"/>
      <c r="ZW65"/>
      <c r="ZX65"/>
      <c r="ZY65"/>
      <c r="ZZ65"/>
      <c r="AAA65"/>
      <c r="AAB65"/>
      <c r="AAC65"/>
      <c r="AAD65"/>
      <c r="AAE65"/>
      <c r="AAF65"/>
      <c r="AAG65"/>
      <c r="AAH65"/>
      <c r="AAI65"/>
      <c r="AAJ65"/>
      <c r="AAK65"/>
      <c r="AAL65"/>
      <c r="AAM65"/>
      <c r="AAN65"/>
      <c r="AAO65"/>
      <c r="AAP65"/>
      <c r="AAQ65"/>
      <c r="AAR65"/>
      <c r="AAS65"/>
      <c r="AAT65"/>
      <c r="AAU65"/>
      <c r="AAV65"/>
      <c r="AAW65"/>
      <c r="AAX65"/>
      <c r="AAY65"/>
      <c r="AAZ65"/>
      <c r="ABA65"/>
      <c r="ABB65"/>
      <c r="ABC65"/>
      <c r="ABD65"/>
      <c r="ABE65"/>
      <c r="ABF65"/>
      <c r="ABG65"/>
      <c r="ABH65"/>
      <c r="ABI65"/>
      <c r="ABJ65"/>
      <c r="ABK65"/>
      <c r="ABL65"/>
      <c r="ABM65"/>
      <c r="ABN65"/>
      <c r="ABO65"/>
      <c r="ABP65"/>
      <c r="ABQ65"/>
      <c r="ABR65"/>
      <c r="ABS65"/>
      <c r="ABT65"/>
      <c r="ABU65"/>
      <c r="ABV65"/>
      <c r="ABW65"/>
      <c r="ABX65"/>
      <c r="ABY65"/>
      <c r="ABZ65"/>
      <c r="ACA65"/>
      <c r="ACB65"/>
      <c r="ACC65"/>
      <c r="ACD65"/>
      <c r="ACE65"/>
      <c r="ACF65"/>
      <c r="ACG65"/>
      <c r="ACH65"/>
      <c r="ACI65"/>
      <c r="ACJ65"/>
      <c r="ACK65"/>
      <c r="ACL65"/>
      <c r="ACM65"/>
      <c r="ACN65"/>
      <c r="ACO65"/>
      <c r="ACP65"/>
      <c r="ACQ65"/>
      <c r="ACR65"/>
      <c r="ACS65"/>
      <c r="ACT65"/>
      <c r="ACU65"/>
      <c r="ACV65"/>
      <c r="ACW65"/>
      <c r="ACX65"/>
      <c r="ACY65"/>
      <c r="ACZ65"/>
      <c r="ADA65"/>
      <c r="ADB65"/>
      <c r="ADC65"/>
      <c r="ADD65"/>
      <c r="ADE65"/>
      <c r="ADF65"/>
      <c r="ADG65"/>
      <c r="ADH65"/>
      <c r="ADI65"/>
      <c r="ADJ65"/>
      <c r="ADK65"/>
      <c r="ADL65"/>
      <c r="ADM65"/>
      <c r="ADN65"/>
      <c r="ADO65"/>
      <c r="ADP65"/>
      <c r="ADQ65"/>
      <c r="ADR65"/>
      <c r="ADS65"/>
      <c r="ADT65"/>
      <c r="ADU65"/>
      <c r="ADV65"/>
      <c r="ADW65"/>
      <c r="ADX65"/>
      <c r="ADY65"/>
      <c r="ADZ65"/>
      <c r="AEA65"/>
      <c r="AEB65"/>
      <c r="AEC65"/>
      <c r="AED65"/>
      <c r="AEE65"/>
      <c r="AEF65"/>
      <c r="AEG65"/>
      <c r="AEH65"/>
      <c r="AEI65"/>
      <c r="AEJ65"/>
      <c r="AEK65"/>
      <c r="AEL65"/>
      <c r="AEM65"/>
      <c r="AEN65"/>
      <c r="AEO65"/>
      <c r="AEP65"/>
      <c r="AEQ65"/>
      <c r="AER65"/>
      <c r="AES65"/>
      <c r="AET65"/>
      <c r="AEU65"/>
      <c r="AEV65"/>
      <c r="AEW65"/>
      <c r="AEX65"/>
      <c r="AEY65"/>
      <c r="AEZ65"/>
      <c r="AFA65"/>
      <c r="AFB65"/>
      <c r="AFC65"/>
      <c r="AFD65"/>
      <c r="AFE65"/>
      <c r="AFF65"/>
      <c r="AFG65"/>
      <c r="AFH65"/>
      <c r="AFI65"/>
      <c r="AFJ65"/>
      <c r="AFK65"/>
      <c r="AFL65"/>
      <c r="AFM65"/>
      <c r="AFN65"/>
      <c r="AFO65"/>
      <c r="AFP65"/>
      <c r="AFQ65"/>
      <c r="AFR65"/>
      <c r="AFS65"/>
      <c r="AFT65"/>
      <c r="AFU65"/>
      <c r="AFV65"/>
      <c r="AFW65"/>
      <c r="AFX65"/>
      <c r="AFY65"/>
      <c r="AFZ65"/>
      <c r="AGA65"/>
      <c r="AGB65"/>
      <c r="AGC65"/>
      <c r="AGD65"/>
      <c r="AGE65"/>
      <c r="AGF65"/>
      <c r="AGG65"/>
      <c r="AGH65"/>
      <c r="AGI65"/>
      <c r="AGJ65"/>
      <c r="AGK65"/>
      <c r="AGL65"/>
      <c r="AGM65"/>
      <c r="AGN65"/>
      <c r="AGO65"/>
      <c r="AGP65"/>
      <c r="AGQ65"/>
      <c r="AGR65"/>
      <c r="AGS65"/>
      <c r="AGT65"/>
      <c r="AGU65"/>
      <c r="AGV65"/>
      <c r="AGW65"/>
      <c r="AGX65"/>
      <c r="AGY65"/>
      <c r="AGZ65"/>
      <c r="AHA65"/>
      <c r="AHB65"/>
      <c r="AHC65"/>
      <c r="AHD65"/>
      <c r="AHE65"/>
      <c r="AHF65"/>
      <c r="AHG65"/>
      <c r="AHH65"/>
      <c r="AHI65"/>
      <c r="AHJ65"/>
      <c r="AHK65"/>
      <c r="AHL65"/>
      <c r="AHM65"/>
      <c r="AHN65"/>
      <c r="AHO65"/>
      <c r="AHP65"/>
      <c r="AHQ65"/>
      <c r="AHR65"/>
      <c r="AHS65"/>
      <c r="AHT65"/>
      <c r="AHU65"/>
      <c r="AHV65"/>
      <c r="AHW65"/>
      <c r="AHX65"/>
      <c r="AHY65"/>
      <c r="AHZ65"/>
      <c r="AIA65"/>
      <c r="AIB65"/>
      <c r="AIC65"/>
      <c r="AID65"/>
      <c r="AIE65"/>
      <c r="AIF65"/>
      <c r="AIG65"/>
      <c r="AIH65"/>
      <c r="AII65"/>
      <c r="AIJ65"/>
      <c r="AIK65"/>
      <c r="AIL65"/>
      <c r="AIM65"/>
      <c r="AIN65"/>
      <c r="AIO65"/>
      <c r="AIP65"/>
      <c r="AIQ65"/>
      <c r="AIR65"/>
      <c r="AIS65"/>
      <c r="AIT65"/>
      <c r="AIU65"/>
      <c r="AIV65"/>
      <c r="AIW65"/>
      <c r="AIX65"/>
      <c r="AIY65"/>
      <c r="AIZ65"/>
      <c r="AJA65"/>
      <c r="AJB65"/>
      <c r="AJC65"/>
      <c r="AJD65"/>
      <c r="AJE65"/>
      <c r="AJF65"/>
      <c r="AJG65"/>
      <c r="AJH65"/>
      <c r="AJI65"/>
      <c r="AJJ65"/>
      <c r="AJK65"/>
      <c r="AJL65"/>
      <c r="AJM65"/>
      <c r="AJN65"/>
      <c r="AJO65"/>
      <c r="AJP65"/>
      <c r="AJQ65"/>
      <c r="AJR65"/>
      <c r="AJS65"/>
      <c r="AJT65"/>
      <c r="AJU65"/>
      <c r="AJV65"/>
      <c r="AJW65"/>
      <c r="AJX65"/>
      <c r="AJY65"/>
      <c r="AJZ65"/>
      <c r="AKA65"/>
      <c r="AKB65"/>
      <c r="AKC65"/>
      <c r="AKD65"/>
      <c r="AKE65"/>
      <c r="AKF65"/>
      <c r="AKG65"/>
      <c r="AKH65"/>
      <c r="AKI65"/>
      <c r="AKJ65"/>
      <c r="AKK65"/>
      <c r="AKL65"/>
      <c r="AKM65"/>
      <c r="AKN65"/>
      <c r="AKO65"/>
      <c r="AKP65"/>
      <c r="AKQ65"/>
      <c r="AKR65"/>
      <c r="AKS65"/>
      <c r="AKT65"/>
      <c r="AKU65"/>
      <c r="AKV65"/>
      <c r="AKW65"/>
      <c r="AKX65"/>
      <c r="AKY65"/>
      <c r="AKZ65"/>
      <c r="ALA65"/>
      <c r="ALB65"/>
      <c r="ALC65"/>
      <c r="ALD65"/>
      <c r="ALE65"/>
      <c r="ALF65"/>
      <c r="ALG65"/>
      <c r="ALH65"/>
      <c r="ALI65"/>
      <c r="ALJ65"/>
      <c r="ALK65"/>
      <c r="ALL65"/>
      <c r="ALM65"/>
      <c r="ALN65"/>
      <c r="ALO65"/>
      <c r="ALP65"/>
      <c r="ALQ65"/>
      <c r="ALR65"/>
      <c r="ALS65"/>
      <c r="ALT65"/>
      <c r="ALU65"/>
      <c r="ALV65"/>
      <c r="ALW65"/>
      <c r="ALX65"/>
      <c r="ALY65"/>
      <c r="ALZ65"/>
      <c r="AMA65"/>
      <c r="AMB65"/>
      <c r="AMC65"/>
      <c r="AMD65"/>
      <c r="AME65"/>
      <c r="AMF65"/>
      <c r="AMG65"/>
      <c r="AMH65"/>
      <c r="AMI65"/>
      <c r="AMJ65"/>
      <c r="AMK65"/>
      <c r="AML65"/>
      <c r="AMM65"/>
      <c r="AMN65"/>
      <c r="AMO65"/>
      <c r="AMP65"/>
      <c r="AMQ65"/>
      <c r="AMR65"/>
      <c r="AMS65"/>
      <c r="AMT65"/>
      <c r="AMU65"/>
      <c r="AMV65"/>
      <c r="AMW65"/>
      <c r="AMX65"/>
      <c r="AMY65"/>
      <c r="AMZ65"/>
      <c r="ANA65"/>
      <c r="ANB65"/>
      <c r="ANC65"/>
      <c r="AND65"/>
      <c r="ANE65"/>
      <c r="ANF65"/>
      <c r="ANG65"/>
      <c r="ANH65"/>
      <c r="ANI65"/>
      <c r="ANJ65"/>
      <c r="ANK65"/>
      <c r="ANL65"/>
      <c r="ANM65"/>
      <c r="ANN65"/>
      <c r="ANO65"/>
      <c r="ANP65"/>
      <c r="ANQ65"/>
      <c r="ANR65"/>
      <c r="ANS65"/>
      <c r="ANT65"/>
      <c r="ANU65"/>
      <c r="ANV65"/>
      <c r="ANW65"/>
      <c r="ANX65"/>
      <c r="ANY65"/>
      <c r="ANZ65"/>
      <c r="AOA65"/>
      <c r="AOB65"/>
      <c r="AOC65"/>
      <c r="AOD65"/>
      <c r="AOE65"/>
      <c r="AOF65"/>
      <c r="AOG65"/>
      <c r="AOH65"/>
      <c r="AOI65"/>
      <c r="AOJ65"/>
      <c r="AOK65"/>
      <c r="AOL65"/>
      <c r="AOM65"/>
      <c r="AON65"/>
      <c r="AOO65"/>
      <c r="AOP65"/>
      <c r="AOQ65"/>
      <c r="AOR65"/>
      <c r="AOS65"/>
      <c r="AOT65"/>
      <c r="AOU65"/>
      <c r="AOV65"/>
      <c r="AOW65"/>
      <c r="AOX65"/>
      <c r="AOY65"/>
      <c r="AOZ65"/>
      <c r="APA65"/>
      <c r="APB65"/>
      <c r="APC65"/>
      <c r="APD65"/>
      <c r="APE65"/>
      <c r="APF65"/>
      <c r="APG65"/>
      <c r="APH65"/>
      <c r="API65"/>
      <c r="APJ65"/>
      <c r="APK65"/>
      <c r="APL65"/>
      <c r="APM65"/>
      <c r="APN65"/>
      <c r="APO65"/>
      <c r="APP65"/>
      <c r="APQ65"/>
      <c r="APR65"/>
      <c r="APS65"/>
      <c r="APT65"/>
      <c r="APU65"/>
      <c r="APV65"/>
      <c r="APW65"/>
      <c r="APX65"/>
      <c r="APY65"/>
      <c r="APZ65"/>
      <c r="AQA65"/>
      <c r="AQB65"/>
      <c r="AQC65"/>
      <c r="AQD65"/>
      <c r="AQE65"/>
      <c r="AQF65"/>
      <c r="AQG65"/>
      <c r="AQH65"/>
      <c r="AQI65"/>
      <c r="AQJ65"/>
      <c r="AQK65"/>
      <c r="AQL65"/>
      <c r="AQM65"/>
      <c r="AQN65"/>
      <c r="AQO65"/>
      <c r="AQP65"/>
      <c r="AQQ65"/>
      <c r="AQR65"/>
      <c r="AQS65"/>
      <c r="AQT65"/>
      <c r="AQU65"/>
      <c r="AQV65"/>
      <c r="AQW65"/>
      <c r="AQX65"/>
      <c r="AQY65"/>
      <c r="AQZ65"/>
      <c r="ARA65"/>
      <c r="ARB65"/>
      <c r="ARC65"/>
      <c r="ARD65"/>
      <c r="ARE65"/>
      <c r="ARF65"/>
      <c r="ARG65"/>
      <c r="ARH65"/>
      <c r="ARI65"/>
      <c r="ARJ65"/>
      <c r="ARK65"/>
      <c r="ARL65"/>
      <c r="ARM65"/>
      <c r="ARN65"/>
      <c r="ARO65"/>
      <c r="ARP65"/>
      <c r="ARQ65"/>
      <c r="ARR65"/>
      <c r="ARS65"/>
      <c r="ART65"/>
      <c r="ARU65"/>
      <c r="ARV65"/>
      <c r="ARW65"/>
      <c r="ARX65"/>
      <c r="ARY65"/>
      <c r="ARZ65"/>
      <c r="ASA65"/>
      <c r="ASB65"/>
      <c r="ASC65"/>
      <c r="ASD65"/>
      <c r="ASE65"/>
      <c r="ASF65"/>
      <c r="ASG65"/>
      <c r="ASH65"/>
      <c r="ASI65"/>
      <c r="ASJ65"/>
      <c r="ASK65"/>
      <c r="ASL65"/>
      <c r="ASM65"/>
      <c r="ASN65"/>
      <c r="ASO65"/>
      <c r="ASP65"/>
      <c r="ASQ65"/>
      <c r="ASR65"/>
      <c r="ASS65"/>
      <c r="AST65"/>
      <c r="ASU65"/>
      <c r="ASV65"/>
      <c r="ASW65"/>
      <c r="ASX65"/>
      <c r="ASY65"/>
      <c r="ASZ65"/>
      <c r="ATA65"/>
      <c r="ATB65"/>
      <c r="ATC65"/>
      <c r="ATD65"/>
      <c r="ATE65"/>
      <c r="ATF65"/>
      <c r="ATG65"/>
      <c r="ATH65"/>
      <c r="ATI65"/>
      <c r="ATJ65"/>
      <c r="ATK65"/>
      <c r="ATL65"/>
      <c r="ATM65"/>
      <c r="ATN65"/>
      <c r="ATO65"/>
      <c r="ATP65"/>
      <c r="ATQ65"/>
      <c r="ATR65"/>
      <c r="ATS65"/>
      <c r="ATT65"/>
      <c r="ATU65"/>
      <c r="ATV65"/>
      <c r="ATW65"/>
      <c r="ATX65"/>
      <c r="ATY65"/>
      <c r="ATZ65"/>
      <c r="AUA65"/>
      <c r="AUB65"/>
      <c r="AUC65"/>
      <c r="AUD65"/>
      <c r="AUE65"/>
      <c r="AUF65"/>
      <c r="AUG65"/>
      <c r="AUH65"/>
      <c r="AUI65"/>
      <c r="AUJ65"/>
      <c r="AUK65"/>
      <c r="AUL65"/>
      <c r="AUM65"/>
      <c r="AUN65"/>
      <c r="AUO65"/>
      <c r="AUP65"/>
      <c r="AUQ65"/>
      <c r="AUR65"/>
      <c r="AUS65"/>
      <c r="AUT65"/>
      <c r="AUU65"/>
      <c r="AUV65"/>
      <c r="AUW65"/>
      <c r="AUX65"/>
      <c r="AUY65"/>
      <c r="AUZ65"/>
      <c r="AVA65"/>
      <c r="AVB65"/>
      <c r="AVC65"/>
      <c r="AVD65"/>
      <c r="AVE65"/>
      <c r="AVF65"/>
      <c r="AVG65"/>
      <c r="AVH65"/>
      <c r="AVI65"/>
      <c r="AVJ65"/>
      <c r="AVK65"/>
      <c r="AVL65"/>
      <c r="AVM65"/>
      <c r="AVN65"/>
      <c r="AVO65"/>
      <c r="AVP65"/>
      <c r="AVQ65"/>
      <c r="AVR65"/>
      <c r="AVS65"/>
      <c r="AVT65"/>
      <c r="AVU65"/>
      <c r="AVV65"/>
      <c r="AVW65"/>
      <c r="AVX65"/>
      <c r="AVY65"/>
      <c r="AVZ65"/>
      <c r="AWA65"/>
      <c r="AWB65"/>
      <c r="AWC65"/>
      <c r="AWD65"/>
      <c r="AWE65"/>
      <c r="AWF65"/>
      <c r="AWG65"/>
      <c r="AWH65"/>
      <c r="AWI65"/>
      <c r="AWJ65"/>
      <c r="AWK65"/>
      <c r="AWL65"/>
      <c r="AWM65"/>
      <c r="AWN65"/>
      <c r="AWO65"/>
      <c r="AWP65"/>
      <c r="AWQ65"/>
      <c r="AWR65"/>
      <c r="AWS65"/>
      <c r="AWT65"/>
      <c r="AWU65"/>
      <c r="AWV65"/>
      <c r="AWW65"/>
      <c r="AWX65"/>
      <c r="AWY65"/>
      <c r="AWZ65"/>
      <c r="AXA65"/>
      <c r="AXB65"/>
      <c r="AXC65"/>
      <c r="AXD65"/>
      <c r="AXE65"/>
      <c r="AXF65"/>
      <c r="AXG65"/>
      <c r="AXH65"/>
      <c r="AXI65"/>
      <c r="AXJ65"/>
      <c r="AXK65"/>
      <c r="AXL65"/>
      <c r="AXM65"/>
      <c r="AXN65"/>
      <c r="AXO65"/>
      <c r="AXP65"/>
      <c r="AXQ65"/>
      <c r="AXR65"/>
      <c r="AXS65"/>
      <c r="AXT65"/>
      <c r="AXU65"/>
      <c r="AXV65"/>
      <c r="AXW65"/>
      <c r="AXX65"/>
      <c r="AXY65"/>
      <c r="AXZ65"/>
      <c r="AYA65"/>
      <c r="AYB65"/>
      <c r="AYC65"/>
      <c r="AYD65"/>
      <c r="AYE65"/>
      <c r="AYF65"/>
      <c r="AYG65"/>
      <c r="AYH65"/>
      <c r="AYI65"/>
      <c r="AYJ65"/>
      <c r="AYK65"/>
      <c r="AYL65"/>
      <c r="AYM65"/>
      <c r="AYN65"/>
      <c r="AYO65"/>
      <c r="AYP65"/>
      <c r="AYQ65"/>
      <c r="AYR65"/>
      <c r="AYS65"/>
      <c r="AYT65"/>
      <c r="AYU65"/>
      <c r="AYV65"/>
      <c r="AYW65"/>
      <c r="AYX65"/>
      <c r="AYY65"/>
      <c r="AYZ65"/>
      <c r="AZA65"/>
      <c r="AZB65"/>
      <c r="AZC65"/>
      <c r="AZD65"/>
      <c r="AZE65"/>
      <c r="AZF65"/>
      <c r="AZG65"/>
      <c r="AZH65"/>
      <c r="AZI65"/>
      <c r="AZJ65"/>
      <c r="AZK65"/>
      <c r="AZL65"/>
      <c r="AZM65"/>
      <c r="AZN65"/>
      <c r="AZO65"/>
      <c r="AZP65"/>
      <c r="AZQ65"/>
      <c r="AZR65"/>
      <c r="AZS65"/>
      <c r="AZT65"/>
      <c r="AZU65"/>
      <c r="AZV65"/>
      <c r="AZW65"/>
      <c r="AZX65"/>
      <c r="AZY65"/>
      <c r="AZZ65"/>
      <c r="BAA65"/>
      <c r="BAB65"/>
      <c r="BAC65"/>
      <c r="BAD65"/>
      <c r="BAE65"/>
      <c r="BAF65"/>
      <c r="BAG65"/>
      <c r="BAH65"/>
      <c r="BAI65"/>
      <c r="BAJ65"/>
      <c r="BAK65"/>
      <c r="BAL65"/>
      <c r="BAM65"/>
      <c r="BAN65"/>
      <c r="BAO65"/>
      <c r="BAP65"/>
      <c r="BAQ65"/>
      <c r="BAR65"/>
      <c r="BAS65"/>
      <c r="BAT65"/>
      <c r="BAU65"/>
      <c r="BAV65"/>
      <c r="BAW65"/>
      <c r="BAX65"/>
      <c r="BAY65"/>
      <c r="BAZ65"/>
      <c r="BBA65"/>
      <c r="BBB65"/>
      <c r="BBC65"/>
      <c r="BBD65"/>
      <c r="BBE65"/>
      <c r="BBF65"/>
      <c r="BBG65"/>
      <c r="BBH65"/>
      <c r="BBI65"/>
      <c r="BBJ65"/>
      <c r="BBK65"/>
      <c r="BBL65"/>
      <c r="BBM65"/>
      <c r="BBN65"/>
      <c r="BBO65"/>
      <c r="BBP65"/>
      <c r="BBQ65"/>
      <c r="BBR65"/>
      <c r="BBS65"/>
      <c r="BBT65"/>
      <c r="BBU65"/>
      <c r="BBV65"/>
      <c r="BBW65"/>
      <c r="BBX65"/>
      <c r="BBY65"/>
      <c r="BBZ65"/>
      <c r="BCA65"/>
      <c r="BCB65"/>
      <c r="BCC65"/>
      <c r="BCD65"/>
      <c r="BCE65"/>
      <c r="BCF65"/>
      <c r="BCG65"/>
      <c r="BCH65"/>
      <c r="BCI65"/>
      <c r="BCJ65"/>
      <c r="BCK65"/>
      <c r="BCL65"/>
      <c r="BCM65"/>
      <c r="BCN65"/>
      <c r="BCO65"/>
      <c r="BCP65"/>
      <c r="BCQ65"/>
      <c r="BCR65"/>
      <c r="BCS65"/>
      <c r="BCT65"/>
      <c r="BCU65"/>
      <c r="BCV65"/>
      <c r="BCW65"/>
      <c r="BCX65"/>
      <c r="BCY65"/>
      <c r="BCZ65"/>
      <c r="BDA65"/>
      <c r="BDB65"/>
      <c r="BDC65"/>
      <c r="BDD65"/>
      <c r="BDE65"/>
      <c r="BDF65"/>
      <c r="BDG65"/>
      <c r="BDH65"/>
      <c r="BDI65"/>
      <c r="BDJ65"/>
      <c r="BDK65"/>
      <c r="BDL65"/>
      <c r="BDM65"/>
      <c r="BDN65"/>
      <c r="BDO65"/>
      <c r="BDP65"/>
      <c r="BDQ65"/>
      <c r="BDR65"/>
      <c r="BDS65"/>
      <c r="BDT65"/>
      <c r="BDU65"/>
      <c r="BDV65"/>
      <c r="BDW65"/>
      <c r="BDX65"/>
      <c r="BDY65"/>
      <c r="BDZ65"/>
      <c r="BEA65"/>
      <c r="BEB65"/>
      <c r="BEC65"/>
      <c r="BED65"/>
      <c r="BEE65"/>
      <c r="BEF65"/>
      <c r="BEG65"/>
      <c r="BEH65"/>
      <c r="BEI65"/>
      <c r="BEJ65"/>
      <c r="BEK65"/>
      <c r="BEL65"/>
      <c r="BEM65"/>
      <c r="BEN65"/>
      <c r="BEO65"/>
      <c r="BEP65"/>
      <c r="BEQ65"/>
      <c r="BER65"/>
      <c r="BES65"/>
      <c r="BET65"/>
      <c r="BEU65"/>
      <c r="BEV65"/>
      <c r="BEW65"/>
      <c r="BEX65"/>
      <c r="BEY65"/>
      <c r="BEZ65"/>
      <c r="BFA65"/>
      <c r="BFB65"/>
      <c r="BFC65"/>
      <c r="BFD65"/>
      <c r="BFE65"/>
      <c r="BFF65"/>
      <c r="BFG65"/>
      <c r="BFH65"/>
      <c r="BFI65"/>
      <c r="BFJ65"/>
      <c r="BFK65"/>
      <c r="BFL65"/>
      <c r="BFM65"/>
      <c r="BFN65"/>
      <c r="BFO65"/>
      <c r="BFP65"/>
      <c r="BFQ65"/>
      <c r="BFR65"/>
      <c r="BFS65"/>
      <c r="BFT65"/>
      <c r="BFU65"/>
      <c r="BFV65"/>
      <c r="BFW65"/>
      <c r="BFX65"/>
      <c r="BFY65"/>
      <c r="BFZ65"/>
      <c r="BGA65"/>
      <c r="BGB65"/>
      <c r="BGC65"/>
      <c r="BGD65"/>
      <c r="BGE65"/>
      <c r="BGF65"/>
      <c r="BGG65"/>
      <c r="BGH65"/>
      <c r="BGI65"/>
      <c r="BGJ65"/>
      <c r="BGK65"/>
      <c r="BGL65"/>
      <c r="BGM65"/>
      <c r="BGN65"/>
      <c r="BGO65"/>
      <c r="BGP65"/>
      <c r="BGQ65"/>
      <c r="BGR65"/>
      <c r="BGS65"/>
      <c r="BGT65"/>
      <c r="BGU65"/>
      <c r="BGV65"/>
      <c r="BGW65"/>
      <c r="BGX65"/>
      <c r="BGY65"/>
      <c r="BGZ65"/>
      <c r="BHA65"/>
      <c r="BHB65"/>
      <c r="BHC65"/>
      <c r="BHD65"/>
      <c r="BHE65"/>
      <c r="BHF65"/>
      <c r="BHG65"/>
      <c r="BHH65"/>
      <c r="BHI65"/>
      <c r="BHJ65"/>
      <c r="BHK65"/>
      <c r="BHL65"/>
      <c r="BHM65"/>
      <c r="BHN65"/>
      <c r="BHO65"/>
      <c r="BHP65"/>
      <c r="BHQ65"/>
      <c r="BHR65"/>
      <c r="BHS65"/>
      <c r="BHT65"/>
      <c r="BHU65"/>
      <c r="BHV65"/>
      <c r="BHW65"/>
      <c r="BHX65"/>
      <c r="BHY65"/>
      <c r="BHZ65"/>
      <c r="BIA65"/>
      <c r="BIB65"/>
      <c r="BIC65"/>
      <c r="BID65"/>
      <c r="BIE65"/>
      <c r="BIF65"/>
      <c r="BIG65"/>
      <c r="BIH65"/>
      <c r="BII65"/>
      <c r="BIJ65"/>
      <c r="BIK65"/>
      <c r="BIL65"/>
      <c r="BIM65"/>
      <c r="BIN65"/>
      <c r="BIO65"/>
      <c r="BIP65"/>
      <c r="BIQ65"/>
      <c r="BIR65"/>
      <c r="BIS65"/>
      <c r="BIT65"/>
      <c r="BIU65"/>
      <c r="BIV65"/>
      <c r="BIW65"/>
      <c r="BIX65"/>
      <c r="BIY65"/>
      <c r="BIZ65"/>
      <c r="BJA65"/>
      <c r="BJB65"/>
      <c r="BJC65"/>
      <c r="BJD65"/>
      <c r="BJE65"/>
      <c r="BJF65"/>
      <c r="BJG65"/>
      <c r="BJH65"/>
      <c r="BJI65"/>
      <c r="BJJ65"/>
      <c r="BJK65"/>
      <c r="BJL65"/>
      <c r="BJM65"/>
      <c r="BJN65"/>
      <c r="BJO65"/>
      <c r="BJP65"/>
      <c r="BJQ65"/>
      <c r="BJR65"/>
      <c r="BJS65"/>
      <c r="BJT65"/>
      <c r="BJU65"/>
      <c r="BJV65"/>
      <c r="BJW65"/>
      <c r="BJX65"/>
      <c r="BJY65"/>
      <c r="BJZ65"/>
      <c r="BKA65"/>
      <c r="BKB65"/>
      <c r="BKC65"/>
      <c r="BKD65"/>
      <c r="BKE65"/>
      <c r="BKF65"/>
      <c r="BKG65"/>
      <c r="BKH65"/>
      <c r="BKI65"/>
      <c r="BKJ65"/>
      <c r="BKK65"/>
      <c r="BKL65"/>
      <c r="BKM65"/>
      <c r="BKN65"/>
      <c r="BKO65"/>
      <c r="BKP65"/>
      <c r="BKQ65"/>
      <c r="BKR65"/>
      <c r="BKS65"/>
      <c r="BKT65"/>
      <c r="BKU65"/>
      <c r="BKV65"/>
      <c r="BKW65"/>
      <c r="BKX65"/>
      <c r="BKY65"/>
      <c r="BKZ65"/>
      <c r="BLA65"/>
      <c r="BLB65"/>
      <c r="BLC65"/>
      <c r="BLD65"/>
      <c r="BLE65"/>
      <c r="BLF65"/>
      <c r="BLG65"/>
      <c r="BLH65"/>
      <c r="BLI65"/>
      <c r="BLJ65"/>
      <c r="BLK65"/>
      <c r="BLL65"/>
      <c r="BLM65"/>
      <c r="BLN65"/>
      <c r="BLO65"/>
      <c r="BLP65"/>
      <c r="BLQ65"/>
      <c r="BLR65"/>
      <c r="BLS65"/>
      <c r="BLT65"/>
      <c r="BLU65"/>
      <c r="BLV65"/>
      <c r="BLW65"/>
      <c r="BLX65"/>
      <c r="BLY65"/>
      <c r="BLZ65"/>
      <c r="BMA65"/>
      <c r="BMB65"/>
      <c r="BMC65"/>
      <c r="BMD65"/>
      <c r="BME65"/>
      <c r="BMF65"/>
      <c r="BMG65"/>
      <c r="BMH65"/>
      <c r="BMI65"/>
      <c r="BMJ65"/>
      <c r="BMK65"/>
      <c r="BML65"/>
      <c r="BMM65"/>
      <c r="BMN65"/>
      <c r="BMO65"/>
      <c r="BMP65"/>
      <c r="BMQ65"/>
      <c r="BMR65"/>
      <c r="BMS65"/>
      <c r="BMT65"/>
      <c r="BMU65"/>
      <c r="BMV65"/>
      <c r="BMW65"/>
      <c r="BMX65"/>
      <c r="BMY65"/>
      <c r="BMZ65"/>
      <c r="BNA65"/>
      <c r="BNB65"/>
      <c r="BNC65"/>
      <c r="BND65"/>
      <c r="BNE65"/>
      <c r="BNF65"/>
      <c r="BNG65"/>
      <c r="BNH65"/>
      <c r="BNI65"/>
      <c r="BNJ65"/>
      <c r="BNK65"/>
      <c r="BNL65"/>
      <c r="BNM65"/>
      <c r="BNN65"/>
      <c r="BNO65"/>
      <c r="BNP65"/>
      <c r="BNQ65"/>
      <c r="BNR65"/>
      <c r="BNS65"/>
      <c r="BNT65"/>
      <c r="BNU65"/>
      <c r="BNV65"/>
      <c r="BNW65"/>
      <c r="BNX65"/>
      <c r="BNY65"/>
      <c r="BNZ65"/>
      <c r="BOA65"/>
      <c r="BOB65"/>
      <c r="BOC65"/>
      <c r="BOD65"/>
      <c r="BOE65"/>
      <c r="BOF65"/>
      <c r="BOG65"/>
      <c r="BOH65"/>
      <c r="BOI65"/>
      <c r="BOJ65"/>
      <c r="BOK65"/>
      <c r="BOL65"/>
      <c r="BOM65"/>
      <c r="BON65"/>
      <c r="BOO65"/>
      <c r="BOP65"/>
      <c r="BOQ65"/>
      <c r="BOR65"/>
      <c r="BOS65"/>
      <c r="BOT65"/>
      <c r="BOU65"/>
      <c r="BOV65"/>
      <c r="BOW65"/>
      <c r="BOX65"/>
      <c r="BOY65"/>
      <c r="BOZ65"/>
      <c r="BPA65"/>
      <c r="BPB65"/>
      <c r="BPC65"/>
      <c r="BPD65"/>
      <c r="BPE65"/>
      <c r="BPF65"/>
      <c r="BPG65"/>
      <c r="BPH65"/>
      <c r="BPI65"/>
      <c r="BPJ65"/>
      <c r="BPK65"/>
      <c r="BPL65"/>
      <c r="BPM65"/>
      <c r="BPN65"/>
      <c r="BPO65"/>
      <c r="BPP65"/>
      <c r="BPQ65"/>
      <c r="BPR65"/>
      <c r="BPS65"/>
      <c r="BPT65"/>
      <c r="BPU65"/>
      <c r="BPV65"/>
      <c r="BPW65"/>
      <c r="BPX65"/>
      <c r="BPY65"/>
      <c r="BPZ65"/>
      <c r="BQA65"/>
      <c r="BQB65"/>
      <c r="BQC65"/>
      <c r="BQD65"/>
      <c r="BQE65"/>
      <c r="BQF65"/>
      <c r="BQG65"/>
      <c r="BQH65"/>
      <c r="BQI65"/>
      <c r="BQJ65"/>
      <c r="BQK65"/>
      <c r="BQL65"/>
      <c r="BQM65"/>
      <c r="BQN65"/>
      <c r="BQO65"/>
      <c r="BQP65"/>
      <c r="BQQ65"/>
      <c r="BQR65"/>
      <c r="BQS65"/>
      <c r="BQT65"/>
      <c r="BQU65"/>
      <c r="BQV65"/>
      <c r="BQW65"/>
      <c r="BQX65"/>
      <c r="BQY65"/>
      <c r="BQZ65"/>
      <c r="BRA65"/>
      <c r="BRB65"/>
      <c r="BRC65"/>
      <c r="BRD65"/>
      <c r="BRE65"/>
      <c r="BRF65"/>
      <c r="BRG65"/>
      <c r="BRH65"/>
      <c r="BRI65"/>
      <c r="BRJ65"/>
      <c r="BRK65"/>
      <c r="BRL65"/>
      <c r="BRM65"/>
      <c r="BRN65"/>
      <c r="BRO65"/>
      <c r="BRP65"/>
      <c r="BRQ65"/>
      <c r="BRR65"/>
      <c r="BRS65"/>
      <c r="BRT65"/>
      <c r="BRU65"/>
      <c r="BRV65"/>
      <c r="BRW65"/>
      <c r="BRX65"/>
      <c r="BRY65"/>
      <c r="BRZ65"/>
      <c r="BSA65"/>
      <c r="BSB65"/>
      <c r="BSC65"/>
      <c r="BSD65"/>
      <c r="BSE65"/>
      <c r="BSF65"/>
      <c r="BSG65"/>
      <c r="BSH65"/>
      <c r="BSI65"/>
      <c r="BSJ65"/>
      <c r="BSK65"/>
      <c r="BSL65"/>
      <c r="BSM65"/>
      <c r="BSN65"/>
      <c r="BSO65"/>
      <c r="BSP65"/>
      <c r="BSQ65"/>
      <c r="BSR65"/>
      <c r="BSS65"/>
      <c r="BST65"/>
      <c r="BSU65"/>
      <c r="BSV65"/>
      <c r="BSW65"/>
      <c r="BSX65"/>
      <c r="BSY65"/>
      <c r="BSZ65"/>
      <c r="BTA65"/>
      <c r="BTB65"/>
      <c r="BTC65"/>
      <c r="BTD65"/>
      <c r="BTE65"/>
      <c r="BTF65"/>
      <c r="BTG65"/>
      <c r="BTH65"/>
      <c r="BTI65"/>
      <c r="BTJ65"/>
      <c r="BTK65"/>
      <c r="BTL65"/>
      <c r="BTM65"/>
      <c r="BTN65"/>
      <c r="BTO65"/>
      <c r="BTP65"/>
      <c r="BTQ65"/>
      <c r="BTR65"/>
      <c r="BTS65"/>
      <c r="BTT65"/>
      <c r="BTU65"/>
      <c r="BTV65"/>
      <c r="BTW65"/>
      <c r="BTX65"/>
      <c r="BTY65"/>
      <c r="BTZ65"/>
      <c r="BUA65"/>
      <c r="BUB65"/>
      <c r="BUC65"/>
      <c r="BUD65"/>
      <c r="BUE65"/>
      <c r="BUF65"/>
      <c r="BUG65"/>
      <c r="BUH65"/>
      <c r="BUI65"/>
      <c r="BUJ65"/>
      <c r="BUK65"/>
      <c r="BUL65"/>
      <c r="BUM65"/>
      <c r="BUN65"/>
      <c r="BUO65"/>
      <c r="BUP65"/>
      <c r="BUQ65"/>
      <c r="BUR65"/>
      <c r="BUS65"/>
      <c r="BUT65"/>
      <c r="BUU65"/>
      <c r="BUV65"/>
      <c r="BUW65"/>
      <c r="BUX65"/>
      <c r="BUY65"/>
      <c r="BUZ65"/>
      <c r="BVA65"/>
      <c r="BVB65"/>
      <c r="BVC65"/>
      <c r="BVD65"/>
      <c r="BVE65"/>
      <c r="BVF65"/>
      <c r="BVG65"/>
      <c r="BVH65"/>
      <c r="BVI65"/>
      <c r="BVJ65"/>
      <c r="BVK65"/>
      <c r="BVL65"/>
      <c r="BVM65"/>
      <c r="BVN65"/>
      <c r="BVO65"/>
      <c r="BVP65"/>
      <c r="BVQ65"/>
      <c r="BVR65"/>
      <c r="BVS65"/>
      <c r="BVT65"/>
      <c r="BVU65"/>
      <c r="BVV65"/>
      <c r="BVW65"/>
      <c r="BVX65"/>
      <c r="BVY65"/>
      <c r="BVZ65"/>
      <c r="BWA65"/>
      <c r="BWB65"/>
      <c r="BWC65"/>
      <c r="BWD65"/>
      <c r="BWE65"/>
      <c r="BWF65"/>
      <c r="BWG65"/>
      <c r="BWH65"/>
      <c r="BWI65"/>
      <c r="BWJ65"/>
      <c r="BWK65"/>
      <c r="BWL65"/>
      <c r="BWM65"/>
      <c r="BWN65"/>
      <c r="BWO65"/>
      <c r="BWP65"/>
      <c r="BWQ65"/>
      <c r="BWR65"/>
      <c r="BWS65"/>
      <c r="BWT65"/>
      <c r="BWU65"/>
      <c r="BWV65"/>
      <c r="BWW65"/>
      <c r="BWX65"/>
      <c r="BWY65"/>
      <c r="BWZ65"/>
      <c r="BXA65"/>
      <c r="BXB65"/>
      <c r="BXC65"/>
      <c r="BXD65"/>
      <c r="BXE65"/>
      <c r="BXF65"/>
      <c r="BXG65"/>
      <c r="BXH65"/>
      <c r="BXI65"/>
      <c r="BXJ65"/>
      <c r="BXK65"/>
      <c r="BXL65"/>
      <c r="BXM65"/>
      <c r="BXN65"/>
      <c r="BXO65"/>
      <c r="BXP65"/>
      <c r="BXQ65"/>
      <c r="BXR65"/>
      <c r="BXS65"/>
      <c r="BXT65"/>
      <c r="BXU65"/>
      <c r="BXV65"/>
      <c r="BXW65"/>
      <c r="BXX65"/>
      <c r="BXY65"/>
      <c r="BXZ65"/>
      <c r="BYA65"/>
      <c r="BYB65"/>
      <c r="BYC65"/>
      <c r="BYD65"/>
      <c r="BYE65"/>
      <c r="BYF65"/>
      <c r="BYG65"/>
      <c r="BYH65"/>
      <c r="BYI65"/>
      <c r="BYJ65"/>
      <c r="BYK65"/>
      <c r="BYL65"/>
      <c r="BYM65"/>
      <c r="BYN65"/>
      <c r="BYO65"/>
      <c r="BYP65"/>
      <c r="BYQ65"/>
      <c r="BYR65"/>
      <c r="BYS65"/>
      <c r="BYT65"/>
      <c r="BYU65"/>
      <c r="BYV65"/>
      <c r="BYW65"/>
      <c r="BYX65"/>
      <c r="BYY65"/>
      <c r="BYZ65"/>
      <c r="BZA65"/>
      <c r="BZB65"/>
      <c r="BZC65"/>
      <c r="BZD65"/>
      <c r="BZE65"/>
      <c r="BZF65"/>
      <c r="BZG65"/>
      <c r="BZH65"/>
      <c r="BZI65"/>
      <c r="BZJ65"/>
      <c r="BZK65"/>
      <c r="BZL65"/>
      <c r="BZM65"/>
      <c r="BZN65"/>
      <c r="BZO65"/>
      <c r="BZP65"/>
      <c r="BZQ65"/>
      <c r="BZR65"/>
      <c r="BZS65"/>
      <c r="BZT65"/>
      <c r="BZU65"/>
      <c r="BZV65"/>
      <c r="BZW65"/>
      <c r="BZX65"/>
      <c r="BZY65"/>
      <c r="BZZ65"/>
      <c r="CAA65"/>
      <c r="CAB65"/>
      <c r="CAC65"/>
      <c r="CAD65"/>
      <c r="CAE65"/>
      <c r="CAF65"/>
      <c r="CAG65"/>
      <c r="CAH65"/>
      <c r="CAI65"/>
      <c r="CAJ65"/>
      <c r="CAK65"/>
      <c r="CAL65"/>
      <c r="CAM65"/>
      <c r="CAN65"/>
      <c r="CAO65"/>
      <c r="CAP65"/>
      <c r="CAQ65"/>
      <c r="CAR65"/>
      <c r="CAS65"/>
      <c r="CAT65"/>
      <c r="CAU65"/>
      <c r="CAV65"/>
      <c r="CAW65"/>
      <c r="CAX65"/>
      <c r="CAY65"/>
      <c r="CAZ65"/>
      <c r="CBA65"/>
      <c r="CBB65"/>
      <c r="CBC65"/>
      <c r="CBD65"/>
      <c r="CBE65"/>
      <c r="CBF65"/>
      <c r="CBG65"/>
      <c r="CBH65"/>
      <c r="CBI65"/>
      <c r="CBJ65"/>
      <c r="CBK65"/>
      <c r="CBL65"/>
      <c r="CBM65"/>
      <c r="CBN65"/>
      <c r="CBO65"/>
      <c r="CBP65"/>
      <c r="CBQ65"/>
      <c r="CBR65"/>
      <c r="CBS65"/>
      <c r="CBT65"/>
      <c r="CBU65"/>
      <c r="CBV65"/>
      <c r="CBW65"/>
      <c r="CBX65"/>
      <c r="CBY65"/>
      <c r="CBZ65"/>
      <c r="CCA65"/>
      <c r="CCB65"/>
      <c r="CCC65"/>
      <c r="CCD65"/>
      <c r="CCE65"/>
      <c r="CCF65"/>
      <c r="CCG65"/>
      <c r="CCH65"/>
      <c r="CCI65"/>
      <c r="CCJ65"/>
      <c r="CCK65"/>
      <c r="CCL65"/>
      <c r="CCM65"/>
      <c r="CCN65"/>
      <c r="CCO65"/>
      <c r="CCP65"/>
      <c r="CCQ65"/>
      <c r="CCR65"/>
      <c r="CCS65"/>
      <c r="CCT65"/>
      <c r="CCU65"/>
      <c r="CCV65"/>
      <c r="CCW65"/>
      <c r="CCX65"/>
      <c r="CCY65"/>
      <c r="CCZ65"/>
      <c r="CDA65"/>
      <c r="CDB65"/>
      <c r="CDC65"/>
      <c r="CDD65"/>
      <c r="CDE65"/>
      <c r="CDF65"/>
      <c r="CDG65"/>
      <c r="CDH65"/>
      <c r="CDI65"/>
      <c r="CDJ65"/>
      <c r="CDK65"/>
      <c r="CDL65"/>
      <c r="CDM65"/>
      <c r="CDN65"/>
      <c r="CDO65"/>
      <c r="CDP65"/>
      <c r="CDQ65"/>
      <c r="CDR65"/>
      <c r="CDS65"/>
      <c r="CDT65"/>
      <c r="CDU65"/>
      <c r="CDV65"/>
      <c r="CDW65"/>
      <c r="CDX65"/>
      <c r="CDY65"/>
      <c r="CDZ65"/>
      <c r="CEA65"/>
      <c r="CEB65"/>
      <c r="CEC65"/>
      <c r="CED65"/>
      <c r="CEE65"/>
      <c r="CEF65"/>
      <c r="CEG65"/>
      <c r="CEH65"/>
      <c r="CEI65"/>
      <c r="CEJ65"/>
      <c r="CEK65"/>
      <c r="CEL65"/>
      <c r="CEM65"/>
      <c r="CEN65"/>
      <c r="CEO65"/>
      <c r="CEP65"/>
      <c r="CEQ65"/>
      <c r="CER65"/>
      <c r="CES65"/>
      <c r="CET65"/>
      <c r="CEU65"/>
      <c r="CEV65"/>
      <c r="CEW65"/>
      <c r="CEX65"/>
      <c r="CEY65"/>
      <c r="CEZ65"/>
      <c r="CFA65"/>
      <c r="CFB65"/>
      <c r="CFC65"/>
      <c r="CFD65"/>
      <c r="CFE65"/>
      <c r="CFF65"/>
      <c r="CFG65"/>
      <c r="CFH65"/>
      <c r="CFI65"/>
      <c r="CFJ65"/>
      <c r="CFK65"/>
      <c r="CFL65"/>
      <c r="CFM65"/>
      <c r="CFN65"/>
      <c r="CFO65"/>
      <c r="CFP65"/>
      <c r="CFQ65"/>
      <c r="CFR65"/>
      <c r="CFS65"/>
      <c r="CFT65"/>
      <c r="CFU65"/>
      <c r="CFV65"/>
      <c r="CFW65"/>
      <c r="CFX65"/>
      <c r="CFY65"/>
      <c r="CFZ65"/>
      <c r="CGA65"/>
      <c r="CGB65"/>
      <c r="CGC65"/>
      <c r="CGD65"/>
      <c r="CGE65"/>
      <c r="CGF65"/>
      <c r="CGG65"/>
      <c r="CGH65"/>
      <c r="CGI65"/>
      <c r="CGJ65"/>
      <c r="CGK65"/>
      <c r="CGL65"/>
      <c r="CGM65"/>
      <c r="CGN65"/>
      <c r="CGO65"/>
      <c r="CGP65"/>
      <c r="CGQ65"/>
      <c r="CGR65"/>
      <c r="CGS65"/>
      <c r="CGT65"/>
      <c r="CGU65"/>
      <c r="CGV65"/>
      <c r="CGW65"/>
      <c r="CGX65"/>
      <c r="CGY65"/>
      <c r="CGZ65"/>
      <c r="CHA65"/>
      <c r="CHB65"/>
      <c r="CHC65"/>
      <c r="CHD65"/>
      <c r="CHE65"/>
      <c r="CHF65"/>
      <c r="CHG65"/>
      <c r="CHH65"/>
      <c r="CHI65"/>
      <c r="CHJ65"/>
      <c r="CHK65"/>
      <c r="CHL65"/>
      <c r="CHM65"/>
      <c r="CHN65"/>
      <c r="CHO65"/>
      <c r="CHP65"/>
      <c r="CHQ65"/>
      <c r="CHR65"/>
      <c r="CHS65"/>
      <c r="CHT65"/>
      <c r="CHU65"/>
      <c r="CHV65"/>
      <c r="CHW65"/>
      <c r="CHX65"/>
      <c r="CHY65"/>
      <c r="CHZ65"/>
      <c r="CIA65"/>
      <c r="CIB65"/>
      <c r="CIC65"/>
      <c r="CID65"/>
      <c r="CIE65"/>
      <c r="CIF65"/>
      <c r="CIG65"/>
      <c r="CIH65"/>
      <c r="CII65"/>
      <c r="CIJ65"/>
      <c r="CIK65"/>
      <c r="CIL65"/>
      <c r="CIM65"/>
      <c r="CIN65"/>
      <c r="CIO65"/>
      <c r="CIP65"/>
      <c r="CIQ65"/>
      <c r="CIR65"/>
      <c r="CIS65"/>
      <c r="CIT65"/>
      <c r="CIU65"/>
      <c r="CIV65"/>
      <c r="CIW65"/>
      <c r="CIX65"/>
      <c r="CIY65"/>
      <c r="CIZ65"/>
      <c r="CJA65"/>
      <c r="CJB65"/>
      <c r="CJC65"/>
      <c r="CJD65"/>
      <c r="CJE65"/>
      <c r="CJF65"/>
      <c r="CJG65"/>
      <c r="CJH65"/>
      <c r="CJI65"/>
      <c r="CJJ65"/>
      <c r="CJK65"/>
      <c r="CJL65"/>
      <c r="CJM65"/>
      <c r="CJN65"/>
      <c r="CJO65"/>
      <c r="CJP65"/>
      <c r="CJQ65"/>
      <c r="CJR65"/>
      <c r="CJS65"/>
      <c r="CJT65"/>
      <c r="CJU65"/>
      <c r="CJV65"/>
      <c r="CJW65"/>
      <c r="CJX65"/>
      <c r="CJY65"/>
      <c r="CJZ65"/>
      <c r="CKA65"/>
      <c r="CKB65"/>
      <c r="CKC65"/>
      <c r="CKD65"/>
      <c r="CKE65"/>
      <c r="CKF65"/>
      <c r="CKG65"/>
      <c r="CKH65"/>
      <c r="CKI65"/>
      <c r="CKJ65"/>
      <c r="CKK65"/>
      <c r="CKL65"/>
      <c r="CKM65"/>
      <c r="CKN65"/>
      <c r="CKO65"/>
      <c r="CKP65"/>
      <c r="CKQ65"/>
      <c r="CKR65"/>
      <c r="CKS65"/>
      <c r="CKT65"/>
      <c r="CKU65"/>
      <c r="CKV65"/>
      <c r="CKW65"/>
      <c r="CKX65"/>
      <c r="CKY65"/>
      <c r="CKZ65"/>
      <c r="CLA65"/>
      <c r="CLB65"/>
      <c r="CLC65"/>
      <c r="CLD65"/>
      <c r="CLE65"/>
      <c r="CLF65"/>
      <c r="CLG65"/>
      <c r="CLH65"/>
      <c r="CLI65"/>
      <c r="CLJ65"/>
      <c r="CLK65"/>
      <c r="CLL65"/>
      <c r="CLM65"/>
      <c r="CLN65"/>
      <c r="CLO65"/>
      <c r="CLP65"/>
      <c r="CLQ65"/>
      <c r="CLR65"/>
      <c r="CLS65"/>
      <c r="CLT65"/>
      <c r="CLU65"/>
      <c r="CLV65"/>
      <c r="CLW65"/>
      <c r="CLX65"/>
      <c r="CLY65"/>
      <c r="CLZ65"/>
      <c r="CMA65"/>
      <c r="CMB65"/>
      <c r="CMC65"/>
      <c r="CMD65"/>
      <c r="CME65"/>
      <c r="CMF65"/>
      <c r="CMG65"/>
      <c r="CMH65"/>
      <c r="CMI65"/>
      <c r="CMJ65"/>
      <c r="CMK65"/>
      <c r="CML65"/>
      <c r="CMM65"/>
      <c r="CMN65"/>
      <c r="CMO65"/>
      <c r="CMP65"/>
      <c r="CMQ65"/>
      <c r="CMR65"/>
      <c r="CMS65"/>
      <c r="CMT65"/>
      <c r="CMU65"/>
      <c r="CMV65"/>
      <c r="CMW65"/>
      <c r="CMX65"/>
      <c r="CMY65"/>
      <c r="CMZ65"/>
      <c r="CNA65"/>
      <c r="CNB65"/>
      <c r="CNC65"/>
      <c r="CND65"/>
      <c r="CNE65"/>
      <c r="CNF65"/>
      <c r="CNG65"/>
      <c r="CNH65"/>
      <c r="CNI65"/>
      <c r="CNJ65"/>
      <c r="CNK65"/>
      <c r="CNL65"/>
      <c r="CNM65"/>
      <c r="CNN65"/>
      <c r="CNO65"/>
      <c r="CNP65"/>
      <c r="CNQ65"/>
      <c r="CNR65"/>
      <c r="CNS65"/>
      <c r="CNT65"/>
      <c r="CNU65"/>
      <c r="CNV65"/>
      <c r="CNW65"/>
      <c r="CNX65"/>
      <c r="CNY65"/>
      <c r="CNZ65"/>
      <c r="COA65"/>
      <c r="COB65"/>
      <c r="COC65"/>
      <c r="COD65"/>
      <c r="COE65"/>
      <c r="COF65"/>
      <c r="COG65"/>
      <c r="COH65"/>
      <c r="COI65"/>
      <c r="COJ65"/>
      <c r="COK65"/>
      <c r="COL65"/>
      <c r="COM65"/>
      <c r="CON65"/>
      <c r="COO65"/>
      <c r="COP65"/>
      <c r="COQ65"/>
      <c r="COR65"/>
      <c r="COS65"/>
      <c r="COT65"/>
      <c r="COU65"/>
      <c r="COV65"/>
      <c r="COW65"/>
      <c r="COX65"/>
      <c r="COY65"/>
      <c r="COZ65"/>
      <c r="CPA65"/>
      <c r="CPB65"/>
      <c r="CPC65"/>
      <c r="CPD65"/>
      <c r="CPE65"/>
      <c r="CPF65"/>
      <c r="CPG65"/>
      <c r="CPH65"/>
      <c r="CPI65"/>
      <c r="CPJ65"/>
      <c r="CPK65"/>
      <c r="CPL65"/>
      <c r="CPM65"/>
      <c r="CPN65"/>
      <c r="CPO65"/>
      <c r="CPP65"/>
      <c r="CPQ65"/>
      <c r="CPR65"/>
      <c r="CPS65"/>
      <c r="CPT65"/>
      <c r="CPU65"/>
      <c r="CPV65"/>
      <c r="CPW65"/>
      <c r="CPX65"/>
      <c r="CPY65"/>
      <c r="CPZ65"/>
      <c r="CQA65"/>
      <c r="CQB65"/>
      <c r="CQC65"/>
      <c r="CQD65"/>
      <c r="CQE65"/>
      <c r="CQF65"/>
      <c r="CQG65"/>
      <c r="CQH65"/>
      <c r="CQI65"/>
      <c r="CQJ65"/>
      <c r="CQK65"/>
      <c r="CQL65"/>
      <c r="CQM65"/>
      <c r="CQN65"/>
      <c r="CQO65"/>
      <c r="CQP65"/>
      <c r="CQQ65"/>
      <c r="CQR65"/>
      <c r="CQS65"/>
      <c r="CQT65"/>
      <c r="CQU65"/>
      <c r="CQV65"/>
      <c r="CQW65"/>
      <c r="CQX65"/>
      <c r="CQY65"/>
      <c r="CQZ65"/>
      <c r="CRA65"/>
      <c r="CRB65"/>
      <c r="CRC65"/>
      <c r="CRD65"/>
      <c r="CRE65"/>
      <c r="CRF65"/>
      <c r="CRG65"/>
      <c r="CRH65"/>
      <c r="CRI65"/>
      <c r="CRJ65"/>
      <c r="CRK65"/>
      <c r="CRL65"/>
      <c r="CRM65"/>
      <c r="CRN65"/>
      <c r="CRO65"/>
      <c r="CRP65"/>
      <c r="CRQ65"/>
      <c r="CRR65"/>
      <c r="CRS65"/>
      <c r="CRT65"/>
      <c r="CRU65"/>
      <c r="CRV65"/>
      <c r="CRW65"/>
      <c r="CRX65"/>
      <c r="CRY65"/>
      <c r="CRZ65"/>
      <c r="CSA65"/>
      <c r="CSB65"/>
      <c r="CSC65"/>
      <c r="CSD65"/>
      <c r="CSE65"/>
      <c r="CSF65"/>
      <c r="CSG65"/>
      <c r="CSH65"/>
      <c r="CSI65"/>
      <c r="CSJ65"/>
      <c r="CSK65"/>
      <c r="CSL65"/>
      <c r="CSM65"/>
      <c r="CSN65"/>
      <c r="CSO65"/>
      <c r="CSP65"/>
      <c r="CSQ65"/>
      <c r="CSR65"/>
      <c r="CSS65"/>
      <c r="CST65"/>
      <c r="CSU65"/>
      <c r="CSV65"/>
      <c r="CSW65"/>
      <c r="CSX65"/>
      <c r="CSY65"/>
      <c r="CSZ65"/>
      <c r="CTA65"/>
      <c r="CTB65"/>
      <c r="CTC65"/>
      <c r="CTD65"/>
      <c r="CTE65"/>
      <c r="CTF65"/>
      <c r="CTG65"/>
      <c r="CTH65"/>
      <c r="CTI65"/>
      <c r="CTJ65"/>
      <c r="CTK65"/>
      <c r="CTL65"/>
      <c r="CTM65"/>
      <c r="CTN65"/>
      <c r="CTO65"/>
      <c r="CTP65"/>
      <c r="CTQ65"/>
      <c r="CTR65"/>
      <c r="CTS65"/>
      <c r="CTT65"/>
      <c r="CTU65"/>
      <c r="CTV65"/>
      <c r="CTW65"/>
      <c r="CTX65"/>
      <c r="CTY65"/>
      <c r="CTZ65"/>
      <c r="CUA65"/>
      <c r="CUB65"/>
      <c r="CUC65"/>
      <c r="CUD65"/>
      <c r="CUE65"/>
      <c r="CUF65"/>
      <c r="CUG65"/>
      <c r="CUH65"/>
      <c r="CUI65"/>
      <c r="CUJ65"/>
      <c r="CUK65"/>
      <c r="CUL65"/>
      <c r="CUM65"/>
      <c r="CUN65"/>
      <c r="CUO65"/>
      <c r="CUP65"/>
      <c r="CUQ65"/>
      <c r="CUR65"/>
      <c r="CUS65"/>
      <c r="CUT65"/>
      <c r="CUU65"/>
      <c r="CUV65"/>
      <c r="CUW65"/>
      <c r="CUX65"/>
      <c r="CUY65"/>
      <c r="CUZ65"/>
      <c r="CVA65"/>
      <c r="CVB65"/>
      <c r="CVC65"/>
      <c r="CVD65"/>
      <c r="CVE65"/>
      <c r="CVF65"/>
      <c r="CVG65"/>
      <c r="CVH65"/>
      <c r="CVI65"/>
      <c r="CVJ65"/>
      <c r="CVK65"/>
      <c r="CVL65"/>
      <c r="CVM65"/>
      <c r="CVN65"/>
      <c r="CVO65"/>
      <c r="CVP65"/>
      <c r="CVQ65"/>
      <c r="CVR65"/>
      <c r="CVS65"/>
      <c r="CVT65"/>
      <c r="CVU65"/>
      <c r="CVV65"/>
      <c r="CVW65"/>
      <c r="CVX65"/>
      <c r="CVY65"/>
      <c r="CVZ65"/>
      <c r="CWA65"/>
      <c r="CWB65"/>
      <c r="CWC65"/>
      <c r="CWD65"/>
      <c r="CWE65"/>
      <c r="CWF65"/>
      <c r="CWG65"/>
      <c r="CWH65"/>
      <c r="CWI65"/>
      <c r="CWJ65"/>
      <c r="CWK65"/>
      <c r="CWL65"/>
      <c r="CWM65"/>
      <c r="CWN65"/>
      <c r="CWO65"/>
      <c r="CWP65"/>
      <c r="CWQ65"/>
      <c r="CWR65"/>
      <c r="CWS65"/>
      <c r="CWT65"/>
      <c r="CWU65"/>
      <c r="CWV65"/>
      <c r="CWW65"/>
      <c r="CWX65"/>
      <c r="CWY65"/>
      <c r="CWZ65"/>
      <c r="CXA65"/>
      <c r="CXB65"/>
      <c r="CXC65"/>
      <c r="CXD65"/>
      <c r="CXE65"/>
      <c r="CXF65"/>
      <c r="CXG65"/>
      <c r="CXH65"/>
      <c r="CXI65"/>
      <c r="CXJ65"/>
      <c r="CXK65"/>
      <c r="CXL65"/>
      <c r="CXM65"/>
      <c r="CXN65"/>
      <c r="CXO65"/>
      <c r="CXP65"/>
      <c r="CXQ65"/>
      <c r="CXR65"/>
      <c r="CXS65"/>
      <c r="CXT65"/>
      <c r="CXU65"/>
      <c r="CXV65"/>
      <c r="CXW65"/>
      <c r="CXX65"/>
      <c r="CXY65"/>
      <c r="CXZ65"/>
      <c r="CYA65"/>
      <c r="CYB65"/>
      <c r="CYC65"/>
      <c r="CYD65"/>
      <c r="CYE65"/>
      <c r="CYF65"/>
      <c r="CYG65"/>
      <c r="CYH65"/>
      <c r="CYI65"/>
      <c r="CYJ65"/>
      <c r="CYK65"/>
      <c r="CYL65"/>
      <c r="CYM65"/>
      <c r="CYN65"/>
      <c r="CYO65"/>
      <c r="CYP65"/>
      <c r="CYQ65"/>
      <c r="CYR65"/>
      <c r="CYS65"/>
      <c r="CYT65"/>
      <c r="CYU65"/>
      <c r="CYV65"/>
      <c r="CYW65"/>
      <c r="CYX65"/>
      <c r="CYY65"/>
      <c r="CYZ65"/>
      <c r="CZA65"/>
      <c r="CZB65"/>
      <c r="CZC65"/>
      <c r="CZD65"/>
      <c r="CZE65"/>
      <c r="CZF65"/>
      <c r="CZG65"/>
      <c r="CZH65"/>
      <c r="CZI65"/>
      <c r="CZJ65"/>
      <c r="CZK65"/>
      <c r="CZL65"/>
      <c r="CZM65"/>
      <c r="CZN65"/>
      <c r="CZO65"/>
      <c r="CZP65"/>
      <c r="CZQ65"/>
      <c r="CZR65"/>
      <c r="CZS65"/>
      <c r="CZT65"/>
      <c r="CZU65"/>
      <c r="CZV65"/>
      <c r="CZW65"/>
      <c r="CZX65"/>
      <c r="CZY65"/>
      <c r="CZZ65"/>
      <c r="DAA65"/>
      <c r="DAB65"/>
      <c r="DAC65"/>
      <c r="DAD65"/>
      <c r="DAE65"/>
      <c r="DAF65"/>
      <c r="DAG65"/>
      <c r="DAH65"/>
      <c r="DAI65"/>
      <c r="DAJ65"/>
      <c r="DAK65"/>
      <c r="DAL65"/>
      <c r="DAM65"/>
      <c r="DAN65"/>
      <c r="DAO65"/>
      <c r="DAP65"/>
      <c r="DAQ65"/>
      <c r="DAR65"/>
      <c r="DAS65"/>
      <c r="DAT65"/>
      <c r="DAU65"/>
      <c r="DAV65"/>
      <c r="DAW65"/>
      <c r="DAX65"/>
      <c r="DAY65"/>
      <c r="DAZ65"/>
      <c r="DBA65"/>
      <c r="DBB65"/>
      <c r="DBC65"/>
      <c r="DBD65"/>
      <c r="DBE65"/>
      <c r="DBF65"/>
      <c r="DBG65"/>
      <c r="DBH65"/>
      <c r="DBI65"/>
      <c r="DBJ65"/>
      <c r="DBK65"/>
      <c r="DBL65"/>
      <c r="DBM65"/>
      <c r="DBN65"/>
      <c r="DBO65"/>
      <c r="DBP65"/>
      <c r="DBQ65"/>
      <c r="DBR65"/>
      <c r="DBS65"/>
      <c r="DBT65"/>
      <c r="DBU65"/>
      <c r="DBV65"/>
      <c r="DBW65"/>
      <c r="DBX65"/>
      <c r="DBY65"/>
      <c r="DBZ65"/>
      <c r="DCA65"/>
      <c r="DCB65"/>
      <c r="DCC65"/>
      <c r="DCD65"/>
      <c r="DCE65"/>
      <c r="DCF65"/>
      <c r="DCG65"/>
      <c r="DCH65"/>
      <c r="DCI65"/>
      <c r="DCJ65"/>
      <c r="DCK65"/>
      <c r="DCL65"/>
      <c r="DCM65"/>
      <c r="DCN65"/>
      <c r="DCO65"/>
      <c r="DCP65"/>
      <c r="DCQ65"/>
      <c r="DCR65"/>
      <c r="DCS65"/>
      <c r="DCT65"/>
      <c r="DCU65"/>
      <c r="DCV65"/>
      <c r="DCW65"/>
      <c r="DCX65"/>
      <c r="DCY65"/>
      <c r="DCZ65"/>
      <c r="DDA65"/>
      <c r="DDB65"/>
      <c r="DDC65"/>
      <c r="DDD65"/>
      <c r="DDE65"/>
      <c r="DDF65"/>
      <c r="DDG65"/>
      <c r="DDH65"/>
      <c r="DDI65"/>
      <c r="DDJ65"/>
      <c r="DDK65"/>
      <c r="DDL65"/>
      <c r="DDM65"/>
      <c r="DDN65"/>
      <c r="DDO65"/>
      <c r="DDP65"/>
      <c r="DDQ65"/>
      <c r="DDR65"/>
      <c r="DDS65"/>
      <c r="DDT65"/>
      <c r="DDU65"/>
      <c r="DDV65"/>
      <c r="DDW65"/>
      <c r="DDX65"/>
      <c r="DDY65"/>
      <c r="DDZ65"/>
      <c r="DEA65"/>
      <c r="DEB65"/>
      <c r="DEC65"/>
      <c r="DED65"/>
      <c r="DEE65"/>
      <c r="DEF65"/>
      <c r="DEG65"/>
      <c r="DEH65"/>
      <c r="DEI65"/>
      <c r="DEJ65"/>
      <c r="DEK65"/>
      <c r="DEL65"/>
      <c r="DEM65"/>
      <c r="DEN65"/>
      <c r="DEO65"/>
      <c r="DEP65"/>
      <c r="DEQ65"/>
      <c r="DER65"/>
      <c r="DES65"/>
      <c r="DET65"/>
      <c r="DEU65"/>
      <c r="DEV65"/>
      <c r="DEW65"/>
      <c r="DEX65"/>
      <c r="DEY65"/>
      <c r="DEZ65"/>
      <c r="DFA65"/>
      <c r="DFB65"/>
      <c r="DFC65"/>
      <c r="DFD65"/>
      <c r="DFE65"/>
      <c r="DFF65"/>
      <c r="DFG65"/>
      <c r="DFH65"/>
      <c r="DFI65"/>
      <c r="DFJ65"/>
      <c r="DFK65"/>
      <c r="DFL65"/>
      <c r="DFM65"/>
      <c r="DFN65"/>
      <c r="DFO65"/>
      <c r="DFP65"/>
      <c r="DFQ65"/>
      <c r="DFR65"/>
      <c r="DFS65"/>
      <c r="DFT65"/>
      <c r="DFU65"/>
      <c r="DFV65"/>
      <c r="DFW65"/>
      <c r="DFX65"/>
      <c r="DFY65"/>
      <c r="DFZ65"/>
      <c r="DGA65"/>
      <c r="DGB65"/>
      <c r="DGC65"/>
      <c r="DGD65"/>
      <c r="DGE65"/>
      <c r="DGF65"/>
      <c r="DGG65"/>
      <c r="DGH65"/>
      <c r="DGI65"/>
      <c r="DGJ65"/>
      <c r="DGK65"/>
      <c r="DGL65"/>
      <c r="DGM65"/>
      <c r="DGN65"/>
      <c r="DGO65"/>
      <c r="DGP65"/>
      <c r="DGQ65"/>
      <c r="DGR65"/>
      <c r="DGS65"/>
      <c r="DGT65"/>
      <c r="DGU65"/>
      <c r="DGV65"/>
      <c r="DGW65"/>
      <c r="DGX65"/>
      <c r="DGY65"/>
      <c r="DGZ65"/>
      <c r="DHA65"/>
      <c r="DHB65"/>
      <c r="DHC65"/>
      <c r="DHD65"/>
      <c r="DHE65"/>
      <c r="DHF65"/>
      <c r="DHG65"/>
      <c r="DHH65"/>
      <c r="DHI65"/>
      <c r="DHJ65"/>
      <c r="DHK65"/>
      <c r="DHL65"/>
      <c r="DHM65"/>
      <c r="DHN65"/>
      <c r="DHO65"/>
      <c r="DHP65"/>
      <c r="DHQ65"/>
      <c r="DHR65"/>
      <c r="DHS65"/>
      <c r="DHT65"/>
      <c r="DHU65"/>
      <c r="DHV65"/>
      <c r="DHW65"/>
      <c r="DHX65"/>
      <c r="DHY65"/>
      <c r="DHZ65"/>
      <c r="DIA65"/>
      <c r="DIB65"/>
      <c r="DIC65"/>
      <c r="DID65"/>
      <c r="DIE65"/>
      <c r="DIF65"/>
      <c r="DIG65"/>
      <c r="DIH65"/>
      <c r="DII65"/>
      <c r="DIJ65"/>
      <c r="DIK65"/>
      <c r="DIL65"/>
      <c r="DIM65"/>
      <c r="DIN65"/>
      <c r="DIO65"/>
      <c r="DIP65"/>
      <c r="DIQ65"/>
      <c r="DIR65"/>
      <c r="DIS65"/>
      <c r="DIT65"/>
      <c r="DIU65"/>
      <c r="DIV65"/>
      <c r="DIW65"/>
      <c r="DIX65"/>
      <c r="DIY65"/>
      <c r="DIZ65"/>
      <c r="DJA65"/>
      <c r="DJB65"/>
      <c r="DJC65"/>
      <c r="DJD65"/>
      <c r="DJE65"/>
      <c r="DJF65"/>
      <c r="DJG65"/>
      <c r="DJH65"/>
      <c r="DJI65"/>
      <c r="DJJ65"/>
      <c r="DJK65"/>
      <c r="DJL65"/>
      <c r="DJM65"/>
      <c r="DJN65"/>
      <c r="DJO65"/>
      <c r="DJP65"/>
      <c r="DJQ65"/>
      <c r="DJR65"/>
      <c r="DJS65"/>
      <c r="DJT65"/>
      <c r="DJU65"/>
      <c r="DJV65"/>
      <c r="DJW65"/>
      <c r="DJX65"/>
      <c r="DJY65"/>
      <c r="DJZ65"/>
      <c r="DKA65"/>
      <c r="DKB65"/>
      <c r="DKC65"/>
      <c r="DKD65"/>
      <c r="DKE65"/>
      <c r="DKF65"/>
      <c r="DKG65"/>
      <c r="DKH65"/>
      <c r="DKI65"/>
      <c r="DKJ65"/>
      <c r="DKK65"/>
      <c r="DKL65"/>
      <c r="DKM65"/>
      <c r="DKN65"/>
      <c r="DKO65"/>
      <c r="DKP65"/>
      <c r="DKQ65"/>
      <c r="DKR65"/>
      <c r="DKS65"/>
      <c r="DKT65"/>
      <c r="DKU65"/>
      <c r="DKV65"/>
      <c r="DKW65"/>
      <c r="DKX65"/>
      <c r="DKY65"/>
      <c r="DKZ65"/>
      <c r="DLA65"/>
      <c r="DLB65"/>
      <c r="DLC65"/>
      <c r="DLD65"/>
      <c r="DLE65"/>
      <c r="DLF65"/>
      <c r="DLG65"/>
      <c r="DLH65"/>
      <c r="DLI65"/>
      <c r="DLJ65"/>
      <c r="DLK65"/>
      <c r="DLL65"/>
      <c r="DLM65"/>
      <c r="DLN65"/>
      <c r="DLO65"/>
      <c r="DLP65"/>
      <c r="DLQ65"/>
      <c r="DLR65"/>
      <c r="DLS65"/>
      <c r="DLT65"/>
      <c r="DLU65"/>
      <c r="DLV65"/>
      <c r="DLW65"/>
      <c r="DLX65"/>
      <c r="DLY65"/>
      <c r="DLZ65"/>
      <c r="DMA65"/>
      <c r="DMB65"/>
      <c r="DMC65"/>
      <c r="DMD65"/>
      <c r="DME65"/>
      <c r="DMF65"/>
      <c r="DMG65"/>
      <c r="DMH65"/>
      <c r="DMI65"/>
      <c r="DMJ65"/>
      <c r="DMK65"/>
      <c r="DML65"/>
      <c r="DMM65"/>
      <c r="DMN65"/>
      <c r="DMO65"/>
      <c r="DMP65"/>
      <c r="DMQ65"/>
      <c r="DMR65"/>
      <c r="DMS65"/>
      <c r="DMT65"/>
      <c r="DMU65"/>
      <c r="DMV65"/>
      <c r="DMW65"/>
      <c r="DMX65"/>
      <c r="DMY65"/>
      <c r="DMZ65"/>
      <c r="DNA65"/>
      <c r="DNB65"/>
      <c r="DNC65"/>
      <c r="DND65"/>
      <c r="DNE65"/>
      <c r="DNF65"/>
      <c r="DNG65"/>
      <c r="DNH65"/>
      <c r="DNI65"/>
      <c r="DNJ65"/>
      <c r="DNK65"/>
      <c r="DNL65"/>
      <c r="DNM65"/>
      <c r="DNN65"/>
      <c r="DNO65"/>
      <c r="DNP65"/>
      <c r="DNQ65"/>
      <c r="DNR65"/>
      <c r="DNS65"/>
      <c r="DNT65"/>
      <c r="DNU65"/>
      <c r="DNV65"/>
      <c r="DNW65"/>
      <c r="DNX65"/>
      <c r="DNY65"/>
      <c r="DNZ65"/>
      <c r="DOA65"/>
      <c r="DOB65"/>
      <c r="DOC65"/>
      <c r="DOD65"/>
      <c r="DOE65"/>
      <c r="DOF65"/>
      <c r="DOG65"/>
      <c r="DOH65"/>
      <c r="DOI65"/>
      <c r="DOJ65"/>
      <c r="DOK65"/>
      <c r="DOL65"/>
      <c r="DOM65"/>
      <c r="DON65"/>
      <c r="DOO65"/>
      <c r="DOP65"/>
      <c r="DOQ65"/>
      <c r="DOR65"/>
      <c r="DOS65"/>
      <c r="DOT65"/>
      <c r="DOU65"/>
      <c r="DOV65"/>
      <c r="DOW65"/>
      <c r="DOX65"/>
      <c r="DOY65"/>
      <c r="DOZ65"/>
      <c r="DPA65"/>
      <c r="DPB65"/>
      <c r="DPC65"/>
      <c r="DPD65"/>
      <c r="DPE65"/>
      <c r="DPF65"/>
      <c r="DPG65"/>
      <c r="DPH65"/>
      <c r="DPI65"/>
      <c r="DPJ65"/>
      <c r="DPK65"/>
      <c r="DPL65"/>
      <c r="DPM65"/>
      <c r="DPN65"/>
      <c r="DPO65"/>
      <c r="DPP65"/>
      <c r="DPQ65"/>
      <c r="DPR65"/>
      <c r="DPS65"/>
      <c r="DPT65"/>
      <c r="DPU65"/>
      <c r="DPV65"/>
      <c r="DPW65"/>
      <c r="DPX65"/>
      <c r="DPY65"/>
      <c r="DPZ65"/>
      <c r="DQA65"/>
      <c r="DQB65"/>
      <c r="DQC65"/>
      <c r="DQD65"/>
      <c r="DQE65"/>
      <c r="DQF65"/>
      <c r="DQG65"/>
      <c r="DQH65"/>
      <c r="DQI65"/>
      <c r="DQJ65"/>
      <c r="DQK65"/>
      <c r="DQL65"/>
      <c r="DQM65"/>
      <c r="DQN65"/>
      <c r="DQO65"/>
      <c r="DQP65"/>
      <c r="DQQ65"/>
      <c r="DQR65"/>
      <c r="DQS65"/>
      <c r="DQT65"/>
      <c r="DQU65"/>
      <c r="DQV65"/>
      <c r="DQW65"/>
      <c r="DQX65"/>
      <c r="DQY65"/>
      <c r="DQZ65"/>
      <c r="DRA65"/>
      <c r="DRB65"/>
      <c r="DRC65"/>
      <c r="DRD65"/>
      <c r="DRE65"/>
      <c r="DRF65"/>
      <c r="DRG65"/>
      <c r="DRH65"/>
      <c r="DRI65"/>
      <c r="DRJ65"/>
      <c r="DRK65"/>
      <c r="DRL65"/>
      <c r="DRM65"/>
      <c r="DRN65"/>
      <c r="DRO65"/>
      <c r="DRP65"/>
      <c r="DRQ65"/>
      <c r="DRR65"/>
      <c r="DRS65"/>
      <c r="DRT65"/>
      <c r="DRU65"/>
      <c r="DRV65"/>
      <c r="DRW65"/>
      <c r="DRX65"/>
      <c r="DRY65"/>
      <c r="DRZ65"/>
      <c r="DSA65"/>
      <c r="DSB65"/>
      <c r="DSC65"/>
      <c r="DSD65"/>
      <c r="DSE65"/>
      <c r="DSF65"/>
      <c r="DSG65"/>
      <c r="DSH65"/>
      <c r="DSI65"/>
      <c r="DSJ65"/>
      <c r="DSK65"/>
      <c r="DSL65"/>
      <c r="DSM65"/>
      <c r="DSN65"/>
      <c r="DSO65"/>
      <c r="DSP65"/>
      <c r="DSQ65"/>
      <c r="DSR65"/>
      <c r="DSS65"/>
      <c r="DST65"/>
      <c r="DSU65"/>
      <c r="DSV65"/>
      <c r="DSW65"/>
      <c r="DSX65"/>
      <c r="DSY65"/>
      <c r="DSZ65"/>
      <c r="DTA65"/>
      <c r="DTB65"/>
      <c r="DTC65"/>
      <c r="DTD65"/>
      <c r="DTE65"/>
      <c r="DTF65"/>
      <c r="DTG65"/>
      <c r="DTH65"/>
      <c r="DTI65"/>
      <c r="DTJ65"/>
      <c r="DTK65"/>
      <c r="DTL65"/>
      <c r="DTM65"/>
      <c r="DTN65"/>
      <c r="DTO65"/>
      <c r="DTP65"/>
      <c r="DTQ65"/>
      <c r="DTR65"/>
      <c r="DTS65"/>
      <c r="DTT65"/>
      <c r="DTU65"/>
      <c r="DTV65"/>
      <c r="DTW65"/>
      <c r="DTX65"/>
      <c r="DTY65"/>
      <c r="DTZ65"/>
      <c r="DUA65"/>
      <c r="DUB65"/>
      <c r="DUC65"/>
      <c r="DUD65"/>
      <c r="DUE65"/>
      <c r="DUF65"/>
      <c r="DUG65"/>
      <c r="DUH65"/>
      <c r="DUI65"/>
      <c r="DUJ65"/>
      <c r="DUK65"/>
      <c r="DUL65"/>
      <c r="DUM65"/>
      <c r="DUN65"/>
      <c r="DUO65"/>
      <c r="DUP65"/>
      <c r="DUQ65"/>
      <c r="DUR65"/>
      <c r="DUS65"/>
      <c r="DUT65"/>
      <c r="DUU65"/>
      <c r="DUV65"/>
      <c r="DUW65"/>
      <c r="DUX65"/>
      <c r="DUY65"/>
      <c r="DUZ65"/>
      <c r="DVA65"/>
      <c r="DVB65"/>
      <c r="DVC65"/>
      <c r="DVD65"/>
      <c r="DVE65"/>
      <c r="DVF65"/>
      <c r="DVG65"/>
      <c r="DVH65"/>
      <c r="DVI65"/>
      <c r="DVJ65"/>
      <c r="DVK65"/>
      <c r="DVL65"/>
      <c r="DVM65"/>
      <c r="DVN65"/>
      <c r="DVO65"/>
      <c r="DVP65"/>
      <c r="DVQ65"/>
      <c r="DVR65"/>
      <c r="DVS65"/>
      <c r="DVT65"/>
      <c r="DVU65"/>
      <c r="DVV65"/>
      <c r="DVW65"/>
      <c r="DVX65"/>
      <c r="DVY65"/>
      <c r="DVZ65"/>
      <c r="DWA65"/>
      <c r="DWB65"/>
      <c r="DWC65"/>
      <c r="DWD65"/>
      <c r="DWE65"/>
      <c r="DWF65"/>
      <c r="DWG65"/>
      <c r="DWH65"/>
      <c r="DWI65"/>
      <c r="DWJ65"/>
      <c r="DWK65"/>
      <c r="DWL65"/>
      <c r="DWM65"/>
      <c r="DWN65"/>
      <c r="DWO65"/>
      <c r="DWP65"/>
      <c r="DWQ65"/>
      <c r="DWR65"/>
      <c r="DWS65"/>
      <c r="DWT65"/>
      <c r="DWU65"/>
      <c r="DWV65"/>
      <c r="DWW65"/>
      <c r="DWX65"/>
      <c r="DWY65"/>
      <c r="DWZ65"/>
      <c r="DXA65"/>
      <c r="DXB65"/>
      <c r="DXC65"/>
      <c r="DXD65"/>
      <c r="DXE65"/>
      <c r="DXF65"/>
      <c r="DXG65"/>
      <c r="DXH65"/>
      <c r="DXI65"/>
      <c r="DXJ65"/>
      <c r="DXK65"/>
      <c r="DXL65"/>
      <c r="DXM65"/>
      <c r="DXN65"/>
      <c r="DXO65"/>
      <c r="DXP65"/>
      <c r="DXQ65"/>
      <c r="DXR65"/>
      <c r="DXS65"/>
      <c r="DXT65"/>
      <c r="DXU65"/>
      <c r="DXV65"/>
      <c r="DXW65"/>
      <c r="DXX65"/>
      <c r="DXY65"/>
      <c r="DXZ65"/>
      <c r="DYA65"/>
      <c r="DYB65"/>
      <c r="DYC65"/>
      <c r="DYD65"/>
      <c r="DYE65"/>
      <c r="DYF65"/>
      <c r="DYG65"/>
      <c r="DYH65"/>
      <c r="DYI65"/>
      <c r="DYJ65"/>
      <c r="DYK65"/>
      <c r="DYL65"/>
      <c r="DYM65"/>
      <c r="DYN65"/>
      <c r="DYO65"/>
      <c r="DYP65"/>
      <c r="DYQ65"/>
      <c r="DYR65"/>
      <c r="DYS65"/>
      <c r="DYT65"/>
      <c r="DYU65"/>
      <c r="DYV65"/>
      <c r="DYW65"/>
      <c r="DYX65"/>
      <c r="DYY65"/>
      <c r="DYZ65"/>
      <c r="DZA65"/>
      <c r="DZB65"/>
      <c r="DZC65"/>
      <c r="DZD65"/>
      <c r="DZE65"/>
      <c r="DZF65"/>
      <c r="DZG65"/>
      <c r="DZH65"/>
      <c r="DZI65"/>
      <c r="DZJ65"/>
      <c r="DZK65"/>
      <c r="DZL65"/>
      <c r="DZM65"/>
      <c r="DZN65"/>
      <c r="DZO65"/>
      <c r="DZP65"/>
      <c r="DZQ65"/>
      <c r="DZR65"/>
      <c r="DZS65"/>
      <c r="DZT65"/>
      <c r="DZU65"/>
      <c r="DZV65"/>
      <c r="DZW65"/>
      <c r="DZX65"/>
      <c r="DZY65"/>
      <c r="DZZ65"/>
      <c r="EAA65"/>
      <c r="EAB65"/>
      <c r="EAC65"/>
      <c r="EAD65"/>
      <c r="EAE65"/>
      <c r="EAF65"/>
      <c r="EAG65"/>
      <c r="EAH65"/>
      <c r="EAI65"/>
      <c r="EAJ65"/>
      <c r="EAK65"/>
      <c r="EAL65"/>
      <c r="EAM65"/>
      <c r="EAN65"/>
      <c r="EAO65"/>
      <c r="EAP65"/>
      <c r="EAQ65"/>
      <c r="EAR65"/>
      <c r="EAS65"/>
      <c r="EAT65"/>
      <c r="EAU65"/>
      <c r="EAV65"/>
      <c r="EAW65"/>
      <c r="EAX65"/>
      <c r="EAY65"/>
      <c r="EAZ65"/>
      <c r="EBA65"/>
      <c r="EBB65"/>
      <c r="EBC65"/>
      <c r="EBD65"/>
      <c r="EBE65"/>
      <c r="EBF65"/>
      <c r="EBG65"/>
      <c r="EBH65"/>
      <c r="EBI65"/>
      <c r="EBJ65"/>
      <c r="EBK65"/>
      <c r="EBL65"/>
      <c r="EBM65"/>
      <c r="EBN65"/>
      <c r="EBO65"/>
      <c r="EBP65"/>
      <c r="EBQ65"/>
      <c r="EBR65"/>
      <c r="EBS65"/>
      <c r="EBT65"/>
      <c r="EBU65"/>
      <c r="EBV65"/>
      <c r="EBW65"/>
      <c r="EBX65"/>
      <c r="EBY65"/>
      <c r="EBZ65"/>
      <c r="ECA65"/>
      <c r="ECB65"/>
      <c r="ECC65"/>
      <c r="ECD65"/>
      <c r="ECE65"/>
      <c r="ECF65"/>
      <c r="ECG65"/>
      <c r="ECH65"/>
      <c r="ECI65"/>
      <c r="ECJ65"/>
      <c r="ECK65"/>
      <c r="ECL65"/>
      <c r="ECM65"/>
      <c r="ECN65"/>
      <c r="ECO65"/>
      <c r="ECP65"/>
      <c r="ECQ65"/>
      <c r="ECR65"/>
      <c r="ECS65"/>
      <c r="ECT65"/>
      <c r="ECU65"/>
      <c r="ECV65"/>
      <c r="ECW65"/>
      <c r="ECX65"/>
      <c r="ECY65"/>
      <c r="ECZ65"/>
      <c r="EDA65"/>
      <c r="EDB65"/>
      <c r="EDC65"/>
      <c r="EDD65"/>
      <c r="EDE65"/>
      <c r="EDF65"/>
      <c r="EDG65"/>
      <c r="EDH65"/>
      <c r="EDI65"/>
      <c r="EDJ65"/>
      <c r="EDK65"/>
      <c r="EDL65"/>
      <c r="EDM65"/>
      <c r="EDN65"/>
      <c r="EDO65"/>
      <c r="EDP65"/>
      <c r="EDQ65"/>
      <c r="EDR65"/>
      <c r="EDS65"/>
      <c r="EDT65"/>
      <c r="EDU65"/>
      <c r="EDV65"/>
      <c r="EDW65"/>
      <c r="EDX65"/>
      <c r="EDY65"/>
      <c r="EDZ65"/>
      <c r="EEA65"/>
      <c r="EEB65"/>
      <c r="EEC65"/>
      <c r="EED65"/>
      <c r="EEE65"/>
      <c r="EEF65"/>
      <c r="EEG65"/>
      <c r="EEH65"/>
      <c r="EEI65"/>
      <c r="EEJ65"/>
      <c r="EEK65"/>
      <c r="EEL65"/>
      <c r="EEM65"/>
      <c r="EEN65"/>
      <c r="EEO65"/>
      <c r="EEP65"/>
      <c r="EEQ65"/>
      <c r="EER65"/>
      <c r="EES65"/>
      <c r="EET65"/>
      <c r="EEU65"/>
      <c r="EEV65"/>
      <c r="EEW65"/>
      <c r="EEX65"/>
      <c r="EEY65"/>
      <c r="EEZ65"/>
      <c r="EFA65"/>
      <c r="EFB65"/>
      <c r="EFC65"/>
      <c r="EFD65"/>
      <c r="EFE65"/>
      <c r="EFF65"/>
      <c r="EFG65"/>
      <c r="EFH65"/>
      <c r="EFI65"/>
      <c r="EFJ65"/>
      <c r="EFK65"/>
      <c r="EFL65"/>
      <c r="EFM65"/>
      <c r="EFN65"/>
      <c r="EFO65"/>
      <c r="EFP65"/>
      <c r="EFQ65"/>
      <c r="EFR65"/>
      <c r="EFS65"/>
      <c r="EFT65"/>
      <c r="EFU65"/>
      <c r="EFV65"/>
      <c r="EFW65"/>
      <c r="EFX65"/>
      <c r="EFY65"/>
      <c r="EFZ65"/>
      <c r="EGA65"/>
      <c r="EGB65"/>
      <c r="EGC65"/>
      <c r="EGD65"/>
      <c r="EGE65"/>
      <c r="EGF65"/>
      <c r="EGG65"/>
      <c r="EGH65"/>
      <c r="EGI65"/>
      <c r="EGJ65"/>
      <c r="EGK65"/>
      <c r="EGL65"/>
      <c r="EGM65"/>
      <c r="EGN65"/>
      <c r="EGO65"/>
      <c r="EGP65"/>
      <c r="EGQ65"/>
      <c r="EGR65"/>
      <c r="EGS65"/>
      <c r="EGT65"/>
      <c r="EGU65"/>
      <c r="EGV65"/>
      <c r="EGW65"/>
      <c r="EGX65"/>
      <c r="EGY65"/>
      <c r="EGZ65"/>
      <c r="EHA65"/>
      <c r="EHB65"/>
      <c r="EHC65"/>
      <c r="EHD65"/>
      <c r="EHE65"/>
      <c r="EHF65"/>
      <c r="EHG65"/>
      <c r="EHH65"/>
      <c r="EHI65"/>
      <c r="EHJ65"/>
      <c r="EHK65"/>
      <c r="EHL65"/>
      <c r="EHM65"/>
      <c r="EHN65"/>
      <c r="EHO65"/>
      <c r="EHP65"/>
      <c r="EHQ65"/>
      <c r="EHR65"/>
      <c r="EHS65"/>
      <c r="EHT65"/>
      <c r="EHU65"/>
      <c r="EHV65"/>
      <c r="EHW65"/>
      <c r="EHX65"/>
      <c r="EHY65"/>
      <c r="EHZ65"/>
      <c r="EIA65"/>
      <c r="EIB65"/>
      <c r="EIC65"/>
      <c r="EID65"/>
      <c r="EIE65"/>
      <c r="EIF65"/>
      <c r="EIG65"/>
      <c r="EIH65"/>
      <c r="EII65"/>
      <c r="EIJ65"/>
      <c r="EIK65"/>
      <c r="EIL65"/>
      <c r="EIM65"/>
      <c r="EIN65"/>
      <c r="EIO65"/>
      <c r="EIP65"/>
      <c r="EIQ65"/>
      <c r="EIR65"/>
      <c r="EIS65"/>
      <c r="EIT65"/>
      <c r="EIU65"/>
      <c r="EIV65"/>
      <c r="EIW65"/>
      <c r="EIX65"/>
      <c r="EIY65"/>
      <c r="EIZ65"/>
      <c r="EJA65"/>
      <c r="EJB65"/>
      <c r="EJC65"/>
      <c r="EJD65"/>
      <c r="EJE65"/>
      <c r="EJF65"/>
      <c r="EJG65"/>
      <c r="EJH65"/>
      <c r="EJI65"/>
      <c r="EJJ65"/>
      <c r="EJK65"/>
      <c r="EJL65"/>
      <c r="EJM65"/>
      <c r="EJN65"/>
      <c r="EJO65"/>
      <c r="EJP65"/>
      <c r="EJQ65"/>
      <c r="EJR65"/>
      <c r="EJS65"/>
      <c r="EJT65"/>
      <c r="EJU65"/>
      <c r="EJV65"/>
      <c r="EJW65"/>
      <c r="EJX65"/>
      <c r="EJY65"/>
      <c r="EJZ65"/>
      <c r="EKA65"/>
      <c r="EKB65"/>
      <c r="EKC65"/>
      <c r="EKD65"/>
      <c r="EKE65"/>
      <c r="EKF65"/>
      <c r="EKG65"/>
      <c r="EKH65"/>
      <c r="EKI65"/>
      <c r="EKJ65"/>
      <c r="EKK65"/>
      <c r="EKL65"/>
      <c r="EKM65"/>
      <c r="EKN65"/>
      <c r="EKO65"/>
      <c r="EKP65"/>
      <c r="EKQ65"/>
      <c r="EKR65"/>
      <c r="EKS65"/>
      <c r="EKT65"/>
      <c r="EKU65"/>
      <c r="EKV65"/>
      <c r="EKW65"/>
      <c r="EKX65"/>
      <c r="EKY65"/>
      <c r="EKZ65"/>
      <c r="ELA65"/>
      <c r="ELB65"/>
      <c r="ELC65"/>
      <c r="ELD65"/>
      <c r="ELE65"/>
      <c r="ELF65"/>
      <c r="ELG65"/>
      <c r="ELH65"/>
      <c r="ELI65"/>
      <c r="ELJ65"/>
      <c r="ELK65"/>
      <c r="ELL65"/>
      <c r="ELM65"/>
      <c r="ELN65"/>
      <c r="ELO65"/>
      <c r="ELP65"/>
      <c r="ELQ65"/>
      <c r="ELR65"/>
      <c r="ELS65"/>
      <c r="ELT65"/>
      <c r="ELU65"/>
      <c r="ELV65"/>
      <c r="ELW65"/>
      <c r="ELX65"/>
      <c r="ELY65"/>
      <c r="ELZ65"/>
      <c r="EMA65"/>
      <c r="EMB65"/>
      <c r="EMC65"/>
      <c r="EMD65"/>
      <c r="EME65"/>
      <c r="EMF65"/>
      <c r="EMG65"/>
      <c r="EMH65"/>
      <c r="EMI65"/>
      <c r="EMJ65"/>
      <c r="EMK65"/>
      <c r="EML65"/>
      <c r="EMM65"/>
      <c r="EMN65"/>
      <c r="EMO65"/>
      <c r="EMP65"/>
      <c r="EMQ65"/>
      <c r="EMR65"/>
      <c r="EMS65"/>
      <c r="EMT65"/>
      <c r="EMU65"/>
      <c r="EMV65"/>
      <c r="EMW65"/>
      <c r="EMX65"/>
      <c r="EMY65"/>
      <c r="EMZ65"/>
      <c r="ENA65"/>
      <c r="ENB65"/>
      <c r="ENC65"/>
      <c r="END65"/>
      <c r="ENE65"/>
      <c r="ENF65"/>
      <c r="ENG65"/>
      <c r="ENH65"/>
      <c r="ENI65"/>
      <c r="ENJ65"/>
      <c r="ENK65"/>
      <c r="ENL65"/>
      <c r="ENM65"/>
      <c r="ENN65"/>
      <c r="ENO65"/>
      <c r="ENP65"/>
      <c r="ENQ65"/>
      <c r="ENR65"/>
      <c r="ENS65"/>
      <c r="ENT65"/>
      <c r="ENU65"/>
      <c r="ENV65"/>
      <c r="ENW65"/>
      <c r="ENX65"/>
      <c r="ENY65"/>
      <c r="ENZ65"/>
      <c r="EOA65"/>
      <c r="EOB65"/>
      <c r="EOC65"/>
      <c r="EOD65"/>
      <c r="EOE65"/>
      <c r="EOF65"/>
      <c r="EOG65"/>
      <c r="EOH65"/>
      <c r="EOI65"/>
      <c r="EOJ65"/>
      <c r="EOK65"/>
      <c r="EOL65"/>
      <c r="EOM65"/>
      <c r="EON65"/>
      <c r="EOO65"/>
      <c r="EOP65"/>
      <c r="EOQ65"/>
      <c r="EOR65"/>
      <c r="EOS65"/>
      <c r="EOT65"/>
      <c r="EOU65"/>
      <c r="EOV65"/>
      <c r="EOW65"/>
      <c r="EOX65"/>
      <c r="EOY65"/>
      <c r="EOZ65"/>
      <c r="EPA65"/>
      <c r="EPB65"/>
      <c r="EPC65"/>
      <c r="EPD65"/>
      <c r="EPE65"/>
      <c r="EPF65"/>
      <c r="EPG65"/>
      <c r="EPH65"/>
      <c r="EPI65"/>
      <c r="EPJ65"/>
      <c r="EPK65"/>
      <c r="EPL65"/>
      <c r="EPM65"/>
      <c r="EPN65"/>
      <c r="EPO65"/>
      <c r="EPP65"/>
      <c r="EPQ65"/>
      <c r="EPR65"/>
      <c r="EPS65"/>
      <c r="EPT65"/>
      <c r="EPU65"/>
      <c r="EPV65"/>
      <c r="EPW65"/>
      <c r="EPX65"/>
      <c r="EPY65"/>
      <c r="EPZ65"/>
      <c r="EQA65"/>
      <c r="EQB65"/>
      <c r="EQC65"/>
      <c r="EQD65"/>
      <c r="EQE65"/>
      <c r="EQF65"/>
      <c r="EQG65"/>
      <c r="EQH65"/>
      <c r="EQI65"/>
      <c r="EQJ65"/>
      <c r="EQK65"/>
      <c r="EQL65"/>
      <c r="EQM65"/>
      <c r="EQN65"/>
      <c r="EQO65"/>
      <c r="EQP65"/>
      <c r="EQQ65"/>
      <c r="EQR65"/>
      <c r="EQS65"/>
      <c r="EQT65"/>
      <c r="EQU65"/>
      <c r="EQV65"/>
      <c r="EQW65"/>
      <c r="EQX65"/>
      <c r="EQY65"/>
      <c r="EQZ65"/>
      <c r="ERA65"/>
      <c r="ERB65"/>
      <c r="ERC65"/>
      <c r="ERD65"/>
      <c r="ERE65"/>
      <c r="ERF65"/>
      <c r="ERG65"/>
      <c r="ERH65"/>
      <c r="ERI65"/>
      <c r="ERJ65"/>
      <c r="ERK65"/>
      <c r="ERL65"/>
      <c r="ERM65"/>
      <c r="ERN65"/>
      <c r="ERO65"/>
      <c r="ERP65"/>
      <c r="ERQ65"/>
      <c r="ERR65"/>
      <c r="ERS65"/>
      <c r="ERT65"/>
      <c r="ERU65"/>
      <c r="ERV65"/>
      <c r="ERW65"/>
      <c r="ERX65"/>
      <c r="ERY65"/>
      <c r="ERZ65"/>
      <c r="ESA65"/>
      <c r="ESB65"/>
      <c r="ESC65"/>
      <c r="ESD65"/>
      <c r="ESE65"/>
      <c r="ESF65"/>
      <c r="ESG65"/>
      <c r="ESH65"/>
      <c r="ESI65"/>
      <c r="ESJ65"/>
      <c r="ESK65"/>
      <c r="ESL65"/>
      <c r="ESM65"/>
      <c r="ESN65"/>
      <c r="ESO65"/>
      <c r="ESP65"/>
      <c r="ESQ65"/>
      <c r="ESR65"/>
      <c r="ESS65"/>
      <c r="EST65"/>
      <c r="ESU65"/>
      <c r="ESV65"/>
      <c r="ESW65"/>
      <c r="ESX65"/>
      <c r="ESY65"/>
      <c r="ESZ65"/>
      <c r="ETA65"/>
      <c r="ETB65"/>
      <c r="ETC65"/>
      <c r="ETD65"/>
      <c r="ETE65"/>
      <c r="ETF65"/>
      <c r="ETG65"/>
      <c r="ETH65"/>
      <c r="ETI65"/>
      <c r="ETJ65"/>
      <c r="ETK65"/>
      <c r="ETL65"/>
      <c r="ETM65"/>
      <c r="ETN65"/>
      <c r="ETO65"/>
      <c r="ETP65"/>
      <c r="ETQ65"/>
      <c r="ETR65"/>
      <c r="ETS65"/>
      <c r="ETT65"/>
      <c r="ETU65"/>
      <c r="ETV65"/>
      <c r="ETW65"/>
      <c r="ETX65"/>
      <c r="ETY65"/>
      <c r="ETZ65"/>
      <c r="EUA65"/>
      <c r="EUB65"/>
      <c r="EUC65"/>
      <c r="EUD65"/>
      <c r="EUE65"/>
      <c r="EUF65"/>
      <c r="EUG65"/>
      <c r="EUH65"/>
      <c r="EUI65"/>
      <c r="EUJ65"/>
      <c r="EUK65"/>
      <c r="EUL65"/>
      <c r="EUM65"/>
      <c r="EUN65"/>
      <c r="EUO65"/>
      <c r="EUP65"/>
      <c r="EUQ65"/>
      <c r="EUR65"/>
      <c r="EUS65"/>
      <c r="EUT65"/>
      <c r="EUU65"/>
      <c r="EUV65"/>
      <c r="EUW65"/>
      <c r="EUX65"/>
      <c r="EUY65"/>
      <c r="EUZ65"/>
      <c r="EVA65"/>
      <c r="EVB65"/>
      <c r="EVC65"/>
      <c r="EVD65"/>
      <c r="EVE65"/>
      <c r="EVF65"/>
      <c r="EVG65"/>
      <c r="EVH65"/>
      <c r="EVI65"/>
      <c r="EVJ65"/>
      <c r="EVK65"/>
      <c r="EVL65"/>
      <c r="EVM65"/>
      <c r="EVN65"/>
      <c r="EVO65"/>
      <c r="EVP65"/>
      <c r="EVQ65"/>
      <c r="EVR65"/>
      <c r="EVS65"/>
      <c r="EVT65"/>
      <c r="EVU65"/>
      <c r="EVV65"/>
      <c r="EVW65"/>
      <c r="EVX65"/>
      <c r="EVY65"/>
      <c r="EVZ65"/>
      <c r="EWA65"/>
      <c r="EWB65"/>
      <c r="EWC65"/>
      <c r="EWD65"/>
      <c r="EWE65"/>
      <c r="EWF65"/>
      <c r="EWG65"/>
      <c r="EWH65"/>
      <c r="EWI65"/>
      <c r="EWJ65"/>
      <c r="EWK65"/>
      <c r="EWL65"/>
      <c r="EWM65"/>
      <c r="EWN65"/>
      <c r="EWO65"/>
      <c r="EWP65"/>
      <c r="EWQ65"/>
      <c r="EWR65"/>
      <c r="EWS65"/>
      <c r="EWT65"/>
      <c r="EWU65"/>
      <c r="EWV65"/>
      <c r="EWW65"/>
      <c r="EWX65"/>
      <c r="EWY65"/>
      <c r="EWZ65"/>
      <c r="EXA65"/>
      <c r="EXB65"/>
      <c r="EXC65"/>
      <c r="EXD65"/>
      <c r="EXE65"/>
      <c r="EXF65"/>
      <c r="EXG65"/>
      <c r="EXH65"/>
      <c r="EXI65"/>
      <c r="EXJ65"/>
      <c r="EXK65"/>
      <c r="EXL65"/>
      <c r="EXM65"/>
      <c r="EXN65"/>
      <c r="EXO65"/>
      <c r="EXP65"/>
      <c r="EXQ65"/>
      <c r="EXR65"/>
      <c r="EXS65"/>
      <c r="EXT65"/>
      <c r="EXU65"/>
      <c r="EXV65"/>
      <c r="EXW65"/>
      <c r="EXX65"/>
      <c r="EXY65"/>
      <c r="EXZ65"/>
      <c r="EYA65"/>
      <c r="EYB65"/>
      <c r="EYC65"/>
      <c r="EYD65"/>
      <c r="EYE65"/>
      <c r="EYF65"/>
      <c r="EYG65"/>
      <c r="EYH65"/>
      <c r="EYI65"/>
      <c r="EYJ65"/>
      <c r="EYK65"/>
      <c r="EYL65"/>
      <c r="EYM65"/>
      <c r="EYN65"/>
      <c r="EYO65"/>
      <c r="EYP65"/>
      <c r="EYQ65"/>
      <c r="EYR65"/>
      <c r="EYS65"/>
      <c r="EYT65"/>
      <c r="EYU65"/>
      <c r="EYV65"/>
      <c r="EYW65"/>
      <c r="EYX65"/>
      <c r="EYY65"/>
      <c r="EYZ65"/>
      <c r="EZA65"/>
      <c r="EZB65"/>
      <c r="EZC65"/>
      <c r="EZD65"/>
      <c r="EZE65"/>
      <c r="EZF65"/>
      <c r="EZG65"/>
      <c r="EZH65"/>
      <c r="EZI65"/>
      <c r="EZJ65"/>
      <c r="EZK65"/>
      <c r="EZL65"/>
      <c r="EZM65"/>
      <c r="EZN65"/>
      <c r="EZO65"/>
      <c r="EZP65"/>
      <c r="EZQ65"/>
      <c r="EZR65"/>
      <c r="EZS65"/>
      <c r="EZT65"/>
      <c r="EZU65"/>
      <c r="EZV65"/>
      <c r="EZW65"/>
      <c r="EZX65"/>
      <c r="EZY65"/>
      <c r="EZZ65"/>
      <c r="FAA65"/>
      <c r="FAB65"/>
      <c r="FAC65"/>
      <c r="FAD65"/>
      <c r="FAE65"/>
      <c r="FAF65"/>
      <c r="FAG65"/>
      <c r="FAH65"/>
      <c r="FAI65"/>
      <c r="FAJ65"/>
      <c r="FAK65"/>
      <c r="FAL65"/>
      <c r="FAM65"/>
      <c r="FAN65"/>
      <c r="FAO65"/>
      <c r="FAP65"/>
      <c r="FAQ65"/>
      <c r="FAR65"/>
      <c r="FAS65"/>
      <c r="FAT65"/>
      <c r="FAU65"/>
      <c r="FAV65"/>
      <c r="FAW65"/>
      <c r="FAX65"/>
      <c r="FAY65"/>
      <c r="FAZ65"/>
      <c r="FBA65"/>
      <c r="FBB65"/>
      <c r="FBC65"/>
      <c r="FBD65"/>
      <c r="FBE65"/>
      <c r="FBF65"/>
      <c r="FBG65"/>
      <c r="FBH65"/>
      <c r="FBI65"/>
      <c r="FBJ65"/>
      <c r="FBK65"/>
      <c r="FBL65"/>
      <c r="FBM65"/>
      <c r="FBN65"/>
      <c r="FBO65"/>
      <c r="FBP65"/>
      <c r="FBQ65"/>
      <c r="FBR65"/>
      <c r="FBS65"/>
      <c r="FBT65"/>
      <c r="FBU65"/>
      <c r="FBV65"/>
      <c r="FBW65"/>
      <c r="FBX65"/>
      <c r="FBY65"/>
      <c r="FBZ65"/>
      <c r="FCA65"/>
      <c r="FCB65"/>
      <c r="FCC65"/>
      <c r="FCD65"/>
      <c r="FCE65"/>
      <c r="FCF65"/>
      <c r="FCG65"/>
      <c r="FCH65"/>
      <c r="FCI65"/>
      <c r="FCJ65"/>
      <c r="FCK65"/>
      <c r="FCL65"/>
      <c r="FCM65"/>
      <c r="FCN65"/>
      <c r="FCO65"/>
      <c r="FCP65"/>
      <c r="FCQ65"/>
      <c r="FCR65"/>
      <c r="FCS65"/>
      <c r="FCT65"/>
      <c r="FCU65"/>
      <c r="FCV65"/>
      <c r="FCW65"/>
      <c r="FCX65"/>
      <c r="FCY65"/>
      <c r="FCZ65"/>
      <c r="FDA65"/>
      <c r="FDB65"/>
      <c r="FDC65"/>
      <c r="FDD65"/>
      <c r="FDE65"/>
      <c r="FDF65"/>
      <c r="FDG65"/>
      <c r="FDH65"/>
      <c r="FDI65"/>
      <c r="FDJ65"/>
      <c r="FDK65"/>
      <c r="FDL65"/>
      <c r="FDM65"/>
      <c r="FDN65"/>
      <c r="FDO65"/>
      <c r="FDP65"/>
      <c r="FDQ65"/>
      <c r="FDR65"/>
      <c r="FDS65"/>
      <c r="FDT65"/>
      <c r="FDU65"/>
      <c r="FDV65"/>
      <c r="FDW65"/>
      <c r="FDX65"/>
      <c r="FDY65"/>
      <c r="FDZ65"/>
      <c r="FEA65"/>
      <c r="FEB65"/>
      <c r="FEC65"/>
      <c r="FED65"/>
      <c r="FEE65"/>
      <c r="FEF65"/>
      <c r="FEG65"/>
      <c r="FEH65"/>
      <c r="FEI65"/>
      <c r="FEJ65"/>
      <c r="FEK65"/>
      <c r="FEL65"/>
      <c r="FEM65"/>
      <c r="FEN65"/>
      <c r="FEO65"/>
      <c r="FEP65"/>
      <c r="FEQ65"/>
      <c r="FER65"/>
      <c r="FES65"/>
      <c r="FET65"/>
      <c r="FEU65"/>
      <c r="FEV65"/>
      <c r="FEW65"/>
      <c r="FEX65"/>
      <c r="FEY65"/>
      <c r="FEZ65"/>
      <c r="FFA65"/>
      <c r="FFB65"/>
      <c r="FFC65"/>
      <c r="FFD65"/>
      <c r="FFE65"/>
      <c r="FFF65"/>
      <c r="FFG65"/>
      <c r="FFH65"/>
      <c r="FFI65"/>
      <c r="FFJ65"/>
      <c r="FFK65"/>
      <c r="FFL65"/>
      <c r="FFM65"/>
      <c r="FFN65"/>
      <c r="FFO65"/>
      <c r="FFP65"/>
      <c r="FFQ65"/>
      <c r="FFR65"/>
      <c r="FFS65"/>
      <c r="FFT65"/>
      <c r="FFU65"/>
      <c r="FFV65"/>
      <c r="FFW65"/>
      <c r="FFX65"/>
      <c r="FFY65"/>
      <c r="FFZ65"/>
      <c r="FGA65"/>
      <c r="FGB65"/>
      <c r="FGC65"/>
      <c r="FGD65"/>
      <c r="FGE65"/>
      <c r="FGF65"/>
      <c r="FGG65"/>
      <c r="FGH65"/>
      <c r="FGI65"/>
      <c r="FGJ65"/>
      <c r="FGK65"/>
      <c r="FGL65"/>
      <c r="FGM65"/>
      <c r="FGN65"/>
      <c r="FGO65"/>
      <c r="FGP65"/>
      <c r="FGQ65"/>
      <c r="FGR65"/>
      <c r="FGS65"/>
      <c r="FGT65"/>
      <c r="FGU65"/>
      <c r="FGV65"/>
      <c r="FGW65"/>
      <c r="FGX65"/>
      <c r="FGY65"/>
      <c r="FGZ65"/>
      <c r="FHA65"/>
      <c r="FHB65"/>
      <c r="FHC65"/>
      <c r="FHD65"/>
      <c r="FHE65"/>
      <c r="FHF65"/>
      <c r="FHG65"/>
      <c r="FHH65"/>
      <c r="FHI65"/>
      <c r="FHJ65"/>
      <c r="FHK65"/>
      <c r="FHL65"/>
      <c r="FHM65"/>
      <c r="FHN65"/>
      <c r="FHO65"/>
      <c r="FHP65"/>
      <c r="FHQ65"/>
      <c r="FHR65"/>
      <c r="FHS65"/>
      <c r="FHT65"/>
      <c r="FHU65"/>
      <c r="FHV65"/>
      <c r="FHW65"/>
      <c r="FHX65"/>
      <c r="FHY65"/>
      <c r="FHZ65"/>
      <c r="FIA65"/>
      <c r="FIB65"/>
      <c r="FIC65"/>
      <c r="FID65"/>
      <c r="FIE65"/>
      <c r="FIF65"/>
      <c r="FIG65"/>
      <c r="FIH65"/>
      <c r="FII65"/>
      <c r="FIJ65"/>
      <c r="FIK65"/>
      <c r="FIL65"/>
      <c r="FIM65"/>
      <c r="FIN65"/>
      <c r="FIO65"/>
      <c r="FIP65"/>
      <c r="FIQ65"/>
      <c r="FIR65"/>
      <c r="FIS65"/>
      <c r="FIT65"/>
      <c r="FIU65"/>
      <c r="FIV65"/>
      <c r="FIW65"/>
      <c r="FIX65"/>
      <c r="FIY65"/>
      <c r="FIZ65"/>
      <c r="FJA65"/>
      <c r="FJB65"/>
      <c r="FJC65"/>
      <c r="FJD65"/>
      <c r="FJE65"/>
      <c r="FJF65"/>
      <c r="FJG65"/>
      <c r="FJH65"/>
      <c r="FJI65"/>
      <c r="FJJ65"/>
      <c r="FJK65"/>
      <c r="FJL65"/>
      <c r="FJM65"/>
      <c r="FJN65"/>
      <c r="FJO65"/>
      <c r="FJP65"/>
      <c r="FJQ65"/>
      <c r="FJR65"/>
      <c r="FJS65"/>
      <c r="FJT65"/>
      <c r="FJU65"/>
      <c r="FJV65"/>
      <c r="FJW65"/>
      <c r="FJX65"/>
      <c r="FJY65"/>
      <c r="FJZ65"/>
      <c r="FKA65"/>
      <c r="FKB65"/>
      <c r="FKC65"/>
      <c r="FKD65"/>
      <c r="FKE65"/>
      <c r="FKF65"/>
      <c r="FKG65"/>
      <c r="FKH65"/>
      <c r="FKI65"/>
      <c r="FKJ65"/>
      <c r="FKK65"/>
      <c r="FKL65"/>
      <c r="FKM65"/>
      <c r="FKN65"/>
      <c r="FKO65"/>
      <c r="FKP65"/>
      <c r="FKQ65"/>
      <c r="FKR65"/>
      <c r="FKS65"/>
      <c r="FKT65"/>
      <c r="FKU65"/>
      <c r="FKV65"/>
      <c r="FKW65"/>
      <c r="FKX65"/>
      <c r="FKY65"/>
      <c r="FKZ65"/>
      <c r="FLA65"/>
      <c r="FLB65"/>
      <c r="FLC65"/>
      <c r="FLD65"/>
      <c r="FLE65"/>
      <c r="FLF65"/>
      <c r="FLG65"/>
      <c r="FLH65"/>
      <c r="FLI65"/>
      <c r="FLJ65"/>
      <c r="FLK65"/>
      <c r="FLL65"/>
      <c r="FLM65"/>
      <c r="FLN65"/>
      <c r="FLO65"/>
      <c r="FLP65"/>
      <c r="FLQ65"/>
      <c r="FLR65"/>
      <c r="FLS65"/>
      <c r="FLT65"/>
      <c r="FLU65"/>
      <c r="FLV65"/>
      <c r="FLW65"/>
      <c r="FLX65"/>
      <c r="FLY65"/>
      <c r="FLZ65"/>
      <c r="FMA65"/>
      <c r="FMB65"/>
      <c r="FMC65"/>
      <c r="FMD65"/>
      <c r="FME65"/>
      <c r="FMF65"/>
      <c r="FMG65"/>
      <c r="FMH65"/>
      <c r="FMI65"/>
      <c r="FMJ65"/>
      <c r="FMK65"/>
      <c r="FML65"/>
      <c r="FMM65"/>
      <c r="FMN65"/>
      <c r="FMO65"/>
      <c r="FMP65"/>
      <c r="FMQ65"/>
      <c r="FMR65"/>
      <c r="FMS65"/>
      <c r="FMT65"/>
      <c r="FMU65"/>
      <c r="FMV65"/>
      <c r="FMW65"/>
      <c r="FMX65"/>
      <c r="FMY65"/>
      <c r="FMZ65"/>
      <c r="FNA65"/>
      <c r="FNB65"/>
      <c r="FNC65"/>
      <c r="FND65"/>
      <c r="FNE65"/>
      <c r="FNF65"/>
      <c r="FNG65"/>
      <c r="FNH65"/>
      <c r="FNI65"/>
      <c r="FNJ65"/>
      <c r="FNK65"/>
      <c r="FNL65"/>
      <c r="FNM65"/>
      <c r="FNN65"/>
      <c r="FNO65"/>
      <c r="FNP65"/>
      <c r="FNQ65"/>
      <c r="FNR65"/>
      <c r="FNS65"/>
      <c r="FNT65"/>
      <c r="FNU65"/>
      <c r="FNV65"/>
      <c r="FNW65"/>
      <c r="FNX65"/>
      <c r="FNY65"/>
      <c r="FNZ65"/>
      <c r="FOA65"/>
      <c r="FOB65"/>
      <c r="FOC65"/>
      <c r="FOD65"/>
      <c r="FOE65"/>
      <c r="FOF65"/>
      <c r="FOG65"/>
      <c r="FOH65"/>
      <c r="FOI65"/>
      <c r="FOJ65"/>
      <c r="FOK65"/>
      <c r="FOL65"/>
      <c r="FOM65"/>
      <c r="FON65"/>
      <c r="FOO65"/>
      <c r="FOP65"/>
      <c r="FOQ65"/>
      <c r="FOR65"/>
      <c r="FOS65"/>
      <c r="FOT65"/>
      <c r="FOU65"/>
      <c r="FOV65"/>
      <c r="FOW65"/>
      <c r="FOX65"/>
      <c r="FOY65"/>
      <c r="FOZ65"/>
      <c r="FPA65"/>
      <c r="FPB65"/>
      <c r="FPC65"/>
      <c r="FPD65"/>
      <c r="FPE65"/>
      <c r="FPF65"/>
      <c r="FPG65"/>
      <c r="FPH65"/>
      <c r="FPI65"/>
      <c r="FPJ65"/>
      <c r="FPK65"/>
      <c r="FPL65"/>
      <c r="FPM65"/>
      <c r="FPN65"/>
      <c r="FPO65"/>
      <c r="FPP65"/>
      <c r="FPQ65"/>
      <c r="FPR65"/>
      <c r="FPS65"/>
      <c r="FPT65"/>
      <c r="FPU65"/>
      <c r="FPV65"/>
      <c r="FPW65"/>
      <c r="FPX65"/>
      <c r="FPY65"/>
      <c r="FPZ65"/>
      <c r="FQA65"/>
      <c r="FQB65"/>
      <c r="FQC65"/>
      <c r="FQD65"/>
      <c r="FQE65"/>
      <c r="FQF65"/>
      <c r="FQG65"/>
      <c r="FQH65"/>
      <c r="FQI65"/>
      <c r="FQJ65"/>
      <c r="FQK65"/>
      <c r="FQL65"/>
      <c r="FQM65"/>
      <c r="FQN65"/>
      <c r="FQO65"/>
      <c r="FQP65"/>
      <c r="FQQ65"/>
      <c r="FQR65"/>
      <c r="FQS65"/>
      <c r="FQT65"/>
      <c r="FQU65"/>
      <c r="FQV65"/>
      <c r="FQW65"/>
      <c r="FQX65"/>
      <c r="FQY65"/>
      <c r="FQZ65"/>
      <c r="FRA65"/>
      <c r="FRB65"/>
      <c r="FRC65"/>
      <c r="FRD65"/>
      <c r="FRE65"/>
      <c r="FRF65"/>
      <c r="FRG65"/>
      <c r="FRH65"/>
      <c r="FRI65"/>
      <c r="FRJ65"/>
      <c r="FRK65"/>
      <c r="FRL65"/>
      <c r="FRM65"/>
      <c r="FRN65"/>
      <c r="FRO65"/>
      <c r="FRP65"/>
      <c r="FRQ65"/>
      <c r="FRR65"/>
      <c r="FRS65"/>
      <c r="FRT65"/>
      <c r="FRU65"/>
      <c r="FRV65"/>
      <c r="FRW65"/>
      <c r="FRX65"/>
      <c r="FRY65"/>
      <c r="FRZ65"/>
      <c r="FSA65"/>
      <c r="FSB65"/>
      <c r="FSC65"/>
      <c r="FSD65"/>
      <c r="FSE65"/>
      <c r="FSF65"/>
      <c r="FSG65"/>
      <c r="FSH65"/>
      <c r="FSI65"/>
      <c r="FSJ65"/>
      <c r="FSK65"/>
      <c r="FSL65"/>
      <c r="FSM65"/>
      <c r="FSN65"/>
      <c r="FSO65"/>
      <c r="FSP65"/>
      <c r="FSQ65"/>
      <c r="FSR65"/>
      <c r="FSS65"/>
      <c r="FST65"/>
      <c r="FSU65"/>
      <c r="FSV65"/>
      <c r="FSW65"/>
      <c r="FSX65"/>
      <c r="FSY65"/>
      <c r="FSZ65"/>
      <c r="FTA65"/>
      <c r="FTB65"/>
      <c r="FTC65"/>
      <c r="FTD65"/>
      <c r="FTE65"/>
      <c r="FTF65"/>
      <c r="FTG65"/>
      <c r="FTH65"/>
      <c r="FTI65"/>
      <c r="FTJ65"/>
      <c r="FTK65"/>
      <c r="FTL65"/>
      <c r="FTM65"/>
      <c r="FTN65"/>
      <c r="FTO65"/>
      <c r="FTP65"/>
      <c r="FTQ65"/>
      <c r="FTR65"/>
      <c r="FTS65"/>
      <c r="FTT65"/>
      <c r="FTU65"/>
      <c r="FTV65"/>
      <c r="FTW65"/>
      <c r="FTX65"/>
      <c r="FTY65"/>
      <c r="FTZ65"/>
      <c r="FUA65"/>
      <c r="FUB65"/>
      <c r="FUC65"/>
      <c r="FUD65"/>
      <c r="FUE65"/>
      <c r="FUF65"/>
      <c r="FUG65"/>
      <c r="FUH65"/>
      <c r="FUI65"/>
      <c r="FUJ65"/>
      <c r="FUK65"/>
      <c r="FUL65"/>
      <c r="FUM65"/>
      <c r="FUN65"/>
      <c r="FUO65"/>
      <c r="FUP65"/>
      <c r="FUQ65"/>
      <c r="FUR65"/>
      <c r="FUS65"/>
      <c r="FUT65"/>
      <c r="FUU65"/>
      <c r="FUV65"/>
      <c r="FUW65"/>
      <c r="FUX65"/>
      <c r="FUY65"/>
      <c r="FUZ65"/>
      <c r="FVA65"/>
      <c r="FVB65"/>
      <c r="FVC65"/>
      <c r="FVD65"/>
      <c r="FVE65"/>
      <c r="FVF65"/>
      <c r="FVG65"/>
      <c r="FVH65"/>
      <c r="FVI65"/>
      <c r="FVJ65"/>
      <c r="FVK65"/>
      <c r="FVL65"/>
      <c r="FVM65"/>
      <c r="FVN65"/>
      <c r="FVO65"/>
      <c r="FVP65"/>
      <c r="FVQ65"/>
      <c r="FVR65"/>
      <c r="FVS65"/>
      <c r="FVT65"/>
      <c r="FVU65"/>
      <c r="FVV65"/>
      <c r="FVW65"/>
      <c r="FVX65"/>
      <c r="FVY65"/>
      <c r="FVZ65"/>
    </row>
    <row r="66" spans="1:4654" ht="15.75">
      <c r="A66" s="47"/>
      <c r="B66" s="47"/>
      <c r="C66" s="47"/>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c r="MA66"/>
      <c r="MB66"/>
      <c r="MC66"/>
      <c r="MD66"/>
      <c r="ME66"/>
      <c r="MF66"/>
      <c r="MG66"/>
      <c r="MH66"/>
      <c r="MI66"/>
      <c r="MJ66"/>
      <c r="MK66"/>
      <c r="ML66"/>
      <c r="MM66"/>
      <c r="MN66"/>
      <c r="MO66"/>
      <c r="MP66"/>
      <c r="MQ66"/>
      <c r="MR66"/>
      <c r="MS66"/>
      <c r="MT66"/>
      <c r="MU66"/>
      <c r="MV66"/>
      <c r="MW66"/>
      <c r="MX66"/>
      <c r="MY66"/>
      <c r="MZ66"/>
      <c r="NA66"/>
      <c r="NB66"/>
      <c r="NC66"/>
      <c r="ND66"/>
      <c r="NE66"/>
      <c r="NF66"/>
      <c r="NG66"/>
      <c r="NH66"/>
      <c r="NI66"/>
      <c r="NJ66"/>
      <c r="NK66"/>
      <c r="NL66"/>
      <c r="NM66"/>
      <c r="NN66"/>
      <c r="NO66"/>
      <c r="NP66"/>
      <c r="NQ66"/>
      <c r="NR66"/>
      <c r="NS66"/>
      <c r="NT66"/>
      <c r="NU66"/>
      <c r="NV66"/>
      <c r="NW66"/>
      <c r="NX66"/>
      <c r="NY66"/>
      <c r="NZ66"/>
      <c r="OA66"/>
      <c r="OB66"/>
      <c r="OC66"/>
      <c r="OD66"/>
      <c r="OE66"/>
      <c r="OF66"/>
      <c r="OG66"/>
      <c r="OH66"/>
      <c r="OI66"/>
      <c r="OJ66"/>
      <c r="OK66"/>
      <c r="OL66"/>
      <c r="OM66"/>
      <c r="ON66"/>
      <c r="OO66"/>
      <c r="OP66"/>
      <c r="OQ66"/>
      <c r="OR66"/>
      <c r="OS66"/>
      <c r="OT66"/>
      <c r="OU66"/>
      <c r="OV66"/>
      <c r="OW66"/>
      <c r="OX66"/>
      <c r="OY66"/>
      <c r="OZ66"/>
      <c r="PA66"/>
      <c r="PB66"/>
      <c r="PC66"/>
      <c r="PD66"/>
      <c r="PE66"/>
      <c r="PF66"/>
      <c r="PG66"/>
      <c r="PH66"/>
      <c r="PI66"/>
      <c r="PJ66"/>
      <c r="PK66"/>
      <c r="PL66"/>
      <c r="PM66"/>
      <c r="PN66"/>
      <c r="PO66"/>
      <c r="PP66"/>
      <c r="PQ66"/>
      <c r="PR66"/>
      <c r="PS66"/>
      <c r="PT66"/>
      <c r="PU66"/>
      <c r="PV66"/>
      <c r="PW66"/>
      <c r="PX66"/>
      <c r="PY66"/>
      <c r="PZ66"/>
      <c r="QA66"/>
      <c r="QB66"/>
      <c r="QC66"/>
      <c r="QD66"/>
      <c r="QE66"/>
      <c r="QF66"/>
      <c r="QG66"/>
      <c r="QH66"/>
      <c r="QI66"/>
      <c r="QJ66"/>
      <c r="QK66"/>
      <c r="QL66"/>
      <c r="QM66"/>
      <c r="QN66"/>
      <c r="QO66"/>
      <c r="QP66"/>
      <c r="QQ66"/>
      <c r="QR66"/>
      <c r="QS66"/>
      <c r="QT66"/>
      <c r="QU66"/>
      <c r="QV66"/>
      <c r="QW66"/>
      <c r="QX66"/>
      <c r="QY66"/>
      <c r="QZ66"/>
      <c r="RA66"/>
      <c r="RB66"/>
      <c r="RC66"/>
      <c r="RD66"/>
      <c r="RE66"/>
      <c r="RF66"/>
      <c r="RG66"/>
      <c r="RH66"/>
      <c r="RI66"/>
      <c r="RJ66"/>
      <c r="RK66"/>
      <c r="RL66"/>
      <c r="RM66"/>
      <c r="RN66"/>
      <c r="RO66"/>
      <c r="RP66"/>
      <c r="RQ66"/>
      <c r="RR66"/>
      <c r="RS66"/>
      <c r="RT66"/>
      <c r="RU66"/>
      <c r="RV66"/>
      <c r="RW66"/>
      <c r="RX66"/>
      <c r="RY66"/>
      <c r="RZ66"/>
      <c r="SA66"/>
      <c r="SB66"/>
      <c r="SC66"/>
      <c r="SD66"/>
      <c r="SE66"/>
      <c r="SF66"/>
      <c r="SG66"/>
      <c r="SH66"/>
      <c r="SI66"/>
      <c r="SJ66"/>
      <c r="SK66"/>
      <c r="SL66"/>
      <c r="SM66"/>
      <c r="SN66"/>
      <c r="SO66"/>
      <c r="SP66"/>
      <c r="SQ66"/>
      <c r="SR66"/>
      <c r="SS66"/>
      <c r="ST66"/>
      <c r="SU66"/>
      <c r="SV66"/>
      <c r="SW66"/>
      <c r="SX66"/>
      <c r="SY66"/>
      <c r="SZ66"/>
      <c r="TA66"/>
      <c r="TB66"/>
      <c r="TC66"/>
      <c r="TD66"/>
      <c r="TE66"/>
      <c r="TF66"/>
      <c r="TG66"/>
      <c r="TH66"/>
      <c r="TI66"/>
      <c r="TJ66"/>
      <c r="TK66"/>
      <c r="TL66"/>
      <c r="TM66"/>
      <c r="TN66"/>
      <c r="TO66"/>
      <c r="TP66"/>
      <c r="TQ66"/>
      <c r="TR66"/>
      <c r="TS66"/>
      <c r="TT66"/>
      <c r="TU66"/>
      <c r="TV66"/>
      <c r="TW66"/>
      <c r="TX66"/>
      <c r="TY66"/>
      <c r="TZ66"/>
      <c r="UA66"/>
      <c r="UB66"/>
      <c r="UC66"/>
      <c r="UD66"/>
      <c r="UE66"/>
      <c r="UF66"/>
      <c r="UG66"/>
      <c r="UH66"/>
      <c r="UI66"/>
      <c r="UJ66"/>
      <c r="UK66"/>
      <c r="UL66"/>
      <c r="UM66"/>
      <c r="UN66"/>
      <c r="UO66"/>
      <c r="UP66"/>
      <c r="UQ66"/>
      <c r="UR66"/>
      <c r="US66"/>
      <c r="UT66"/>
      <c r="UU66"/>
      <c r="UV66"/>
      <c r="UW66"/>
      <c r="UX66"/>
      <c r="UY66"/>
      <c r="UZ66"/>
      <c r="VA66"/>
      <c r="VB66"/>
      <c r="VC66"/>
      <c r="VD66"/>
      <c r="VE66"/>
      <c r="VF66"/>
      <c r="VG66"/>
      <c r="VH66"/>
      <c r="VI66"/>
      <c r="VJ66"/>
      <c r="VK66"/>
      <c r="VL66"/>
      <c r="VM66"/>
      <c r="VN66"/>
      <c r="VO66"/>
      <c r="VP66"/>
      <c r="VQ66"/>
      <c r="VR66"/>
      <c r="VS66"/>
      <c r="VT66"/>
      <c r="VU66"/>
      <c r="VV66"/>
      <c r="VW66"/>
      <c r="VX66"/>
      <c r="VY66"/>
      <c r="VZ66"/>
      <c r="WA66"/>
      <c r="WB66"/>
      <c r="WC66"/>
      <c r="WD66"/>
      <c r="WE66"/>
      <c r="WF66"/>
      <c r="WG66"/>
      <c r="WH66"/>
      <c r="WI66"/>
      <c r="WJ66"/>
      <c r="WK66"/>
      <c r="WL66"/>
      <c r="WM66"/>
      <c r="WN66"/>
      <c r="WO66"/>
      <c r="WP66"/>
      <c r="WQ66"/>
      <c r="WR66"/>
      <c r="WS66"/>
      <c r="WT66"/>
      <c r="WU66"/>
      <c r="WV66"/>
      <c r="WW66"/>
      <c r="WX66"/>
      <c r="WY66"/>
      <c r="WZ66"/>
      <c r="XA66"/>
      <c r="XB66"/>
      <c r="XC66"/>
      <c r="XD66"/>
      <c r="XE66"/>
      <c r="XF66"/>
      <c r="XG66"/>
      <c r="XH66"/>
      <c r="XI66"/>
      <c r="XJ66"/>
      <c r="XK66"/>
      <c r="XL66"/>
      <c r="XM66"/>
      <c r="XN66"/>
      <c r="XO66"/>
      <c r="XP66"/>
      <c r="XQ66"/>
      <c r="XR66"/>
      <c r="XS66"/>
      <c r="XT66"/>
      <c r="XU66"/>
      <c r="XV66"/>
      <c r="XW66"/>
      <c r="XX66"/>
      <c r="XY66"/>
      <c r="XZ66"/>
      <c r="YA66"/>
      <c r="YB66"/>
      <c r="YC66"/>
      <c r="YD66"/>
      <c r="YE66"/>
      <c r="YF66"/>
      <c r="YG66"/>
      <c r="YH66"/>
      <c r="YI66"/>
      <c r="YJ66"/>
      <c r="YK66"/>
      <c r="YL66"/>
      <c r="YM66"/>
      <c r="YN66"/>
      <c r="YO66"/>
      <c r="YP66"/>
      <c r="YQ66"/>
      <c r="YR66"/>
      <c r="YS66"/>
      <c r="YT66"/>
      <c r="YU66"/>
      <c r="YV66"/>
      <c r="YW66"/>
      <c r="YX66"/>
      <c r="YY66"/>
      <c r="YZ66"/>
      <c r="ZA66"/>
      <c r="ZB66"/>
      <c r="ZC66"/>
      <c r="ZD66"/>
      <c r="ZE66"/>
      <c r="ZF66"/>
      <c r="ZG66"/>
      <c r="ZH66"/>
      <c r="ZI66"/>
      <c r="ZJ66"/>
      <c r="ZK66"/>
      <c r="ZL66"/>
      <c r="ZM66"/>
      <c r="ZN66"/>
      <c r="ZO66"/>
      <c r="ZP66"/>
      <c r="ZQ66"/>
      <c r="ZR66"/>
      <c r="ZS66"/>
      <c r="ZT66"/>
      <c r="ZU66"/>
      <c r="ZV66"/>
      <c r="ZW66"/>
      <c r="ZX66"/>
      <c r="ZY66"/>
      <c r="ZZ66"/>
      <c r="AAA66"/>
      <c r="AAB66"/>
      <c r="AAC66"/>
      <c r="AAD66"/>
      <c r="AAE66"/>
      <c r="AAF66"/>
      <c r="AAG66"/>
      <c r="AAH66"/>
      <c r="AAI66"/>
      <c r="AAJ66"/>
      <c r="AAK66"/>
      <c r="AAL66"/>
      <c r="AAM66"/>
      <c r="AAN66"/>
      <c r="AAO66"/>
      <c r="AAP66"/>
      <c r="AAQ66"/>
      <c r="AAR66"/>
      <c r="AAS66"/>
      <c r="AAT66"/>
      <c r="AAU66"/>
      <c r="AAV66"/>
      <c r="AAW66"/>
      <c r="AAX66"/>
      <c r="AAY66"/>
      <c r="AAZ66"/>
      <c r="ABA66"/>
      <c r="ABB66"/>
      <c r="ABC66"/>
      <c r="ABD66"/>
      <c r="ABE66"/>
      <c r="ABF66"/>
      <c r="ABG66"/>
      <c r="ABH66"/>
      <c r="ABI66"/>
      <c r="ABJ66"/>
      <c r="ABK66"/>
      <c r="ABL66"/>
      <c r="ABM66"/>
      <c r="ABN66"/>
      <c r="ABO66"/>
      <c r="ABP66"/>
      <c r="ABQ66"/>
      <c r="ABR66"/>
      <c r="ABS66"/>
      <c r="ABT66"/>
      <c r="ABU66"/>
      <c r="ABV66"/>
      <c r="ABW66"/>
      <c r="ABX66"/>
      <c r="ABY66"/>
      <c r="ABZ66"/>
      <c r="ACA66"/>
      <c r="ACB66"/>
      <c r="ACC66"/>
      <c r="ACD66"/>
      <c r="ACE66"/>
      <c r="ACF66"/>
      <c r="ACG66"/>
      <c r="ACH66"/>
      <c r="ACI66"/>
      <c r="ACJ66"/>
      <c r="ACK66"/>
      <c r="ACL66"/>
      <c r="ACM66"/>
      <c r="ACN66"/>
      <c r="ACO66"/>
      <c r="ACP66"/>
      <c r="ACQ66"/>
      <c r="ACR66"/>
      <c r="ACS66"/>
      <c r="ACT66"/>
      <c r="ACU66"/>
      <c r="ACV66"/>
      <c r="ACW66"/>
      <c r="ACX66"/>
      <c r="ACY66"/>
      <c r="ACZ66"/>
      <c r="ADA66"/>
      <c r="ADB66"/>
      <c r="ADC66"/>
      <c r="ADD66"/>
      <c r="ADE66"/>
      <c r="ADF66"/>
      <c r="ADG66"/>
      <c r="ADH66"/>
      <c r="ADI66"/>
      <c r="ADJ66"/>
      <c r="ADK66"/>
      <c r="ADL66"/>
      <c r="ADM66"/>
      <c r="ADN66"/>
      <c r="ADO66"/>
      <c r="ADP66"/>
      <c r="ADQ66"/>
      <c r="ADR66"/>
      <c r="ADS66"/>
      <c r="ADT66"/>
      <c r="ADU66"/>
      <c r="ADV66"/>
      <c r="ADW66"/>
      <c r="ADX66"/>
      <c r="ADY66"/>
      <c r="ADZ66"/>
      <c r="AEA66"/>
      <c r="AEB66"/>
      <c r="AEC66"/>
      <c r="AED66"/>
      <c r="AEE66"/>
      <c r="AEF66"/>
      <c r="AEG66"/>
      <c r="AEH66"/>
      <c r="AEI66"/>
      <c r="AEJ66"/>
      <c r="AEK66"/>
      <c r="AEL66"/>
      <c r="AEM66"/>
      <c r="AEN66"/>
      <c r="AEO66"/>
      <c r="AEP66"/>
      <c r="AEQ66"/>
      <c r="AER66"/>
      <c r="AES66"/>
      <c r="AET66"/>
      <c r="AEU66"/>
      <c r="AEV66"/>
      <c r="AEW66"/>
      <c r="AEX66"/>
      <c r="AEY66"/>
      <c r="AEZ66"/>
      <c r="AFA66"/>
      <c r="AFB66"/>
      <c r="AFC66"/>
      <c r="AFD66"/>
      <c r="AFE66"/>
      <c r="AFF66"/>
      <c r="AFG66"/>
      <c r="AFH66"/>
      <c r="AFI66"/>
      <c r="AFJ66"/>
      <c r="AFK66"/>
      <c r="AFL66"/>
      <c r="AFM66"/>
      <c r="AFN66"/>
      <c r="AFO66"/>
      <c r="AFP66"/>
      <c r="AFQ66"/>
      <c r="AFR66"/>
      <c r="AFS66"/>
      <c r="AFT66"/>
      <c r="AFU66"/>
      <c r="AFV66"/>
      <c r="AFW66"/>
      <c r="AFX66"/>
      <c r="AFY66"/>
      <c r="AFZ66"/>
      <c r="AGA66"/>
      <c r="AGB66"/>
      <c r="AGC66"/>
      <c r="AGD66"/>
      <c r="AGE66"/>
      <c r="AGF66"/>
      <c r="AGG66"/>
      <c r="AGH66"/>
      <c r="AGI66"/>
      <c r="AGJ66"/>
      <c r="AGK66"/>
      <c r="AGL66"/>
      <c r="AGM66"/>
      <c r="AGN66"/>
      <c r="AGO66"/>
      <c r="AGP66"/>
      <c r="AGQ66"/>
      <c r="AGR66"/>
      <c r="AGS66"/>
      <c r="AGT66"/>
      <c r="AGU66"/>
      <c r="AGV66"/>
      <c r="AGW66"/>
      <c r="AGX66"/>
      <c r="AGY66"/>
      <c r="AGZ66"/>
      <c r="AHA66"/>
      <c r="AHB66"/>
      <c r="AHC66"/>
      <c r="AHD66"/>
      <c r="AHE66"/>
      <c r="AHF66"/>
      <c r="AHG66"/>
      <c r="AHH66"/>
      <c r="AHI66"/>
      <c r="AHJ66"/>
      <c r="AHK66"/>
      <c r="AHL66"/>
      <c r="AHM66"/>
      <c r="AHN66"/>
      <c r="AHO66"/>
      <c r="AHP66"/>
      <c r="AHQ66"/>
      <c r="AHR66"/>
      <c r="AHS66"/>
      <c r="AHT66"/>
      <c r="AHU66"/>
      <c r="AHV66"/>
      <c r="AHW66"/>
      <c r="AHX66"/>
      <c r="AHY66"/>
      <c r="AHZ66"/>
      <c r="AIA66"/>
      <c r="AIB66"/>
      <c r="AIC66"/>
      <c r="AID66"/>
      <c r="AIE66"/>
      <c r="AIF66"/>
      <c r="AIG66"/>
      <c r="AIH66"/>
      <c r="AII66"/>
      <c r="AIJ66"/>
      <c r="AIK66"/>
      <c r="AIL66"/>
      <c r="AIM66"/>
      <c r="AIN66"/>
      <c r="AIO66"/>
      <c r="AIP66"/>
      <c r="AIQ66"/>
      <c r="AIR66"/>
      <c r="AIS66"/>
      <c r="AIT66"/>
      <c r="AIU66"/>
      <c r="AIV66"/>
      <c r="AIW66"/>
      <c r="AIX66"/>
      <c r="AIY66"/>
      <c r="AIZ66"/>
      <c r="AJA66"/>
      <c r="AJB66"/>
      <c r="AJC66"/>
      <c r="AJD66"/>
      <c r="AJE66"/>
      <c r="AJF66"/>
      <c r="AJG66"/>
      <c r="AJH66"/>
      <c r="AJI66"/>
      <c r="AJJ66"/>
      <c r="AJK66"/>
      <c r="AJL66"/>
      <c r="AJM66"/>
      <c r="AJN66"/>
      <c r="AJO66"/>
      <c r="AJP66"/>
      <c r="AJQ66"/>
      <c r="AJR66"/>
      <c r="AJS66"/>
      <c r="AJT66"/>
      <c r="AJU66"/>
      <c r="AJV66"/>
      <c r="AJW66"/>
      <c r="AJX66"/>
      <c r="AJY66"/>
      <c r="AJZ66"/>
      <c r="AKA66"/>
      <c r="AKB66"/>
      <c r="AKC66"/>
      <c r="AKD66"/>
      <c r="AKE66"/>
      <c r="AKF66"/>
      <c r="AKG66"/>
      <c r="AKH66"/>
      <c r="AKI66"/>
      <c r="AKJ66"/>
      <c r="AKK66"/>
      <c r="AKL66"/>
      <c r="AKM66"/>
      <c r="AKN66"/>
      <c r="AKO66"/>
      <c r="AKP66"/>
      <c r="AKQ66"/>
      <c r="AKR66"/>
      <c r="AKS66"/>
      <c r="AKT66"/>
      <c r="AKU66"/>
      <c r="AKV66"/>
      <c r="AKW66"/>
      <c r="AKX66"/>
      <c r="AKY66"/>
      <c r="AKZ66"/>
      <c r="ALA66"/>
      <c r="ALB66"/>
      <c r="ALC66"/>
      <c r="ALD66"/>
      <c r="ALE66"/>
      <c r="ALF66"/>
      <c r="ALG66"/>
      <c r="ALH66"/>
      <c r="ALI66"/>
      <c r="ALJ66"/>
      <c r="ALK66"/>
      <c r="ALL66"/>
      <c r="ALM66"/>
      <c r="ALN66"/>
      <c r="ALO66"/>
      <c r="ALP66"/>
      <c r="ALQ66"/>
      <c r="ALR66"/>
      <c r="ALS66"/>
      <c r="ALT66"/>
      <c r="ALU66"/>
      <c r="ALV66"/>
      <c r="ALW66"/>
      <c r="ALX66"/>
      <c r="ALY66"/>
      <c r="ALZ66"/>
      <c r="AMA66"/>
      <c r="AMB66"/>
      <c r="AMC66"/>
      <c r="AMD66"/>
      <c r="AME66"/>
      <c r="AMF66"/>
      <c r="AMG66"/>
      <c r="AMH66"/>
      <c r="AMI66"/>
      <c r="AMJ66"/>
      <c r="AMK66"/>
      <c r="AML66"/>
      <c r="AMM66"/>
      <c r="AMN66"/>
      <c r="AMO66"/>
      <c r="AMP66"/>
      <c r="AMQ66"/>
      <c r="AMR66"/>
      <c r="AMS66"/>
      <c r="AMT66"/>
      <c r="AMU66"/>
      <c r="AMV66"/>
      <c r="AMW66"/>
      <c r="AMX66"/>
      <c r="AMY66"/>
      <c r="AMZ66"/>
      <c r="ANA66"/>
      <c r="ANB66"/>
      <c r="ANC66"/>
      <c r="AND66"/>
      <c r="ANE66"/>
      <c r="ANF66"/>
      <c r="ANG66"/>
      <c r="ANH66"/>
      <c r="ANI66"/>
      <c r="ANJ66"/>
      <c r="ANK66"/>
      <c r="ANL66"/>
      <c r="ANM66"/>
      <c r="ANN66"/>
      <c r="ANO66"/>
      <c r="ANP66"/>
      <c r="ANQ66"/>
      <c r="ANR66"/>
      <c r="ANS66"/>
      <c r="ANT66"/>
      <c r="ANU66"/>
      <c r="ANV66"/>
      <c r="ANW66"/>
      <c r="ANX66"/>
      <c r="ANY66"/>
      <c r="ANZ66"/>
      <c r="AOA66"/>
      <c r="AOB66"/>
      <c r="AOC66"/>
      <c r="AOD66"/>
      <c r="AOE66"/>
      <c r="AOF66"/>
      <c r="AOG66"/>
      <c r="AOH66"/>
      <c r="AOI66"/>
      <c r="AOJ66"/>
      <c r="AOK66"/>
      <c r="AOL66"/>
      <c r="AOM66"/>
      <c r="AON66"/>
      <c r="AOO66"/>
      <c r="AOP66"/>
      <c r="AOQ66"/>
      <c r="AOR66"/>
      <c r="AOS66"/>
      <c r="AOT66"/>
      <c r="AOU66"/>
      <c r="AOV66"/>
      <c r="AOW66"/>
      <c r="AOX66"/>
      <c r="AOY66"/>
      <c r="AOZ66"/>
      <c r="APA66"/>
      <c r="APB66"/>
      <c r="APC66"/>
      <c r="APD66"/>
      <c r="APE66"/>
      <c r="APF66"/>
      <c r="APG66"/>
      <c r="APH66"/>
      <c r="API66"/>
      <c r="APJ66"/>
      <c r="APK66"/>
      <c r="APL66"/>
      <c r="APM66"/>
      <c r="APN66"/>
      <c r="APO66"/>
      <c r="APP66"/>
      <c r="APQ66"/>
      <c r="APR66"/>
      <c r="APS66"/>
      <c r="APT66"/>
      <c r="APU66"/>
      <c r="APV66"/>
      <c r="APW66"/>
      <c r="APX66"/>
      <c r="APY66"/>
      <c r="APZ66"/>
      <c r="AQA66"/>
      <c r="AQB66"/>
      <c r="AQC66"/>
      <c r="AQD66"/>
      <c r="AQE66"/>
      <c r="AQF66"/>
      <c r="AQG66"/>
      <c r="AQH66"/>
      <c r="AQI66"/>
      <c r="AQJ66"/>
      <c r="AQK66"/>
      <c r="AQL66"/>
      <c r="AQM66"/>
      <c r="AQN66"/>
      <c r="AQO66"/>
      <c r="AQP66"/>
      <c r="AQQ66"/>
      <c r="AQR66"/>
      <c r="AQS66"/>
      <c r="AQT66"/>
      <c r="AQU66"/>
      <c r="AQV66"/>
      <c r="AQW66"/>
      <c r="AQX66"/>
      <c r="AQY66"/>
      <c r="AQZ66"/>
      <c r="ARA66"/>
      <c r="ARB66"/>
      <c r="ARC66"/>
      <c r="ARD66"/>
      <c r="ARE66"/>
      <c r="ARF66"/>
      <c r="ARG66"/>
      <c r="ARH66"/>
      <c r="ARI66"/>
      <c r="ARJ66"/>
      <c r="ARK66"/>
      <c r="ARL66"/>
      <c r="ARM66"/>
      <c r="ARN66"/>
      <c r="ARO66"/>
      <c r="ARP66"/>
      <c r="ARQ66"/>
      <c r="ARR66"/>
      <c r="ARS66"/>
      <c r="ART66"/>
      <c r="ARU66"/>
      <c r="ARV66"/>
      <c r="ARW66"/>
      <c r="ARX66"/>
      <c r="ARY66"/>
      <c r="ARZ66"/>
      <c r="ASA66"/>
      <c r="ASB66"/>
      <c r="ASC66"/>
      <c r="ASD66"/>
      <c r="ASE66"/>
      <c r="ASF66"/>
      <c r="ASG66"/>
      <c r="ASH66"/>
      <c r="ASI66"/>
      <c r="ASJ66"/>
      <c r="ASK66"/>
      <c r="ASL66"/>
      <c r="ASM66"/>
      <c r="ASN66"/>
      <c r="ASO66"/>
      <c r="ASP66"/>
      <c r="ASQ66"/>
      <c r="ASR66"/>
      <c r="ASS66"/>
      <c r="AST66"/>
      <c r="ASU66"/>
      <c r="ASV66"/>
      <c r="ASW66"/>
      <c r="ASX66"/>
      <c r="ASY66"/>
      <c r="ASZ66"/>
      <c r="ATA66"/>
      <c r="ATB66"/>
      <c r="ATC66"/>
      <c r="ATD66"/>
      <c r="ATE66"/>
      <c r="ATF66"/>
      <c r="ATG66"/>
      <c r="ATH66"/>
      <c r="ATI66"/>
      <c r="ATJ66"/>
      <c r="ATK66"/>
      <c r="ATL66"/>
      <c r="ATM66"/>
      <c r="ATN66"/>
      <c r="ATO66"/>
      <c r="ATP66"/>
      <c r="ATQ66"/>
      <c r="ATR66"/>
      <c r="ATS66"/>
      <c r="ATT66"/>
      <c r="ATU66"/>
      <c r="ATV66"/>
      <c r="ATW66"/>
      <c r="ATX66"/>
      <c r="ATY66"/>
      <c r="ATZ66"/>
      <c r="AUA66"/>
      <c r="AUB66"/>
      <c r="AUC66"/>
      <c r="AUD66"/>
      <c r="AUE66"/>
      <c r="AUF66"/>
      <c r="AUG66"/>
      <c r="AUH66"/>
      <c r="AUI66"/>
      <c r="AUJ66"/>
      <c r="AUK66"/>
      <c r="AUL66"/>
      <c r="AUM66"/>
      <c r="AUN66"/>
      <c r="AUO66"/>
      <c r="AUP66"/>
      <c r="AUQ66"/>
      <c r="AUR66"/>
      <c r="AUS66"/>
      <c r="AUT66"/>
      <c r="AUU66"/>
      <c r="AUV66"/>
      <c r="AUW66"/>
      <c r="AUX66"/>
      <c r="AUY66"/>
      <c r="AUZ66"/>
      <c r="AVA66"/>
      <c r="AVB66"/>
      <c r="AVC66"/>
      <c r="AVD66"/>
      <c r="AVE66"/>
      <c r="AVF66"/>
      <c r="AVG66"/>
      <c r="AVH66"/>
      <c r="AVI66"/>
      <c r="AVJ66"/>
      <c r="AVK66"/>
      <c r="AVL66"/>
      <c r="AVM66"/>
      <c r="AVN66"/>
      <c r="AVO66"/>
      <c r="AVP66"/>
      <c r="AVQ66"/>
      <c r="AVR66"/>
      <c r="AVS66"/>
      <c r="AVT66"/>
      <c r="AVU66"/>
      <c r="AVV66"/>
      <c r="AVW66"/>
      <c r="AVX66"/>
      <c r="AVY66"/>
      <c r="AVZ66"/>
      <c r="AWA66"/>
      <c r="AWB66"/>
      <c r="AWC66"/>
      <c r="AWD66"/>
      <c r="AWE66"/>
      <c r="AWF66"/>
      <c r="AWG66"/>
      <c r="AWH66"/>
      <c r="AWI66"/>
      <c r="AWJ66"/>
      <c r="AWK66"/>
      <c r="AWL66"/>
      <c r="AWM66"/>
      <c r="AWN66"/>
      <c r="AWO66"/>
      <c r="AWP66"/>
      <c r="AWQ66"/>
      <c r="AWR66"/>
      <c r="AWS66"/>
      <c r="AWT66"/>
      <c r="AWU66"/>
      <c r="AWV66"/>
      <c r="AWW66"/>
      <c r="AWX66"/>
      <c r="AWY66"/>
      <c r="AWZ66"/>
      <c r="AXA66"/>
      <c r="AXB66"/>
      <c r="AXC66"/>
      <c r="AXD66"/>
      <c r="AXE66"/>
      <c r="AXF66"/>
      <c r="AXG66"/>
      <c r="AXH66"/>
      <c r="AXI66"/>
      <c r="AXJ66"/>
      <c r="AXK66"/>
      <c r="AXL66"/>
      <c r="AXM66"/>
      <c r="AXN66"/>
      <c r="AXO66"/>
      <c r="AXP66"/>
      <c r="AXQ66"/>
      <c r="AXR66"/>
      <c r="AXS66"/>
      <c r="AXT66"/>
      <c r="AXU66"/>
      <c r="AXV66"/>
      <c r="AXW66"/>
      <c r="AXX66"/>
      <c r="AXY66"/>
      <c r="AXZ66"/>
      <c r="AYA66"/>
      <c r="AYB66"/>
      <c r="AYC66"/>
      <c r="AYD66"/>
      <c r="AYE66"/>
      <c r="AYF66"/>
      <c r="AYG66"/>
      <c r="AYH66"/>
      <c r="AYI66"/>
      <c r="AYJ66"/>
      <c r="AYK66"/>
      <c r="AYL66"/>
      <c r="AYM66"/>
      <c r="AYN66"/>
      <c r="AYO66"/>
      <c r="AYP66"/>
      <c r="AYQ66"/>
      <c r="AYR66"/>
      <c r="AYS66"/>
      <c r="AYT66"/>
      <c r="AYU66"/>
      <c r="AYV66"/>
      <c r="AYW66"/>
      <c r="AYX66"/>
      <c r="AYY66"/>
      <c r="AYZ66"/>
      <c r="AZA66"/>
      <c r="AZB66"/>
      <c r="AZC66"/>
      <c r="AZD66"/>
      <c r="AZE66"/>
      <c r="AZF66"/>
      <c r="AZG66"/>
      <c r="AZH66"/>
      <c r="AZI66"/>
      <c r="AZJ66"/>
      <c r="AZK66"/>
      <c r="AZL66"/>
      <c r="AZM66"/>
      <c r="AZN66"/>
      <c r="AZO66"/>
      <c r="AZP66"/>
      <c r="AZQ66"/>
      <c r="AZR66"/>
      <c r="AZS66"/>
      <c r="AZT66"/>
      <c r="AZU66"/>
      <c r="AZV66"/>
      <c r="AZW66"/>
      <c r="AZX66"/>
      <c r="AZY66"/>
      <c r="AZZ66"/>
      <c r="BAA66"/>
      <c r="BAB66"/>
      <c r="BAC66"/>
      <c r="BAD66"/>
      <c r="BAE66"/>
      <c r="BAF66"/>
      <c r="BAG66"/>
      <c r="BAH66"/>
      <c r="BAI66"/>
      <c r="BAJ66"/>
      <c r="BAK66"/>
      <c r="BAL66"/>
      <c r="BAM66"/>
      <c r="BAN66"/>
      <c r="BAO66"/>
      <c r="BAP66"/>
      <c r="BAQ66"/>
      <c r="BAR66"/>
      <c r="BAS66"/>
      <c r="BAT66"/>
      <c r="BAU66"/>
      <c r="BAV66"/>
      <c r="BAW66"/>
      <c r="BAX66"/>
      <c r="BAY66"/>
      <c r="BAZ66"/>
      <c r="BBA66"/>
      <c r="BBB66"/>
      <c r="BBC66"/>
      <c r="BBD66"/>
      <c r="BBE66"/>
      <c r="BBF66"/>
      <c r="BBG66"/>
      <c r="BBH66"/>
      <c r="BBI66"/>
      <c r="BBJ66"/>
      <c r="BBK66"/>
      <c r="BBL66"/>
      <c r="BBM66"/>
      <c r="BBN66"/>
      <c r="BBO66"/>
      <c r="BBP66"/>
      <c r="BBQ66"/>
      <c r="BBR66"/>
      <c r="BBS66"/>
      <c r="BBT66"/>
      <c r="BBU66"/>
      <c r="BBV66"/>
      <c r="BBW66"/>
      <c r="BBX66"/>
      <c r="BBY66"/>
      <c r="BBZ66"/>
      <c r="BCA66"/>
      <c r="BCB66"/>
      <c r="BCC66"/>
      <c r="BCD66"/>
      <c r="BCE66"/>
      <c r="BCF66"/>
      <c r="BCG66"/>
      <c r="BCH66"/>
      <c r="BCI66"/>
      <c r="BCJ66"/>
      <c r="BCK66"/>
      <c r="BCL66"/>
      <c r="BCM66"/>
      <c r="BCN66"/>
      <c r="BCO66"/>
      <c r="BCP66"/>
      <c r="BCQ66"/>
      <c r="BCR66"/>
      <c r="BCS66"/>
      <c r="BCT66"/>
      <c r="BCU66"/>
      <c r="BCV66"/>
      <c r="BCW66"/>
      <c r="BCX66"/>
      <c r="BCY66"/>
      <c r="BCZ66"/>
      <c r="BDA66"/>
      <c r="BDB66"/>
      <c r="BDC66"/>
      <c r="BDD66"/>
      <c r="BDE66"/>
      <c r="BDF66"/>
      <c r="BDG66"/>
      <c r="BDH66"/>
      <c r="BDI66"/>
      <c r="BDJ66"/>
      <c r="BDK66"/>
      <c r="BDL66"/>
      <c r="BDM66"/>
      <c r="BDN66"/>
      <c r="BDO66"/>
      <c r="BDP66"/>
      <c r="BDQ66"/>
      <c r="BDR66"/>
      <c r="BDS66"/>
      <c r="BDT66"/>
      <c r="BDU66"/>
      <c r="BDV66"/>
      <c r="BDW66"/>
      <c r="BDX66"/>
      <c r="BDY66"/>
      <c r="BDZ66"/>
      <c r="BEA66"/>
      <c r="BEB66"/>
      <c r="BEC66"/>
      <c r="BED66"/>
      <c r="BEE66"/>
      <c r="BEF66"/>
      <c r="BEG66"/>
      <c r="BEH66"/>
      <c r="BEI66"/>
      <c r="BEJ66"/>
      <c r="BEK66"/>
      <c r="BEL66"/>
      <c r="BEM66"/>
      <c r="BEN66"/>
      <c r="BEO66"/>
      <c r="BEP66"/>
      <c r="BEQ66"/>
      <c r="BER66"/>
      <c r="BES66"/>
      <c r="BET66"/>
      <c r="BEU66"/>
      <c r="BEV66"/>
      <c r="BEW66"/>
      <c r="BEX66"/>
      <c r="BEY66"/>
      <c r="BEZ66"/>
      <c r="BFA66"/>
      <c r="BFB66"/>
      <c r="BFC66"/>
      <c r="BFD66"/>
      <c r="BFE66"/>
      <c r="BFF66"/>
      <c r="BFG66"/>
      <c r="BFH66"/>
      <c r="BFI66"/>
      <c r="BFJ66"/>
      <c r="BFK66"/>
      <c r="BFL66"/>
      <c r="BFM66"/>
      <c r="BFN66"/>
      <c r="BFO66"/>
      <c r="BFP66"/>
      <c r="BFQ66"/>
      <c r="BFR66"/>
      <c r="BFS66"/>
      <c r="BFT66"/>
      <c r="BFU66"/>
      <c r="BFV66"/>
      <c r="BFW66"/>
      <c r="BFX66"/>
      <c r="BFY66"/>
      <c r="BFZ66"/>
      <c r="BGA66"/>
      <c r="BGB66"/>
      <c r="BGC66"/>
      <c r="BGD66"/>
      <c r="BGE66"/>
      <c r="BGF66"/>
      <c r="BGG66"/>
      <c r="BGH66"/>
      <c r="BGI66"/>
      <c r="BGJ66"/>
      <c r="BGK66"/>
      <c r="BGL66"/>
      <c r="BGM66"/>
      <c r="BGN66"/>
      <c r="BGO66"/>
      <c r="BGP66"/>
      <c r="BGQ66"/>
      <c r="BGR66"/>
      <c r="BGS66"/>
      <c r="BGT66"/>
      <c r="BGU66"/>
      <c r="BGV66"/>
      <c r="BGW66"/>
      <c r="BGX66"/>
      <c r="BGY66"/>
      <c r="BGZ66"/>
      <c r="BHA66"/>
      <c r="BHB66"/>
      <c r="BHC66"/>
      <c r="BHD66"/>
      <c r="BHE66"/>
      <c r="BHF66"/>
      <c r="BHG66"/>
      <c r="BHH66"/>
      <c r="BHI66"/>
      <c r="BHJ66"/>
      <c r="BHK66"/>
      <c r="BHL66"/>
      <c r="BHM66"/>
      <c r="BHN66"/>
      <c r="BHO66"/>
      <c r="BHP66"/>
      <c r="BHQ66"/>
      <c r="BHR66"/>
      <c r="BHS66"/>
      <c r="BHT66"/>
      <c r="BHU66"/>
      <c r="BHV66"/>
      <c r="BHW66"/>
      <c r="BHX66"/>
      <c r="BHY66"/>
      <c r="BHZ66"/>
      <c r="BIA66"/>
      <c r="BIB66"/>
      <c r="BIC66"/>
      <c r="BID66"/>
      <c r="BIE66"/>
      <c r="BIF66"/>
      <c r="BIG66"/>
      <c r="BIH66"/>
      <c r="BII66"/>
      <c r="BIJ66"/>
      <c r="BIK66"/>
      <c r="BIL66"/>
      <c r="BIM66"/>
      <c r="BIN66"/>
      <c r="BIO66"/>
      <c r="BIP66"/>
      <c r="BIQ66"/>
      <c r="BIR66"/>
      <c r="BIS66"/>
      <c r="BIT66"/>
      <c r="BIU66"/>
      <c r="BIV66"/>
      <c r="BIW66"/>
      <c r="BIX66"/>
      <c r="BIY66"/>
      <c r="BIZ66"/>
      <c r="BJA66"/>
      <c r="BJB66"/>
      <c r="BJC66"/>
      <c r="BJD66"/>
      <c r="BJE66"/>
      <c r="BJF66"/>
      <c r="BJG66"/>
      <c r="BJH66"/>
      <c r="BJI66"/>
      <c r="BJJ66"/>
      <c r="BJK66"/>
      <c r="BJL66"/>
      <c r="BJM66"/>
      <c r="BJN66"/>
      <c r="BJO66"/>
      <c r="BJP66"/>
      <c r="BJQ66"/>
      <c r="BJR66"/>
      <c r="BJS66"/>
      <c r="BJT66"/>
      <c r="BJU66"/>
      <c r="BJV66"/>
      <c r="BJW66"/>
      <c r="BJX66"/>
      <c r="BJY66"/>
      <c r="BJZ66"/>
      <c r="BKA66"/>
      <c r="BKB66"/>
      <c r="BKC66"/>
      <c r="BKD66"/>
      <c r="BKE66"/>
      <c r="BKF66"/>
      <c r="BKG66"/>
      <c r="BKH66"/>
      <c r="BKI66"/>
      <c r="BKJ66"/>
      <c r="BKK66"/>
      <c r="BKL66"/>
      <c r="BKM66"/>
      <c r="BKN66"/>
      <c r="BKO66"/>
      <c r="BKP66"/>
      <c r="BKQ66"/>
      <c r="BKR66"/>
      <c r="BKS66"/>
      <c r="BKT66"/>
      <c r="BKU66"/>
      <c r="BKV66"/>
      <c r="BKW66"/>
      <c r="BKX66"/>
      <c r="BKY66"/>
      <c r="BKZ66"/>
      <c r="BLA66"/>
      <c r="BLB66"/>
      <c r="BLC66"/>
      <c r="BLD66"/>
      <c r="BLE66"/>
      <c r="BLF66"/>
      <c r="BLG66"/>
      <c r="BLH66"/>
      <c r="BLI66"/>
      <c r="BLJ66"/>
      <c r="BLK66"/>
      <c r="BLL66"/>
      <c r="BLM66"/>
      <c r="BLN66"/>
      <c r="BLO66"/>
      <c r="BLP66"/>
      <c r="BLQ66"/>
      <c r="BLR66"/>
      <c r="BLS66"/>
      <c r="BLT66"/>
      <c r="BLU66"/>
      <c r="BLV66"/>
      <c r="BLW66"/>
      <c r="BLX66"/>
      <c r="BLY66"/>
      <c r="BLZ66"/>
      <c r="BMA66"/>
      <c r="BMB66"/>
      <c r="BMC66"/>
      <c r="BMD66"/>
      <c r="BME66"/>
      <c r="BMF66"/>
      <c r="BMG66"/>
      <c r="BMH66"/>
      <c r="BMI66"/>
      <c r="BMJ66"/>
      <c r="BMK66"/>
      <c r="BML66"/>
      <c r="BMM66"/>
      <c r="BMN66"/>
      <c r="BMO66"/>
      <c r="BMP66"/>
      <c r="BMQ66"/>
      <c r="BMR66"/>
      <c r="BMS66"/>
      <c r="BMT66"/>
      <c r="BMU66"/>
      <c r="BMV66"/>
      <c r="BMW66"/>
      <c r="BMX66"/>
      <c r="BMY66"/>
      <c r="BMZ66"/>
      <c r="BNA66"/>
      <c r="BNB66"/>
      <c r="BNC66"/>
      <c r="BND66"/>
      <c r="BNE66"/>
      <c r="BNF66"/>
      <c r="BNG66"/>
      <c r="BNH66"/>
      <c r="BNI66"/>
      <c r="BNJ66"/>
      <c r="BNK66"/>
      <c r="BNL66"/>
      <c r="BNM66"/>
      <c r="BNN66"/>
      <c r="BNO66"/>
      <c r="BNP66"/>
      <c r="BNQ66"/>
      <c r="BNR66"/>
      <c r="BNS66"/>
      <c r="BNT66"/>
      <c r="BNU66"/>
      <c r="BNV66"/>
      <c r="BNW66"/>
      <c r="BNX66"/>
      <c r="BNY66"/>
      <c r="BNZ66"/>
      <c r="BOA66"/>
      <c r="BOB66"/>
      <c r="BOC66"/>
      <c r="BOD66"/>
      <c r="BOE66"/>
      <c r="BOF66"/>
      <c r="BOG66"/>
      <c r="BOH66"/>
      <c r="BOI66"/>
      <c r="BOJ66"/>
      <c r="BOK66"/>
      <c r="BOL66"/>
      <c r="BOM66"/>
      <c r="BON66"/>
      <c r="BOO66"/>
      <c r="BOP66"/>
      <c r="BOQ66"/>
      <c r="BOR66"/>
      <c r="BOS66"/>
      <c r="BOT66"/>
      <c r="BOU66"/>
      <c r="BOV66"/>
      <c r="BOW66"/>
      <c r="BOX66"/>
      <c r="BOY66"/>
      <c r="BOZ66"/>
      <c r="BPA66"/>
      <c r="BPB66"/>
      <c r="BPC66"/>
      <c r="BPD66"/>
      <c r="BPE66"/>
      <c r="BPF66"/>
      <c r="BPG66"/>
      <c r="BPH66"/>
      <c r="BPI66"/>
      <c r="BPJ66"/>
      <c r="BPK66"/>
      <c r="BPL66"/>
      <c r="BPM66"/>
      <c r="BPN66"/>
      <c r="BPO66"/>
      <c r="BPP66"/>
      <c r="BPQ66"/>
      <c r="BPR66"/>
      <c r="BPS66"/>
      <c r="BPT66"/>
      <c r="BPU66"/>
      <c r="BPV66"/>
      <c r="BPW66"/>
      <c r="BPX66"/>
      <c r="BPY66"/>
      <c r="BPZ66"/>
      <c r="BQA66"/>
      <c r="BQB66"/>
      <c r="BQC66"/>
      <c r="BQD66"/>
      <c r="BQE66"/>
      <c r="BQF66"/>
      <c r="BQG66"/>
      <c r="BQH66"/>
      <c r="BQI66"/>
      <c r="BQJ66"/>
      <c r="BQK66"/>
      <c r="BQL66"/>
      <c r="BQM66"/>
      <c r="BQN66"/>
      <c r="BQO66"/>
      <c r="BQP66"/>
      <c r="BQQ66"/>
      <c r="BQR66"/>
      <c r="BQS66"/>
      <c r="BQT66"/>
      <c r="BQU66"/>
      <c r="BQV66"/>
      <c r="BQW66"/>
      <c r="BQX66"/>
      <c r="BQY66"/>
      <c r="BQZ66"/>
      <c r="BRA66"/>
      <c r="BRB66"/>
      <c r="BRC66"/>
      <c r="BRD66"/>
      <c r="BRE66"/>
      <c r="BRF66"/>
      <c r="BRG66"/>
      <c r="BRH66"/>
      <c r="BRI66"/>
      <c r="BRJ66"/>
      <c r="BRK66"/>
      <c r="BRL66"/>
      <c r="BRM66"/>
      <c r="BRN66"/>
      <c r="BRO66"/>
      <c r="BRP66"/>
      <c r="BRQ66"/>
      <c r="BRR66"/>
      <c r="BRS66"/>
      <c r="BRT66"/>
      <c r="BRU66"/>
      <c r="BRV66"/>
      <c r="BRW66"/>
      <c r="BRX66"/>
      <c r="BRY66"/>
      <c r="BRZ66"/>
      <c r="BSA66"/>
      <c r="BSB66"/>
      <c r="BSC66"/>
      <c r="BSD66"/>
      <c r="BSE66"/>
      <c r="BSF66"/>
      <c r="BSG66"/>
      <c r="BSH66"/>
      <c r="BSI66"/>
      <c r="BSJ66"/>
      <c r="BSK66"/>
      <c r="BSL66"/>
      <c r="BSM66"/>
      <c r="BSN66"/>
      <c r="BSO66"/>
      <c r="BSP66"/>
      <c r="BSQ66"/>
      <c r="BSR66"/>
      <c r="BSS66"/>
      <c r="BST66"/>
      <c r="BSU66"/>
      <c r="BSV66"/>
      <c r="BSW66"/>
      <c r="BSX66"/>
      <c r="BSY66"/>
      <c r="BSZ66"/>
      <c r="BTA66"/>
      <c r="BTB66"/>
      <c r="BTC66"/>
      <c r="BTD66"/>
      <c r="BTE66"/>
      <c r="BTF66"/>
      <c r="BTG66"/>
      <c r="BTH66"/>
      <c r="BTI66"/>
      <c r="BTJ66"/>
      <c r="BTK66"/>
      <c r="BTL66"/>
      <c r="BTM66"/>
      <c r="BTN66"/>
      <c r="BTO66"/>
      <c r="BTP66"/>
      <c r="BTQ66"/>
      <c r="BTR66"/>
      <c r="BTS66"/>
      <c r="BTT66"/>
      <c r="BTU66"/>
      <c r="BTV66"/>
      <c r="BTW66"/>
      <c r="BTX66"/>
      <c r="BTY66"/>
      <c r="BTZ66"/>
      <c r="BUA66"/>
      <c r="BUB66"/>
      <c r="BUC66"/>
      <c r="BUD66"/>
      <c r="BUE66"/>
      <c r="BUF66"/>
      <c r="BUG66"/>
      <c r="BUH66"/>
      <c r="BUI66"/>
      <c r="BUJ66"/>
      <c r="BUK66"/>
      <c r="BUL66"/>
      <c r="BUM66"/>
      <c r="BUN66"/>
      <c r="BUO66"/>
      <c r="BUP66"/>
      <c r="BUQ66"/>
      <c r="BUR66"/>
      <c r="BUS66"/>
      <c r="BUT66"/>
      <c r="BUU66"/>
      <c r="BUV66"/>
      <c r="BUW66"/>
      <c r="BUX66"/>
      <c r="BUY66"/>
      <c r="BUZ66"/>
      <c r="BVA66"/>
      <c r="BVB66"/>
      <c r="BVC66"/>
      <c r="BVD66"/>
      <c r="BVE66"/>
      <c r="BVF66"/>
      <c r="BVG66"/>
      <c r="BVH66"/>
      <c r="BVI66"/>
      <c r="BVJ66"/>
      <c r="BVK66"/>
      <c r="BVL66"/>
      <c r="BVM66"/>
      <c r="BVN66"/>
      <c r="BVO66"/>
      <c r="BVP66"/>
      <c r="BVQ66"/>
      <c r="BVR66"/>
      <c r="BVS66"/>
      <c r="BVT66"/>
      <c r="BVU66"/>
      <c r="BVV66"/>
      <c r="BVW66"/>
      <c r="BVX66"/>
      <c r="BVY66"/>
      <c r="BVZ66"/>
      <c r="BWA66"/>
      <c r="BWB66"/>
      <c r="BWC66"/>
      <c r="BWD66"/>
      <c r="BWE66"/>
      <c r="BWF66"/>
      <c r="BWG66"/>
      <c r="BWH66"/>
      <c r="BWI66"/>
      <c r="BWJ66"/>
      <c r="BWK66"/>
      <c r="BWL66"/>
      <c r="BWM66"/>
      <c r="BWN66"/>
      <c r="BWO66"/>
      <c r="BWP66"/>
      <c r="BWQ66"/>
      <c r="BWR66"/>
      <c r="BWS66"/>
      <c r="BWT66"/>
      <c r="BWU66"/>
      <c r="BWV66"/>
      <c r="BWW66"/>
      <c r="BWX66"/>
      <c r="BWY66"/>
      <c r="BWZ66"/>
      <c r="BXA66"/>
      <c r="BXB66"/>
      <c r="BXC66"/>
      <c r="BXD66"/>
      <c r="BXE66"/>
      <c r="BXF66"/>
      <c r="BXG66"/>
      <c r="BXH66"/>
      <c r="BXI66"/>
      <c r="BXJ66"/>
      <c r="BXK66"/>
      <c r="BXL66"/>
      <c r="BXM66"/>
      <c r="BXN66"/>
      <c r="BXO66"/>
      <c r="BXP66"/>
      <c r="BXQ66"/>
      <c r="BXR66"/>
      <c r="BXS66"/>
      <c r="BXT66"/>
      <c r="BXU66"/>
      <c r="BXV66"/>
      <c r="BXW66"/>
      <c r="BXX66"/>
      <c r="BXY66"/>
      <c r="BXZ66"/>
      <c r="BYA66"/>
      <c r="BYB66"/>
      <c r="BYC66"/>
      <c r="BYD66"/>
      <c r="BYE66"/>
      <c r="BYF66"/>
      <c r="BYG66"/>
      <c r="BYH66"/>
      <c r="BYI66"/>
      <c r="BYJ66"/>
      <c r="BYK66"/>
      <c r="BYL66"/>
      <c r="BYM66"/>
      <c r="BYN66"/>
      <c r="BYO66"/>
      <c r="BYP66"/>
      <c r="BYQ66"/>
      <c r="BYR66"/>
      <c r="BYS66"/>
      <c r="BYT66"/>
      <c r="BYU66"/>
      <c r="BYV66"/>
      <c r="BYW66"/>
      <c r="BYX66"/>
      <c r="BYY66"/>
      <c r="BYZ66"/>
      <c r="BZA66"/>
      <c r="BZB66"/>
      <c r="BZC66"/>
      <c r="BZD66"/>
      <c r="BZE66"/>
      <c r="BZF66"/>
      <c r="BZG66"/>
      <c r="BZH66"/>
      <c r="BZI66"/>
      <c r="BZJ66"/>
      <c r="BZK66"/>
      <c r="BZL66"/>
      <c r="BZM66"/>
      <c r="BZN66"/>
      <c r="BZO66"/>
      <c r="BZP66"/>
      <c r="BZQ66"/>
      <c r="BZR66"/>
      <c r="BZS66"/>
      <c r="BZT66"/>
      <c r="BZU66"/>
      <c r="BZV66"/>
      <c r="BZW66"/>
      <c r="BZX66"/>
      <c r="BZY66"/>
      <c r="BZZ66"/>
      <c r="CAA66"/>
      <c r="CAB66"/>
      <c r="CAC66"/>
      <c r="CAD66"/>
      <c r="CAE66"/>
      <c r="CAF66"/>
      <c r="CAG66"/>
      <c r="CAH66"/>
      <c r="CAI66"/>
      <c r="CAJ66"/>
      <c r="CAK66"/>
      <c r="CAL66"/>
      <c r="CAM66"/>
      <c r="CAN66"/>
      <c r="CAO66"/>
      <c r="CAP66"/>
      <c r="CAQ66"/>
      <c r="CAR66"/>
      <c r="CAS66"/>
      <c r="CAT66"/>
      <c r="CAU66"/>
      <c r="CAV66"/>
      <c r="CAW66"/>
      <c r="CAX66"/>
      <c r="CAY66"/>
      <c r="CAZ66"/>
      <c r="CBA66"/>
      <c r="CBB66"/>
      <c r="CBC66"/>
      <c r="CBD66"/>
      <c r="CBE66"/>
      <c r="CBF66"/>
      <c r="CBG66"/>
      <c r="CBH66"/>
      <c r="CBI66"/>
      <c r="CBJ66"/>
      <c r="CBK66"/>
      <c r="CBL66"/>
      <c r="CBM66"/>
      <c r="CBN66"/>
      <c r="CBO66"/>
      <c r="CBP66"/>
      <c r="CBQ66"/>
      <c r="CBR66"/>
      <c r="CBS66"/>
      <c r="CBT66"/>
      <c r="CBU66"/>
      <c r="CBV66"/>
      <c r="CBW66"/>
      <c r="CBX66"/>
      <c r="CBY66"/>
      <c r="CBZ66"/>
      <c r="CCA66"/>
      <c r="CCB66"/>
      <c r="CCC66"/>
      <c r="CCD66"/>
      <c r="CCE66"/>
      <c r="CCF66"/>
      <c r="CCG66"/>
      <c r="CCH66"/>
      <c r="CCI66"/>
      <c r="CCJ66"/>
      <c r="CCK66"/>
      <c r="CCL66"/>
      <c r="CCM66"/>
      <c r="CCN66"/>
      <c r="CCO66"/>
      <c r="CCP66"/>
      <c r="CCQ66"/>
      <c r="CCR66"/>
      <c r="CCS66"/>
      <c r="CCT66"/>
      <c r="CCU66"/>
      <c r="CCV66"/>
      <c r="CCW66"/>
      <c r="CCX66"/>
      <c r="CCY66"/>
      <c r="CCZ66"/>
      <c r="CDA66"/>
      <c r="CDB66"/>
      <c r="CDC66"/>
      <c r="CDD66"/>
      <c r="CDE66"/>
      <c r="CDF66"/>
      <c r="CDG66"/>
      <c r="CDH66"/>
      <c r="CDI66"/>
      <c r="CDJ66"/>
      <c r="CDK66"/>
      <c r="CDL66"/>
      <c r="CDM66"/>
      <c r="CDN66"/>
      <c r="CDO66"/>
      <c r="CDP66"/>
      <c r="CDQ66"/>
      <c r="CDR66"/>
      <c r="CDS66"/>
      <c r="CDT66"/>
      <c r="CDU66"/>
      <c r="CDV66"/>
      <c r="CDW66"/>
      <c r="CDX66"/>
      <c r="CDY66"/>
      <c r="CDZ66"/>
      <c r="CEA66"/>
      <c r="CEB66"/>
      <c r="CEC66"/>
      <c r="CED66"/>
      <c r="CEE66"/>
      <c r="CEF66"/>
      <c r="CEG66"/>
      <c r="CEH66"/>
      <c r="CEI66"/>
      <c r="CEJ66"/>
      <c r="CEK66"/>
      <c r="CEL66"/>
      <c r="CEM66"/>
      <c r="CEN66"/>
      <c r="CEO66"/>
      <c r="CEP66"/>
      <c r="CEQ66"/>
      <c r="CER66"/>
      <c r="CES66"/>
      <c r="CET66"/>
      <c r="CEU66"/>
      <c r="CEV66"/>
      <c r="CEW66"/>
      <c r="CEX66"/>
      <c r="CEY66"/>
      <c r="CEZ66"/>
      <c r="CFA66"/>
      <c r="CFB66"/>
      <c r="CFC66"/>
      <c r="CFD66"/>
      <c r="CFE66"/>
      <c r="CFF66"/>
      <c r="CFG66"/>
      <c r="CFH66"/>
      <c r="CFI66"/>
      <c r="CFJ66"/>
      <c r="CFK66"/>
      <c r="CFL66"/>
      <c r="CFM66"/>
      <c r="CFN66"/>
      <c r="CFO66"/>
      <c r="CFP66"/>
      <c r="CFQ66"/>
      <c r="CFR66"/>
      <c r="CFS66"/>
      <c r="CFT66"/>
      <c r="CFU66"/>
      <c r="CFV66"/>
      <c r="CFW66"/>
      <c r="CFX66"/>
      <c r="CFY66"/>
      <c r="CFZ66"/>
      <c r="CGA66"/>
      <c r="CGB66"/>
      <c r="CGC66"/>
      <c r="CGD66"/>
      <c r="CGE66"/>
      <c r="CGF66"/>
      <c r="CGG66"/>
      <c r="CGH66"/>
      <c r="CGI66"/>
      <c r="CGJ66"/>
      <c r="CGK66"/>
      <c r="CGL66"/>
      <c r="CGM66"/>
      <c r="CGN66"/>
      <c r="CGO66"/>
      <c r="CGP66"/>
      <c r="CGQ66"/>
      <c r="CGR66"/>
      <c r="CGS66"/>
      <c r="CGT66"/>
      <c r="CGU66"/>
      <c r="CGV66"/>
      <c r="CGW66"/>
      <c r="CGX66"/>
      <c r="CGY66"/>
      <c r="CGZ66"/>
      <c r="CHA66"/>
      <c r="CHB66"/>
      <c r="CHC66"/>
      <c r="CHD66"/>
      <c r="CHE66"/>
      <c r="CHF66"/>
      <c r="CHG66"/>
      <c r="CHH66"/>
      <c r="CHI66"/>
      <c r="CHJ66"/>
      <c r="CHK66"/>
      <c r="CHL66"/>
      <c r="CHM66"/>
      <c r="CHN66"/>
      <c r="CHO66"/>
      <c r="CHP66"/>
      <c r="CHQ66"/>
      <c r="CHR66"/>
      <c r="CHS66"/>
      <c r="CHT66"/>
      <c r="CHU66"/>
      <c r="CHV66"/>
      <c r="CHW66"/>
      <c r="CHX66"/>
      <c r="CHY66"/>
      <c r="CHZ66"/>
      <c r="CIA66"/>
      <c r="CIB66"/>
      <c r="CIC66"/>
      <c r="CID66"/>
      <c r="CIE66"/>
      <c r="CIF66"/>
      <c r="CIG66"/>
      <c r="CIH66"/>
      <c r="CII66"/>
      <c r="CIJ66"/>
      <c r="CIK66"/>
      <c r="CIL66"/>
      <c r="CIM66"/>
      <c r="CIN66"/>
      <c r="CIO66"/>
      <c r="CIP66"/>
      <c r="CIQ66"/>
      <c r="CIR66"/>
      <c r="CIS66"/>
      <c r="CIT66"/>
      <c r="CIU66"/>
      <c r="CIV66"/>
      <c r="CIW66"/>
      <c r="CIX66"/>
      <c r="CIY66"/>
      <c r="CIZ66"/>
      <c r="CJA66"/>
      <c r="CJB66"/>
      <c r="CJC66"/>
      <c r="CJD66"/>
      <c r="CJE66"/>
      <c r="CJF66"/>
      <c r="CJG66"/>
      <c r="CJH66"/>
      <c r="CJI66"/>
      <c r="CJJ66"/>
      <c r="CJK66"/>
      <c r="CJL66"/>
      <c r="CJM66"/>
      <c r="CJN66"/>
      <c r="CJO66"/>
      <c r="CJP66"/>
      <c r="CJQ66"/>
      <c r="CJR66"/>
      <c r="CJS66"/>
      <c r="CJT66"/>
      <c r="CJU66"/>
      <c r="CJV66"/>
      <c r="CJW66"/>
      <c r="CJX66"/>
      <c r="CJY66"/>
      <c r="CJZ66"/>
      <c r="CKA66"/>
      <c r="CKB66"/>
      <c r="CKC66"/>
      <c r="CKD66"/>
      <c r="CKE66"/>
      <c r="CKF66"/>
      <c r="CKG66"/>
      <c r="CKH66"/>
      <c r="CKI66"/>
      <c r="CKJ66"/>
      <c r="CKK66"/>
      <c r="CKL66"/>
      <c r="CKM66"/>
      <c r="CKN66"/>
      <c r="CKO66"/>
      <c r="CKP66"/>
      <c r="CKQ66"/>
      <c r="CKR66"/>
      <c r="CKS66"/>
      <c r="CKT66"/>
      <c r="CKU66"/>
      <c r="CKV66"/>
      <c r="CKW66"/>
      <c r="CKX66"/>
      <c r="CKY66"/>
      <c r="CKZ66"/>
      <c r="CLA66"/>
      <c r="CLB66"/>
      <c r="CLC66"/>
      <c r="CLD66"/>
      <c r="CLE66"/>
      <c r="CLF66"/>
      <c r="CLG66"/>
      <c r="CLH66"/>
      <c r="CLI66"/>
      <c r="CLJ66"/>
      <c r="CLK66"/>
      <c r="CLL66"/>
      <c r="CLM66"/>
      <c r="CLN66"/>
      <c r="CLO66"/>
      <c r="CLP66"/>
      <c r="CLQ66"/>
      <c r="CLR66"/>
      <c r="CLS66"/>
      <c r="CLT66"/>
      <c r="CLU66"/>
      <c r="CLV66"/>
      <c r="CLW66"/>
      <c r="CLX66"/>
      <c r="CLY66"/>
      <c r="CLZ66"/>
      <c r="CMA66"/>
      <c r="CMB66"/>
      <c r="CMC66"/>
      <c r="CMD66"/>
      <c r="CME66"/>
      <c r="CMF66"/>
      <c r="CMG66"/>
      <c r="CMH66"/>
      <c r="CMI66"/>
      <c r="CMJ66"/>
      <c r="CMK66"/>
      <c r="CML66"/>
      <c r="CMM66"/>
      <c r="CMN66"/>
      <c r="CMO66"/>
      <c r="CMP66"/>
      <c r="CMQ66"/>
      <c r="CMR66"/>
      <c r="CMS66"/>
      <c r="CMT66"/>
      <c r="CMU66"/>
      <c r="CMV66"/>
      <c r="CMW66"/>
      <c r="CMX66"/>
      <c r="CMY66"/>
      <c r="CMZ66"/>
      <c r="CNA66"/>
      <c r="CNB66"/>
      <c r="CNC66"/>
      <c r="CND66"/>
      <c r="CNE66"/>
      <c r="CNF66"/>
      <c r="CNG66"/>
      <c r="CNH66"/>
      <c r="CNI66"/>
      <c r="CNJ66"/>
      <c r="CNK66"/>
      <c r="CNL66"/>
      <c r="CNM66"/>
      <c r="CNN66"/>
      <c r="CNO66"/>
      <c r="CNP66"/>
      <c r="CNQ66"/>
      <c r="CNR66"/>
      <c r="CNS66"/>
      <c r="CNT66"/>
      <c r="CNU66"/>
      <c r="CNV66"/>
      <c r="CNW66"/>
      <c r="CNX66"/>
      <c r="CNY66"/>
      <c r="CNZ66"/>
      <c r="COA66"/>
      <c r="COB66"/>
      <c r="COC66"/>
      <c r="COD66"/>
      <c r="COE66"/>
      <c r="COF66"/>
      <c r="COG66"/>
      <c r="COH66"/>
      <c r="COI66"/>
      <c r="COJ66"/>
      <c r="COK66"/>
      <c r="COL66"/>
      <c r="COM66"/>
      <c r="CON66"/>
      <c r="COO66"/>
      <c r="COP66"/>
      <c r="COQ66"/>
      <c r="COR66"/>
      <c r="COS66"/>
      <c r="COT66"/>
      <c r="COU66"/>
      <c r="COV66"/>
      <c r="COW66"/>
      <c r="COX66"/>
      <c r="COY66"/>
      <c r="COZ66"/>
      <c r="CPA66"/>
      <c r="CPB66"/>
      <c r="CPC66"/>
      <c r="CPD66"/>
      <c r="CPE66"/>
      <c r="CPF66"/>
      <c r="CPG66"/>
      <c r="CPH66"/>
      <c r="CPI66"/>
      <c r="CPJ66"/>
      <c r="CPK66"/>
      <c r="CPL66"/>
      <c r="CPM66"/>
      <c r="CPN66"/>
      <c r="CPO66"/>
      <c r="CPP66"/>
      <c r="CPQ66"/>
      <c r="CPR66"/>
      <c r="CPS66"/>
      <c r="CPT66"/>
      <c r="CPU66"/>
      <c r="CPV66"/>
      <c r="CPW66"/>
      <c r="CPX66"/>
      <c r="CPY66"/>
      <c r="CPZ66"/>
      <c r="CQA66"/>
      <c r="CQB66"/>
      <c r="CQC66"/>
      <c r="CQD66"/>
      <c r="CQE66"/>
      <c r="CQF66"/>
      <c r="CQG66"/>
      <c r="CQH66"/>
      <c r="CQI66"/>
      <c r="CQJ66"/>
      <c r="CQK66"/>
      <c r="CQL66"/>
      <c r="CQM66"/>
      <c r="CQN66"/>
      <c r="CQO66"/>
      <c r="CQP66"/>
      <c r="CQQ66"/>
      <c r="CQR66"/>
      <c r="CQS66"/>
      <c r="CQT66"/>
      <c r="CQU66"/>
      <c r="CQV66"/>
      <c r="CQW66"/>
      <c r="CQX66"/>
      <c r="CQY66"/>
      <c r="CQZ66"/>
      <c r="CRA66"/>
      <c r="CRB66"/>
      <c r="CRC66"/>
      <c r="CRD66"/>
      <c r="CRE66"/>
      <c r="CRF66"/>
      <c r="CRG66"/>
      <c r="CRH66"/>
      <c r="CRI66"/>
      <c r="CRJ66"/>
      <c r="CRK66"/>
      <c r="CRL66"/>
      <c r="CRM66"/>
      <c r="CRN66"/>
      <c r="CRO66"/>
      <c r="CRP66"/>
      <c r="CRQ66"/>
      <c r="CRR66"/>
      <c r="CRS66"/>
      <c r="CRT66"/>
      <c r="CRU66"/>
      <c r="CRV66"/>
      <c r="CRW66"/>
      <c r="CRX66"/>
      <c r="CRY66"/>
      <c r="CRZ66"/>
      <c r="CSA66"/>
      <c r="CSB66"/>
      <c r="CSC66"/>
      <c r="CSD66"/>
      <c r="CSE66"/>
      <c r="CSF66"/>
      <c r="CSG66"/>
      <c r="CSH66"/>
      <c r="CSI66"/>
      <c r="CSJ66"/>
      <c r="CSK66"/>
      <c r="CSL66"/>
      <c r="CSM66"/>
      <c r="CSN66"/>
      <c r="CSO66"/>
      <c r="CSP66"/>
      <c r="CSQ66"/>
      <c r="CSR66"/>
      <c r="CSS66"/>
      <c r="CST66"/>
      <c r="CSU66"/>
      <c r="CSV66"/>
      <c r="CSW66"/>
      <c r="CSX66"/>
      <c r="CSY66"/>
      <c r="CSZ66"/>
      <c r="CTA66"/>
      <c r="CTB66"/>
      <c r="CTC66"/>
      <c r="CTD66"/>
      <c r="CTE66"/>
      <c r="CTF66"/>
      <c r="CTG66"/>
      <c r="CTH66"/>
      <c r="CTI66"/>
      <c r="CTJ66"/>
      <c r="CTK66"/>
      <c r="CTL66"/>
      <c r="CTM66"/>
      <c r="CTN66"/>
      <c r="CTO66"/>
      <c r="CTP66"/>
      <c r="CTQ66"/>
      <c r="CTR66"/>
      <c r="CTS66"/>
      <c r="CTT66"/>
      <c r="CTU66"/>
      <c r="CTV66"/>
      <c r="CTW66"/>
      <c r="CTX66"/>
      <c r="CTY66"/>
      <c r="CTZ66"/>
      <c r="CUA66"/>
      <c r="CUB66"/>
      <c r="CUC66"/>
      <c r="CUD66"/>
      <c r="CUE66"/>
      <c r="CUF66"/>
      <c r="CUG66"/>
      <c r="CUH66"/>
      <c r="CUI66"/>
      <c r="CUJ66"/>
      <c r="CUK66"/>
      <c r="CUL66"/>
      <c r="CUM66"/>
      <c r="CUN66"/>
      <c r="CUO66"/>
      <c r="CUP66"/>
      <c r="CUQ66"/>
      <c r="CUR66"/>
      <c r="CUS66"/>
      <c r="CUT66"/>
      <c r="CUU66"/>
      <c r="CUV66"/>
      <c r="CUW66"/>
      <c r="CUX66"/>
      <c r="CUY66"/>
      <c r="CUZ66"/>
      <c r="CVA66"/>
      <c r="CVB66"/>
      <c r="CVC66"/>
      <c r="CVD66"/>
      <c r="CVE66"/>
      <c r="CVF66"/>
      <c r="CVG66"/>
      <c r="CVH66"/>
      <c r="CVI66"/>
      <c r="CVJ66"/>
      <c r="CVK66"/>
      <c r="CVL66"/>
      <c r="CVM66"/>
      <c r="CVN66"/>
      <c r="CVO66"/>
      <c r="CVP66"/>
      <c r="CVQ66"/>
      <c r="CVR66"/>
      <c r="CVS66"/>
      <c r="CVT66"/>
      <c r="CVU66"/>
      <c r="CVV66"/>
      <c r="CVW66"/>
      <c r="CVX66"/>
      <c r="CVY66"/>
      <c r="CVZ66"/>
      <c r="CWA66"/>
      <c r="CWB66"/>
      <c r="CWC66"/>
      <c r="CWD66"/>
      <c r="CWE66"/>
      <c r="CWF66"/>
      <c r="CWG66"/>
      <c r="CWH66"/>
      <c r="CWI66"/>
      <c r="CWJ66"/>
      <c r="CWK66"/>
      <c r="CWL66"/>
      <c r="CWM66"/>
      <c r="CWN66"/>
      <c r="CWO66"/>
      <c r="CWP66"/>
      <c r="CWQ66"/>
      <c r="CWR66"/>
      <c r="CWS66"/>
      <c r="CWT66"/>
      <c r="CWU66"/>
      <c r="CWV66"/>
      <c r="CWW66"/>
      <c r="CWX66"/>
      <c r="CWY66"/>
      <c r="CWZ66"/>
      <c r="CXA66"/>
      <c r="CXB66"/>
      <c r="CXC66"/>
      <c r="CXD66"/>
      <c r="CXE66"/>
      <c r="CXF66"/>
      <c r="CXG66"/>
      <c r="CXH66"/>
      <c r="CXI66"/>
      <c r="CXJ66"/>
      <c r="CXK66"/>
      <c r="CXL66"/>
      <c r="CXM66"/>
      <c r="CXN66"/>
      <c r="CXO66"/>
      <c r="CXP66"/>
      <c r="CXQ66"/>
      <c r="CXR66"/>
      <c r="CXS66"/>
      <c r="CXT66"/>
      <c r="CXU66"/>
      <c r="CXV66"/>
      <c r="CXW66"/>
      <c r="CXX66"/>
      <c r="CXY66"/>
      <c r="CXZ66"/>
      <c r="CYA66"/>
      <c r="CYB66"/>
      <c r="CYC66"/>
      <c r="CYD66"/>
      <c r="CYE66"/>
      <c r="CYF66"/>
      <c r="CYG66"/>
      <c r="CYH66"/>
      <c r="CYI66"/>
      <c r="CYJ66"/>
      <c r="CYK66"/>
      <c r="CYL66"/>
      <c r="CYM66"/>
      <c r="CYN66"/>
      <c r="CYO66"/>
      <c r="CYP66"/>
      <c r="CYQ66"/>
      <c r="CYR66"/>
      <c r="CYS66"/>
      <c r="CYT66"/>
      <c r="CYU66"/>
      <c r="CYV66"/>
      <c r="CYW66"/>
      <c r="CYX66"/>
      <c r="CYY66"/>
      <c r="CYZ66"/>
      <c r="CZA66"/>
      <c r="CZB66"/>
      <c r="CZC66"/>
      <c r="CZD66"/>
      <c r="CZE66"/>
      <c r="CZF66"/>
      <c r="CZG66"/>
      <c r="CZH66"/>
      <c r="CZI66"/>
      <c r="CZJ66"/>
      <c r="CZK66"/>
      <c r="CZL66"/>
      <c r="CZM66"/>
      <c r="CZN66"/>
      <c r="CZO66"/>
      <c r="CZP66"/>
      <c r="CZQ66"/>
      <c r="CZR66"/>
      <c r="CZS66"/>
      <c r="CZT66"/>
      <c r="CZU66"/>
      <c r="CZV66"/>
      <c r="CZW66"/>
      <c r="CZX66"/>
      <c r="CZY66"/>
      <c r="CZZ66"/>
      <c r="DAA66"/>
      <c r="DAB66"/>
      <c r="DAC66"/>
      <c r="DAD66"/>
      <c r="DAE66"/>
      <c r="DAF66"/>
      <c r="DAG66"/>
      <c r="DAH66"/>
      <c r="DAI66"/>
      <c r="DAJ66"/>
      <c r="DAK66"/>
      <c r="DAL66"/>
      <c r="DAM66"/>
      <c r="DAN66"/>
      <c r="DAO66"/>
      <c r="DAP66"/>
      <c r="DAQ66"/>
      <c r="DAR66"/>
      <c r="DAS66"/>
      <c r="DAT66"/>
      <c r="DAU66"/>
      <c r="DAV66"/>
      <c r="DAW66"/>
      <c r="DAX66"/>
      <c r="DAY66"/>
      <c r="DAZ66"/>
      <c r="DBA66"/>
      <c r="DBB66"/>
      <c r="DBC66"/>
      <c r="DBD66"/>
      <c r="DBE66"/>
      <c r="DBF66"/>
      <c r="DBG66"/>
      <c r="DBH66"/>
      <c r="DBI66"/>
      <c r="DBJ66"/>
      <c r="DBK66"/>
      <c r="DBL66"/>
      <c r="DBM66"/>
      <c r="DBN66"/>
      <c r="DBO66"/>
      <c r="DBP66"/>
      <c r="DBQ66"/>
      <c r="DBR66"/>
      <c r="DBS66"/>
      <c r="DBT66"/>
      <c r="DBU66"/>
      <c r="DBV66"/>
      <c r="DBW66"/>
      <c r="DBX66"/>
      <c r="DBY66"/>
      <c r="DBZ66"/>
      <c r="DCA66"/>
      <c r="DCB66"/>
      <c r="DCC66"/>
      <c r="DCD66"/>
      <c r="DCE66"/>
      <c r="DCF66"/>
      <c r="DCG66"/>
      <c r="DCH66"/>
      <c r="DCI66"/>
      <c r="DCJ66"/>
      <c r="DCK66"/>
      <c r="DCL66"/>
      <c r="DCM66"/>
      <c r="DCN66"/>
      <c r="DCO66"/>
      <c r="DCP66"/>
      <c r="DCQ66"/>
      <c r="DCR66"/>
      <c r="DCS66"/>
      <c r="DCT66"/>
      <c r="DCU66"/>
      <c r="DCV66"/>
      <c r="DCW66"/>
      <c r="DCX66"/>
      <c r="DCY66"/>
      <c r="DCZ66"/>
      <c r="DDA66"/>
      <c r="DDB66"/>
      <c r="DDC66"/>
      <c r="DDD66"/>
      <c r="DDE66"/>
      <c r="DDF66"/>
      <c r="DDG66"/>
      <c r="DDH66"/>
      <c r="DDI66"/>
      <c r="DDJ66"/>
      <c r="DDK66"/>
      <c r="DDL66"/>
      <c r="DDM66"/>
      <c r="DDN66"/>
      <c r="DDO66"/>
      <c r="DDP66"/>
      <c r="DDQ66"/>
      <c r="DDR66"/>
      <c r="DDS66"/>
      <c r="DDT66"/>
      <c r="DDU66"/>
      <c r="DDV66"/>
      <c r="DDW66"/>
      <c r="DDX66"/>
      <c r="DDY66"/>
      <c r="DDZ66"/>
      <c r="DEA66"/>
      <c r="DEB66"/>
      <c r="DEC66"/>
      <c r="DED66"/>
      <c r="DEE66"/>
      <c r="DEF66"/>
      <c r="DEG66"/>
      <c r="DEH66"/>
      <c r="DEI66"/>
      <c r="DEJ66"/>
      <c r="DEK66"/>
      <c r="DEL66"/>
      <c r="DEM66"/>
      <c r="DEN66"/>
      <c r="DEO66"/>
      <c r="DEP66"/>
      <c r="DEQ66"/>
      <c r="DER66"/>
      <c r="DES66"/>
      <c r="DET66"/>
      <c r="DEU66"/>
      <c r="DEV66"/>
      <c r="DEW66"/>
      <c r="DEX66"/>
      <c r="DEY66"/>
      <c r="DEZ66"/>
      <c r="DFA66"/>
      <c r="DFB66"/>
      <c r="DFC66"/>
      <c r="DFD66"/>
      <c r="DFE66"/>
      <c r="DFF66"/>
      <c r="DFG66"/>
      <c r="DFH66"/>
      <c r="DFI66"/>
      <c r="DFJ66"/>
      <c r="DFK66"/>
      <c r="DFL66"/>
      <c r="DFM66"/>
      <c r="DFN66"/>
      <c r="DFO66"/>
      <c r="DFP66"/>
      <c r="DFQ66"/>
      <c r="DFR66"/>
      <c r="DFS66"/>
      <c r="DFT66"/>
      <c r="DFU66"/>
      <c r="DFV66"/>
      <c r="DFW66"/>
      <c r="DFX66"/>
      <c r="DFY66"/>
      <c r="DFZ66"/>
      <c r="DGA66"/>
      <c r="DGB66"/>
      <c r="DGC66"/>
      <c r="DGD66"/>
      <c r="DGE66"/>
      <c r="DGF66"/>
      <c r="DGG66"/>
      <c r="DGH66"/>
      <c r="DGI66"/>
      <c r="DGJ66"/>
      <c r="DGK66"/>
      <c r="DGL66"/>
      <c r="DGM66"/>
      <c r="DGN66"/>
      <c r="DGO66"/>
      <c r="DGP66"/>
      <c r="DGQ66"/>
      <c r="DGR66"/>
      <c r="DGS66"/>
      <c r="DGT66"/>
      <c r="DGU66"/>
      <c r="DGV66"/>
      <c r="DGW66"/>
      <c r="DGX66"/>
      <c r="DGY66"/>
      <c r="DGZ66"/>
      <c r="DHA66"/>
      <c r="DHB66"/>
      <c r="DHC66"/>
      <c r="DHD66"/>
      <c r="DHE66"/>
      <c r="DHF66"/>
      <c r="DHG66"/>
      <c r="DHH66"/>
      <c r="DHI66"/>
      <c r="DHJ66"/>
      <c r="DHK66"/>
      <c r="DHL66"/>
      <c r="DHM66"/>
      <c r="DHN66"/>
      <c r="DHO66"/>
      <c r="DHP66"/>
      <c r="DHQ66"/>
      <c r="DHR66"/>
      <c r="DHS66"/>
      <c r="DHT66"/>
      <c r="DHU66"/>
      <c r="DHV66"/>
      <c r="DHW66"/>
      <c r="DHX66"/>
      <c r="DHY66"/>
      <c r="DHZ66"/>
      <c r="DIA66"/>
      <c r="DIB66"/>
      <c r="DIC66"/>
      <c r="DID66"/>
      <c r="DIE66"/>
      <c r="DIF66"/>
      <c r="DIG66"/>
      <c r="DIH66"/>
      <c r="DII66"/>
      <c r="DIJ66"/>
      <c r="DIK66"/>
      <c r="DIL66"/>
      <c r="DIM66"/>
      <c r="DIN66"/>
      <c r="DIO66"/>
      <c r="DIP66"/>
      <c r="DIQ66"/>
      <c r="DIR66"/>
      <c r="DIS66"/>
      <c r="DIT66"/>
      <c r="DIU66"/>
      <c r="DIV66"/>
      <c r="DIW66"/>
      <c r="DIX66"/>
      <c r="DIY66"/>
      <c r="DIZ66"/>
      <c r="DJA66"/>
      <c r="DJB66"/>
      <c r="DJC66"/>
      <c r="DJD66"/>
      <c r="DJE66"/>
      <c r="DJF66"/>
      <c r="DJG66"/>
      <c r="DJH66"/>
      <c r="DJI66"/>
      <c r="DJJ66"/>
      <c r="DJK66"/>
      <c r="DJL66"/>
      <c r="DJM66"/>
      <c r="DJN66"/>
      <c r="DJO66"/>
      <c r="DJP66"/>
      <c r="DJQ66"/>
      <c r="DJR66"/>
      <c r="DJS66"/>
      <c r="DJT66"/>
      <c r="DJU66"/>
      <c r="DJV66"/>
      <c r="DJW66"/>
      <c r="DJX66"/>
      <c r="DJY66"/>
      <c r="DJZ66"/>
      <c r="DKA66"/>
      <c r="DKB66"/>
      <c r="DKC66"/>
      <c r="DKD66"/>
      <c r="DKE66"/>
      <c r="DKF66"/>
      <c r="DKG66"/>
      <c r="DKH66"/>
      <c r="DKI66"/>
      <c r="DKJ66"/>
      <c r="DKK66"/>
      <c r="DKL66"/>
      <c r="DKM66"/>
      <c r="DKN66"/>
      <c r="DKO66"/>
      <c r="DKP66"/>
      <c r="DKQ66"/>
      <c r="DKR66"/>
      <c r="DKS66"/>
      <c r="DKT66"/>
      <c r="DKU66"/>
      <c r="DKV66"/>
      <c r="DKW66"/>
      <c r="DKX66"/>
      <c r="DKY66"/>
      <c r="DKZ66"/>
      <c r="DLA66"/>
      <c r="DLB66"/>
      <c r="DLC66"/>
      <c r="DLD66"/>
      <c r="DLE66"/>
      <c r="DLF66"/>
      <c r="DLG66"/>
      <c r="DLH66"/>
      <c r="DLI66"/>
      <c r="DLJ66"/>
      <c r="DLK66"/>
      <c r="DLL66"/>
      <c r="DLM66"/>
      <c r="DLN66"/>
      <c r="DLO66"/>
      <c r="DLP66"/>
      <c r="DLQ66"/>
      <c r="DLR66"/>
      <c r="DLS66"/>
      <c r="DLT66"/>
      <c r="DLU66"/>
      <c r="DLV66"/>
      <c r="DLW66"/>
      <c r="DLX66"/>
      <c r="DLY66"/>
      <c r="DLZ66"/>
      <c r="DMA66"/>
      <c r="DMB66"/>
      <c r="DMC66"/>
      <c r="DMD66"/>
      <c r="DME66"/>
      <c r="DMF66"/>
      <c r="DMG66"/>
      <c r="DMH66"/>
      <c r="DMI66"/>
      <c r="DMJ66"/>
      <c r="DMK66"/>
      <c r="DML66"/>
      <c r="DMM66"/>
      <c r="DMN66"/>
      <c r="DMO66"/>
      <c r="DMP66"/>
      <c r="DMQ66"/>
      <c r="DMR66"/>
      <c r="DMS66"/>
      <c r="DMT66"/>
      <c r="DMU66"/>
      <c r="DMV66"/>
      <c r="DMW66"/>
      <c r="DMX66"/>
      <c r="DMY66"/>
      <c r="DMZ66"/>
      <c r="DNA66"/>
      <c r="DNB66"/>
      <c r="DNC66"/>
      <c r="DND66"/>
      <c r="DNE66"/>
      <c r="DNF66"/>
      <c r="DNG66"/>
      <c r="DNH66"/>
      <c r="DNI66"/>
      <c r="DNJ66"/>
      <c r="DNK66"/>
      <c r="DNL66"/>
      <c r="DNM66"/>
      <c r="DNN66"/>
      <c r="DNO66"/>
      <c r="DNP66"/>
      <c r="DNQ66"/>
      <c r="DNR66"/>
      <c r="DNS66"/>
      <c r="DNT66"/>
      <c r="DNU66"/>
      <c r="DNV66"/>
      <c r="DNW66"/>
      <c r="DNX66"/>
      <c r="DNY66"/>
      <c r="DNZ66"/>
      <c r="DOA66"/>
      <c r="DOB66"/>
      <c r="DOC66"/>
      <c r="DOD66"/>
      <c r="DOE66"/>
      <c r="DOF66"/>
      <c r="DOG66"/>
      <c r="DOH66"/>
      <c r="DOI66"/>
      <c r="DOJ66"/>
      <c r="DOK66"/>
      <c r="DOL66"/>
      <c r="DOM66"/>
      <c r="DON66"/>
      <c r="DOO66"/>
      <c r="DOP66"/>
      <c r="DOQ66"/>
      <c r="DOR66"/>
      <c r="DOS66"/>
      <c r="DOT66"/>
      <c r="DOU66"/>
      <c r="DOV66"/>
      <c r="DOW66"/>
      <c r="DOX66"/>
      <c r="DOY66"/>
      <c r="DOZ66"/>
      <c r="DPA66"/>
      <c r="DPB66"/>
      <c r="DPC66"/>
      <c r="DPD66"/>
      <c r="DPE66"/>
      <c r="DPF66"/>
      <c r="DPG66"/>
      <c r="DPH66"/>
      <c r="DPI66"/>
      <c r="DPJ66"/>
      <c r="DPK66"/>
      <c r="DPL66"/>
      <c r="DPM66"/>
      <c r="DPN66"/>
      <c r="DPO66"/>
      <c r="DPP66"/>
      <c r="DPQ66"/>
      <c r="DPR66"/>
      <c r="DPS66"/>
      <c r="DPT66"/>
      <c r="DPU66"/>
      <c r="DPV66"/>
      <c r="DPW66"/>
      <c r="DPX66"/>
      <c r="DPY66"/>
      <c r="DPZ66"/>
      <c r="DQA66"/>
      <c r="DQB66"/>
      <c r="DQC66"/>
      <c r="DQD66"/>
      <c r="DQE66"/>
      <c r="DQF66"/>
      <c r="DQG66"/>
      <c r="DQH66"/>
      <c r="DQI66"/>
      <c r="DQJ66"/>
      <c r="DQK66"/>
      <c r="DQL66"/>
      <c r="DQM66"/>
      <c r="DQN66"/>
      <c r="DQO66"/>
      <c r="DQP66"/>
      <c r="DQQ66"/>
      <c r="DQR66"/>
      <c r="DQS66"/>
      <c r="DQT66"/>
      <c r="DQU66"/>
      <c r="DQV66"/>
      <c r="DQW66"/>
      <c r="DQX66"/>
      <c r="DQY66"/>
      <c r="DQZ66"/>
      <c r="DRA66"/>
      <c r="DRB66"/>
      <c r="DRC66"/>
      <c r="DRD66"/>
      <c r="DRE66"/>
      <c r="DRF66"/>
      <c r="DRG66"/>
      <c r="DRH66"/>
      <c r="DRI66"/>
      <c r="DRJ66"/>
      <c r="DRK66"/>
      <c r="DRL66"/>
      <c r="DRM66"/>
      <c r="DRN66"/>
      <c r="DRO66"/>
      <c r="DRP66"/>
      <c r="DRQ66"/>
      <c r="DRR66"/>
      <c r="DRS66"/>
      <c r="DRT66"/>
      <c r="DRU66"/>
      <c r="DRV66"/>
      <c r="DRW66"/>
      <c r="DRX66"/>
      <c r="DRY66"/>
      <c r="DRZ66"/>
      <c r="DSA66"/>
      <c r="DSB66"/>
      <c r="DSC66"/>
      <c r="DSD66"/>
      <c r="DSE66"/>
      <c r="DSF66"/>
      <c r="DSG66"/>
      <c r="DSH66"/>
      <c r="DSI66"/>
      <c r="DSJ66"/>
      <c r="DSK66"/>
      <c r="DSL66"/>
      <c r="DSM66"/>
      <c r="DSN66"/>
      <c r="DSO66"/>
      <c r="DSP66"/>
      <c r="DSQ66"/>
      <c r="DSR66"/>
      <c r="DSS66"/>
      <c r="DST66"/>
      <c r="DSU66"/>
      <c r="DSV66"/>
      <c r="DSW66"/>
      <c r="DSX66"/>
      <c r="DSY66"/>
      <c r="DSZ66"/>
      <c r="DTA66"/>
      <c r="DTB66"/>
      <c r="DTC66"/>
      <c r="DTD66"/>
      <c r="DTE66"/>
      <c r="DTF66"/>
      <c r="DTG66"/>
      <c r="DTH66"/>
      <c r="DTI66"/>
      <c r="DTJ66"/>
      <c r="DTK66"/>
      <c r="DTL66"/>
      <c r="DTM66"/>
      <c r="DTN66"/>
      <c r="DTO66"/>
      <c r="DTP66"/>
      <c r="DTQ66"/>
      <c r="DTR66"/>
      <c r="DTS66"/>
      <c r="DTT66"/>
      <c r="DTU66"/>
      <c r="DTV66"/>
      <c r="DTW66"/>
      <c r="DTX66"/>
      <c r="DTY66"/>
      <c r="DTZ66"/>
      <c r="DUA66"/>
      <c r="DUB66"/>
      <c r="DUC66"/>
      <c r="DUD66"/>
      <c r="DUE66"/>
      <c r="DUF66"/>
      <c r="DUG66"/>
      <c r="DUH66"/>
      <c r="DUI66"/>
      <c r="DUJ66"/>
      <c r="DUK66"/>
      <c r="DUL66"/>
      <c r="DUM66"/>
      <c r="DUN66"/>
      <c r="DUO66"/>
      <c r="DUP66"/>
      <c r="DUQ66"/>
      <c r="DUR66"/>
      <c r="DUS66"/>
      <c r="DUT66"/>
      <c r="DUU66"/>
      <c r="DUV66"/>
      <c r="DUW66"/>
      <c r="DUX66"/>
      <c r="DUY66"/>
      <c r="DUZ66"/>
      <c r="DVA66"/>
      <c r="DVB66"/>
      <c r="DVC66"/>
      <c r="DVD66"/>
      <c r="DVE66"/>
      <c r="DVF66"/>
      <c r="DVG66"/>
      <c r="DVH66"/>
      <c r="DVI66"/>
      <c r="DVJ66"/>
      <c r="DVK66"/>
      <c r="DVL66"/>
      <c r="DVM66"/>
      <c r="DVN66"/>
      <c r="DVO66"/>
      <c r="DVP66"/>
      <c r="DVQ66"/>
      <c r="DVR66"/>
      <c r="DVS66"/>
      <c r="DVT66"/>
      <c r="DVU66"/>
      <c r="DVV66"/>
      <c r="DVW66"/>
      <c r="DVX66"/>
      <c r="DVY66"/>
      <c r="DVZ66"/>
      <c r="DWA66"/>
      <c r="DWB66"/>
      <c r="DWC66"/>
      <c r="DWD66"/>
      <c r="DWE66"/>
      <c r="DWF66"/>
      <c r="DWG66"/>
      <c r="DWH66"/>
      <c r="DWI66"/>
      <c r="DWJ66"/>
      <c r="DWK66"/>
      <c r="DWL66"/>
      <c r="DWM66"/>
      <c r="DWN66"/>
      <c r="DWO66"/>
      <c r="DWP66"/>
      <c r="DWQ66"/>
      <c r="DWR66"/>
      <c r="DWS66"/>
      <c r="DWT66"/>
      <c r="DWU66"/>
      <c r="DWV66"/>
      <c r="DWW66"/>
      <c r="DWX66"/>
      <c r="DWY66"/>
      <c r="DWZ66"/>
      <c r="DXA66"/>
      <c r="DXB66"/>
      <c r="DXC66"/>
      <c r="DXD66"/>
      <c r="DXE66"/>
      <c r="DXF66"/>
      <c r="DXG66"/>
      <c r="DXH66"/>
      <c r="DXI66"/>
      <c r="DXJ66"/>
      <c r="DXK66"/>
      <c r="DXL66"/>
      <c r="DXM66"/>
      <c r="DXN66"/>
      <c r="DXO66"/>
      <c r="DXP66"/>
      <c r="DXQ66"/>
      <c r="DXR66"/>
      <c r="DXS66"/>
      <c r="DXT66"/>
      <c r="DXU66"/>
      <c r="DXV66"/>
      <c r="DXW66"/>
      <c r="DXX66"/>
      <c r="DXY66"/>
      <c r="DXZ66"/>
      <c r="DYA66"/>
      <c r="DYB66"/>
      <c r="DYC66"/>
      <c r="DYD66"/>
      <c r="DYE66"/>
      <c r="DYF66"/>
      <c r="DYG66"/>
      <c r="DYH66"/>
      <c r="DYI66"/>
      <c r="DYJ66"/>
      <c r="DYK66"/>
      <c r="DYL66"/>
      <c r="DYM66"/>
      <c r="DYN66"/>
      <c r="DYO66"/>
      <c r="DYP66"/>
      <c r="DYQ66"/>
      <c r="DYR66"/>
      <c r="DYS66"/>
      <c r="DYT66"/>
      <c r="DYU66"/>
      <c r="DYV66"/>
      <c r="DYW66"/>
      <c r="DYX66"/>
      <c r="DYY66"/>
      <c r="DYZ66"/>
      <c r="DZA66"/>
      <c r="DZB66"/>
      <c r="DZC66"/>
      <c r="DZD66"/>
      <c r="DZE66"/>
      <c r="DZF66"/>
      <c r="DZG66"/>
      <c r="DZH66"/>
      <c r="DZI66"/>
      <c r="DZJ66"/>
      <c r="DZK66"/>
      <c r="DZL66"/>
      <c r="DZM66"/>
      <c r="DZN66"/>
      <c r="DZO66"/>
      <c r="DZP66"/>
      <c r="DZQ66"/>
      <c r="DZR66"/>
      <c r="DZS66"/>
      <c r="DZT66"/>
      <c r="DZU66"/>
      <c r="DZV66"/>
      <c r="DZW66"/>
      <c r="DZX66"/>
      <c r="DZY66"/>
      <c r="DZZ66"/>
      <c r="EAA66"/>
      <c r="EAB66"/>
      <c r="EAC66"/>
      <c r="EAD66"/>
      <c r="EAE66"/>
      <c r="EAF66"/>
      <c r="EAG66"/>
      <c r="EAH66"/>
      <c r="EAI66"/>
      <c r="EAJ66"/>
      <c r="EAK66"/>
      <c r="EAL66"/>
      <c r="EAM66"/>
      <c r="EAN66"/>
      <c r="EAO66"/>
      <c r="EAP66"/>
      <c r="EAQ66"/>
      <c r="EAR66"/>
      <c r="EAS66"/>
      <c r="EAT66"/>
      <c r="EAU66"/>
      <c r="EAV66"/>
      <c r="EAW66"/>
      <c r="EAX66"/>
      <c r="EAY66"/>
      <c r="EAZ66"/>
      <c r="EBA66"/>
      <c r="EBB66"/>
      <c r="EBC66"/>
      <c r="EBD66"/>
      <c r="EBE66"/>
      <c r="EBF66"/>
      <c r="EBG66"/>
      <c r="EBH66"/>
      <c r="EBI66"/>
      <c r="EBJ66"/>
      <c r="EBK66"/>
      <c r="EBL66"/>
      <c r="EBM66"/>
      <c r="EBN66"/>
      <c r="EBO66"/>
      <c r="EBP66"/>
      <c r="EBQ66"/>
      <c r="EBR66"/>
      <c r="EBS66"/>
      <c r="EBT66"/>
      <c r="EBU66"/>
      <c r="EBV66"/>
      <c r="EBW66"/>
      <c r="EBX66"/>
      <c r="EBY66"/>
      <c r="EBZ66"/>
      <c r="ECA66"/>
      <c r="ECB66"/>
      <c r="ECC66"/>
      <c r="ECD66"/>
      <c r="ECE66"/>
      <c r="ECF66"/>
      <c r="ECG66"/>
      <c r="ECH66"/>
      <c r="ECI66"/>
      <c r="ECJ66"/>
      <c r="ECK66"/>
      <c r="ECL66"/>
      <c r="ECM66"/>
      <c r="ECN66"/>
      <c r="ECO66"/>
      <c r="ECP66"/>
      <c r="ECQ66"/>
      <c r="ECR66"/>
      <c r="ECS66"/>
      <c r="ECT66"/>
      <c r="ECU66"/>
      <c r="ECV66"/>
      <c r="ECW66"/>
      <c r="ECX66"/>
      <c r="ECY66"/>
      <c r="ECZ66"/>
      <c r="EDA66"/>
      <c r="EDB66"/>
      <c r="EDC66"/>
      <c r="EDD66"/>
      <c r="EDE66"/>
      <c r="EDF66"/>
      <c r="EDG66"/>
      <c r="EDH66"/>
      <c r="EDI66"/>
      <c r="EDJ66"/>
      <c r="EDK66"/>
      <c r="EDL66"/>
      <c r="EDM66"/>
      <c r="EDN66"/>
      <c r="EDO66"/>
      <c r="EDP66"/>
      <c r="EDQ66"/>
      <c r="EDR66"/>
      <c r="EDS66"/>
      <c r="EDT66"/>
      <c r="EDU66"/>
      <c r="EDV66"/>
      <c r="EDW66"/>
      <c r="EDX66"/>
      <c r="EDY66"/>
      <c r="EDZ66"/>
      <c r="EEA66"/>
      <c r="EEB66"/>
      <c r="EEC66"/>
      <c r="EED66"/>
      <c r="EEE66"/>
      <c r="EEF66"/>
      <c r="EEG66"/>
      <c r="EEH66"/>
      <c r="EEI66"/>
      <c r="EEJ66"/>
      <c r="EEK66"/>
      <c r="EEL66"/>
      <c r="EEM66"/>
      <c r="EEN66"/>
      <c r="EEO66"/>
      <c r="EEP66"/>
      <c r="EEQ66"/>
      <c r="EER66"/>
      <c r="EES66"/>
      <c r="EET66"/>
      <c r="EEU66"/>
      <c r="EEV66"/>
      <c r="EEW66"/>
      <c r="EEX66"/>
      <c r="EEY66"/>
      <c r="EEZ66"/>
      <c r="EFA66"/>
      <c r="EFB66"/>
      <c r="EFC66"/>
      <c r="EFD66"/>
      <c r="EFE66"/>
      <c r="EFF66"/>
      <c r="EFG66"/>
      <c r="EFH66"/>
      <c r="EFI66"/>
      <c r="EFJ66"/>
      <c r="EFK66"/>
      <c r="EFL66"/>
      <c r="EFM66"/>
      <c r="EFN66"/>
      <c r="EFO66"/>
      <c r="EFP66"/>
      <c r="EFQ66"/>
      <c r="EFR66"/>
      <c r="EFS66"/>
      <c r="EFT66"/>
      <c r="EFU66"/>
      <c r="EFV66"/>
      <c r="EFW66"/>
      <c r="EFX66"/>
      <c r="EFY66"/>
      <c r="EFZ66"/>
      <c r="EGA66"/>
      <c r="EGB66"/>
      <c r="EGC66"/>
      <c r="EGD66"/>
      <c r="EGE66"/>
      <c r="EGF66"/>
      <c r="EGG66"/>
      <c r="EGH66"/>
      <c r="EGI66"/>
      <c r="EGJ66"/>
      <c r="EGK66"/>
      <c r="EGL66"/>
      <c r="EGM66"/>
      <c r="EGN66"/>
      <c r="EGO66"/>
      <c r="EGP66"/>
      <c r="EGQ66"/>
      <c r="EGR66"/>
      <c r="EGS66"/>
      <c r="EGT66"/>
      <c r="EGU66"/>
      <c r="EGV66"/>
      <c r="EGW66"/>
      <c r="EGX66"/>
      <c r="EGY66"/>
      <c r="EGZ66"/>
      <c r="EHA66"/>
      <c r="EHB66"/>
      <c r="EHC66"/>
      <c r="EHD66"/>
      <c r="EHE66"/>
      <c r="EHF66"/>
      <c r="EHG66"/>
      <c r="EHH66"/>
      <c r="EHI66"/>
      <c r="EHJ66"/>
      <c r="EHK66"/>
      <c r="EHL66"/>
      <c r="EHM66"/>
      <c r="EHN66"/>
      <c r="EHO66"/>
      <c r="EHP66"/>
      <c r="EHQ66"/>
      <c r="EHR66"/>
      <c r="EHS66"/>
      <c r="EHT66"/>
      <c r="EHU66"/>
      <c r="EHV66"/>
      <c r="EHW66"/>
      <c r="EHX66"/>
      <c r="EHY66"/>
      <c r="EHZ66"/>
      <c r="EIA66"/>
      <c r="EIB66"/>
      <c r="EIC66"/>
      <c r="EID66"/>
      <c r="EIE66"/>
      <c r="EIF66"/>
      <c r="EIG66"/>
      <c r="EIH66"/>
      <c r="EII66"/>
      <c r="EIJ66"/>
      <c r="EIK66"/>
      <c r="EIL66"/>
      <c r="EIM66"/>
      <c r="EIN66"/>
      <c r="EIO66"/>
      <c r="EIP66"/>
      <c r="EIQ66"/>
      <c r="EIR66"/>
      <c r="EIS66"/>
      <c r="EIT66"/>
      <c r="EIU66"/>
      <c r="EIV66"/>
      <c r="EIW66"/>
      <c r="EIX66"/>
      <c r="EIY66"/>
      <c r="EIZ66"/>
      <c r="EJA66"/>
      <c r="EJB66"/>
      <c r="EJC66"/>
      <c r="EJD66"/>
      <c r="EJE66"/>
      <c r="EJF66"/>
      <c r="EJG66"/>
      <c r="EJH66"/>
      <c r="EJI66"/>
      <c r="EJJ66"/>
      <c r="EJK66"/>
      <c r="EJL66"/>
      <c r="EJM66"/>
      <c r="EJN66"/>
      <c r="EJO66"/>
      <c r="EJP66"/>
      <c r="EJQ66"/>
      <c r="EJR66"/>
      <c r="EJS66"/>
      <c r="EJT66"/>
      <c r="EJU66"/>
      <c r="EJV66"/>
      <c r="EJW66"/>
      <c r="EJX66"/>
      <c r="EJY66"/>
      <c r="EJZ66"/>
      <c r="EKA66"/>
      <c r="EKB66"/>
      <c r="EKC66"/>
      <c r="EKD66"/>
      <c r="EKE66"/>
      <c r="EKF66"/>
      <c r="EKG66"/>
      <c r="EKH66"/>
      <c r="EKI66"/>
      <c r="EKJ66"/>
      <c r="EKK66"/>
      <c r="EKL66"/>
      <c r="EKM66"/>
      <c r="EKN66"/>
      <c r="EKO66"/>
      <c r="EKP66"/>
      <c r="EKQ66"/>
      <c r="EKR66"/>
      <c r="EKS66"/>
      <c r="EKT66"/>
      <c r="EKU66"/>
      <c r="EKV66"/>
      <c r="EKW66"/>
      <c r="EKX66"/>
      <c r="EKY66"/>
      <c r="EKZ66"/>
      <c r="ELA66"/>
      <c r="ELB66"/>
      <c r="ELC66"/>
      <c r="ELD66"/>
      <c r="ELE66"/>
      <c r="ELF66"/>
      <c r="ELG66"/>
      <c r="ELH66"/>
      <c r="ELI66"/>
      <c r="ELJ66"/>
      <c r="ELK66"/>
      <c r="ELL66"/>
      <c r="ELM66"/>
      <c r="ELN66"/>
      <c r="ELO66"/>
      <c r="ELP66"/>
      <c r="ELQ66"/>
      <c r="ELR66"/>
      <c r="ELS66"/>
      <c r="ELT66"/>
      <c r="ELU66"/>
      <c r="ELV66"/>
      <c r="ELW66"/>
      <c r="ELX66"/>
      <c r="ELY66"/>
      <c r="ELZ66"/>
      <c r="EMA66"/>
      <c r="EMB66"/>
      <c r="EMC66"/>
      <c r="EMD66"/>
      <c r="EME66"/>
      <c r="EMF66"/>
      <c r="EMG66"/>
      <c r="EMH66"/>
      <c r="EMI66"/>
      <c r="EMJ66"/>
      <c r="EMK66"/>
      <c r="EML66"/>
      <c r="EMM66"/>
      <c r="EMN66"/>
      <c r="EMO66"/>
      <c r="EMP66"/>
      <c r="EMQ66"/>
      <c r="EMR66"/>
      <c r="EMS66"/>
      <c r="EMT66"/>
      <c r="EMU66"/>
      <c r="EMV66"/>
      <c r="EMW66"/>
      <c r="EMX66"/>
      <c r="EMY66"/>
      <c r="EMZ66"/>
      <c r="ENA66"/>
      <c r="ENB66"/>
      <c r="ENC66"/>
      <c r="END66"/>
      <c r="ENE66"/>
      <c r="ENF66"/>
      <c r="ENG66"/>
      <c r="ENH66"/>
      <c r="ENI66"/>
      <c r="ENJ66"/>
      <c r="ENK66"/>
      <c r="ENL66"/>
      <c r="ENM66"/>
      <c r="ENN66"/>
      <c r="ENO66"/>
      <c r="ENP66"/>
      <c r="ENQ66"/>
      <c r="ENR66"/>
      <c r="ENS66"/>
      <c r="ENT66"/>
      <c r="ENU66"/>
      <c r="ENV66"/>
      <c r="ENW66"/>
      <c r="ENX66"/>
      <c r="ENY66"/>
      <c r="ENZ66"/>
      <c r="EOA66"/>
      <c r="EOB66"/>
      <c r="EOC66"/>
      <c r="EOD66"/>
      <c r="EOE66"/>
      <c r="EOF66"/>
      <c r="EOG66"/>
      <c r="EOH66"/>
      <c r="EOI66"/>
      <c r="EOJ66"/>
      <c r="EOK66"/>
      <c r="EOL66"/>
      <c r="EOM66"/>
      <c r="EON66"/>
      <c r="EOO66"/>
      <c r="EOP66"/>
      <c r="EOQ66"/>
      <c r="EOR66"/>
      <c r="EOS66"/>
      <c r="EOT66"/>
      <c r="EOU66"/>
      <c r="EOV66"/>
      <c r="EOW66"/>
      <c r="EOX66"/>
      <c r="EOY66"/>
      <c r="EOZ66"/>
      <c r="EPA66"/>
      <c r="EPB66"/>
      <c r="EPC66"/>
      <c r="EPD66"/>
      <c r="EPE66"/>
      <c r="EPF66"/>
      <c r="EPG66"/>
      <c r="EPH66"/>
      <c r="EPI66"/>
      <c r="EPJ66"/>
      <c r="EPK66"/>
      <c r="EPL66"/>
      <c r="EPM66"/>
      <c r="EPN66"/>
      <c r="EPO66"/>
      <c r="EPP66"/>
      <c r="EPQ66"/>
      <c r="EPR66"/>
      <c r="EPS66"/>
      <c r="EPT66"/>
      <c r="EPU66"/>
      <c r="EPV66"/>
      <c r="EPW66"/>
      <c r="EPX66"/>
      <c r="EPY66"/>
      <c r="EPZ66"/>
      <c r="EQA66"/>
      <c r="EQB66"/>
      <c r="EQC66"/>
      <c r="EQD66"/>
      <c r="EQE66"/>
      <c r="EQF66"/>
      <c r="EQG66"/>
      <c r="EQH66"/>
      <c r="EQI66"/>
      <c r="EQJ66"/>
      <c r="EQK66"/>
      <c r="EQL66"/>
      <c r="EQM66"/>
      <c r="EQN66"/>
      <c r="EQO66"/>
      <c r="EQP66"/>
      <c r="EQQ66"/>
      <c r="EQR66"/>
      <c r="EQS66"/>
      <c r="EQT66"/>
      <c r="EQU66"/>
      <c r="EQV66"/>
      <c r="EQW66"/>
      <c r="EQX66"/>
      <c r="EQY66"/>
      <c r="EQZ66"/>
      <c r="ERA66"/>
      <c r="ERB66"/>
      <c r="ERC66"/>
      <c r="ERD66"/>
      <c r="ERE66"/>
      <c r="ERF66"/>
      <c r="ERG66"/>
      <c r="ERH66"/>
      <c r="ERI66"/>
      <c r="ERJ66"/>
      <c r="ERK66"/>
      <c r="ERL66"/>
      <c r="ERM66"/>
      <c r="ERN66"/>
      <c r="ERO66"/>
      <c r="ERP66"/>
      <c r="ERQ66"/>
      <c r="ERR66"/>
      <c r="ERS66"/>
      <c r="ERT66"/>
      <c r="ERU66"/>
      <c r="ERV66"/>
      <c r="ERW66"/>
      <c r="ERX66"/>
      <c r="ERY66"/>
      <c r="ERZ66"/>
      <c r="ESA66"/>
      <c r="ESB66"/>
      <c r="ESC66"/>
      <c r="ESD66"/>
      <c r="ESE66"/>
      <c r="ESF66"/>
      <c r="ESG66"/>
      <c r="ESH66"/>
      <c r="ESI66"/>
      <c r="ESJ66"/>
      <c r="ESK66"/>
      <c r="ESL66"/>
      <c r="ESM66"/>
      <c r="ESN66"/>
      <c r="ESO66"/>
      <c r="ESP66"/>
      <c r="ESQ66"/>
      <c r="ESR66"/>
      <c r="ESS66"/>
      <c r="EST66"/>
      <c r="ESU66"/>
      <c r="ESV66"/>
      <c r="ESW66"/>
      <c r="ESX66"/>
      <c r="ESY66"/>
      <c r="ESZ66"/>
      <c r="ETA66"/>
      <c r="ETB66"/>
      <c r="ETC66"/>
      <c r="ETD66"/>
      <c r="ETE66"/>
      <c r="ETF66"/>
      <c r="ETG66"/>
      <c r="ETH66"/>
      <c r="ETI66"/>
      <c r="ETJ66"/>
      <c r="ETK66"/>
      <c r="ETL66"/>
      <c r="ETM66"/>
      <c r="ETN66"/>
      <c r="ETO66"/>
      <c r="ETP66"/>
      <c r="ETQ66"/>
      <c r="ETR66"/>
      <c r="ETS66"/>
      <c r="ETT66"/>
      <c r="ETU66"/>
      <c r="ETV66"/>
      <c r="ETW66"/>
      <c r="ETX66"/>
      <c r="ETY66"/>
      <c r="ETZ66"/>
      <c r="EUA66"/>
      <c r="EUB66"/>
      <c r="EUC66"/>
      <c r="EUD66"/>
      <c r="EUE66"/>
      <c r="EUF66"/>
      <c r="EUG66"/>
      <c r="EUH66"/>
      <c r="EUI66"/>
      <c r="EUJ66"/>
      <c r="EUK66"/>
      <c r="EUL66"/>
      <c r="EUM66"/>
      <c r="EUN66"/>
      <c r="EUO66"/>
      <c r="EUP66"/>
      <c r="EUQ66"/>
      <c r="EUR66"/>
      <c r="EUS66"/>
      <c r="EUT66"/>
      <c r="EUU66"/>
      <c r="EUV66"/>
      <c r="EUW66"/>
      <c r="EUX66"/>
      <c r="EUY66"/>
      <c r="EUZ66"/>
      <c r="EVA66"/>
      <c r="EVB66"/>
      <c r="EVC66"/>
      <c r="EVD66"/>
      <c r="EVE66"/>
      <c r="EVF66"/>
      <c r="EVG66"/>
      <c r="EVH66"/>
      <c r="EVI66"/>
      <c r="EVJ66"/>
      <c r="EVK66"/>
      <c r="EVL66"/>
      <c r="EVM66"/>
      <c r="EVN66"/>
      <c r="EVO66"/>
      <c r="EVP66"/>
      <c r="EVQ66"/>
      <c r="EVR66"/>
      <c r="EVS66"/>
      <c r="EVT66"/>
      <c r="EVU66"/>
      <c r="EVV66"/>
      <c r="EVW66"/>
      <c r="EVX66"/>
      <c r="EVY66"/>
      <c r="EVZ66"/>
      <c r="EWA66"/>
      <c r="EWB66"/>
      <c r="EWC66"/>
      <c r="EWD66"/>
      <c r="EWE66"/>
      <c r="EWF66"/>
      <c r="EWG66"/>
      <c r="EWH66"/>
      <c r="EWI66"/>
      <c r="EWJ66"/>
      <c r="EWK66"/>
      <c r="EWL66"/>
      <c r="EWM66"/>
      <c r="EWN66"/>
      <c r="EWO66"/>
      <c r="EWP66"/>
      <c r="EWQ66"/>
      <c r="EWR66"/>
      <c r="EWS66"/>
      <c r="EWT66"/>
      <c r="EWU66"/>
      <c r="EWV66"/>
      <c r="EWW66"/>
      <c r="EWX66"/>
      <c r="EWY66"/>
      <c r="EWZ66"/>
      <c r="EXA66"/>
      <c r="EXB66"/>
      <c r="EXC66"/>
      <c r="EXD66"/>
      <c r="EXE66"/>
      <c r="EXF66"/>
      <c r="EXG66"/>
      <c r="EXH66"/>
      <c r="EXI66"/>
      <c r="EXJ66"/>
      <c r="EXK66"/>
      <c r="EXL66"/>
      <c r="EXM66"/>
      <c r="EXN66"/>
      <c r="EXO66"/>
      <c r="EXP66"/>
      <c r="EXQ66"/>
      <c r="EXR66"/>
      <c r="EXS66"/>
      <c r="EXT66"/>
      <c r="EXU66"/>
      <c r="EXV66"/>
      <c r="EXW66"/>
      <c r="EXX66"/>
      <c r="EXY66"/>
      <c r="EXZ66"/>
      <c r="EYA66"/>
      <c r="EYB66"/>
      <c r="EYC66"/>
      <c r="EYD66"/>
      <c r="EYE66"/>
      <c r="EYF66"/>
      <c r="EYG66"/>
      <c r="EYH66"/>
      <c r="EYI66"/>
      <c r="EYJ66"/>
      <c r="EYK66"/>
      <c r="EYL66"/>
      <c r="EYM66"/>
      <c r="EYN66"/>
      <c r="EYO66"/>
      <c r="EYP66"/>
      <c r="EYQ66"/>
      <c r="EYR66"/>
      <c r="EYS66"/>
      <c r="EYT66"/>
      <c r="EYU66"/>
      <c r="EYV66"/>
      <c r="EYW66"/>
      <c r="EYX66"/>
      <c r="EYY66"/>
      <c r="EYZ66"/>
      <c r="EZA66"/>
      <c r="EZB66"/>
      <c r="EZC66"/>
      <c r="EZD66"/>
      <c r="EZE66"/>
      <c r="EZF66"/>
      <c r="EZG66"/>
      <c r="EZH66"/>
      <c r="EZI66"/>
      <c r="EZJ66"/>
      <c r="EZK66"/>
      <c r="EZL66"/>
      <c r="EZM66"/>
      <c r="EZN66"/>
      <c r="EZO66"/>
      <c r="EZP66"/>
      <c r="EZQ66"/>
      <c r="EZR66"/>
      <c r="EZS66"/>
      <c r="EZT66"/>
      <c r="EZU66"/>
      <c r="EZV66"/>
      <c r="EZW66"/>
      <c r="EZX66"/>
      <c r="EZY66"/>
      <c r="EZZ66"/>
      <c r="FAA66"/>
      <c r="FAB66"/>
      <c r="FAC66"/>
      <c r="FAD66"/>
      <c r="FAE66"/>
      <c r="FAF66"/>
      <c r="FAG66"/>
      <c r="FAH66"/>
      <c r="FAI66"/>
      <c r="FAJ66"/>
      <c r="FAK66"/>
      <c r="FAL66"/>
      <c r="FAM66"/>
      <c r="FAN66"/>
      <c r="FAO66"/>
      <c r="FAP66"/>
      <c r="FAQ66"/>
      <c r="FAR66"/>
      <c r="FAS66"/>
      <c r="FAT66"/>
      <c r="FAU66"/>
      <c r="FAV66"/>
      <c r="FAW66"/>
      <c r="FAX66"/>
      <c r="FAY66"/>
      <c r="FAZ66"/>
      <c r="FBA66"/>
      <c r="FBB66"/>
      <c r="FBC66"/>
      <c r="FBD66"/>
      <c r="FBE66"/>
      <c r="FBF66"/>
      <c r="FBG66"/>
      <c r="FBH66"/>
      <c r="FBI66"/>
      <c r="FBJ66"/>
      <c r="FBK66"/>
      <c r="FBL66"/>
      <c r="FBM66"/>
      <c r="FBN66"/>
      <c r="FBO66"/>
      <c r="FBP66"/>
      <c r="FBQ66"/>
      <c r="FBR66"/>
      <c r="FBS66"/>
      <c r="FBT66"/>
      <c r="FBU66"/>
      <c r="FBV66"/>
      <c r="FBW66"/>
      <c r="FBX66"/>
      <c r="FBY66"/>
      <c r="FBZ66"/>
      <c r="FCA66"/>
      <c r="FCB66"/>
      <c r="FCC66"/>
      <c r="FCD66"/>
      <c r="FCE66"/>
      <c r="FCF66"/>
      <c r="FCG66"/>
      <c r="FCH66"/>
      <c r="FCI66"/>
      <c r="FCJ66"/>
      <c r="FCK66"/>
      <c r="FCL66"/>
      <c r="FCM66"/>
      <c r="FCN66"/>
      <c r="FCO66"/>
      <c r="FCP66"/>
      <c r="FCQ66"/>
      <c r="FCR66"/>
      <c r="FCS66"/>
      <c r="FCT66"/>
      <c r="FCU66"/>
      <c r="FCV66"/>
      <c r="FCW66"/>
      <c r="FCX66"/>
      <c r="FCY66"/>
      <c r="FCZ66"/>
      <c r="FDA66"/>
      <c r="FDB66"/>
      <c r="FDC66"/>
      <c r="FDD66"/>
      <c r="FDE66"/>
      <c r="FDF66"/>
      <c r="FDG66"/>
      <c r="FDH66"/>
      <c r="FDI66"/>
      <c r="FDJ66"/>
      <c r="FDK66"/>
      <c r="FDL66"/>
      <c r="FDM66"/>
      <c r="FDN66"/>
      <c r="FDO66"/>
      <c r="FDP66"/>
      <c r="FDQ66"/>
      <c r="FDR66"/>
      <c r="FDS66"/>
      <c r="FDT66"/>
      <c r="FDU66"/>
      <c r="FDV66"/>
      <c r="FDW66"/>
      <c r="FDX66"/>
      <c r="FDY66"/>
      <c r="FDZ66"/>
      <c r="FEA66"/>
      <c r="FEB66"/>
      <c r="FEC66"/>
      <c r="FED66"/>
      <c r="FEE66"/>
      <c r="FEF66"/>
      <c r="FEG66"/>
      <c r="FEH66"/>
      <c r="FEI66"/>
      <c r="FEJ66"/>
      <c r="FEK66"/>
      <c r="FEL66"/>
      <c r="FEM66"/>
      <c r="FEN66"/>
      <c r="FEO66"/>
      <c r="FEP66"/>
      <c r="FEQ66"/>
      <c r="FER66"/>
      <c r="FES66"/>
      <c r="FET66"/>
      <c r="FEU66"/>
      <c r="FEV66"/>
      <c r="FEW66"/>
      <c r="FEX66"/>
      <c r="FEY66"/>
      <c r="FEZ66"/>
      <c r="FFA66"/>
      <c r="FFB66"/>
      <c r="FFC66"/>
      <c r="FFD66"/>
      <c r="FFE66"/>
      <c r="FFF66"/>
      <c r="FFG66"/>
      <c r="FFH66"/>
      <c r="FFI66"/>
      <c r="FFJ66"/>
      <c r="FFK66"/>
      <c r="FFL66"/>
      <c r="FFM66"/>
      <c r="FFN66"/>
      <c r="FFO66"/>
      <c r="FFP66"/>
      <c r="FFQ66"/>
      <c r="FFR66"/>
      <c r="FFS66"/>
      <c r="FFT66"/>
      <c r="FFU66"/>
      <c r="FFV66"/>
      <c r="FFW66"/>
      <c r="FFX66"/>
      <c r="FFY66"/>
      <c r="FFZ66"/>
      <c r="FGA66"/>
      <c r="FGB66"/>
      <c r="FGC66"/>
      <c r="FGD66"/>
      <c r="FGE66"/>
      <c r="FGF66"/>
      <c r="FGG66"/>
      <c r="FGH66"/>
      <c r="FGI66"/>
      <c r="FGJ66"/>
      <c r="FGK66"/>
      <c r="FGL66"/>
      <c r="FGM66"/>
      <c r="FGN66"/>
      <c r="FGO66"/>
      <c r="FGP66"/>
      <c r="FGQ66"/>
      <c r="FGR66"/>
      <c r="FGS66"/>
      <c r="FGT66"/>
      <c r="FGU66"/>
      <c r="FGV66"/>
      <c r="FGW66"/>
      <c r="FGX66"/>
      <c r="FGY66"/>
      <c r="FGZ66"/>
      <c r="FHA66"/>
      <c r="FHB66"/>
      <c r="FHC66"/>
      <c r="FHD66"/>
      <c r="FHE66"/>
      <c r="FHF66"/>
      <c r="FHG66"/>
      <c r="FHH66"/>
      <c r="FHI66"/>
      <c r="FHJ66"/>
      <c r="FHK66"/>
      <c r="FHL66"/>
      <c r="FHM66"/>
      <c r="FHN66"/>
      <c r="FHO66"/>
      <c r="FHP66"/>
      <c r="FHQ66"/>
      <c r="FHR66"/>
      <c r="FHS66"/>
      <c r="FHT66"/>
      <c r="FHU66"/>
      <c r="FHV66"/>
      <c r="FHW66"/>
      <c r="FHX66"/>
      <c r="FHY66"/>
      <c r="FHZ66"/>
      <c r="FIA66"/>
      <c r="FIB66"/>
      <c r="FIC66"/>
      <c r="FID66"/>
      <c r="FIE66"/>
      <c r="FIF66"/>
      <c r="FIG66"/>
      <c r="FIH66"/>
      <c r="FII66"/>
      <c r="FIJ66"/>
      <c r="FIK66"/>
      <c r="FIL66"/>
      <c r="FIM66"/>
      <c r="FIN66"/>
      <c r="FIO66"/>
      <c r="FIP66"/>
      <c r="FIQ66"/>
      <c r="FIR66"/>
      <c r="FIS66"/>
      <c r="FIT66"/>
      <c r="FIU66"/>
      <c r="FIV66"/>
      <c r="FIW66"/>
      <c r="FIX66"/>
      <c r="FIY66"/>
      <c r="FIZ66"/>
      <c r="FJA66"/>
      <c r="FJB66"/>
      <c r="FJC66"/>
      <c r="FJD66"/>
      <c r="FJE66"/>
      <c r="FJF66"/>
      <c r="FJG66"/>
      <c r="FJH66"/>
      <c r="FJI66"/>
      <c r="FJJ66"/>
      <c r="FJK66"/>
      <c r="FJL66"/>
      <c r="FJM66"/>
      <c r="FJN66"/>
      <c r="FJO66"/>
      <c r="FJP66"/>
      <c r="FJQ66"/>
      <c r="FJR66"/>
      <c r="FJS66"/>
      <c r="FJT66"/>
      <c r="FJU66"/>
      <c r="FJV66"/>
      <c r="FJW66"/>
      <c r="FJX66"/>
      <c r="FJY66"/>
      <c r="FJZ66"/>
      <c r="FKA66"/>
      <c r="FKB66"/>
      <c r="FKC66"/>
      <c r="FKD66"/>
      <c r="FKE66"/>
      <c r="FKF66"/>
      <c r="FKG66"/>
      <c r="FKH66"/>
      <c r="FKI66"/>
      <c r="FKJ66"/>
      <c r="FKK66"/>
      <c r="FKL66"/>
      <c r="FKM66"/>
      <c r="FKN66"/>
      <c r="FKO66"/>
      <c r="FKP66"/>
      <c r="FKQ66"/>
      <c r="FKR66"/>
      <c r="FKS66"/>
      <c r="FKT66"/>
      <c r="FKU66"/>
      <c r="FKV66"/>
      <c r="FKW66"/>
      <c r="FKX66"/>
      <c r="FKY66"/>
      <c r="FKZ66"/>
      <c r="FLA66"/>
      <c r="FLB66"/>
      <c r="FLC66"/>
      <c r="FLD66"/>
      <c r="FLE66"/>
      <c r="FLF66"/>
      <c r="FLG66"/>
      <c r="FLH66"/>
      <c r="FLI66"/>
      <c r="FLJ66"/>
      <c r="FLK66"/>
      <c r="FLL66"/>
      <c r="FLM66"/>
      <c r="FLN66"/>
      <c r="FLO66"/>
      <c r="FLP66"/>
      <c r="FLQ66"/>
      <c r="FLR66"/>
      <c r="FLS66"/>
      <c r="FLT66"/>
      <c r="FLU66"/>
      <c r="FLV66"/>
      <c r="FLW66"/>
      <c r="FLX66"/>
      <c r="FLY66"/>
      <c r="FLZ66"/>
      <c r="FMA66"/>
      <c r="FMB66"/>
      <c r="FMC66"/>
      <c r="FMD66"/>
      <c r="FME66"/>
      <c r="FMF66"/>
      <c r="FMG66"/>
      <c r="FMH66"/>
      <c r="FMI66"/>
      <c r="FMJ66"/>
      <c r="FMK66"/>
      <c r="FML66"/>
      <c r="FMM66"/>
      <c r="FMN66"/>
      <c r="FMO66"/>
      <c r="FMP66"/>
      <c r="FMQ66"/>
      <c r="FMR66"/>
      <c r="FMS66"/>
      <c r="FMT66"/>
      <c r="FMU66"/>
      <c r="FMV66"/>
      <c r="FMW66"/>
      <c r="FMX66"/>
      <c r="FMY66"/>
      <c r="FMZ66"/>
      <c r="FNA66"/>
      <c r="FNB66"/>
      <c r="FNC66"/>
      <c r="FND66"/>
      <c r="FNE66"/>
      <c r="FNF66"/>
      <c r="FNG66"/>
      <c r="FNH66"/>
      <c r="FNI66"/>
      <c r="FNJ66"/>
      <c r="FNK66"/>
      <c r="FNL66"/>
      <c r="FNM66"/>
      <c r="FNN66"/>
      <c r="FNO66"/>
      <c r="FNP66"/>
      <c r="FNQ66"/>
      <c r="FNR66"/>
      <c r="FNS66"/>
      <c r="FNT66"/>
      <c r="FNU66"/>
      <c r="FNV66"/>
      <c r="FNW66"/>
      <c r="FNX66"/>
      <c r="FNY66"/>
      <c r="FNZ66"/>
      <c r="FOA66"/>
      <c r="FOB66"/>
      <c r="FOC66"/>
      <c r="FOD66"/>
      <c r="FOE66"/>
      <c r="FOF66"/>
      <c r="FOG66"/>
      <c r="FOH66"/>
      <c r="FOI66"/>
      <c r="FOJ66"/>
      <c r="FOK66"/>
      <c r="FOL66"/>
      <c r="FOM66"/>
      <c r="FON66"/>
      <c r="FOO66"/>
      <c r="FOP66"/>
      <c r="FOQ66"/>
      <c r="FOR66"/>
      <c r="FOS66"/>
      <c r="FOT66"/>
      <c r="FOU66"/>
      <c r="FOV66"/>
      <c r="FOW66"/>
      <c r="FOX66"/>
      <c r="FOY66"/>
      <c r="FOZ66"/>
      <c r="FPA66"/>
      <c r="FPB66"/>
      <c r="FPC66"/>
      <c r="FPD66"/>
      <c r="FPE66"/>
      <c r="FPF66"/>
      <c r="FPG66"/>
      <c r="FPH66"/>
      <c r="FPI66"/>
      <c r="FPJ66"/>
      <c r="FPK66"/>
      <c r="FPL66"/>
      <c r="FPM66"/>
      <c r="FPN66"/>
      <c r="FPO66"/>
      <c r="FPP66"/>
      <c r="FPQ66"/>
      <c r="FPR66"/>
      <c r="FPS66"/>
      <c r="FPT66"/>
      <c r="FPU66"/>
      <c r="FPV66"/>
      <c r="FPW66"/>
      <c r="FPX66"/>
      <c r="FPY66"/>
      <c r="FPZ66"/>
      <c r="FQA66"/>
      <c r="FQB66"/>
      <c r="FQC66"/>
      <c r="FQD66"/>
      <c r="FQE66"/>
      <c r="FQF66"/>
      <c r="FQG66"/>
      <c r="FQH66"/>
      <c r="FQI66"/>
      <c r="FQJ66"/>
      <c r="FQK66"/>
      <c r="FQL66"/>
      <c r="FQM66"/>
      <c r="FQN66"/>
      <c r="FQO66"/>
      <c r="FQP66"/>
      <c r="FQQ66"/>
      <c r="FQR66"/>
      <c r="FQS66"/>
      <c r="FQT66"/>
      <c r="FQU66"/>
      <c r="FQV66"/>
      <c r="FQW66"/>
      <c r="FQX66"/>
      <c r="FQY66"/>
      <c r="FQZ66"/>
      <c r="FRA66"/>
      <c r="FRB66"/>
      <c r="FRC66"/>
      <c r="FRD66"/>
      <c r="FRE66"/>
      <c r="FRF66"/>
      <c r="FRG66"/>
      <c r="FRH66"/>
      <c r="FRI66"/>
      <c r="FRJ66"/>
      <c r="FRK66"/>
      <c r="FRL66"/>
      <c r="FRM66"/>
      <c r="FRN66"/>
      <c r="FRO66"/>
      <c r="FRP66"/>
      <c r="FRQ66"/>
      <c r="FRR66"/>
      <c r="FRS66"/>
      <c r="FRT66"/>
      <c r="FRU66"/>
      <c r="FRV66"/>
      <c r="FRW66"/>
      <c r="FRX66"/>
      <c r="FRY66"/>
      <c r="FRZ66"/>
      <c r="FSA66"/>
      <c r="FSB66"/>
      <c r="FSC66"/>
      <c r="FSD66"/>
      <c r="FSE66"/>
      <c r="FSF66"/>
      <c r="FSG66"/>
      <c r="FSH66"/>
      <c r="FSI66"/>
      <c r="FSJ66"/>
      <c r="FSK66"/>
      <c r="FSL66"/>
      <c r="FSM66"/>
      <c r="FSN66"/>
      <c r="FSO66"/>
      <c r="FSP66"/>
      <c r="FSQ66"/>
      <c r="FSR66"/>
      <c r="FSS66"/>
      <c r="FST66"/>
      <c r="FSU66"/>
      <c r="FSV66"/>
      <c r="FSW66"/>
      <c r="FSX66"/>
      <c r="FSY66"/>
      <c r="FSZ66"/>
      <c r="FTA66"/>
      <c r="FTB66"/>
      <c r="FTC66"/>
      <c r="FTD66"/>
      <c r="FTE66"/>
      <c r="FTF66"/>
      <c r="FTG66"/>
      <c r="FTH66"/>
      <c r="FTI66"/>
      <c r="FTJ66"/>
      <c r="FTK66"/>
      <c r="FTL66"/>
      <c r="FTM66"/>
      <c r="FTN66"/>
      <c r="FTO66"/>
      <c r="FTP66"/>
      <c r="FTQ66"/>
      <c r="FTR66"/>
      <c r="FTS66"/>
      <c r="FTT66"/>
      <c r="FTU66"/>
      <c r="FTV66"/>
      <c r="FTW66"/>
      <c r="FTX66"/>
      <c r="FTY66"/>
      <c r="FTZ66"/>
      <c r="FUA66"/>
      <c r="FUB66"/>
      <c r="FUC66"/>
      <c r="FUD66"/>
      <c r="FUE66"/>
      <c r="FUF66"/>
      <c r="FUG66"/>
      <c r="FUH66"/>
      <c r="FUI66"/>
      <c r="FUJ66"/>
      <c r="FUK66"/>
      <c r="FUL66"/>
      <c r="FUM66"/>
      <c r="FUN66"/>
      <c r="FUO66"/>
      <c r="FUP66"/>
      <c r="FUQ66"/>
      <c r="FUR66"/>
      <c r="FUS66"/>
      <c r="FUT66"/>
      <c r="FUU66"/>
      <c r="FUV66"/>
      <c r="FUW66"/>
      <c r="FUX66"/>
      <c r="FUY66"/>
      <c r="FUZ66"/>
      <c r="FVA66"/>
      <c r="FVB66"/>
      <c r="FVC66"/>
      <c r="FVD66"/>
      <c r="FVE66"/>
      <c r="FVF66"/>
      <c r="FVG66"/>
      <c r="FVH66"/>
      <c r="FVI66"/>
      <c r="FVJ66"/>
      <c r="FVK66"/>
      <c r="FVL66"/>
      <c r="FVM66"/>
      <c r="FVN66"/>
      <c r="FVO66"/>
      <c r="FVP66"/>
      <c r="FVQ66"/>
      <c r="FVR66"/>
      <c r="FVS66"/>
      <c r="FVT66"/>
      <c r="FVU66"/>
      <c r="FVV66"/>
      <c r="FVW66"/>
      <c r="FVX66"/>
      <c r="FVY66"/>
      <c r="FVZ66"/>
    </row>
    <row r="67" spans="1:4654" ht="15.75">
      <c r="A67" s="47"/>
      <c r="B67" s="47"/>
      <c r="C67" s="4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c r="MA67"/>
      <c r="MB67"/>
      <c r="MC67"/>
      <c r="MD67"/>
      <c r="ME67"/>
      <c r="MF67"/>
      <c r="MG67"/>
      <c r="MH67"/>
      <c r="MI67"/>
      <c r="MJ67"/>
      <c r="MK67"/>
      <c r="ML67"/>
      <c r="MM67"/>
      <c r="MN67"/>
      <c r="MO67"/>
      <c r="MP67"/>
      <c r="MQ67"/>
      <c r="MR67"/>
      <c r="MS67"/>
      <c r="MT67"/>
      <c r="MU67"/>
      <c r="MV67"/>
      <c r="MW67"/>
      <c r="MX67"/>
      <c r="MY67"/>
      <c r="MZ67"/>
      <c r="NA67"/>
      <c r="NB67"/>
      <c r="NC67"/>
      <c r="ND67"/>
      <c r="NE67"/>
      <c r="NF67"/>
      <c r="NG67"/>
      <c r="NH67"/>
      <c r="NI67"/>
      <c r="NJ67"/>
      <c r="NK67"/>
      <c r="NL67"/>
      <c r="NM67"/>
      <c r="NN67"/>
      <c r="NO67"/>
      <c r="NP67"/>
      <c r="NQ67"/>
      <c r="NR67"/>
      <c r="NS67"/>
      <c r="NT67"/>
      <c r="NU67"/>
      <c r="NV67"/>
      <c r="NW67"/>
      <c r="NX67"/>
      <c r="NY67"/>
      <c r="NZ67"/>
      <c r="OA67"/>
      <c r="OB67"/>
      <c r="OC67"/>
      <c r="OD67"/>
      <c r="OE67"/>
      <c r="OF67"/>
      <c r="OG67"/>
      <c r="OH67"/>
      <c r="OI67"/>
      <c r="OJ67"/>
      <c r="OK67"/>
      <c r="OL67"/>
      <c r="OM67"/>
      <c r="ON67"/>
      <c r="OO67"/>
      <c r="OP67"/>
      <c r="OQ67"/>
      <c r="OR67"/>
      <c r="OS67"/>
      <c r="OT67"/>
      <c r="OU67"/>
      <c r="OV67"/>
      <c r="OW67"/>
      <c r="OX67"/>
      <c r="OY67"/>
      <c r="OZ67"/>
      <c r="PA67"/>
      <c r="PB67"/>
      <c r="PC67"/>
      <c r="PD67"/>
      <c r="PE67"/>
      <c r="PF67"/>
      <c r="PG67"/>
      <c r="PH67"/>
      <c r="PI67"/>
      <c r="PJ67"/>
      <c r="PK67"/>
      <c r="PL67"/>
      <c r="PM67"/>
      <c r="PN67"/>
      <c r="PO67"/>
      <c r="PP67"/>
      <c r="PQ67"/>
      <c r="PR67"/>
      <c r="PS67"/>
      <c r="PT67"/>
      <c r="PU67"/>
      <c r="PV67"/>
      <c r="PW67"/>
      <c r="PX67"/>
      <c r="PY67"/>
      <c r="PZ67"/>
      <c r="QA67"/>
      <c r="QB67"/>
      <c r="QC67"/>
      <c r="QD67"/>
      <c r="QE67"/>
      <c r="QF67"/>
      <c r="QG67"/>
      <c r="QH67"/>
      <c r="QI67"/>
      <c r="QJ67"/>
      <c r="QK67"/>
      <c r="QL67"/>
      <c r="QM67"/>
      <c r="QN67"/>
      <c r="QO67"/>
      <c r="QP67"/>
      <c r="QQ67"/>
      <c r="QR67"/>
      <c r="QS67"/>
      <c r="QT67"/>
      <c r="QU67"/>
      <c r="QV67"/>
      <c r="QW67"/>
      <c r="QX67"/>
      <c r="QY67"/>
      <c r="QZ67"/>
      <c r="RA67"/>
      <c r="RB67"/>
      <c r="RC67"/>
      <c r="RD67"/>
      <c r="RE67"/>
      <c r="RF67"/>
      <c r="RG67"/>
      <c r="RH67"/>
      <c r="RI67"/>
      <c r="RJ67"/>
      <c r="RK67"/>
      <c r="RL67"/>
      <c r="RM67"/>
      <c r="RN67"/>
      <c r="RO67"/>
      <c r="RP67"/>
      <c r="RQ67"/>
      <c r="RR67"/>
      <c r="RS67"/>
      <c r="RT67"/>
      <c r="RU67"/>
      <c r="RV67"/>
      <c r="RW67"/>
      <c r="RX67"/>
      <c r="RY67"/>
      <c r="RZ67"/>
      <c r="SA67"/>
      <c r="SB67"/>
      <c r="SC67"/>
      <c r="SD67"/>
      <c r="SE67"/>
      <c r="SF67"/>
      <c r="SG67"/>
      <c r="SH67"/>
      <c r="SI67"/>
      <c r="SJ67"/>
      <c r="SK67"/>
      <c r="SL67"/>
      <c r="SM67"/>
      <c r="SN67"/>
      <c r="SO67"/>
      <c r="SP67"/>
      <c r="SQ67"/>
      <c r="SR67"/>
      <c r="SS67"/>
      <c r="ST67"/>
      <c r="SU67"/>
      <c r="SV67"/>
      <c r="SW67"/>
      <c r="SX67"/>
      <c r="SY67"/>
      <c r="SZ67"/>
      <c r="TA67"/>
      <c r="TB67"/>
      <c r="TC67"/>
      <c r="TD67"/>
      <c r="TE67"/>
      <c r="TF67"/>
      <c r="TG67"/>
      <c r="TH67"/>
      <c r="TI67"/>
      <c r="TJ67"/>
      <c r="TK67"/>
      <c r="TL67"/>
      <c r="TM67"/>
      <c r="TN67"/>
      <c r="TO67"/>
      <c r="TP67"/>
      <c r="TQ67"/>
      <c r="TR67"/>
      <c r="TS67"/>
      <c r="TT67"/>
      <c r="TU67"/>
      <c r="TV67"/>
      <c r="TW67"/>
      <c r="TX67"/>
      <c r="TY67"/>
      <c r="TZ67"/>
      <c r="UA67"/>
      <c r="UB67"/>
      <c r="UC67"/>
      <c r="UD67"/>
      <c r="UE67"/>
      <c r="UF67"/>
      <c r="UG67"/>
      <c r="UH67"/>
      <c r="UI67"/>
      <c r="UJ67"/>
      <c r="UK67"/>
      <c r="UL67"/>
      <c r="UM67"/>
      <c r="UN67"/>
      <c r="UO67"/>
      <c r="UP67"/>
      <c r="UQ67"/>
      <c r="UR67"/>
      <c r="US67"/>
      <c r="UT67"/>
      <c r="UU67"/>
      <c r="UV67"/>
      <c r="UW67"/>
      <c r="UX67"/>
      <c r="UY67"/>
      <c r="UZ67"/>
      <c r="VA67"/>
      <c r="VB67"/>
      <c r="VC67"/>
      <c r="VD67"/>
      <c r="VE67"/>
      <c r="VF67"/>
      <c r="VG67"/>
      <c r="VH67"/>
      <c r="VI67"/>
      <c r="VJ67"/>
      <c r="VK67"/>
      <c r="VL67"/>
      <c r="VM67"/>
      <c r="VN67"/>
      <c r="VO67"/>
      <c r="VP67"/>
      <c r="VQ67"/>
      <c r="VR67"/>
      <c r="VS67"/>
      <c r="VT67"/>
      <c r="VU67"/>
      <c r="VV67"/>
      <c r="VW67"/>
      <c r="VX67"/>
      <c r="VY67"/>
      <c r="VZ67"/>
      <c r="WA67"/>
      <c r="WB67"/>
      <c r="WC67"/>
      <c r="WD67"/>
      <c r="WE67"/>
      <c r="WF67"/>
      <c r="WG67"/>
      <c r="WH67"/>
      <c r="WI67"/>
      <c r="WJ67"/>
      <c r="WK67"/>
      <c r="WL67"/>
      <c r="WM67"/>
      <c r="WN67"/>
      <c r="WO67"/>
      <c r="WP67"/>
      <c r="WQ67"/>
      <c r="WR67"/>
      <c r="WS67"/>
      <c r="WT67"/>
      <c r="WU67"/>
      <c r="WV67"/>
      <c r="WW67"/>
      <c r="WX67"/>
      <c r="WY67"/>
      <c r="WZ67"/>
      <c r="XA67"/>
      <c r="XB67"/>
      <c r="XC67"/>
      <c r="XD67"/>
      <c r="XE67"/>
      <c r="XF67"/>
      <c r="XG67"/>
      <c r="XH67"/>
      <c r="XI67"/>
      <c r="XJ67"/>
      <c r="XK67"/>
      <c r="XL67"/>
      <c r="XM67"/>
      <c r="XN67"/>
      <c r="XO67"/>
      <c r="XP67"/>
      <c r="XQ67"/>
      <c r="XR67"/>
      <c r="XS67"/>
      <c r="XT67"/>
      <c r="XU67"/>
      <c r="XV67"/>
      <c r="XW67"/>
      <c r="XX67"/>
      <c r="XY67"/>
      <c r="XZ67"/>
      <c r="YA67"/>
      <c r="YB67"/>
      <c r="YC67"/>
      <c r="YD67"/>
      <c r="YE67"/>
      <c r="YF67"/>
      <c r="YG67"/>
      <c r="YH67"/>
      <c r="YI67"/>
      <c r="YJ67"/>
      <c r="YK67"/>
      <c r="YL67"/>
      <c r="YM67"/>
      <c r="YN67"/>
      <c r="YO67"/>
      <c r="YP67"/>
      <c r="YQ67"/>
      <c r="YR67"/>
      <c r="YS67"/>
      <c r="YT67"/>
      <c r="YU67"/>
      <c r="YV67"/>
      <c r="YW67"/>
      <c r="YX67"/>
      <c r="YY67"/>
      <c r="YZ67"/>
      <c r="ZA67"/>
      <c r="ZB67"/>
      <c r="ZC67"/>
      <c r="ZD67"/>
      <c r="ZE67"/>
      <c r="ZF67"/>
      <c r="ZG67"/>
      <c r="ZH67"/>
      <c r="ZI67"/>
      <c r="ZJ67"/>
      <c r="ZK67"/>
      <c r="ZL67"/>
      <c r="ZM67"/>
      <c r="ZN67"/>
      <c r="ZO67"/>
      <c r="ZP67"/>
      <c r="ZQ67"/>
      <c r="ZR67"/>
      <c r="ZS67"/>
      <c r="ZT67"/>
      <c r="ZU67"/>
      <c r="ZV67"/>
      <c r="ZW67"/>
      <c r="ZX67"/>
      <c r="ZY67"/>
      <c r="ZZ67"/>
      <c r="AAA67"/>
      <c r="AAB67"/>
      <c r="AAC67"/>
      <c r="AAD67"/>
      <c r="AAE67"/>
      <c r="AAF67"/>
      <c r="AAG67"/>
      <c r="AAH67"/>
      <c r="AAI67"/>
      <c r="AAJ67"/>
      <c r="AAK67"/>
      <c r="AAL67"/>
      <c r="AAM67"/>
      <c r="AAN67"/>
      <c r="AAO67"/>
      <c r="AAP67"/>
      <c r="AAQ67"/>
      <c r="AAR67"/>
      <c r="AAS67"/>
      <c r="AAT67"/>
      <c r="AAU67"/>
      <c r="AAV67"/>
      <c r="AAW67"/>
      <c r="AAX67"/>
      <c r="AAY67"/>
      <c r="AAZ67"/>
      <c r="ABA67"/>
      <c r="ABB67"/>
      <c r="ABC67"/>
      <c r="ABD67"/>
      <c r="ABE67"/>
      <c r="ABF67"/>
      <c r="ABG67"/>
      <c r="ABH67"/>
      <c r="ABI67"/>
      <c r="ABJ67"/>
      <c r="ABK67"/>
      <c r="ABL67"/>
      <c r="ABM67"/>
      <c r="ABN67"/>
      <c r="ABO67"/>
      <c r="ABP67"/>
      <c r="ABQ67"/>
      <c r="ABR67"/>
      <c r="ABS67"/>
      <c r="ABT67"/>
      <c r="ABU67"/>
      <c r="ABV67"/>
      <c r="ABW67"/>
      <c r="ABX67"/>
      <c r="ABY67"/>
      <c r="ABZ67"/>
      <c r="ACA67"/>
      <c r="ACB67"/>
      <c r="ACC67"/>
      <c r="ACD67"/>
      <c r="ACE67"/>
      <c r="ACF67"/>
      <c r="ACG67"/>
      <c r="ACH67"/>
      <c r="ACI67"/>
      <c r="ACJ67"/>
      <c r="ACK67"/>
      <c r="ACL67"/>
      <c r="ACM67"/>
      <c r="ACN67"/>
      <c r="ACO67"/>
      <c r="ACP67"/>
      <c r="ACQ67"/>
      <c r="ACR67"/>
      <c r="ACS67"/>
      <c r="ACT67"/>
      <c r="ACU67"/>
      <c r="ACV67"/>
      <c r="ACW67"/>
      <c r="ACX67"/>
      <c r="ACY67"/>
      <c r="ACZ67"/>
      <c r="ADA67"/>
      <c r="ADB67"/>
      <c r="ADC67"/>
      <c r="ADD67"/>
      <c r="ADE67"/>
      <c r="ADF67"/>
      <c r="ADG67"/>
      <c r="ADH67"/>
      <c r="ADI67"/>
      <c r="ADJ67"/>
      <c r="ADK67"/>
      <c r="ADL67"/>
      <c r="ADM67"/>
      <c r="ADN67"/>
      <c r="ADO67"/>
      <c r="ADP67"/>
      <c r="ADQ67"/>
      <c r="ADR67"/>
      <c r="ADS67"/>
      <c r="ADT67"/>
      <c r="ADU67"/>
      <c r="ADV67"/>
      <c r="ADW67"/>
      <c r="ADX67"/>
      <c r="ADY67"/>
      <c r="ADZ67"/>
      <c r="AEA67"/>
      <c r="AEB67"/>
      <c r="AEC67"/>
      <c r="AED67"/>
      <c r="AEE67"/>
      <c r="AEF67"/>
      <c r="AEG67"/>
      <c r="AEH67"/>
      <c r="AEI67"/>
      <c r="AEJ67"/>
      <c r="AEK67"/>
      <c r="AEL67"/>
      <c r="AEM67"/>
      <c r="AEN67"/>
      <c r="AEO67"/>
      <c r="AEP67"/>
      <c r="AEQ67"/>
      <c r="AER67"/>
      <c r="AES67"/>
      <c r="AET67"/>
      <c r="AEU67"/>
      <c r="AEV67"/>
      <c r="AEW67"/>
      <c r="AEX67"/>
      <c r="AEY67"/>
      <c r="AEZ67"/>
      <c r="AFA67"/>
      <c r="AFB67"/>
      <c r="AFC67"/>
      <c r="AFD67"/>
      <c r="AFE67"/>
      <c r="AFF67"/>
      <c r="AFG67"/>
      <c r="AFH67"/>
      <c r="AFI67"/>
      <c r="AFJ67"/>
      <c r="AFK67"/>
      <c r="AFL67"/>
      <c r="AFM67"/>
      <c r="AFN67"/>
      <c r="AFO67"/>
      <c r="AFP67"/>
      <c r="AFQ67"/>
      <c r="AFR67"/>
      <c r="AFS67"/>
      <c r="AFT67"/>
      <c r="AFU67"/>
      <c r="AFV67"/>
      <c r="AFW67"/>
      <c r="AFX67"/>
      <c r="AFY67"/>
      <c r="AFZ67"/>
      <c r="AGA67"/>
      <c r="AGB67"/>
      <c r="AGC67"/>
      <c r="AGD67"/>
      <c r="AGE67"/>
      <c r="AGF67"/>
      <c r="AGG67"/>
      <c r="AGH67"/>
      <c r="AGI67"/>
      <c r="AGJ67"/>
      <c r="AGK67"/>
      <c r="AGL67"/>
      <c r="AGM67"/>
      <c r="AGN67"/>
      <c r="AGO67"/>
      <c r="AGP67"/>
      <c r="AGQ67"/>
      <c r="AGR67"/>
      <c r="AGS67"/>
      <c r="AGT67"/>
      <c r="AGU67"/>
      <c r="AGV67"/>
      <c r="AGW67"/>
      <c r="AGX67"/>
      <c r="AGY67"/>
      <c r="AGZ67"/>
      <c r="AHA67"/>
      <c r="AHB67"/>
      <c r="AHC67"/>
      <c r="AHD67"/>
      <c r="AHE67"/>
      <c r="AHF67"/>
      <c r="AHG67"/>
      <c r="AHH67"/>
      <c r="AHI67"/>
      <c r="AHJ67"/>
      <c r="AHK67"/>
      <c r="AHL67"/>
      <c r="AHM67"/>
      <c r="AHN67"/>
      <c r="AHO67"/>
      <c r="AHP67"/>
      <c r="AHQ67"/>
      <c r="AHR67"/>
      <c r="AHS67"/>
      <c r="AHT67"/>
      <c r="AHU67"/>
      <c r="AHV67"/>
      <c r="AHW67"/>
      <c r="AHX67"/>
      <c r="AHY67"/>
      <c r="AHZ67"/>
      <c r="AIA67"/>
      <c r="AIB67"/>
      <c r="AIC67"/>
      <c r="AID67"/>
      <c r="AIE67"/>
      <c r="AIF67"/>
      <c r="AIG67"/>
      <c r="AIH67"/>
      <c r="AII67"/>
      <c r="AIJ67"/>
      <c r="AIK67"/>
      <c r="AIL67"/>
      <c r="AIM67"/>
      <c r="AIN67"/>
      <c r="AIO67"/>
      <c r="AIP67"/>
      <c r="AIQ67"/>
      <c r="AIR67"/>
      <c r="AIS67"/>
      <c r="AIT67"/>
      <c r="AIU67"/>
      <c r="AIV67"/>
      <c r="AIW67"/>
      <c r="AIX67"/>
      <c r="AIY67"/>
      <c r="AIZ67"/>
      <c r="AJA67"/>
      <c r="AJB67"/>
      <c r="AJC67"/>
      <c r="AJD67"/>
      <c r="AJE67"/>
      <c r="AJF67"/>
      <c r="AJG67"/>
      <c r="AJH67"/>
      <c r="AJI67"/>
      <c r="AJJ67"/>
      <c r="AJK67"/>
      <c r="AJL67"/>
      <c r="AJM67"/>
      <c r="AJN67"/>
      <c r="AJO67"/>
      <c r="AJP67"/>
      <c r="AJQ67"/>
      <c r="AJR67"/>
      <c r="AJS67"/>
      <c r="AJT67"/>
      <c r="AJU67"/>
      <c r="AJV67"/>
      <c r="AJW67"/>
      <c r="AJX67"/>
      <c r="AJY67"/>
      <c r="AJZ67"/>
      <c r="AKA67"/>
      <c r="AKB67"/>
      <c r="AKC67"/>
      <c r="AKD67"/>
      <c r="AKE67"/>
      <c r="AKF67"/>
      <c r="AKG67"/>
      <c r="AKH67"/>
      <c r="AKI67"/>
      <c r="AKJ67"/>
      <c r="AKK67"/>
      <c r="AKL67"/>
      <c r="AKM67"/>
      <c r="AKN67"/>
      <c r="AKO67"/>
      <c r="AKP67"/>
      <c r="AKQ67"/>
      <c r="AKR67"/>
      <c r="AKS67"/>
      <c r="AKT67"/>
      <c r="AKU67"/>
      <c r="AKV67"/>
      <c r="AKW67"/>
      <c r="AKX67"/>
      <c r="AKY67"/>
      <c r="AKZ67"/>
      <c r="ALA67"/>
      <c r="ALB67"/>
      <c r="ALC67"/>
      <c r="ALD67"/>
      <c r="ALE67"/>
      <c r="ALF67"/>
      <c r="ALG67"/>
      <c r="ALH67"/>
      <c r="ALI67"/>
      <c r="ALJ67"/>
      <c r="ALK67"/>
      <c r="ALL67"/>
      <c r="ALM67"/>
      <c r="ALN67"/>
      <c r="ALO67"/>
      <c r="ALP67"/>
      <c r="ALQ67"/>
      <c r="ALR67"/>
      <c r="ALS67"/>
      <c r="ALT67"/>
      <c r="ALU67"/>
      <c r="ALV67"/>
      <c r="ALW67"/>
      <c r="ALX67"/>
      <c r="ALY67"/>
      <c r="ALZ67"/>
      <c r="AMA67"/>
      <c r="AMB67"/>
      <c r="AMC67"/>
      <c r="AMD67"/>
      <c r="AME67"/>
      <c r="AMF67"/>
      <c r="AMG67"/>
      <c r="AMH67"/>
      <c r="AMI67"/>
      <c r="AMJ67"/>
      <c r="AMK67"/>
      <c r="AML67"/>
      <c r="AMM67"/>
      <c r="AMN67"/>
      <c r="AMO67"/>
      <c r="AMP67"/>
      <c r="AMQ67"/>
      <c r="AMR67"/>
      <c r="AMS67"/>
      <c r="AMT67"/>
      <c r="AMU67"/>
      <c r="AMV67"/>
      <c r="AMW67"/>
      <c r="AMX67"/>
      <c r="AMY67"/>
      <c r="AMZ67"/>
      <c r="ANA67"/>
      <c r="ANB67"/>
      <c r="ANC67"/>
      <c r="AND67"/>
      <c r="ANE67"/>
      <c r="ANF67"/>
      <c r="ANG67"/>
      <c r="ANH67"/>
      <c r="ANI67"/>
      <c r="ANJ67"/>
      <c r="ANK67"/>
      <c r="ANL67"/>
      <c r="ANM67"/>
      <c r="ANN67"/>
      <c r="ANO67"/>
      <c r="ANP67"/>
      <c r="ANQ67"/>
      <c r="ANR67"/>
      <c r="ANS67"/>
      <c r="ANT67"/>
      <c r="ANU67"/>
      <c r="ANV67"/>
      <c r="ANW67"/>
      <c r="ANX67"/>
      <c r="ANY67"/>
      <c r="ANZ67"/>
      <c r="AOA67"/>
      <c r="AOB67"/>
      <c r="AOC67"/>
      <c r="AOD67"/>
      <c r="AOE67"/>
      <c r="AOF67"/>
      <c r="AOG67"/>
      <c r="AOH67"/>
      <c r="AOI67"/>
      <c r="AOJ67"/>
      <c r="AOK67"/>
      <c r="AOL67"/>
      <c r="AOM67"/>
      <c r="AON67"/>
      <c r="AOO67"/>
      <c r="AOP67"/>
      <c r="AOQ67"/>
      <c r="AOR67"/>
      <c r="AOS67"/>
      <c r="AOT67"/>
      <c r="AOU67"/>
      <c r="AOV67"/>
      <c r="AOW67"/>
      <c r="AOX67"/>
      <c r="AOY67"/>
      <c r="AOZ67"/>
      <c r="APA67"/>
      <c r="APB67"/>
      <c r="APC67"/>
      <c r="APD67"/>
      <c r="APE67"/>
      <c r="APF67"/>
      <c r="APG67"/>
      <c r="APH67"/>
      <c r="API67"/>
      <c r="APJ67"/>
      <c r="APK67"/>
      <c r="APL67"/>
      <c r="APM67"/>
      <c r="APN67"/>
      <c r="APO67"/>
      <c r="APP67"/>
      <c r="APQ67"/>
      <c r="APR67"/>
      <c r="APS67"/>
      <c r="APT67"/>
      <c r="APU67"/>
      <c r="APV67"/>
      <c r="APW67"/>
      <c r="APX67"/>
      <c r="APY67"/>
      <c r="APZ67"/>
      <c r="AQA67"/>
      <c r="AQB67"/>
      <c r="AQC67"/>
      <c r="AQD67"/>
      <c r="AQE67"/>
      <c r="AQF67"/>
      <c r="AQG67"/>
      <c r="AQH67"/>
      <c r="AQI67"/>
      <c r="AQJ67"/>
      <c r="AQK67"/>
      <c r="AQL67"/>
      <c r="AQM67"/>
      <c r="AQN67"/>
      <c r="AQO67"/>
      <c r="AQP67"/>
      <c r="AQQ67"/>
      <c r="AQR67"/>
      <c r="AQS67"/>
      <c r="AQT67"/>
      <c r="AQU67"/>
      <c r="AQV67"/>
      <c r="AQW67"/>
      <c r="AQX67"/>
      <c r="AQY67"/>
      <c r="AQZ67"/>
      <c r="ARA67"/>
      <c r="ARB67"/>
      <c r="ARC67"/>
      <c r="ARD67"/>
      <c r="ARE67"/>
      <c r="ARF67"/>
      <c r="ARG67"/>
      <c r="ARH67"/>
      <c r="ARI67"/>
      <c r="ARJ67"/>
      <c r="ARK67"/>
      <c r="ARL67"/>
      <c r="ARM67"/>
      <c r="ARN67"/>
      <c r="ARO67"/>
      <c r="ARP67"/>
      <c r="ARQ67"/>
      <c r="ARR67"/>
      <c r="ARS67"/>
      <c r="ART67"/>
      <c r="ARU67"/>
      <c r="ARV67"/>
      <c r="ARW67"/>
      <c r="ARX67"/>
      <c r="ARY67"/>
      <c r="ARZ67"/>
      <c r="ASA67"/>
      <c r="ASB67"/>
      <c r="ASC67"/>
      <c r="ASD67"/>
      <c r="ASE67"/>
      <c r="ASF67"/>
      <c r="ASG67"/>
      <c r="ASH67"/>
      <c r="ASI67"/>
      <c r="ASJ67"/>
      <c r="ASK67"/>
      <c r="ASL67"/>
      <c r="ASM67"/>
      <c r="ASN67"/>
      <c r="ASO67"/>
      <c r="ASP67"/>
      <c r="ASQ67"/>
      <c r="ASR67"/>
      <c r="ASS67"/>
      <c r="AST67"/>
      <c r="ASU67"/>
      <c r="ASV67"/>
      <c r="ASW67"/>
      <c r="ASX67"/>
      <c r="ASY67"/>
      <c r="ASZ67"/>
      <c r="ATA67"/>
      <c r="ATB67"/>
      <c r="ATC67"/>
      <c r="ATD67"/>
      <c r="ATE67"/>
      <c r="ATF67"/>
      <c r="ATG67"/>
      <c r="ATH67"/>
      <c r="ATI67"/>
      <c r="ATJ67"/>
      <c r="ATK67"/>
      <c r="ATL67"/>
      <c r="ATM67"/>
      <c r="ATN67"/>
      <c r="ATO67"/>
      <c r="ATP67"/>
      <c r="ATQ67"/>
      <c r="ATR67"/>
      <c r="ATS67"/>
      <c r="ATT67"/>
      <c r="ATU67"/>
      <c r="ATV67"/>
      <c r="ATW67"/>
      <c r="ATX67"/>
      <c r="ATY67"/>
      <c r="ATZ67"/>
      <c r="AUA67"/>
      <c r="AUB67"/>
      <c r="AUC67"/>
      <c r="AUD67"/>
      <c r="AUE67"/>
      <c r="AUF67"/>
      <c r="AUG67"/>
      <c r="AUH67"/>
      <c r="AUI67"/>
      <c r="AUJ67"/>
      <c r="AUK67"/>
      <c r="AUL67"/>
      <c r="AUM67"/>
      <c r="AUN67"/>
      <c r="AUO67"/>
      <c r="AUP67"/>
      <c r="AUQ67"/>
      <c r="AUR67"/>
      <c r="AUS67"/>
      <c r="AUT67"/>
      <c r="AUU67"/>
      <c r="AUV67"/>
      <c r="AUW67"/>
      <c r="AUX67"/>
      <c r="AUY67"/>
      <c r="AUZ67"/>
      <c r="AVA67"/>
      <c r="AVB67"/>
      <c r="AVC67"/>
      <c r="AVD67"/>
      <c r="AVE67"/>
      <c r="AVF67"/>
      <c r="AVG67"/>
      <c r="AVH67"/>
      <c r="AVI67"/>
      <c r="AVJ67"/>
      <c r="AVK67"/>
      <c r="AVL67"/>
      <c r="AVM67"/>
      <c r="AVN67"/>
      <c r="AVO67"/>
      <c r="AVP67"/>
      <c r="AVQ67"/>
      <c r="AVR67"/>
      <c r="AVS67"/>
      <c r="AVT67"/>
      <c r="AVU67"/>
      <c r="AVV67"/>
      <c r="AVW67"/>
      <c r="AVX67"/>
      <c r="AVY67"/>
      <c r="AVZ67"/>
      <c r="AWA67"/>
      <c r="AWB67"/>
      <c r="AWC67"/>
      <c r="AWD67"/>
      <c r="AWE67"/>
      <c r="AWF67"/>
      <c r="AWG67"/>
      <c r="AWH67"/>
      <c r="AWI67"/>
      <c r="AWJ67"/>
      <c r="AWK67"/>
      <c r="AWL67"/>
      <c r="AWM67"/>
      <c r="AWN67"/>
      <c r="AWO67"/>
      <c r="AWP67"/>
      <c r="AWQ67"/>
      <c r="AWR67"/>
      <c r="AWS67"/>
      <c r="AWT67"/>
      <c r="AWU67"/>
      <c r="AWV67"/>
      <c r="AWW67"/>
      <c r="AWX67"/>
      <c r="AWY67"/>
      <c r="AWZ67"/>
      <c r="AXA67"/>
      <c r="AXB67"/>
      <c r="AXC67"/>
      <c r="AXD67"/>
      <c r="AXE67"/>
      <c r="AXF67"/>
      <c r="AXG67"/>
      <c r="AXH67"/>
      <c r="AXI67"/>
      <c r="AXJ67"/>
      <c r="AXK67"/>
      <c r="AXL67"/>
      <c r="AXM67"/>
      <c r="AXN67"/>
      <c r="AXO67"/>
      <c r="AXP67"/>
      <c r="AXQ67"/>
      <c r="AXR67"/>
      <c r="AXS67"/>
      <c r="AXT67"/>
      <c r="AXU67"/>
      <c r="AXV67"/>
      <c r="AXW67"/>
      <c r="AXX67"/>
      <c r="AXY67"/>
      <c r="AXZ67"/>
      <c r="AYA67"/>
      <c r="AYB67"/>
      <c r="AYC67"/>
      <c r="AYD67"/>
      <c r="AYE67"/>
      <c r="AYF67"/>
      <c r="AYG67"/>
      <c r="AYH67"/>
      <c r="AYI67"/>
      <c r="AYJ67"/>
      <c r="AYK67"/>
      <c r="AYL67"/>
      <c r="AYM67"/>
      <c r="AYN67"/>
      <c r="AYO67"/>
      <c r="AYP67"/>
      <c r="AYQ67"/>
      <c r="AYR67"/>
      <c r="AYS67"/>
      <c r="AYT67"/>
      <c r="AYU67"/>
      <c r="AYV67"/>
      <c r="AYW67"/>
      <c r="AYX67"/>
      <c r="AYY67"/>
      <c r="AYZ67"/>
      <c r="AZA67"/>
      <c r="AZB67"/>
      <c r="AZC67"/>
      <c r="AZD67"/>
      <c r="AZE67"/>
      <c r="AZF67"/>
      <c r="AZG67"/>
      <c r="AZH67"/>
      <c r="AZI67"/>
      <c r="AZJ67"/>
      <c r="AZK67"/>
      <c r="AZL67"/>
      <c r="AZM67"/>
      <c r="AZN67"/>
      <c r="AZO67"/>
      <c r="AZP67"/>
      <c r="AZQ67"/>
      <c r="AZR67"/>
      <c r="AZS67"/>
      <c r="AZT67"/>
      <c r="AZU67"/>
      <c r="AZV67"/>
      <c r="AZW67"/>
      <c r="AZX67"/>
      <c r="AZY67"/>
      <c r="AZZ67"/>
      <c r="BAA67"/>
      <c r="BAB67"/>
      <c r="BAC67"/>
      <c r="BAD67"/>
      <c r="BAE67"/>
      <c r="BAF67"/>
      <c r="BAG67"/>
      <c r="BAH67"/>
      <c r="BAI67"/>
      <c r="BAJ67"/>
      <c r="BAK67"/>
      <c r="BAL67"/>
      <c r="BAM67"/>
      <c r="BAN67"/>
      <c r="BAO67"/>
      <c r="BAP67"/>
      <c r="BAQ67"/>
      <c r="BAR67"/>
      <c r="BAS67"/>
      <c r="BAT67"/>
      <c r="BAU67"/>
      <c r="BAV67"/>
      <c r="BAW67"/>
      <c r="BAX67"/>
      <c r="BAY67"/>
      <c r="BAZ67"/>
      <c r="BBA67"/>
      <c r="BBB67"/>
      <c r="BBC67"/>
      <c r="BBD67"/>
      <c r="BBE67"/>
      <c r="BBF67"/>
      <c r="BBG67"/>
      <c r="BBH67"/>
      <c r="BBI67"/>
      <c r="BBJ67"/>
      <c r="BBK67"/>
      <c r="BBL67"/>
      <c r="BBM67"/>
      <c r="BBN67"/>
      <c r="BBO67"/>
      <c r="BBP67"/>
      <c r="BBQ67"/>
      <c r="BBR67"/>
      <c r="BBS67"/>
      <c r="BBT67"/>
      <c r="BBU67"/>
      <c r="BBV67"/>
      <c r="BBW67"/>
      <c r="BBX67"/>
      <c r="BBY67"/>
      <c r="BBZ67"/>
      <c r="BCA67"/>
      <c r="BCB67"/>
      <c r="BCC67"/>
      <c r="BCD67"/>
      <c r="BCE67"/>
      <c r="BCF67"/>
      <c r="BCG67"/>
      <c r="BCH67"/>
      <c r="BCI67"/>
      <c r="BCJ67"/>
      <c r="BCK67"/>
      <c r="BCL67"/>
      <c r="BCM67"/>
      <c r="BCN67"/>
      <c r="BCO67"/>
      <c r="BCP67"/>
      <c r="BCQ67"/>
      <c r="BCR67"/>
      <c r="BCS67"/>
      <c r="BCT67"/>
      <c r="BCU67"/>
      <c r="BCV67"/>
      <c r="BCW67"/>
      <c r="BCX67"/>
      <c r="BCY67"/>
      <c r="BCZ67"/>
      <c r="BDA67"/>
      <c r="BDB67"/>
      <c r="BDC67"/>
      <c r="BDD67"/>
      <c r="BDE67"/>
      <c r="BDF67"/>
      <c r="BDG67"/>
      <c r="BDH67"/>
      <c r="BDI67"/>
      <c r="BDJ67"/>
      <c r="BDK67"/>
      <c r="BDL67"/>
      <c r="BDM67"/>
      <c r="BDN67"/>
      <c r="BDO67"/>
      <c r="BDP67"/>
      <c r="BDQ67"/>
      <c r="BDR67"/>
      <c r="BDS67"/>
      <c r="BDT67"/>
      <c r="BDU67"/>
      <c r="BDV67"/>
      <c r="BDW67"/>
      <c r="BDX67"/>
      <c r="BDY67"/>
      <c r="BDZ67"/>
      <c r="BEA67"/>
      <c r="BEB67"/>
      <c r="BEC67"/>
      <c r="BED67"/>
      <c r="BEE67"/>
      <c r="BEF67"/>
      <c r="BEG67"/>
      <c r="BEH67"/>
      <c r="BEI67"/>
      <c r="BEJ67"/>
      <c r="BEK67"/>
      <c r="BEL67"/>
      <c r="BEM67"/>
      <c r="BEN67"/>
      <c r="BEO67"/>
      <c r="BEP67"/>
      <c r="BEQ67"/>
      <c r="BER67"/>
      <c r="BES67"/>
      <c r="BET67"/>
      <c r="BEU67"/>
      <c r="BEV67"/>
      <c r="BEW67"/>
      <c r="BEX67"/>
      <c r="BEY67"/>
      <c r="BEZ67"/>
      <c r="BFA67"/>
      <c r="BFB67"/>
      <c r="BFC67"/>
      <c r="BFD67"/>
      <c r="BFE67"/>
      <c r="BFF67"/>
      <c r="BFG67"/>
      <c r="BFH67"/>
      <c r="BFI67"/>
      <c r="BFJ67"/>
      <c r="BFK67"/>
      <c r="BFL67"/>
      <c r="BFM67"/>
      <c r="BFN67"/>
      <c r="BFO67"/>
      <c r="BFP67"/>
      <c r="BFQ67"/>
      <c r="BFR67"/>
      <c r="BFS67"/>
      <c r="BFT67"/>
      <c r="BFU67"/>
      <c r="BFV67"/>
      <c r="BFW67"/>
      <c r="BFX67"/>
      <c r="BFY67"/>
      <c r="BFZ67"/>
      <c r="BGA67"/>
      <c r="BGB67"/>
      <c r="BGC67"/>
      <c r="BGD67"/>
      <c r="BGE67"/>
      <c r="BGF67"/>
      <c r="BGG67"/>
      <c r="BGH67"/>
      <c r="BGI67"/>
      <c r="BGJ67"/>
      <c r="BGK67"/>
      <c r="BGL67"/>
      <c r="BGM67"/>
      <c r="BGN67"/>
      <c r="BGO67"/>
      <c r="BGP67"/>
      <c r="BGQ67"/>
      <c r="BGR67"/>
      <c r="BGS67"/>
      <c r="BGT67"/>
      <c r="BGU67"/>
      <c r="BGV67"/>
      <c r="BGW67"/>
      <c r="BGX67"/>
      <c r="BGY67"/>
      <c r="BGZ67"/>
      <c r="BHA67"/>
      <c r="BHB67"/>
      <c r="BHC67"/>
      <c r="BHD67"/>
      <c r="BHE67"/>
      <c r="BHF67"/>
      <c r="BHG67"/>
      <c r="BHH67"/>
      <c r="BHI67"/>
      <c r="BHJ67"/>
      <c r="BHK67"/>
      <c r="BHL67"/>
      <c r="BHM67"/>
      <c r="BHN67"/>
      <c r="BHO67"/>
      <c r="BHP67"/>
      <c r="BHQ67"/>
      <c r="BHR67"/>
      <c r="BHS67"/>
      <c r="BHT67"/>
      <c r="BHU67"/>
      <c r="BHV67"/>
      <c r="BHW67"/>
      <c r="BHX67"/>
      <c r="BHY67"/>
      <c r="BHZ67"/>
      <c r="BIA67"/>
      <c r="BIB67"/>
      <c r="BIC67"/>
      <c r="BID67"/>
      <c r="BIE67"/>
      <c r="BIF67"/>
      <c r="BIG67"/>
      <c r="BIH67"/>
      <c r="BII67"/>
      <c r="BIJ67"/>
      <c r="BIK67"/>
      <c r="BIL67"/>
      <c r="BIM67"/>
      <c r="BIN67"/>
      <c r="BIO67"/>
      <c r="BIP67"/>
      <c r="BIQ67"/>
      <c r="BIR67"/>
      <c r="BIS67"/>
      <c r="BIT67"/>
      <c r="BIU67"/>
      <c r="BIV67"/>
      <c r="BIW67"/>
      <c r="BIX67"/>
      <c r="BIY67"/>
      <c r="BIZ67"/>
      <c r="BJA67"/>
      <c r="BJB67"/>
      <c r="BJC67"/>
      <c r="BJD67"/>
      <c r="BJE67"/>
      <c r="BJF67"/>
      <c r="BJG67"/>
      <c r="BJH67"/>
      <c r="BJI67"/>
      <c r="BJJ67"/>
      <c r="BJK67"/>
      <c r="BJL67"/>
      <c r="BJM67"/>
      <c r="BJN67"/>
      <c r="BJO67"/>
      <c r="BJP67"/>
      <c r="BJQ67"/>
      <c r="BJR67"/>
      <c r="BJS67"/>
      <c r="BJT67"/>
      <c r="BJU67"/>
      <c r="BJV67"/>
      <c r="BJW67"/>
      <c r="BJX67"/>
      <c r="BJY67"/>
      <c r="BJZ67"/>
      <c r="BKA67"/>
      <c r="BKB67"/>
      <c r="BKC67"/>
      <c r="BKD67"/>
      <c r="BKE67"/>
      <c r="BKF67"/>
      <c r="BKG67"/>
      <c r="BKH67"/>
      <c r="BKI67"/>
      <c r="BKJ67"/>
      <c r="BKK67"/>
      <c r="BKL67"/>
      <c r="BKM67"/>
      <c r="BKN67"/>
      <c r="BKO67"/>
      <c r="BKP67"/>
      <c r="BKQ67"/>
      <c r="BKR67"/>
      <c r="BKS67"/>
      <c r="BKT67"/>
      <c r="BKU67"/>
      <c r="BKV67"/>
      <c r="BKW67"/>
      <c r="BKX67"/>
      <c r="BKY67"/>
      <c r="BKZ67"/>
      <c r="BLA67"/>
      <c r="BLB67"/>
      <c r="BLC67"/>
      <c r="BLD67"/>
      <c r="BLE67"/>
      <c r="BLF67"/>
      <c r="BLG67"/>
      <c r="BLH67"/>
      <c r="BLI67"/>
      <c r="BLJ67"/>
      <c r="BLK67"/>
      <c r="BLL67"/>
      <c r="BLM67"/>
      <c r="BLN67"/>
      <c r="BLO67"/>
      <c r="BLP67"/>
      <c r="BLQ67"/>
      <c r="BLR67"/>
      <c r="BLS67"/>
      <c r="BLT67"/>
      <c r="BLU67"/>
      <c r="BLV67"/>
      <c r="BLW67"/>
      <c r="BLX67"/>
      <c r="BLY67"/>
      <c r="BLZ67"/>
      <c r="BMA67"/>
      <c r="BMB67"/>
      <c r="BMC67"/>
      <c r="BMD67"/>
      <c r="BME67"/>
      <c r="BMF67"/>
      <c r="BMG67"/>
      <c r="BMH67"/>
      <c r="BMI67"/>
      <c r="BMJ67"/>
      <c r="BMK67"/>
      <c r="BML67"/>
      <c r="BMM67"/>
      <c r="BMN67"/>
      <c r="BMO67"/>
      <c r="BMP67"/>
      <c r="BMQ67"/>
      <c r="BMR67"/>
      <c r="BMS67"/>
      <c r="BMT67"/>
      <c r="BMU67"/>
      <c r="BMV67"/>
      <c r="BMW67"/>
      <c r="BMX67"/>
      <c r="BMY67"/>
      <c r="BMZ67"/>
      <c r="BNA67"/>
      <c r="BNB67"/>
      <c r="BNC67"/>
      <c r="BND67"/>
      <c r="BNE67"/>
      <c r="BNF67"/>
      <c r="BNG67"/>
      <c r="BNH67"/>
      <c r="BNI67"/>
      <c r="BNJ67"/>
      <c r="BNK67"/>
      <c r="BNL67"/>
      <c r="BNM67"/>
      <c r="BNN67"/>
      <c r="BNO67"/>
      <c r="BNP67"/>
      <c r="BNQ67"/>
      <c r="BNR67"/>
      <c r="BNS67"/>
      <c r="BNT67"/>
      <c r="BNU67"/>
      <c r="BNV67"/>
      <c r="BNW67"/>
      <c r="BNX67"/>
      <c r="BNY67"/>
      <c r="BNZ67"/>
      <c r="BOA67"/>
      <c r="BOB67"/>
      <c r="BOC67"/>
      <c r="BOD67"/>
      <c r="BOE67"/>
      <c r="BOF67"/>
      <c r="BOG67"/>
      <c r="BOH67"/>
      <c r="BOI67"/>
      <c r="BOJ67"/>
      <c r="BOK67"/>
      <c r="BOL67"/>
      <c r="BOM67"/>
      <c r="BON67"/>
      <c r="BOO67"/>
      <c r="BOP67"/>
      <c r="BOQ67"/>
      <c r="BOR67"/>
      <c r="BOS67"/>
      <c r="BOT67"/>
      <c r="BOU67"/>
      <c r="BOV67"/>
      <c r="BOW67"/>
      <c r="BOX67"/>
      <c r="BOY67"/>
      <c r="BOZ67"/>
      <c r="BPA67"/>
      <c r="BPB67"/>
      <c r="BPC67"/>
      <c r="BPD67"/>
      <c r="BPE67"/>
      <c r="BPF67"/>
      <c r="BPG67"/>
      <c r="BPH67"/>
      <c r="BPI67"/>
      <c r="BPJ67"/>
      <c r="BPK67"/>
      <c r="BPL67"/>
      <c r="BPM67"/>
      <c r="BPN67"/>
      <c r="BPO67"/>
      <c r="BPP67"/>
      <c r="BPQ67"/>
      <c r="BPR67"/>
      <c r="BPS67"/>
      <c r="BPT67"/>
      <c r="BPU67"/>
      <c r="BPV67"/>
      <c r="BPW67"/>
      <c r="BPX67"/>
      <c r="BPY67"/>
      <c r="BPZ67"/>
      <c r="BQA67"/>
      <c r="BQB67"/>
      <c r="BQC67"/>
      <c r="BQD67"/>
      <c r="BQE67"/>
      <c r="BQF67"/>
      <c r="BQG67"/>
      <c r="BQH67"/>
      <c r="BQI67"/>
      <c r="BQJ67"/>
      <c r="BQK67"/>
      <c r="BQL67"/>
      <c r="BQM67"/>
      <c r="BQN67"/>
      <c r="BQO67"/>
      <c r="BQP67"/>
      <c r="BQQ67"/>
      <c r="BQR67"/>
      <c r="BQS67"/>
      <c r="BQT67"/>
      <c r="BQU67"/>
      <c r="BQV67"/>
      <c r="BQW67"/>
      <c r="BQX67"/>
      <c r="BQY67"/>
      <c r="BQZ67"/>
      <c r="BRA67"/>
      <c r="BRB67"/>
      <c r="BRC67"/>
      <c r="BRD67"/>
      <c r="BRE67"/>
      <c r="BRF67"/>
      <c r="BRG67"/>
      <c r="BRH67"/>
      <c r="BRI67"/>
      <c r="BRJ67"/>
      <c r="BRK67"/>
      <c r="BRL67"/>
      <c r="BRM67"/>
      <c r="BRN67"/>
      <c r="BRO67"/>
      <c r="BRP67"/>
      <c r="BRQ67"/>
      <c r="BRR67"/>
      <c r="BRS67"/>
      <c r="BRT67"/>
      <c r="BRU67"/>
      <c r="BRV67"/>
      <c r="BRW67"/>
      <c r="BRX67"/>
      <c r="BRY67"/>
      <c r="BRZ67"/>
      <c r="BSA67"/>
      <c r="BSB67"/>
      <c r="BSC67"/>
      <c r="BSD67"/>
      <c r="BSE67"/>
      <c r="BSF67"/>
      <c r="BSG67"/>
      <c r="BSH67"/>
      <c r="BSI67"/>
      <c r="BSJ67"/>
      <c r="BSK67"/>
      <c r="BSL67"/>
      <c r="BSM67"/>
      <c r="BSN67"/>
      <c r="BSO67"/>
      <c r="BSP67"/>
      <c r="BSQ67"/>
      <c r="BSR67"/>
      <c r="BSS67"/>
      <c r="BST67"/>
      <c r="BSU67"/>
      <c r="BSV67"/>
      <c r="BSW67"/>
      <c r="BSX67"/>
      <c r="BSY67"/>
      <c r="BSZ67"/>
      <c r="BTA67"/>
      <c r="BTB67"/>
      <c r="BTC67"/>
      <c r="BTD67"/>
      <c r="BTE67"/>
      <c r="BTF67"/>
      <c r="BTG67"/>
      <c r="BTH67"/>
      <c r="BTI67"/>
      <c r="BTJ67"/>
      <c r="BTK67"/>
      <c r="BTL67"/>
      <c r="BTM67"/>
      <c r="BTN67"/>
      <c r="BTO67"/>
      <c r="BTP67"/>
      <c r="BTQ67"/>
      <c r="BTR67"/>
      <c r="BTS67"/>
      <c r="BTT67"/>
      <c r="BTU67"/>
      <c r="BTV67"/>
      <c r="BTW67"/>
      <c r="BTX67"/>
      <c r="BTY67"/>
      <c r="BTZ67"/>
      <c r="BUA67"/>
      <c r="BUB67"/>
      <c r="BUC67"/>
      <c r="BUD67"/>
      <c r="BUE67"/>
      <c r="BUF67"/>
      <c r="BUG67"/>
      <c r="BUH67"/>
      <c r="BUI67"/>
      <c r="BUJ67"/>
      <c r="BUK67"/>
      <c r="BUL67"/>
      <c r="BUM67"/>
      <c r="BUN67"/>
      <c r="BUO67"/>
      <c r="BUP67"/>
      <c r="BUQ67"/>
      <c r="BUR67"/>
      <c r="BUS67"/>
      <c r="BUT67"/>
      <c r="BUU67"/>
      <c r="BUV67"/>
      <c r="BUW67"/>
      <c r="BUX67"/>
      <c r="BUY67"/>
      <c r="BUZ67"/>
      <c r="BVA67"/>
      <c r="BVB67"/>
      <c r="BVC67"/>
      <c r="BVD67"/>
      <c r="BVE67"/>
      <c r="BVF67"/>
      <c r="BVG67"/>
      <c r="BVH67"/>
      <c r="BVI67"/>
      <c r="BVJ67"/>
      <c r="BVK67"/>
      <c r="BVL67"/>
      <c r="BVM67"/>
      <c r="BVN67"/>
      <c r="BVO67"/>
      <c r="BVP67"/>
      <c r="BVQ67"/>
      <c r="BVR67"/>
      <c r="BVS67"/>
      <c r="BVT67"/>
      <c r="BVU67"/>
      <c r="BVV67"/>
      <c r="BVW67"/>
      <c r="BVX67"/>
      <c r="BVY67"/>
      <c r="BVZ67"/>
      <c r="BWA67"/>
      <c r="BWB67"/>
      <c r="BWC67"/>
      <c r="BWD67"/>
      <c r="BWE67"/>
      <c r="BWF67"/>
      <c r="BWG67"/>
      <c r="BWH67"/>
      <c r="BWI67"/>
      <c r="BWJ67"/>
      <c r="BWK67"/>
      <c r="BWL67"/>
      <c r="BWM67"/>
      <c r="BWN67"/>
      <c r="BWO67"/>
      <c r="BWP67"/>
      <c r="BWQ67"/>
      <c r="BWR67"/>
      <c r="BWS67"/>
      <c r="BWT67"/>
      <c r="BWU67"/>
      <c r="BWV67"/>
      <c r="BWW67"/>
      <c r="BWX67"/>
      <c r="BWY67"/>
      <c r="BWZ67"/>
      <c r="BXA67"/>
      <c r="BXB67"/>
      <c r="BXC67"/>
      <c r="BXD67"/>
      <c r="BXE67"/>
      <c r="BXF67"/>
      <c r="BXG67"/>
      <c r="BXH67"/>
      <c r="BXI67"/>
      <c r="BXJ67"/>
      <c r="BXK67"/>
      <c r="BXL67"/>
      <c r="BXM67"/>
      <c r="BXN67"/>
      <c r="BXO67"/>
      <c r="BXP67"/>
      <c r="BXQ67"/>
      <c r="BXR67"/>
      <c r="BXS67"/>
      <c r="BXT67"/>
      <c r="BXU67"/>
      <c r="BXV67"/>
      <c r="BXW67"/>
      <c r="BXX67"/>
      <c r="BXY67"/>
      <c r="BXZ67"/>
      <c r="BYA67"/>
      <c r="BYB67"/>
      <c r="BYC67"/>
      <c r="BYD67"/>
      <c r="BYE67"/>
      <c r="BYF67"/>
      <c r="BYG67"/>
      <c r="BYH67"/>
      <c r="BYI67"/>
      <c r="BYJ67"/>
      <c r="BYK67"/>
      <c r="BYL67"/>
      <c r="BYM67"/>
      <c r="BYN67"/>
      <c r="BYO67"/>
      <c r="BYP67"/>
      <c r="BYQ67"/>
      <c r="BYR67"/>
      <c r="BYS67"/>
      <c r="BYT67"/>
      <c r="BYU67"/>
      <c r="BYV67"/>
      <c r="BYW67"/>
      <c r="BYX67"/>
      <c r="BYY67"/>
      <c r="BYZ67"/>
      <c r="BZA67"/>
      <c r="BZB67"/>
      <c r="BZC67"/>
      <c r="BZD67"/>
      <c r="BZE67"/>
      <c r="BZF67"/>
      <c r="BZG67"/>
      <c r="BZH67"/>
      <c r="BZI67"/>
      <c r="BZJ67"/>
      <c r="BZK67"/>
      <c r="BZL67"/>
      <c r="BZM67"/>
      <c r="BZN67"/>
      <c r="BZO67"/>
      <c r="BZP67"/>
      <c r="BZQ67"/>
      <c r="BZR67"/>
      <c r="BZS67"/>
      <c r="BZT67"/>
      <c r="BZU67"/>
      <c r="BZV67"/>
      <c r="BZW67"/>
      <c r="BZX67"/>
      <c r="BZY67"/>
      <c r="BZZ67"/>
      <c r="CAA67"/>
      <c r="CAB67"/>
      <c r="CAC67"/>
      <c r="CAD67"/>
      <c r="CAE67"/>
      <c r="CAF67"/>
      <c r="CAG67"/>
      <c r="CAH67"/>
      <c r="CAI67"/>
      <c r="CAJ67"/>
      <c r="CAK67"/>
      <c r="CAL67"/>
      <c r="CAM67"/>
      <c r="CAN67"/>
      <c r="CAO67"/>
      <c r="CAP67"/>
      <c r="CAQ67"/>
      <c r="CAR67"/>
      <c r="CAS67"/>
      <c r="CAT67"/>
      <c r="CAU67"/>
      <c r="CAV67"/>
      <c r="CAW67"/>
      <c r="CAX67"/>
      <c r="CAY67"/>
      <c r="CAZ67"/>
      <c r="CBA67"/>
      <c r="CBB67"/>
      <c r="CBC67"/>
      <c r="CBD67"/>
      <c r="CBE67"/>
      <c r="CBF67"/>
      <c r="CBG67"/>
      <c r="CBH67"/>
      <c r="CBI67"/>
      <c r="CBJ67"/>
      <c r="CBK67"/>
      <c r="CBL67"/>
      <c r="CBM67"/>
      <c r="CBN67"/>
      <c r="CBO67"/>
      <c r="CBP67"/>
      <c r="CBQ67"/>
      <c r="CBR67"/>
      <c r="CBS67"/>
      <c r="CBT67"/>
      <c r="CBU67"/>
      <c r="CBV67"/>
      <c r="CBW67"/>
      <c r="CBX67"/>
      <c r="CBY67"/>
      <c r="CBZ67"/>
      <c r="CCA67"/>
      <c r="CCB67"/>
      <c r="CCC67"/>
      <c r="CCD67"/>
      <c r="CCE67"/>
      <c r="CCF67"/>
      <c r="CCG67"/>
      <c r="CCH67"/>
      <c r="CCI67"/>
      <c r="CCJ67"/>
      <c r="CCK67"/>
      <c r="CCL67"/>
      <c r="CCM67"/>
      <c r="CCN67"/>
      <c r="CCO67"/>
      <c r="CCP67"/>
      <c r="CCQ67"/>
      <c r="CCR67"/>
      <c r="CCS67"/>
      <c r="CCT67"/>
      <c r="CCU67"/>
      <c r="CCV67"/>
      <c r="CCW67"/>
      <c r="CCX67"/>
      <c r="CCY67"/>
      <c r="CCZ67"/>
      <c r="CDA67"/>
      <c r="CDB67"/>
      <c r="CDC67"/>
      <c r="CDD67"/>
      <c r="CDE67"/>
      <c r="CDF67"/>
      <c r="CDG67"/>
      <c r="CDH67"/>
      <c r="CDI67"/>
      <c r="CDJ67"/>
      <c r="CDK67"/>
      <c r="CDL67"/>
      <c r="CDM67"/>
      <c r="CDN67"/>
      <c r="CDO67"/>
      <c r="CDP67"/>
      <c r="CDQ67"/>
      <c r="CDR67"/>
      <c r="CDS67"/>
      <c r="CDT67"/>
      <c r="CDU67"/>
      <c r="CDV67"/>
      <c r="CDW67"/>
      <c r="CDX67"/>
      <c r="CDY67"/>
      <c r="CDZ67"/>
      <c r="CEA67"/>
      <c r="CEB67"/>
      <c r="CEC67"/>
      <c r="CED67"/>
      <c r="CEE67"/>
      <c r="CEF67"/>
      <c r="CEG67"/>
      <c r="CEH67"/>
      <c r="CEI67"/>
      <c r="CEJ67"/>
      <c r="CEK67"/>
      <c r="CEL67"/>
      <c r="CEM67"/>
      <c r="CEN67"/>
      <c r="CEO67"/>
      <c r="CEP67"/>
      <c r="CEQ67"/>
      <c r="CER67"/>
      <c r="CES67"/>
      <c r="CET67"/>
      <c r="CEU67"/>
      <c r="CEV67"/>
      <c r="CEW67"/>
      <c r="CEX67"/>
      <c r="CEY67"/>
      <c r="CEZ67"/>
      <c r="CFA67"/>
      <c r="CFB67"/>
      <c r="CFC67"/>
      <c r="CFD67"/>
      <c r="CFE67"/>
      <c r="CFF67"/>
      <c r="CFG67"/>
      <c r="CFH67"/>
      <c r="CFI67"/>
      <c r="CFJ67"/>
      <c r="CFK67"/>
      <c r="CFL67"/>
      <c r="CFM67"/>
      <c r="CFN67"/>
      <c r="CFO67"/>
      <c r="CFP67"/>
      <c r="CFQ67"/>
      <c r="CFR67"/>
      <c r="CFS67"/>
      <c r="CFT67"/>
      <c r="CFU67"/>
      <c r="CFV67"/>
      <c r="CFW67"/>
      <c r="CFX67"/>
      <c r="CFY67"/>
      <c r="CFZ67"/>
      <c r="CGA67"/>
      <c r="CGB67"/>
      <c r="CGC67"/>
      <c r="CGD67"/>
      <c r="CGE67"/>
      <c r="CGF67"/>
      <c r="CGG67"/>
      <c r="CGH67"/>
      <c r="CGI67"/>
      <c r="CGJ67"/>
      <c r="CGK67"/>
      <c r="CGL67"/>
      <c r="CGM67"/>
      <c r="CGN67"/>
      <c r="CGO67"/>
      <c r="CGP67"/>
      <c r="CGQ67"/>
      <c r="CGR67"/>
      <c r="CGS67"/>
      <c r="CGT67"/>
      <c r="CGU67"/>
      <c r="CGV67"/>
      <c r="CGW67"/>
      <c r="CGX67"/>
      <c r="CGY67"/>
      <c r="CGZ67"/>
      <c r="CHA67"/>
      <c r="CHB67"/>
      <c r="CHC67"/>
      <c r="CHD67"/>
      <c r="CHE67"/>
      <c r="CHF67"/>
      <c r="CHG67"/>
      <c r="CHH67"/>
      <c r="CHI67"/>
      <c r="CHJ67"/>
      <c r="CHK67"/>
      <c r="CHL67"/>
      <c r="CHM67"/>
      <c r="CHN67"/>
      <c r="CHO67"/>
      <c r="CHP67"/>
      <c r="CHQ67"/>
      <c r="CHR67"/>
      <c r="CHS67"/>
      <c r="CHT67"/>
      <c r="CHU67"/>
      <c r="CHV67"/>
      <c r="CHW67"/>
      <c r="CHX67"/>
      <c r="CHY67"/>
      <c r="CHZ67"/>
      <c r="CIA67"/>
      <c r="CIB67"/>
      <c r="CIC67"/>
      <c r="CID67"/>
      <c r="CIE67"/>
      <c r="CIF67"/>
      <c r="CIG67"/>
      <c r="CIH67"/>
      <c r="CII67"/>
      <c r="CIJ67"/>
      <c r="CIK67"/>
      <c r="CIL67"/>
      <c r="CIM67"/>
      <c r="CIN67"/>
      <c r="CIO67"/>
      <c r="CIP67"/>
      <c r="CIQ67"/>
      <c r="CIR67"/>
      <c r="CIS67"/>
      <c r="CIT67"/>
      <c r="CIU67"/>
      <c r="CIV67"/>
      <c r="CIW67"/>
      <c r="CIX67"/>
      <c r="CIY67"/>
      <c r="CIZ67"/>
      <c r="CJA67"/>
      <c r="CJB67"/>
      <c r="CJC67"/>
      <c r="CJD67"/>
      <c r="CJE67"/>
      <c r="CJF67"/>
      <c r="CJG67"/>
      <c r="CJH67"/>
      <c r="CJI67"/>
      <c r="CJJ67"/>
      <c r="CJK67"/>
      <c r="CJL67"/>
      <c r="CJM67"/>
      <c r="CJN67"/>
      <c r="CJO67"/>
      <c r="CJP67"/>
      <c r="CJQ67"/>
      <c r="CJR67"/>
      <c r="CJS67"/>
      <c r="CJT67"/>
      <c r="CJU67"/>
      <c r="CJV67"/>
      <c r="CJW67"/>
      <c r="CJX67"/>
      <c r="CJY67"/>
      <c r="CJZ67"/>
      <c r="CKA67"/>
      <c r="CKB67"/>
      <c r="CKC67"/>
      <c r="CKD67"/>
      <c r="CKE67"/>
      <c r="CKF67"/>
      <c r="CKG67"/>
      <c r="CKH67"/>
      <c r="CKI67"/>
      <c r="CKJ67"/>
      <c r="CKK67"/>
      <c r="CKL67"/>
      <c r="CKM67"/>
      <c r="CKN67"/>
      <c r="CKO67"/>
      <c r="CKP67"/>
      <c r="CKQ67"/>
      <c r="CKR67"/>
      <c r="CKS67"/>
      <c r="CKT67"/>
      <c r="CKU67"/>
      <c r="CKV67"/>
      <c r="CKW67"/>
      <c r="CKX67"/>
      <c r="CKY67"/>
      <c r="CKZ67"/>
      <c r="CLA67"/>
      <c r="CLB67"/>
      <c r="CLC67"/>
      <c r="CLD67"/>
      <c r="CLE67"/>
      <c r="CLF67"/>
      <c r="CLG67"/>
      <c r="CLH67"/>
      <c r="CLI67"/>
      <c r="CLJ67"/>
      <c r="CLK67"/>
      <c r="CLL67"/>
      <c r="CLM67"/>
      <c r="CLN67"/>
      <c r="CLO67"/>
      <c r="CLP67"/>
      <c r="CLQ67"/>
      <c r="CLR67"/>
      <c r="CLS67"/>
      <c r="CLT67"/>
      <c r="CLU67"/>
      <c r="CLV67"/>
      <c r="CLW67"/>
      <c r="CLX67"/>
      <c r="CLY67"/>
      <c r="CLZ67"/>
      <c r="CMA67"/>
      <c r="CMB67"/>
      <c r="CMC67"/>
      <c r="CMD67"/>
      <c r="CME67"/>
      <c r="CMF67"/>
      <c r="CMG67"/>
      <c r="CMH67"/>
      <c r="CMI67"/>
      <c r="CMJ67"/>
      <c r="CMK67"/>
      <c r="CML67"/>
      <c r="CMM67"/>
      <c r="CMN67"/>
      <c r="CMO67"/>
      <c r="CMP67"/>
      <c r="CMQ67"/>
      <c r="CMR67"/>
      <c r="CMS67"/>
      <c r="CMT67"/>
      <c r="CMU67"/>
      <c r="CMV67"/>
      <c r="CMW67"/>
      <c r="CMX67"/>
      <c r="CMY67"/>
      <c r="CMZ67"/>
      <c r="CNA67"/>
      <c r="CNB67"/>
      <c r="CNC67"/>
      <c r="CND67"/>
      <c r="CNE67"/>
      <c r="CNF67"/>
      <c r="CNG67"/>
      <c r="CNH67"/>
      <c r="CNI67"/>
      <c r="CNJ67"/>
      <c r="CNK67"/>
      <c r="CNL67"/>
      <c r="CNM67"/>
      <c r="CNN67"/>
      <c r="CNO67"/>
      <c r="CNP67"/>
      <c r="CNQ67"/>
      <c r="CNR67"/>
      <c r="CNS67"/>
      <c r="CNT67"/>
      <c r="CNU67"/>
      <c r="CNV67"/>
      <c r="CNW67"/>
      <c r="CNX67"/>
      <c r="CNY67"/>
      <c r="CNZ67"/>
      <c r="COA67"/>
      <c r="COB67"/>
      <c r="COC67"/>
      <c r="COD67"/>
      <c r="COE67"/>
      <c r="COF67"/>
      <c r="COG67"/>
      <c r="COH67"/>
      <c r="COI67"/>
      <c r="COJ67"/>
      <c r="COK67"/>
      <c r="COL67"/>
      <c r="COM67"/>
      <c r="CON67"/>
      <c r="COO67"/>
      <c r="COP67"/>
      <c r="COQ67"/>
      <c r="COR67"/>
      <c r="COS67"/>
      <c r="COT67"/>
      <c r="COU67"/>
      <c r="COV67"/>
      <c r="COW67"/>
      <c r="COX67"/>
      <c r="COY67"/>
      <c r="COZ67"/>
      <c r="CPA67"/>
      <c r="CPB67"/>
      <c r="CPC67"/>
      <c r="CPD67"/>
      <c r="CPE67"/>
      <c r="CPF67"/>
      <c r="CPG67"/>
      <c r="CPH67"/>
      <c r="CPI67"/>
      <c r="CPJ67"/>
      <c r="CPK67"/>
      <c r="CPL67"/>
      <c r="CPM67"/>
      <c r="CPN67"/>
      <c r="CPO67"/>
      <c r="CPP67"/>
      <c r="CPQ67"/>
      <c r="CPR67"/>
      <c r="CPS67"/>
      <c r="CPT67"/>
      <c r="CPU67"/>
      <c r="CPV67"/>
      <c r="CPW67"/>
      <c r="CPX67"/>
      <c r="CPY67"/>
      <c r="CPZ67"/>
      <c r="CQA67"/>
      <c r="CQB67"/>
      <c r="CQC67"/>
      <c r="CQD67"/>
      <c r="CQE67"/>
      <c r="CQF67"/>
      <c r="CQG67"/>
      <c r="CQH67"/>
      <c r="CQI67"/>
      <c r="CQJ67"/>
      <c r="CQK67"/>
      <c r="CQL67"/>
      <c r="CQM67"/>
      <c r="CQN67"/>
      <c r="CQO67"/>
      <c r="CQP67"/>
      <c r="CQQ67"/>
      <c r="CQR67"/>
      <c r="CQS67"/>
      <c r="CQT67"/>
      <c r="CQU67"/>
      <c r="CQV67"/>
      <c r="CQW67"/>
      <c r="CQX67"/>
      <c r="CQY67"/>
      <c r="CQZ67"/>
      <c r="CRA67"/>
      <c r="CRB67"/>
      <c r="CRC67"/>
      <c r="CRD67"/>
      <c r="CRE67"/>
      <c r="CRF67"/>
      <c r="CRG67"/>
      <c r="CRH67"/>
      <c r="CRI67"/>
      <c r="CRJ67"/>
      <c r="CRK67"/>
      <c r="CRL67"/>
      <c r="CRM67"/>
      <c r="CRN67"/>
      <c r="CRO67"/>
      <c r="CRP67"/>
      <c r="CRQ67"/>
      <c r="CRR67"/>
      <c r="CRS67"/>
      <c r="CRT67"/>
      <c r="CRU67"/>
      <c r="CRV67"/>
      <c r="CRW67"/>
      <c r="CRX67"/>
      <c r="CRY67"/>
      <c r="CRZ67"/>
      <c r="CSA67"/>
      <c r="CSB67"/>
      <c r="CSC67"/>
      <c r="CSD67"/>
      <c r="CSE67"/>
      <c r="CSF67"/>
      <c r="CSG67"/>
      <c r="CSH67"/>
      <c r="CSI67"/>
      <c r="CSJ67"/>
      <c r="CSK67"/>
      <c r="CSL67"/>
      <c r="CSM67"/>
      <c r="CSN67"/>
      <c r="CSO67"/>
      <c r="CSP67"/>
      <c r="CSQ67"/>
      <c r="CSR67"/>
      <c r="CSS67"/>
      <c r="CST67"/>
      <c r="CSU67"/>
      <c r="CSV67"/>
      <c r="CSW67"/>
      <c r="CSX67"/>
      <c r="CSY67"/>
      <c r="CSZ67"/>
      <c r="CTA67"/>
      <c r="CTB67"/>
      <c r="CTC67"/>
      <c r="CTD67"/>
      <c r="CTE67"/>
      <c r="CTF67"/>
      <c r="CTG67"/>
      <c r="CTH67"/>
      <c r="CTI67"/>
      <c r="CTJ67"/>
      <c r="CTK67"/>
      <c r="CTL67"/>
      <c r="CTM67"/>
      <c r="CTN67"/>
      <c r="CTO67"/>
      <c r="CTP67"/>
      <c r="CTQ67"/>
      <c r="CTR67"/>
      <c r="CTS67"/>
      <c r="CTT67"/>
      <c r="CTU67"/>
      <c r="CTV67"/>
      <c r="CTW67"/>
      <c r="CTX67"/>
      <c r="CTY67"/>
      <c r="CTZ67"/>
      <c r="CUA67"/>
      <c r="CUB67"/>
      <c r="CUC67"/>
      <c r="CUD67"/>
      <c r="CUE67"/>
      <c r="CUF67"/>
      <c r="CUG67"/>
      <c r="CUH67"/>
      <c r="CUI67"/>
      <c r="CUJ67"/>
      <c r="CUK67"/>
      <c r="CUL67"/>
      <c r="CUM67"/>
      <c r="CUN67"/>
      <c r="CUO67"/>
      <c r="CUP67"/>
      <c r="CUQ67"/>
      <c r="CUR67"/>
      <c r="CUS67"/>
      <c r="CUT67"/>
      <c r="CUU67"/>
      <c r="CUV67"/>
      <c r="CUW67"/>
      <c r="CUX67"/>
      <c r="CUY67"/>
      <c r="CUZ67"/>
      <c r="CVA67"/>
      <c r="CVB67"/>
      <c r="CVC67"/>
      <c r="CVD67"/>
      <c r="CVE67"/>
      <c r="CVF67"/>
      <c r="CVG67"/>
      <c r="CVH67"/>
      <c r="CVI67"/>
      <c r="CVJ67"/>
      <c r="CVK67"/>
      <c r="CVL67"/>
      <c r="CVM67"/>
      <c r="CVN67"/>
      <c r="CVO67"/>
      <c r="CVP67"/>
      <c r="CVQ67"/>
      <c r="CVR67"/>
      <c r="CVS67"/>
      <c r="CVT67"/>
      <c r="CVU67"/>
      <c r="CVV67"/>
      <c r="CVW67"/>
      <c r="CVX67"/>
      <c r="CVY67"/>
      <c r="CVZ67"/>
      <c r="CWA67"/>
      <c r="CWB67"/>
      <c r="CWC67"/>
      <c r="CWD67"/>
      <c r="CWE67"/>
      <c r="CWF67"/>
      <c r="CWG67"/>
      <c r="CWH67"/>
      <c r="CWI67"/>
      <c r="CWJ67"/>
      <c r="CWK67"/>
      <c r="CWL67"/>
      <c r="CWM67"/>
      <c r="CWN67"/>
      <c r="CWO67"/>
      <c r="CWP67"/>
      <c r="CWQ67"/>
      <c r="CWR67"/>
      <c r="CWS67"/>
      <c r="CWT67"/>
      <c r="CWU67"/>
      <c r="CWV67"/>
      <c r="CWW67"/>
      <c r="CWX67"/>
      <c r="CWY67"/>
      <c r="CWZ67"/>
      <c r="CXA67"/>
      <c r="CXB67"/>
      <c r="CXC67"/>
      <c r="CXD67"/>
      <c r="CXE67"/>
      <c r="CXF67"/>
      <c r="CXG67"/>
      <c r="CXH67"/>
      <c r="CXI67"/>
      <c r="CXJ67"/>
      <c r="CXK67"/>
      <c r="CXL67"/>
      <c r="CXM67"/>
      <c r="CXN67"/>
      <c r="CXO67"/>
      <c r="CXP67"/>
      <c r="CXQ67"/>
      <c r="CXR67"/>
      <c r="CXS67"/>
      <c r="CXT67"/>
      <c r="CXU67"/>
      <c r="CXV67"/>
      <c r="CXW67"/>
      <c r="CXX67"/>
      <c r="CXY67"/>
      <c r="CXZ67"/>
      <c r="CYA67"/>
      <c r="CYB67"/>
      <c r="CYC67"/>
      <c r="CYD67"/>
      <c r="CYE67"/>
      <c r="CYF67"/>
      <c r="CYG67"/>
      <c r="CYH67"/>
      <c r="CYI67"/>
      <c r="CYJ67"/>
      <c r="CYK67"/>
      <c r="CYL67"/>
      <c r="CYM67"/>
      <c r="CYN67"/>
      <c r="CYO67"/>
      <c r="CYP67"/>
      <c r="CYQ67"/>
      <c r="CYR67"/>
      <c r="CYS67"/>
      <c r="CYT67"/>
      <c r="CYU67"/>
      <c r="CYV67"/>
      <c r="CYW67"/>
      <c r="CYX67"/>
      <c r="CYY67"/>
      <c r="CYZ67"/>
      <c r="CZA67"/>
      <c r="CZB67"/>
      <c r="CZC67"/>
      <c r="CZD67"/>
      <c r="CZE67"/>
      <c r="CZF67"/>
      <c r="CZG67"/>
      <c r="CZH67"/>
      <c r="CZI67"/>
      <c r="CZJ67"/>
      <c r="CZK67"/>
      <c r="CZL67"/>
      <c r="CZM67"/>
      <c r="CZN67"/>
      <c r="CZO67"/>
      <c r="CZP67"/>
      <c r="CZQ67"/>
      <c r="CZR67"/>
      <c r="CZS67"/>
      <c r="CZT67"/>
      <c r="CZU67"/>
      <c r="CZV67"/>
      <c r="CZW67"/>
      <c r="CZX67"/>
      <c r="CZY67"/>
      <c r="CZZ67"/>
      <c r="DAA67"/>
      <c r="DAB67"/>
      <c r="DAC67"/>
      <c r="DAD67"/>
      <c r="DAE67"/>
      <c r="DAF67"/>
      <c r="DAG67"/>
      <c r="DAH67"/>
      <c r="DAI67"/>
      <c r="DAJ67"/>
      <c r="DAK67"/>
      <c r="DAL67"/>
      <c r="DAM67"/>
      <c r="DAN67"/>
      <c r="DAO67"/>
      <c r="DAP67"/>
      <c r="DAQ67"/>
      <c r="DAR67"/>
      <c r="DAS67"/>
      <c r="DAT67"/>
      <c r="DAU67"/>
      <c r="DAV67"/>
      <c r="DAW67"/>
      <c r="DAX67"/>
      <c r="DAY67"/>
      <c r="DAZ67"/>
      <c r="DBA67"/>
      <c r="DBB67"/>
      <c r="DBC67"/>
      <c r="DBD67"/>
      <c r="DBE67"/>
      <c r="DBF67"/>
      <c r="DBG67"/>
      <c r="DBH67"/>
      <c r="DBI67"/>
      <c r="DBJ67"/>
      <c r="DBK67"/>
      <c r="DBL67"/>
      <c r="DBM67"/>
      <c r="DBN67"/>
      <c r="DBO67"/>
      <c r="DBP67"/>
      <c r="DBQ67"/>
      <c r="DBR67"/>
      <c r="DBS67"/>
      <c r="DBT67"/>
      <c r="DBU67"/>
      <c r="DBV67"/>
      <c r="DBW67"/>
      <c r="DBX67"/>
      <c r="DBY67"/>
      <c r="DBZ67"/>
      <c r="DCA67"/>
      <c r="DCB67"/>
      <c r="DCC67"/>
      <c r="DCD67"/>
      <c r="DCE67"/>
      <c r="DCF67"/>
      <c r="DCG67"/>
      <c r="DCH67"/>
      <c r="DCI67"/>
      <c r="DCJ67"/>
      <c r="DCK67"/>
      <c r="DCL67"/>
      <c r="DCM67"/>
      <c r="DCN67"/>
      <c r="DCO67"/>
      <c r="DCP67"/>
      <c r="DCQ67"/>
      <c r="DCR67"/>
      <c r="DCS67"/>
      <c r="DCT67"/>
      <c r="DCU67"/>
      <c r="DCV67"/>
      <c r="DCW67"/>
      <c r="DCX67"/>
      <c r="DCY67"/>
      <c r="DCZ67"/>
      <c r="DDA67"/>
      <c r="DDB67"/>
      <c r="DDC67"/>
      <c r="DDD67"/>
      <c r="DDE67"/>
      <c r="DDF67"/>
      <c r="DDG67"/>
      <c r="DDH67"/>
      <c r="DDI67"/>
      <c r="DDJ67"/>
      <c r="DDK67"/>
      <c r="DDL67"/>
      <c r="DDM67"/>
      <c r="DDN67"/>
      <c r="DDO67"/>
      <c r="DDP67"/>
      <c r="DDQ67"/>
      <c r="DDR67"/>
      <c r="DDS67"/>
      <c r="DDT67"/>
      <c r="DDU67"/>
      <c r="DDV67"/>
      <c r="DDW67"/>
      <c r="DDX67"/>
      <c r="DDY67"/>
      <c r="DDZ67"/>
      <c r="DEA67"/>
      <c r="DEB67"/>
      <c r="DEC67"/>
      <c r="DED67"/>
      <c r="DEE67"/>
      <c r="DEF67"/>
      <c r="DEG67"/>
      <c r="DEH67"/>
      <c r="DEI67"/>
      <c r="DEJ67"/>
      <c r="DEK67"/>
      <c r="DEL67"/>
      <c r="DEM67"/>
      <c r="DEN67"/>
      <c r="DEO67"/>
      <c r="DEP67"/>
      <c r="DEQ67"/>
      <c r="DER67"/>
      <c r="DES67"/>
      <c r="DET67"/>
      <c r="DEU67"/>
      <c r="DEV67"/>
      <c r="DEW67"/>
      <c r="DEX67"/>
      <c r="DEY67"/>
      <c r="DEZ67"/>
      <c r="DFA67"/>
      <c r="DFB67"/>
      <c r="DFC67"/>
      <c r="DFD67"/>
      <c r="DFE67"/>
      <c r="DFF67"/>
      <c r="DFG67"/>
      <c r="DFH67"/>
      <c r="DFI67"/>
      <c r="DFJ67"/>
      <c r="DFK67"/>
      <c r="DFL67"/>
      <c r="DFM67"/>
      <c r="DFN67"/>
      <c r="DFO67"/>
      <c r="DFP67"/>
      <c r="DFQ67"/>
      <c r="DFR67"/>
      <c r="DFS67"/>
      <c r="DFT67"/>
      <c r="DFU67"/>
      <c r="DFV67"/>
      <c r="DFW67"/>
      <c r="DFX67"/>
      <c r="DFY67"/>
      <c r="DFZ67"/>
      <c r="DGA67"/>
      <c r="DGB67"/>
      <c r="DGC67"/>
      <c r="DGD67"/>
      <c r="DGE67"/>
      <c r="DGF67"/>
      <c r="DGG67"/>
      <c r="DGH67"/>
      <c r="DGI67"/>
      <c r="DGJ67"/>
      <c r="DGK67"/>
      <c r="DGL67"/>
      <c r="DGM67"/>
      <c r="DGN67"/>
      <c r="DGO67"/>
      <c r="DGP67"/>
      <c r="DGQ67"/>
      <c r="DGR67"/>
      <c r="DGS67"/>
      <c r="DGT67"/>
      <c r="DGU67"/>
      <c r="DGV67"/>
      <c r="DGW67"/>
      <c r="DGX67"/>
      <c r="DGY67"/>
      <c r="DGZ67"/>
      <c r="DHA67"/>
      <c r="DHB67"/>
      <c r="DHC67"/>
      <c r="DHD67"/>
      <c r="DHE67"/>
      <c r="DHF67"/>
      <c r="DHG67"/>
      <c r="DHH67"/>
      <c r="DHI67"/>
      <c r="DHJ67"/>
      <c r="DHK67"/>
      <c r="DHL67"/>
      <c r="DHM67"/>
      <c r="DHN67"/>
      <c r="DHO67"/>
      <c r="DHP67"/>
      <c r="DHQ67"/>
      <c r="DHR67"/>
      <c r="DHS67"/>
      <c r="DHT67"/>
      <c r="DHU67"/>
      <c r="DHV67"/>
      <c r="DHW67"/>
      <c r="DHX67"/>
      <c r="DHY67"/>
      <c r="DHZ67"/>
      <c r="DIA67"/>
      <c r="DIB67"/>
      <c r="DIC67"/>
      <c r="DID67"/>
      <c r="DIE67"/>
      <c r="DIF67"/>
      <c r="DIG67"/>
      <c r="DIH67"/>
      <c r="DII67"/>
      <c r="DIJ67"/>
      <c r="DIK67"/>
      <c r="DIL67"/>
      <c r="DIM67"/>
      <c r="DIN67"/>
      <c r="DIO67"/>
      <c r="DIP67"/>
      <c r="DIQ67"/>
      <c r="DIR67"/>
      <c r="DIS67"/>
      <c r="DIT67"/>
      <c r="DIU67"/>
      <c r="DIV67"/>
      <c r="DIW67"/>
      <c r="DIX67"/>
      <c r="DIY67"/>
      <c r="DIZ67"/>
      <c r="DJA67"/>
      <c r="DJB67"/>
      <c r="DJC67"/>
      <c r="DJD67"/>
      <c r="DJE67"/>
      <c r="DJF67"/>
      <c r="DJG67"/>
      <c r="DJH67"/>
      <c r="DJI67"/>
      <c r="DJJ67"/>
      <c r="DJK67"/>
      <c r="DJL67"/>
      <c r="DJM67"/>
      <c r="DJN67"/>
      <c r="DJO67"/>
      <c r="DJP67"/>
      <c r="DJQ67"/>
      <c r="DJR67"/>
      <c r="DJS67"/>
      <c r="DJT67"/>
      <c r="DJU67"/>
      <c r="DJV67"/>
      <c r="DJW67"/>
      <c r="DJX67"/>
      <c r="DJY67"/>
      <c r="DJZ67"/>
      <c r="DKA67"/>
      <c r="DKB67"/>
      <c r="DKC67"/>
      <c r="DKD67"/>
      <c r="DKE67"/>
      <c r="DKF67"/>
      <c r="DKG67"/>
      <c r="DKH67"/>
      <c r="DKI67"/>
      <c r="DKJ67"/>
      <c r="DKK67"/>
      <c r="DKL67"/>
      <c r="DKM67"/>
      <c r="DKN67"/>
      <c r="DKO67"/>
      <c r="DKP67"/>
      <c r="DKQ67"/>
      <c r="DKR67"/>
      <c r="DKS67"/>
      <c r="DKT67"/>
      <c r="DKU67"/>
      <c r="DKV67"/>
      <c r="DKW67"/>
      <c r="DKX67"/>
      <c r="DKY67"/>
      <c r="DKZ67"/>
      <c r="DLA67"/>
      <c r="DLB67"/>
      <c r="DLC67"/>
      <c r="DLD67"/>
      <c r="DLE67"/>
      <c r="DLF67"/>
      <c r="DLG67"/>
      <c r="DLH67"/>
      <c r="DLI67"/>
      <c r="DLJ67"/>
      <c r="DLK67"/>
      <c r="DLL67"/>
      <c r="DLM67"/>
      <c r="DLN67"/>
      <c r="DLO67"/>
      <c r="DLP67"/>
      <c r="DLQ67"/>
      <c r="DLR67"/>
      <c r="DLS67"/>
      <c r="DLT67"/>
      <c r="DLU67"/>
      <c r="DLV67"/>
      <c r="DLW67"/>
      <c r="DLX67"/>
      <c r="DLY67"/>
      <c r="DLZ67"/>
      <c r="DMA67"/>
      <c r="DMB67"/>
      <c r="DMC67"/>
      <c r="DMD67"/>
      <c r="DME67"/>
      <c r="DMF67"/>
      <c r="DMG67"/>
      <c r="DMH67"/>
      <c r="DMI67"/>
      <c r="DMJ67"/>
      <c r="DMK67"/>
      <c r="DML67"/>
      <c r="DMM67"/>
      <c r="DMN67"/>
      <c r="DMO67"/>
      <c r="DMP67"/>
      <c r="DMQ67"/>
      <c r="DMR67"/>
      <c r="DMS67"/>
      <c r="DMT67"/>
      <c r="DMU67"/>
      <c r="DMV67"/>
      <c r="DMW67"/>
      <c r="DMX67"/>
      <c r="DMY67"/>
      <c r="DMZ67"/>
      <c r="DNA67"/>
      <c r="DNB67"/>
      <c r="DNC67"/>
      <c r="DND67"/>
      <c r="DNE67"/>
      <c r="DNF67"/>
      <c r="DNG67"/>
      <c r="DNH67"/>
      <c r="DNI67"/>
      <c r="DNJ67"/>
      <c r="DNK67"/>
      <c r="DNL67"/>
      <c r="DNM67"/>
      <c r="DNN67"/>
      <c r="DNO67"/>
      <c r="DNP67"/>
      <c r="DNQ67"/>
      <c r="DNR67"/>
      <c r="DNS67"/>
      <c r="DNT67"/>
      <c r="DNU67"/>
      <c r="DNV67"/>
      <c r="DNW67"/>
      <c r="DNX67"/>
      <c r="DNY67"/>
      <c r="DNZ67"/>
      <c r="DOA67"/>
      <c r="DOB67"/>
      <c r="DOC67"/>
      <c r="DOD67"/>
      <c r="DOE67"/>
      <c r="DOF67"/>
      <c r="DOG67"/>
      <c r="DOH67"/>
      <c r="DOI67"/>
      <c r="DOJ67"/>
      <c r="DOK67"/>
      <c r="DOL67"/>
      <c r="DOM67"/>
      <c r="DON67"/>
      <c r="DOO67"/>
      <c r="DOP67"/>
      <c r="DOQ67"/>
      <c r="DOR67"/>
      <c r="DOS67"/>
      <c r="DOT67"/>
      <c r="DOU67"/>
      <c r="DOV67"/>
      <c r="DOW67"/>
      <c r="DOX67"/>
      <c r="DOY67"/>
      <c r="DOZ67"/>
      <c r="DPA67"/>
      <c r="DPB67"/>
      <c r="DPC67"/>
      <c r="DPD67"/>
      <c r="DPE67"/>
      <c r="DPF67"/>
      <c r="DPG67"/>
      <c r="DPH67"/>
      <c r="DPI67"/>
      <c r="DPJ67"/>
      <c r="DPK67"/>
      <c r="DPL67"/>
      <c r="DPM67"/>
      <c r="DPN67"/>
      <c r="DPO67"/>
      <c r="DPP67"/>
      <c r="DPQ67"/>
      <c r="DPR67"/>
      <c r="DPS67"/>
      <c r="DPT67"/>
      <c r="DPU67"/>
      <c r="DPV67"/>
      <c r="DPW67"/>
      <c r="DPX67"/>
      <c r="DPY67"/>
      <c r="DPZ67"/>
      <c r="DQA67"/>
      <c r="DQB67"/>
      <c r="DQC67"/>
      <c r="DQD67"/>
      <c r="DQE67"/>
      <c r="DQF67"/>
      <c r="DQG67"/>
      <c r="DQH67"/>
      <c r="DQI67"/>
      <c r="DQJ67"/>
      <c r="DQK67"/>
      <c r="DQL67"/>
      <c r="DQM67"/>
      <c r="DQN67"/>
      <c r="DQO67"/>
      <c r="DQP67"/>
      <c r="DQQ67"/>
      <c r="DQR67"/>
      <c r="DQS67"/>
      <c r="DQT67"/>
      <c r="DQU67"/>
      <c r="DQV67"/>
      <c r="DQW67"/>
      <c r="DQX67"/>
      <c r="DQY67"/>
      <c r="DQZ67"/>
      <c r="DRA67"/>
      <c r="DRB67"/>
      <c r="DRC67"/>
      <c r="DRD67"/>
      <c r="DRE67"/>
      <c r="DRF67"/>
      <c r="DRG67"/>
      <c r="DRH67"/>
      <c r="DRI67"/>
      <c r="DRJ67"/>
      <c r="DRK67"/>
      <c r="DRL67"/>
      <c r="DRM67"/>
      <c r="DRN67"/>
      <c r="DRO67"/>
      <c r="DRP67"/>
      <c r="DRQ67"/>
      <c r="DRR67"/>
      <c r="DRS67"/>
      <c r="DRT67"/>
      <c r="DRU67"/>
      <c r="DRV67"/>
      <c r="DRW67"/>
      <c r="DRX67"/>
      <c r="DRY67"/>
      <c r="DRZ67"/>
      <c r="DSA67"/>
      <c r="DSB67"/>
      <c r="DSC67"/>
      <c r="DSD67"/>
      <c r="DSE67"/>
      <c r="DSF67"/>
      <c r="DSG67"/>
      <c r="DSH67"/>
      <c r="DSI67"/>
      <c r="DSJ67"/>
      <c r="DSK67"/>
      <c r="DSL67"/>
      <c r="DSM67"/>
      <c r="DSN67"/>
      <c r="DSO67"/>
      <c r="DSP67"/>
      <c r="DSQ67"/>
      <c r="DSR67"/>
      <c r="DSS67"/>
      <c r="DST67"/>
      <c r="DSU67"/>
      <c r="DSV67"/>
      <c r="DSW67"/>
      <c r="DSX67"/>
      <c r="DSY67"/>
      <c r="DSZ67"/>
      <c r="DTA67"/>
      <c r="DTB67"/>
      <c r="DTC67"/>
      <c r="DTD67"/>
      <c r="DTE67"/>
      <c r="DTF67"/>
      <c r="DTG67"/>
      <c r="DTH67"/>
      <c r="DTI67"/>
      <c r="DTJ67"/>
      <c r="DTK67"/>
      <c r="DTL67"/>
      <c r="DTM67"/>
      <c r="DTN67"/>
      <c r="DTO67"/>
      <c r="DTP67"/>
      <c r="DTQ67"/>
      <c r="DTR67"/>
      <c r="DTS67"/>
      <c r="DTT67"/>
      <c r="DTU67"/>
      <c r="DTV67"/>
      <c r="DTW67"/>
      <c r="DTX67"/>
      <c r="DTY67"/>
      <c r="DTZ67"/>
      <c r="DUA67"/>
      <c r="DUB67"/>
      <c r="DUC67"/>
      <c r="DUD67"/>
      <c r="DUE67"/>
      <c r="DUF67"/>
      <c r="DUG67"/>
      <c r="DUH67"/>
      <c r="DUI67"/>
      <c r="DUJ67"/>
      <c r="DUK67"/>
      <c r="DUL67"/>
      <c r="DUM67"/>
      <c r="DUN67"/>
      <c r="DUO67"/>
      <c r="DUP67"/>
      <c r="DUQ67"/>
      <c r="DUR67"/>
      <c r="DUS67"/>
      <c r="DUT67"/>
      <c r="DUU67"/>
      <c r="DUV67"/>
      <c r="DUW67"/>
      <c r="DUX67"/>
      <c r="DUY67"/>
      <c r="DUZ67"/>
      <c r="DVA67"/>
      <c r="DVB67"/>
      <c r="DVC67"/>
      <c r="DVD67"/>
      <c r="DVE67"/>
      <c r="DVF67"/>
      <c r="DVG67"/>
      <c r="DVH67"/>
      <c r="DVI67"/>
      <c r="DVJ67"/>
      <c r="DVK67"/>
      <c r="DVL67"/>
      <c r="DVM67"/>
      <c r="DVN67"/>
      <c r="DVO67"/>
      <c r="DVP67"/>
      <c r="DVQ67"/>
      <c r="DVR67"/>
      <c r="DVS67"/>
      <c r="DVT67"/>
      <c r="DVU67"/>
      <c r="DVV67"/>
      <c r="DVW67"/>
      <c r="DVX67"/>
      <c r="DVY67"/>
      <c r="DVZ67"/>
      <c r="DWA67"/>
      <c r="DWB67"/>
      <c r="DWC67"/>
      <c r="DWD67"/>
      <c r="DWE67"/>
      <c r="DWF67"/>
      <c r="DWG67"/>
      <c r="DWH67"/>
      <c r="DWI67"/>
      <c r="DWJ67"/>
      <c r="DWK67"/>
      <c r="DWL67"/>
      <c r="DWM67"/>
      <c r="DWN67"/>
      <c r="DWO67"/>
      <c r="DWP67"/>
      <c r="DWQ67"/>
      <c r="DWR67"/>
      <c r="DWS67"/>
      <c r="DWT67"/>
      <c r="DWU67"/>
      <c r="DWV67"/>
      <c r="DWW67"/>
      <c r="DWX67"/>
      <c r="DWY67"/>
      <c r="DWZ67"/>
      <c r="DXA67"/>
      <c r="DXB67"/>
      <c r="DXC67"/>
      <c r="DXD67"/>
      <c r="DXE67"/>
      <c r="DXF67"/>
      <c r="DXG67"/>
      <c r="DXH67"/>
      <c r="DXI67"/>
      <c r="DXJ67"/>
      <c r="DXK67"/>
      <c r="DXL67"/>
      <c r="DXM67"/>
      <c r="DXN67"/>
      <c r="DXO67"/>
      <c r="DXP67"/>
      <c r="DXQ67"/>
      <c r="DXR67"/>
      <c r="DXS67"/>
      <c r="DXT67"/>
      <c r="DXU67"/>
      <c r="DXV67"/>
      <c r="DXW67"/>
      <c r="DXX67"/>
      <c r="DXY67"/>
      <c r="DXZ67"/>
      <c r="DYA67"/>
      <c r="DYB67"/>
      <c r="DYC67"/>
      <c r="DYD67"/>
      <c r="DYE67"/>
      <c r="DYF67"/>
      <c r="DYG67"/>
      <c r="DYH67"/>
      <c r="DYI67"/>
      <c r="DYJ67"/>
      <c r="DYK67"/>
      <c r="DYL67"/>
      <c r="DYM67"/>
      <c r="DYN67"/>
      <c r="DYO67"/>
      <c r="DYP67"/>
      <c r="DYQ67"/>
      <c r="DYR67"/>
      <c r="DYS67"/>
      <c r="DYT67"/>
      <c r="DYU67"/>
      <c r="DYV67"/>
      <c r="DYW67"/>
      <c r="DYX67"/>
      <c r="DYY67"/>
      <c r="DYZ67"/>
      <c r="DZA67"/>
      <c r="DZB67"/>
      <c r="DZC67"/>
      <c r="DZD67"/>
      <c r="DZE67"/>
      <c r="DZF67"/>
      <c r="DZG67"/>
      <c r="DZH67"/>
      <c r="DZI67"/>
      <c r="DZJ67"/>
      <c r="DZK67"/>
      <c r="DZL67"/>
      <c r="DZM67"/>
      <c r="DZN67"/>
      <c r="DZO67"/>
      <c r="DZP67"/>
      <c r="DZQ67"/>
      <c r="DZR67"/>
      <c r="DZS67"/>
      <c r="DZT67"/>
      <c r="DZU67"/>
      <c r="DZV67"/>
      <c r="DZW67"/>
      <c r="DZX67"/>
      <c r="DZY67"/>
      <c r="DZZ67"/>
      <c r="EAA67"/>
      <c r="EAB67"/>
      <c r="EAC67"/>
      <c r="EAD67"/>
      <c r="EAE67"/>
      <c r="EAF67"/>
      <c r="EAG67"/>
      <c r="EAH67"/>
      <c r="EAI67"/>
      <c r="EAJ67"/>
      <c r="EAK67"/>
      <c r="EAL67"/>
      <c r="EAM67"/>
      <c r="EAN67"/>
      <c r="EAO67"/>
      <c r="EAP67"/>
      <c r="EAQ67"/>
      <c r="EAR67"/>
      <c r="EAS67"/>
      <c r="EAT67"/>
      <c r="EAU67"/>
      <c r="EAV67"/>
      <c r="EAW67"/>
      <c r="EAX67"/>
      <c r="EAY67"/>
      <c r="EAZ67"/>
      <c r="EBA67"/>
      <c r="EBB67"/>
      <c r="EBC67"/>
      <c r="EBD67"/>
      <c r="EBE67"/>
      <c r="EBF67"/>
      <c r="EBG67"/>
      <c r="EBH67"/>
      <c r="EBI67"/>
      <c r="EBJ67"/>
      <c r="EBK67"/>
      <c r="EBL67"/>
      <c r="EBM67"/>
      <c r="EBN67"/>
      <c r="EBO67"/>
      <c r="EBP67"/>
      <c r="EBQ67"/>
      <c r="EBR67"/>
      <c r="EBS67"/>
      <c r="EBT67"/>
      <c r="EBU67"/>
      <c r="EBV67"/>
      <c r="EBW67"/>
      <c r="EBX67"/>
      <c r="EBY67"/>
      <c r="EBZ67"/>
      <c r="ECA67"/>
      <c r="ECB67"/>
      <c r="ECC67"/>
      <c r="ECD67"/>
      <c r="ECE67"/>
      <c r="ECF67"/>
      <c r="ECG67"/>
      <c r="ECH67"/>
      <c r="ECI67"/>
      <c r="ECJ67"/>
      <c r="ECK67"/>
      <c r="ECL67"/>
      <c r="ECM67"/>
      <c r="ECN67"/>
      <c r="ECO67"/>
      <c r="ECP67"/>
      <c r="ECQ67"/>
      <c r="ECR67"/>
      <c r="ECS67"/>
      <c r="ECT67"/>
      <c r="ECU67"/>
      <c r="ECV67"/>
      <c r="ECW67"/>
      <c r="ECX67"/>
      <c r="ECY67"/>
      <c r="ECZ67"/>
      <c r="EDA67"/>
      <c r="EDB67"/>
      <c r="EDC67"/>
      <c r="EDD67"/>
      <c r="EDE67"/>
      <c r="EDF67"/>
      <c r="EDG67"/>
      <c r="EDH67"/>
      <c r="EDI67"/>
      <c r="EDJ67"/>
      <c r="EDK67"/>
      <c r="EDL67"/>
      <c r="EDM67"/>
      <c r="EDN67"/>
      <c r="EDO67"/>
      <c r="EDP67"/>
      <c r="EDQ67"/>
      <c r="EDR67"/>
      <c r="EDS67"/>
      <c r="EDT67"/>
      <c r="EDU67"/>
      <c r="EDV67"/>
      <c r="EDW67"/>
      <c r="EDX67"/>
      <c r="EDY67"/>
      <c r="EDZ67"/>
      <c r="EEA67"/>
      <c r="EEB67"/>
      <c r="EEC67"/>
      <c r="EED67"/>
      <c r="EEE67"/>
      <c r="EEF67"/>
      <c r="EEG67"/>
      <c r="EEH67"/>
      <c r="EEI67"/>
      <c r="EEJ67"/>
      <c r="EEK67"/>
      <c r="EEL67"/>
      <c r="EEM67"/>
      <c r="EEN67"/>
      <c r="EEO67"/>
      <c r="EEP67"/>
      <c r="EEQ67"/>
      <c r="EER67"/>
      <c r="EES67"/>
      <c r="EET67"/>
      <c r="EEU67"/>
      <c r="EEV67"/>
      <c r="EEW67"/>
      <c r="EEX67"/>
      <c r="EEY67"/>
      <c r="EEZ67"/>
      <c r="EFA67"/>
      <c r="EFB67"/>
      <c r="EFC67"/>
      <c r="EFD67"/>
      <c r="EFE67"/>
      <c r="EFF67"/>
      <c r="EFG67"/>
      <c r="EFH67"/>
      <c r="EFI67"/>
      <c r="EFJ67"/>
      <c r="EFK67"/>
      <c r="EFL67"/>
      <c r="EFM67"/>
      <c r="EFN67"/>
      <c r="EFO67"/>
      <c r="EFP67"/>
      <c r="EFQ67"/>
      <c r="EFR67"/>
      <c r="EFS67"/>
      <c r="EFT67"/>
      <c r="EFU67"/>
      <c r="EFV67"/>
      <c r="EFW67"/>
      <c r="EFX67"/>
      <c r="EFY67"/>
      <c r="EFZ67"/>
      <c r="EGA67"/>
      <c r="EGB67"/>
      <c r="EGC67"/>
      <c r="EGD67"/>
      <c r="EGE67"/>
      <c r="EGF67"/>
      <c r="EGG67"/>
      <c r="EGH67"/>
      <c r="EGI67"/>
      <c r="EGJ67"/>
      <c r="EGK67"/>
      <c r="EGL67"/>
      <c r="EGM67"/>
      <c r="EGN67"/>
      <c r="EGO67"/>
      <c r="EGP67"/>
      <c r="EGQ67"/>
      <c r="EGR67"/>
      <c r="EGS67"/>
      <c r="EGT67"/>
      <c r="EGU67"/>
      <c r="EGV67"/>
      <c r="EGW67"/>
      <c r="EGX67"/>
      <c r="EGY67"/>
      <c r="EGZ67"/>
      <c r="EHA67"/>
      <c r="EHB67"/>
      <c r="EHC67"/>
      <c r="EHD67"/>
      <c r="EHE67"/>
      <c r="EHF67"/>
      <c r="EHG67"/>
      <c r="EHH67"/>
      <c r="EHI67"/>
      <c r="EHJ67"/>
      <c r="EHK67"/>
      <c r="EHL67"/>
      <c r="EHM67"/>
      <c r="EHN67"/>
      <c r="EHO67"/>
      <c r="EHP67"/>
      <c r="EHQ67"/>
      <c r="EHR67"/>
      <c r="EHS67"/>
      <c r="EHT67"/>
      <c r="EHU67"/>
      <c r="EHV67"/>
      <c r="EHW67"/>
      <c r="EHX67"/>
      <c r="EHY67"/>
      <c r="EHZ67"/>
      <c r="EIA67"/>
      <c r="EIB67"/>
      <c r="EIC67"/>
      <c r="EID67"/>
      <c r="EIE67"/>
      <c r="EIF67"/>
      <c r="EIG67"/>
      <c r="EIH67"/>
      <c r="EII67"/>
      <c r="EIJ67"/>
      <c r="EIK67"/>
      <c r="EIL67"/>
      <c r="EIM67"/>
      <c r="EIN67"/>
      <c r="EIO67"/>
      <c r="EIP67"/>
      <c r="EIQ67"/>
      <c r="EIR67"/>
      <c r="EIS67"/>
      <c r="EIT67"/>
      <c r="EIU67"/>
      <c r="EIV67"/>
      <c r="EIW67"/>
      <c r="EIX67"/>
      <c r="EIY67"/>
      <c r="EIZ67"/>
      <c r="EJA67"/>
      <c r="EJB67"/>
      <c r="EJC67"/>
      <c r="EJD67"/>
      <c r="EJE67"/>
      <c r="EJF67"/>
      <c r="EJG67"/>
      <c r="EJH67"/>
      <c r="EJI67"/>
      <c r="EJJ67"/>
      <c r="EJK67"/>
      <c r="EJL67"/>
      <c r="EJM67"/>
      <c r="EJN67"/>
      <c r="EJO67"/>
      <c r="EJP67"/>
      <c r="EJQ67"/>
      <c r="EJR67"/>
      <c r="EJS67"/>
      <c r="EJT67"/>
      <c r="EJU67"/>
      <c r="EJV67"/>
      <c r="EJW67"/>
      <c r="EJX67"/>
      <c r="EJY67"/>
      <c r="EJZ67"/>
      <c r="EKA67"/>
      <c r="EKB67"/>
      <c r="EKC67"/>
      <c r="EKD67"/>
      <c r="EKE67"/>
      <c r="EKF67"/>
      <c r="EKG67"/>
      <c r="EKH67"/>
      <c r="EKI67"/>
      <c r="EKJ67"/>
      <c r="EKK67"/>
      <c r="EKL67"/>
      <c r="EKM67"/>
      <c r="EKN67"/>
      <c r="EKO67"/>
      <c r="EKP67"/>
      <c r="EKQ67"/>
      <c r="EKR67"/>
      <c r="EKS67"/>
      <c r="EKT67"/>
      <c r="EKU67"/>
      <c r="EKV67"/>
      <c r="EKW67"/>
      <c r="EKX67"/>
      <c r="EKY67"/>
      <c r="EKZ67"/>
      <c r="ELA67"/>
      <c r="ELB67"/>
      <c r="ELC67"/>
      <c r="ELD67"/>
      <c r="ELE67"/>
      <c r="ELF67"/>
      <c r="ELG67"/>
      <c r="ELH67"/>
      <c r="ELI67"/>
      <c r="ELJ67"/>
      <c r="ELK67"/>
      <c r="ELL67"/>
      <c r="ELM67"/>
      <c r="ELN67"/>
      <c r="ELO67"/>
      <c r="ELP67"/>
      <c r="ELQ67"/>
      <c r="ELR67"/>
      <c r="ELS67"/>
      <c r="ELT67"/>
      <c r="ELU67"/>
      <c r="ELV67"/>
      <c r="ELW67"/>
      <c r="ELX67"/>
      <c r="ELY67"/>
      <c r="ELZ67"/>
      <c r="EMA67"/>
      <c r="EMB67"/>
      <c r="EMC67"/>
      <c r="EMD67"/>
      <c r="EME67"/>
      <c r="EMF67"/>
      <c r="EMG67"/>
      <c r="EMH67"/>
      <c r="EMI67"/>
      <c r="EMJ67"/>
      <c r="EMK67"/>
      <c r="EML67"/>
      <c r="EMM67"/>
      <c r="EMN67"/>
      <c r="EMO67"/>
      <c r="EMP67"/>
      <c r="EMQ67"/>
      <c r="EMR67"/>
      <c r="EMS67"/>
      <c r="EMT67"/>
      <c r="EMU67"/>
      <c r="EMV67"/>
      <c r="EMW67"/>
      <c r="EMX67"/>
      <c r="EMY67"/>
      <c r="EMZ67"/>
      <c r="ENA67"/>
      <c r="ENB67"/>
      <c r="ENC67"/>
      <c r="END67"/>
      <c r="ENE67"/>
      <c r="ENF67"/>
      <c r="ENG67"/>
      <c r="ENH67"/>
      <c r="ENI67"/>
      <c r="ENJ67"/>
      <c r="ENK67"/>
      <c r="ENL67"/>
      <c r="ENM67"/>
      <c r="ENN67"/>
      <c r="ENO67"/>
      <c r="ENP67"/>
      <c r="ENQ67"/>
      <c r="ENR67"/>
      <c r="ENS67"/>
      <c r="ENT67"/>
      <c r="ENU67"/>
      <c r="ENV67"/>
      <c r="ENW67"/>
      <c r="ENX67"/>
      <c r="ENY67"/>
      <c r="ENZ67"/>
      <c r="EOA67"/>
      <c r="EOB67"/>
      <c r="EOC67"/>
      <c r="EOD67"/>
      <c r="EOE67"/>
      <c r="EOF67"/>
      <c r="EOG67"/>
      <c r="EOH67"/>
      <c r="EOI67"/>
      <c r="EOJ67"/>
      <c r="EOK67"/>
      <c r="EOL67"/>
      <c r="EOM67"/>
      <c r="EON67"/>
      <c r="EOO67"/>
      <c r="EOP67"/>
      <c r="EOQ67"/>
      <c r="EOR67"/>
      <c r="EOS67"/>
      <c r="EOT67"/>
      <c r="EOU67"/>
      <c r="EOV67"/>
      <c r="EOW67"/>
      <c r="EOX67"/>
      <c r="EOY67"/>
      <c r="EOZ67"/>
      <c r="EPA67"/>
      <c r="EPB67"/>
      <c r="EPC67"/>
      <c r="EPD67"/>
      <c r="EPE67"/>
      <c r="EPF67"/>
      <c r="EPG67"/>
      <c r="EPH67"/>
      <c r="EPI67"/>
      <c r="EPJ67"/>
      <c r="EPK67"/>
      <c r="EPL67"/>
      <c r="EPM67"/>
      <c r="EPN67"/>
      <c r="EPO67"/>
      <c r="EPP67"/>
      <c r="EPQ67"/>
      <c r="EPR67"/>
      <c r="EPS67"/>
      <c r="EPT67"/>
      <c r="EPU67"/>
      <c r="EPV67"/>
      <c r="EPW67"/>
      <c r="EPX67"/>
      <c r="EPY67"/>
      <c r="EPZ67"/>
      <c r="EQA67"/>
      <c r="EQB67"/>
      <c r="EQC67"/>
      <c r="EQD67"/>
      <c r="EQE67"/>
      <c r="EQF67"/>
      <c r="EQG67"/>
      <c r="EQH67"/>
      <c r="EQI67"/>
      <c r="EQJ67"/>
      <c r="EQK67"/>
      <c r="EQL67"/>
      <c r="EQM67"/>
      <c r="EQN67"/>
      <c r="EQO67"/>
      <c r="EQP67"/>
      <c r="EQQ67"/>
      <c r="EQR67"/>
      <c r="EQS67"/>
      <c r="EQT67"/>
      <c r="EQU67"/>
      <c r="EQV67"/>
      <c r="EQW67"/>
      <c r="EQX67"/>
      <c r="EQY67"/>
      <c r="EQZ67"/>
      <c r="ERA67"/>
      <c r="ERB67"/>
      <c r="ERC67"/>
      <c r="ERD67"/>
      <c r="ERE67"/>
      <c r="ERF67"/>
      <c r="ERG67"/>
      <c r="ERH67"/>
      <c r="ERI67"/>
      <c r="ERJ67"/>
      <c r="ERK67"/>
      <c r="ERL67"/>
      <c r="ERM67"/>
      <c r="ERN67"/>
      <c r="ERO67"/>
      <c r="ERP67"/>
      <c r="ERQ67"/>
      <c r="ERR67"/>
      <c r="ERS67"/>
      <c r="ERT67"/>
      <c r="ERU67"/>
      <c r="ERV67"/>
      <c r="ERW67"/>
      <c r="ERX67"/>
      <c r="ERY67"/>
      <c r="ERZ67"/>
      <c r="ESA67"/>
      <c r="ESB67"/>
      <c r="ESC67"/>
      <c r="ESD67"/>
      <c r="ESE67"/>
      <c r="ESF67"/>
      <c r="ESG67"/>
      <c r="ESH67"/>
      <c r="ESI67"/>
      <c r="ESJ67"/>
      <c r="ESK67"/>
      <c r="ESL67"/>
      <c r="ESM67"/>
      <c r="ESN67"/>
      <c r="ESO67"/>
      <c r="ESP67"/>
      <c r="ESQ67"/>
      <c r="ESR67"/>
      <c r="ESS67"/>
      <c r="EST67"/>
      <c r="ESU67"/>
      <c r="ESV67"/>
      <c r="ESW67"/>
      <c r="ESX67"/>
      <c r="ESY67"/>
      <c r="ESZ67"/>
      <c r="ETA67"/>
      <c r="ETB67"/>
      <c r="ETC67"/>
      <c r="ETD67"/>
      <c r="ETE67"/>
      <c r="ETF67"/>
      <c r="ETG67"/>
      <c r="ETH67"/>
      <c r="ETI67"/>
      <c r="ETJ67"/>
      <c r="ETK67"/>
      <c r="ETL67"/>
      <c r="ETM67"/>
      <c r="ETN67"/>
      <c r="ETO67"/>
      <c r="ETP67"/>
      <c r="ETQ67"/>
      <c r="ETR67"/>
      <c r="ETS67"/>
      <c r="ETT67"/>
      <c r="ETU67"/>
      <c r="ETV67"/>
      <c r="ETW67"/>
      <c r="ETX67"/>
      <c r="ETY67"/>
      <c r="ETZ67"/>
      <c r="EUA67"/>
      <c r="EUB67"/>
      <c r="EUC67"/>
      <c r="EUD67"/>
      <c r="EUE67"/>
      <c r="EUF67"/>
      <c r="EUG67"/>
      <c r="EUH67"/>
      <c r="EUI67"/>
      <c r="EUJ67"/>
      <c r="EUK67"/>
      <c r="EUL67"/>
      <c r="EUM67"/>
      <c r="EUN67"/>
      <c r="EUO67"/>
      <c r="EUP67"/>
      <c r="EUQ67"/>
      <c r="EUR67"/>
      <c r="EUS67"/>
      <c r="EUT67"/>
      <c r="EUU67"/>
      <c r="EUV67"/>
      <c r="EUW67"/>
      <c r="EUX67"/>
      <c r="EUY67"/>
      <c r="EUZ67"/>
      <c r="EVA67"/>
      <c r="EVB67"/>
      <c r="EVC67"/>
      <c r="EVD67"/>
      <c r="EVE67"/>
      <c r="EVF67"/>
      <c r="EVG67"/>
      <c r="EVH67"/>
      <c r="EVI67"/>
      <c r="EVJ67"/>
      <c r="EVK67"/>
      <c r="EVL67"/>
      <c r="EVM67"/>
      <c r="EVN67"/>
      <c r="EVO67"/>
      <c r="EVP67"/>
      <c r="EVQ67"/>
      <c r="EVR67"/>
      <c r="EVS67"/>
      <c r="EVT67"/>
      <c r="EVU67"/>
      <c r="EVV67"/>
      <c r="EVW67"/>
      <c r="EVX67"/>
      <c r="EVY67"/>
      <c r="EVZ67"/>
      <c r="EWA67"/>
      <c r="EWB67"/>
      <c r="EWC67"/>
      <c r="EWD67"/>
      <c r="EWE67"/>
      <c r="EWF67"/>
      <c r="EWG67"/>
      <c r="EWH67"/>
      <c r="EWI67"/>
      <c r="EWJ67"/>
      <c r="EWK67"/>
      <c r="EWL67"/>
      <c r="EWM67"/>
      <c r="EWN67"/>
      <c r="EWO67"/>
      <c r="EWP67"/>
      <c r="EWQ67"/>
      <c r="EWR67"/>
      <c r="EWS67"/>
      <c r="EWT67"/>
      <c r="EWU67"/>
      <c r="EWV67"/>
      <c r="EWW67"/>
      <c r="EWX67"/>
      <c r="EWY67"/>
      <c r="EWZ67"/>
      <c r="EXA67"/>
      <c r="EXB67"/>
      <c r="EXC67"/>
      <c r="EXD67"/>
      <c r="EXE67"/>
      <c r="EXF67"/>
      <c r="EXG67"/>
      <c r="EXH67"/>
      <c r="EXI67"/>
      <c r="EXJ67"/>
      <c r="EXK67"/>
      <c r="EXL67"/>
      <c r="EXM67"/>
      <c r="EXN67"/>
      <c r="EXO67"/>
      <c r="EXP67"/>
      <c r="EXQ67"/>
      <c r="EXR67"/>
      <c r="EXS67"/>
      <c r="EXT67"/>
      <c r="EXU67"/>
      <c r="EXV67"/>
      <c r="EXW67"/>
      <c r="EXX67"/>
      <c r="EXY67"/>
      <c r="EXZ67"/>
      <c r="EYA67"/>
      <c r="EYB67"/>
      <c r="EYC67"/>
      <c r="EYD67"/>
      <c r="EYE67"/>
      <c r="EYF67"/>
      <c r="EYG67"/>
      <c r="EYH67"/>
      <c r="EYI67"/>
      <c r="EYJ67"/>
      <c r="EYK67"/>
      <c r="EYL67"/>
      <c r="EYM67"/>
      <c r="EYN67"/>
      <c r="EYO67"/>
      <c r="EYP67"/>
      <c r="EYQ67"/>
      <c r="EYR67"/>
      <c r="EYS67"/>
      <c r="EYT67"/>
      <c r="EYU67"/>
      <c r="EYV67"/>
      <c r="EYW67"/>
      <c r="EYX67"/>
      <c r="EYY67"/>
      <c r="EYZ67"/>
      <c r="EZA67"/>
      <c r="EZB67"/>
      <c r="EZC67"/>
      <c r="EZD67"/>
      <c r="EZE67"/>
      <c r="EZF67"/>
      <c r="EZG67"/>
      <c r="EZH67"/>
      <c r="EZI67"/>
      <c r="EZJ67"/>
      <c r="EZK67"/>
      <c r="EZL67"/>
      <c r="EZM67"/>
      <c r="EZN67"/>
      <c r="EZO67"/>
      <c r="EZP67"/>
      <c r="EZQ67"/>
      <c r="EZR67"/>
      <c r="EZS67"/>
      <c r="EZT67"/>
      <c r="EZU67"/>
      <c r="EZV67"/>
      <c r="EZW67"/>
      <c r="EZX67"/>
      <c r="EZY67"/>
      <c r="EZZ67"/>
      <c r="FAA67"/>
      <c r="FAB67"/>
      <c r="FAC67"/>
      <c r="FAD67"/>
      <c r="FAE67"/>
      <c r="FAF67"/>
      <c r="FAG67"/>
      <c r="FAH67"/>
      <c r="FAI67"/>
      <c r="FAJ67"/>
      <c r="FAK67"/>
      <c r="FAL67"/>
      <c r="FAM67"/>
      <c r="FAN67"/>
      <c r="FAO67"/>
      <c r="FAP67"/>
      <c r="FAQ67"/>
      <c r="FAR67"/>
      <c r="FAS67"/>
      <c r="FAT67"/>
      <c r="FAU67"/>
      <c r="FAV67"/>
      <c r="FAW67"/>
      <c r="FAX67"/>
      <c r="FAY67"/>
      <c r="FAZ67"/>
      <c r="FBA67"/>
      <c r="FBB67"/>
      <c r="FBC67"/>
      <c r="FBD67"/>
      <c r="FBE67"/>
      <c r="FBF67"/>
      <c r="FBG67"/>
      <c r="FBH67"/>
      <c r="FBI67"/>
      <c r="FBJ67"/>
      <c r="FBK67"/>
      <c r="FBL67"/>
      <c r="FBM67"/>
      <c r="FBN67"/>
      <c r="FBO67"/>
      <c r="FBP67"/>
      <c r="FBQ67"/>
      <c r="FBR67"/>
      <c r="FBS67"/>
      <c r="FBT67"/>
      <c r="FBU67"/>
      <c r="FBV67"/>
      <c r="FBW67"/>
      <c r="FBX67"/>
      <c r="FBY67"/>
      <c r="FBZ67"/>
      <c r="FCA67"/>
      <c r="FCB67"/>
      <c r="FCC67"/>
      <c r="FCD67"/>
      <c r="FCE67"/>
      <c r="FCF67"/>
      <c r="FCG67"/>
      <c r="FCH67"/>
      <c r="FCI67"/>
      <c r="FCJ67"/>
      <c r="FCK67"/>
      <c r="FCL67"/>
      <c r="FCM67"/>
      <c r="FCN67"/>
      <c r="FCO67"/>
      <c r="FCP67"/>
      <c r="FCQ67"/>
      <c r="FCR67"/>
      <c r="FCS67"/>
      <c r="FCT67"/>
      <c r="FCU67"/>
      <c r="FCV67"/>
      <c r="FCW67"/>
      <c r="FCX67"/>
      <c r="FCY67"/>
      <c r="FCZ67"/>
      <c r="FDA67"/>
      <c r="FDB67"/>
      <c r="FDC67"/>
      <c r="FDD67"/>
      <c r="FDE67"/>
      <c r="FDF67"/>
      <c r="FDG67"/>
      <c r="FDH67"/>
      <c r="FDI67"/>
      <c r="FDJ67"/>
      <c r="FDK67"/>
      <c r="FDL67"/>
      <c r="FDM67"/>
      <c r="FDN67"/>
      <c r="FDO67"/>
      <c r="FDP67"/>
      <c r="FDQ67"/>
      <c r="FDR67"/>
      <c r="FDS67"/>
      <c r="FDT67"/>
      <c r="FDU67"/>
      <c r="FDV67"/>
      <c r="FDW67"/>
      <c r="FDX67"/>
      <c r="FDY67"/>
      <c r="FDZ67"/>
      <c r="FEA67"/>
      <c r="FEB67"/>
      <c r="FEC67"/>
      <c r="FED67"/>
      <c r="FEE67"/>
      <c r="FEF67"/>
      <c r="FEG67"/>
      <c r="FEH67"/>
      <c r="FEI67"/>
      <c r="FEJ67"/>
      <c r="FEK67"/>
      <c r="FEL67"/>
      <c r="FEM67"/>
      <c r="FEN67"/>
      <c r="FEO67"/>
      <c r="FEP67"/>
      <c r="FEQ67"/>
      <c r="FER67"/>
      <c r="FES67"/>
      <c r="FET67"/>
      <c r="FEU67"/>
      <c r="FEV67"/>
      <c r="FEW67"/>
      <c r="FEX67"/>
      <c r="FEY67"/>
      <c r="FEZ67"/>
      <c r="FFA67"/>
      <c r="FFB67"/>
      <c r="FFC67"/>
      <c r="FFD67"/>
      <c r="FFE67"/>
      <c r="FFF67"/>
      <c r="FFG67"/>
      <c r="FFH67"/>
      <c r="FFI67"/>
      <c r="FFJ67"/>
      <c r="FFK67"/>
      <c r="FFL67"/>
      <c r="FFM67"/>
      <c r="FFN67"/>
      <c r="FFO67"/>
      <c r="FFP67"/>
      <c r="FFQ67"/>
      <c r="FFR67"/>
      <c r="FFS67"/>
      <c r="FFT67"/>
      <c r="FFU67"/>
      <c r="FFV67"/>
      <c r="FFW67"/>
      <c r="FFX67"/>
      <c r="FFY67"/>
      <c r="FFZ67"/>
      <c r="FGA67"/>
      <c r="FGB67"/>
      <c r="FGC67"/>
      <c r="FGD67"/>
      <c r="FGE67"/>
      <c r="FGF67"/>
      <c r="FGG67"/>
      <c r="FGH67"/>
      <c r="FGI67"/>
      <c r="FGJ67"/>
      <c r="FGK67"/>
      <c r="FGL67"/>
      <c r="FGM67"/>
      <c r="FGN67"/>
      <c r="FGO67"/>
      <c r="FGP67"/>
      <c r="FGQ67"/>
      <c r="FGR67"/>
      <c r="FGS67"/>
      <c r="FGT67"/>
      <c r="FGU67"/>
      <c r="FGV67"/>
      <c r="FGW67"/>
      <c r="FGX67"/>
      <c r="FGY67"/>
      <c r="FGZ67"/>
      <c r="FHA67"/>
      <c r="FHB67"/>
      <c r="FHC67"/>
      <c r="FHD67"/>
      <c r="FHE67"/>
      <c r="FHF67"/>
      <c r="FHG67"/>
      <c r="FHH67"/>
      <c r="FHI67"/>
      <c r="FHJ67"/>
      <c r="FHK67"/>
      <c r="FHL67"/>
      <c r="FHM67"/>
      <c r="FHN67"/>
      <c r="FHO67"/>
      <c r="FHP67"/>
      <c r="FHQ67"/>
      <c r="FHR67"/>
      <c r="FHS67"/>
      <c r="FHT67"/>
      <c r="FHU67"/>
      <c r="FHV67"/>
      <c r="FHW67"/>
      <c r="FHX67"/>
      <c r="FHY67"/>
      <c r="FHZ67"/>
      <c r="FIA67"/>
      <c r="FIB67"/>
      <c r="FIC67"/>
      <c r="FID67"/>
      <c r="FIE67"/>
      <c r="FIF67"/>
      <c r="FIG67"/>
      <c r="FIH67"/>
      <c r="FII67"/>
      <c r="FIJ67"/>
      <c r="FIK67"/>
      <c r="FIL67"/>
      <c r="FIM67"/>
      <c r="FIN67"/>
      <c r="FIO67"/>
      <c r="FIP67"/>
      <c r="FIQ67"/>
      <c r="FIR67"/>
      <c r="FIS67"/>
      <c r="FIT67"/>
      <c r="FIU67"/>
      <c r="FIV67"/>
      <c r="FIW67"/>
      <c r="FIX67"/>
      <c r="FIY67"/>
      <c r="FIZ67"/>
      <c r="FJA67"/>
      <c r="FJB67"/>
      <c r="FJC67"/>
      <c r="FJD67"/>
      <c r="FJE67"/>
      <c r="FJF67"/>
      <c r="FJG67"/>
      <c r="FJH67"/>
      <c r="FJI67"/>
      <c r="FJJ67"/>
      <c r="FJK67"/>
      <c r="FJL67"/>
      <c r="FJM67"/>
      <c r="FJN67"/>
      <c r="FJO67"/>
      <c r="FJP67"/>
      <c r="FJQ67"/>
      <c r="FJR67"/>
      <c r="FJS67"/>
      <c r="FJT67"/>
      <c r="FJU67"/>
      <c r="FJV67"/>
      <c r="FJW67"/>
      <c r="FJX67"/>
      <c r="FJY67"/>
      <c r="FJZ67"/>
      <c r="FKA67"/>
      <c r="FKB67"/>
      <c r="FKC67"/>
      <c r="FKD67"/>
      <c r="FKE67"/>
      <c r="FKF67"/>
      <c r="FKG67"/>
      <c r="FKH67"/>
      <c r="FKI67"/>
      <c r="FKJ67"/>
      <c r="FKK67"/>
      <c r="FKL67"/>
      <c r="FKM67"/>
      <c r="FKN67"/>
      <c r="FKO67"/>
      <c r="FKP67"/>
      <c r="FKQ67"/>
      <c r="FKR67"/>
      <c r="FKS67"/>
      <c r="FKT67"/>
      <c r="FKU67"/>
      <c r="FKV67"/>
      <c r="FKW67"/>
      <c r="FKX67"/>
      <c r="FKY67"/>
      <c r="FKZ67"/>
      <c r="FLA67"/>
      <c r="FLB67"/>
      <c r="FLC67"/>
      <c r="FLD67"/>
      <c r="FLE67"/>
      <c r="FLF67"/>
      <c r="FLG67"/>
      <c r="FLH67"/>
      <c r="FLI67"/>
      <c r="FLJ67"/>
      <c r="FLK67"/>
      <c r="FLL67"/>
      <c r="FLM67"/>
      <c r="FLN67"/>
      <c r="FLO67"/>
      <c r="FLP67"/>
      <c r="FLQ67"/>
      <c r="FLR67"/>
      <c r="FLS67"/>
      <c r="FLT67"/>
      <c r="FLU67"/>
      <c r="FLV67"/>
      <c r="FLW67"/>
      <c r="FLX67"/>
      <c r="FLY67"/>
      <c r="FLZ67"/>
      <c r="FMA67"/>
      <c r="FMB67"/>
      <c r="FMC67"/>
      <c r="FMD67"/>
      <c r="FME67"/>
      <c r="FMF67"/>
      <c r="FMG67"/>
      <c r="FMH67"/>
      <c r="FMI67"/>
      <c r="FMJ67"/>
      <c r="FMK67"/>
      <c r="FML67"/>
      <c r="FMM67"/>
      <c r="FMN67"/>
      <c r="FMO67"/>
      <c r="FMP67"/>
      <c r="FMQ67"/>
      <c r="FMR67"/>
      <c r="FMS67"/>
      <c r="FMT67"/>
      <c r="FMU67"/>
      <c r="FMV67"/>
      <c r="FMW67"/>
      <c r="FMX67"/>
      <c r="FMY67"/>
      <c r="FMZ67"/>
      <c r="FNA67"/>
      <c r="FNB67"/>
      <c r="FNC67"/>
      <c r="FND67"/>
      <c r="FNE67"/>
      <c r="FNF67"/>
      <c r="FNG67"/>
      <c r="FNH67"/>
      <c r="FNI67"/>
      <c r="FNJ67"/>
      <c r="FNK67"/>
      <c r="FNL67"/>
      <c r="FNM67"/>
      <c r="FNN67"/>
      <c r="FNO67"/>
      <c r="FNP67"/>
      <c r="FNQ67"/>
      <c r="FNR67"/>
      <c r="FNS67"/>
      <c r="FNT67"/>
      <c r="FNU67"/>
      <c r="FNV67"/>
      <c r="FNW67"/>
      <c r="FNX67"/>
      <c r="FNY67"/>
      <c r="FNZ67"/>
      <c r="FOA67"/>
      <c r="FOB67"/>
      <c r="FOC67"/>
      <c r="FOD67"/>
      <c r="FOE67"/>
      <c r="FOF67"/>
      <c r="FOG67"/>
      <c r="FOH67"/>
      <c r="FOI67"/>
      <c r="FOJ67"/>
      <c r="FOK67"/>
      <c r="FOL67"/>
      <c r="FOM67"/>
      <c r="FON67"/>
      <c r="FOO67"/>
      <c r="FOP67"/>
      <c r="FOQ67"/>
      <c r="FOR67"/>
      <c r="FOS67"/>
      <c r="FOT67"/>
      <c r="FOU67"/>
      <c r="FOV67"/>
      <c r="FOW67"/>
      <c r="FOX67"/>
      <c r="FOY67"/>
      <c r="FOZ67"/>
      <c r="FPA67"/>
      <c r="FPB67"/>
      <c r="FPC67"/>
      <c r="FPD67"/>
      <c r="FPE67"/>
      <c r="FPF67"/>
      <c r="FPG67"/>
      <c r="FPH67"/>
      <c r="FPI67"/>
      <c r="FPJ67"/>
      <c r="FPK67"/>
      <c r="FPL67"/>
      <c r="FPM67"/>
      <c r="FPN67"/>
      <c r="FPO67"/>
      <c r="FPP67"/>
      <c r="FPQ67"/>
      <c r="FPR67"/>
      <c r="FPS67"/>
      <c r="FPT67"/>
      <c r="FPU67"/>
      <c r="FPV67"/>
      <c r="FPW67"/>
      <c r="FPX67"/>
      <c r="FPY67"/>
      <c r="FPZ67"/>
      <c r="FQA67"/>
      <c r="FQB67"/>
      <c r="FQC67"/>
      <c r="FQD67"/>
      <c r="FQE67"/>
      <c r="FQF67"/>
      <c r="FQG67"/>
      <c r="FQH67"/>
      <c r="FQI67"/>
      <c r="FQJ67"/>
      <c r="FQK67"/>
      <c r="FQL67"/>
      <c r="FQM67"/>
      <c r="FQN67"/>
      <c r="FQO67"/>
      <c r="FQP67"/>
      <c r="FQQ67"/>
      <c r="FQR67"/>
      <c r="FQS67"/>
      <c r="FQT67"/>
      <c r="FQU67"/>
      <c r="FQV67"/>
      <c r="FQW67"/>
      <c r="FQX67"/>
      <c r="FQY67"/>
      <c r="FQZ67"/>
      <c r="FRA67"/>
      <c r="FRB67"/>
      <c r="FRC67"/>
      <c r="FRD67"/>
      <c r="FRE67"/>
      <c r="FRF67"/>
      <c r="FRG67"/>
      <c r="FRH67"/>
      <c r="FRI67"/>
      <c r="FRJ67"/>
      <c r="FRK67"/>
      <c r="FRL67"/>
      <c r="FRM67"/>
      <c r="FRN67"/>
      <c r="FRO67"/>
      <c r="FRP67"/>
      <c r="FRQ67"/>
      <c r="FRR67"/>
      <c r="FRS67"/>
      <c r="FRT67"/>
      <c r="FRU67"/>
      <c r="FRV67"/>
      <c r="FRW67"/>
      <c r="FRX67"/>
      <c r="FRY67"/>
      <c r="FRZ67"/>
      <c r="FSA67"/>
      <c r="FSB67"/>
      <c r="FSC67"/>
      <c r="FSD67"/>
      <c r="FSE67"/>
      <c r="FSF67"/>
      <c r="FSG67"/>
      <c r="FSH67"/>
      <c r="FSI67"/>
      <c r="FSJ67"/>
      <c r="FSK67"/>
      <c r="FSL67"/>
      <c r="FSM67"/>
      <c r="FSN67"/>
      <c r="FSO67"/>
      <c r="FSP67"/>
      <c r="FSQ67"/>
      <c r="FSR67"/>
      <c r="FSS67"/>
      <c r="FST67"/>
      <c r="FSU67"/>
      <c r="FSV67"/>
      <c r="FSW67"/>
      <c r="FSX67"/>
      <c r="FSY67"/>
      <c r="FSZ67"/>
      <c r="FTA67"/>
      <c r="FTB67"/>
      <c r="FTC67"/>
      <c r="FTD67"/>
      <c r="FTE67"/>
      <c r="FTF67"/>
      <c r="FTG67"/>
      <c r="FTH67"/>
      <c r="FTI67"/>
      <c r="FTJ67"/>
      <c r="FTK67"/>
      <c r="FTL67"/>
      <c r="FTM67"/>
      <c r="FTN67"/>
      <c r="FTO67"/>
      <c r="FTP67"/>
      <c r="FTQ67"/>
      <c r="FTR67"/>
      <c r="FTS67"/>
      <c r="FTT67"/>
      <c r="FTU67"/>
      <c r="FTV67"/>
      <c r="FTW67"/>
      <c r="FTX67"/>
      <c r="FTY67"/>
      <c r="FTZ67"/>
      <c r="FUA67"/>
      <c r="FUB67"/>
      <c r="FUC67"/>
      <c r="FUD67"/>
      <c r="FUE67"/>
      <c r="FUF67"/>
      <c r="FUG67"/>
      <c r="FUH67"/>
      <c r="FUI67"/>
      <c r="FUJ67"/>
      <c r="FUK67"/>
      <c r="FUL67"/>
      <c r="FUM67"/>
      <c r="FUN67"/>
      <c r="FUO67"/>
      <c r="FUP67"/>
      <c r="FUQ67"/>
      <c r="FUR67"/>
      <c r="FUS67"/>
      <c r="FUT67"/>
      <c r="FUU67"/>
      <c r="FUV67"/>
      <c r="FUW67"/>
      <c r="FUX67"/>
      <c r="FUY67"/>
      <c r="FUZ67"/>
      <c r="FVA67"/>
      <c r="FVB67"/>
      <c r="FVC67"/>
      <c r="FVD67"/>
      <c r="FVE67"/>
      <c r="FVF67"/>
      <c r="FVG67"/>
      <c r="FVH67"/>
      <c r="FVI67"/>
      <c r="FVJ67"/>
      <c r="FVK67"/>
      <c r="FVL67"/>
      <c r="FVM67"/>
      <c r="FVN67"/>
      <c r="FVO67"/>
      <c r="FVP67"/>
      <c r="FVQ67"/>
      <c r="FVR67"/>
      <c r="FVS67"/>
      <c r="FVT67"/>
      <c r="FVU67"/>
      <c r="FVV67"/>
      <c r="FVW67"/>
      <c r="FVX67"/>
      <c r="FVY67"/>
      <c r="FVZ67"/>
    </row>
    <row r="68" spans="1:4654" ht="16.5">
      <c r="A68" s="7" t="s">
        <v>25</v>
      </c>
      <c r="B68" s="17" t="s">
        <v>26</v>
      </c>
      <c r="C68" s="3">
        <f>(SUM('Recording Academy Data'!D:D)/SUM('Recording Academy Data'!E:E))</f>
        <v>2.7792846214664899</v>
      </c>
      <c r="D68" s="37" t="s">
        <v>6</v>
      </c>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c r="MA68"/>
      <c r="MB68"/>
      <c r="MC68"/>
      <c r="MD68"/>
      <c r="ME68"/>
      <c r="MF68"/>
      <c r="MG68"/>
      <c r="MH68"/>
      <c r="MI68"/>
      <c r="MJ68"/>
      <c r="MK68"/>
      <c r="ML68"/>
      <c r="MM68"/>
      <c r="MN68"/>
      <c r="MO68"/>
      <c r="MP68"/>
      <c r="MQ68"/>
      <c r="MR68"/>
      <c r="MS68"/>
      <c r="MT68"/>
      <c r="MU68"/>
      <c r="MV68"/>
      <c r="MW68"/>
      <c r="MX68"/>
      <c r="MY68"/>
      <c r="MZ68"/>
      <c r="NA68"/>
      <c r="NB68"/>
      <c r="NC68"/>
      <c r="ND68"/>
      <c r="NE68"/>
      <c r="NF68"/>
      <c r="NG68"/>
      <c r="NH68"/>
      <c r="NI68"/>
      <c r="NJ68"/>
      <c r="NK68"/>
      <c r="NL68"/>
      <c r="NM68"/>
      <c r="NN68"/>
      <c r="NO68"/>
      <c r="NP68"/>
      <c r="NQ68"/>
      <c r="NR68"/>
      <c r="NS68"/>
      <c r="NT68"/>
      <c r="NU68"/>
      <c r="NV68"/>
      <c r="NW68"/>
      <c r="NX68"/>
      <c r="NY68"/>
      <c r="NZ68"/>
      <c r="OA68"/>
      <c r="OB68"/>
      <c r="OC68"/>
      <c r="OD68"/>
      <c r="OE68"/>
      <c r="OF68"/>
      <c r="OG68"/>
      <c r="OH68"/>
      <c r="OI68"/>
      <c r="OJ68"/>
      <c r="OK68"/>
      <c r="OL68"/>
      <c r="OM68"/>
      <c r="ON68"/>
      <c r="OO68"/>
      <c r="OP68"/>
      <c r="OQ68"/>
      <c r="OR68"/>
      <c r="OS68"/>
      <c r="OT68"/>
      <c r="OU68"/>
      <c r="OV68"/>
      <c r="OW68"/>
      <c r="OX68"/>
      <c r="OY68"/>
      <c r="OZ68"/>
      <c r="PA68"/>
      <c r="PB68"/>
      <c r="PC68"/>
      <c r="PD68"/>
      <c r="PE68"/>
      <c r="PF68"/>
      <c r="PG68"/>
      <c r="PH68"/>
      <c r="PI68"/>
      <c r="PJ68"/>
      <c r="PK68"/>
      <c r="PL68"/>
      <c r="PM68"/>
      <c r="PN68"/>
      <c r="PO68"/>
      <c r="PP68"/>
      <c r="PQ68"/>
      <c r="PR68"/>
      <c r="PS68"/>
      <c r="PT68"/>
      <c r="PU68"/>
      <c r="PV68"/>
      <c r="PW68"/>
      <c r="PX68"/>
      <c r="PY68"/>
      <c r="PZ68"/>
      <c r="QA68"/>
      <c r="QB68"/>
      <c r="QC68"/>
      <c r="QD68"/>
      <c r="QE68"/>
      <c r="QF68"/>
      <c r="QG68"/>
      <c r="QH68"/>
      <c r="QI68"/>
      <c r="QJ68"/>
      <c r="QK68"/>
      <c r="QL68"/>
      <c r="QM68"/>
      <c r="QN68"/>
      <c r="QO68"/>
      <c r="QP68"/>
      <c r="QQ68"/>
      <c r="QR68"/>
      <c r="QS68"/>
      <c r="QT68"/>
      <c r="QU68"/>
      <c r="QV68"/>
      <c r="QW68"/>
      <c r="QX68"/>
      <c r="QY68"/>
      <c r="QZ68"/>
      <c r="RA68"/>
      <c r="RB68"/>
      <c r="RC68"/>
      <c r="RD68"/>
      <c r="RE68"/>
      <c r="RF68"/>
      <c r="RG68"/>
      <c r="RH68"/>
      <c r="RI68"/>
      <c r="RJ68"/>
      <c r="RK68"/>
      <c r="RL68"/>
      <c r="RM68"/>
      <c r="RN68"/>
      <c r="RO68"/>
      <c r="RP68"/>
      <c r="RQ68"/>
      <c r="RR68"/>
      <c r="RS68"/>
      <c r="RT68"/>
      <c r="RU68"/>
      <c r="RV68"/>
      <c r="RW68"/>
      <c r="RX68"/>
      <c r="RY68"/>
      <c r="RZ68"/>
      <c r="SA68"/>
      <c r="SB68"/>
      <c r="SC68"/>
      <c r="SD68"/>
      <c r="SE68"/>
      <c r="SF68"/>
      <c r="SG68"/>
      <c r="SH68"/>
      <c r="SI68"/>
      <c r="SJ68"/>
      <c r="SK68"/>
      <c r="SL68"/>
      <c r="SM68"/>
      <c r="SN68"/>
      <c r="SO68"/>
      <c r="SP68"/>
      <c r="SQ68"/>
      <c r="SR68"/>
      <c r="SS68"/>
      <c r="ST68"/>
      <c r="SU68"/>
      <c r="SV68"/>
      <c r="SW68"/>
      <c r="SX68"/>
      <c r="SY68"/>
      <c r="SZ68"/>
      <c r="TA68"/>
      <c r="TB68"/>
      <c r="TC68"/>
      <c r="TD68"/>
      <c r="TE68"/>
      <c r="TF68"/>
      <c r="TG68"/>
      <c r="TH68"/>
      <c r="TI68"/>
      <c r="TJ68"/>
      <c r="TK68"/>
      <c r="TL68"/>
      <c r="TM68"/>
      <c r="TN68"/>
      <c r="TO68"/>
      <c r="TP68"/>
      <c r="TQ68"/>
      <c r="TR68"/>
      <c r="TS68"/>
      <c r="TT68"/>
      <c r="TU68"/>
      <c r="TV68"/>
      <c r="TW68"/>
      <c r="TX68"/>
      <c r="TY68"/>
      <c r="TZ68"/>
      <c r="UA68"/>
      <c r="UB68"/>
      <c r="UC68"/>
      <c r="UD68"/>
      <c r="UE68"/>
      <c r="UF68"/>
      <c r="UG68"/>
      <c r="UH68"/>
      <c r="UI68"/>
      <c r="UJ68"/>
      <c r="UK68"/>
      <c r="UL68"/>
      <c r="UM68"/>
      <c r="UN68"/>
      <c r="UO68"/>
      <c r="UP68"/>
      <c r="UQ68"/>
      <c r="UR68"/>
      <c r="US68"/>
      <c r="UT68"/>
      <c r="UU68"/>
      <c r="UV68"/>
      <c r="UW68"/>
      <c r="UX68"/>
      <c r="UY68"/>
      <c r="UZ68"/>
      <c r="VA68"/>
      <c r="VB68"/>
      <c r="VC68"/>
      <c r="VD68"/>
      <c r="VE68"/>
      <c r="VF68"/>
      <c r="VG68"/>
      <c r="VH68"/>
      <c r="VI68"/>
      <c r="VJ68"/>
      <c r="VK68"/>
      <c r="VL68"/>
      <c r="VM68"/>
      <c r="VN68"/>
      <c r="VO68"/>
      <c r="VP68"/>
      <c r="VQ68"/>
      <c r="VR68"/>
      <c r="VS68"/>
      <c r="VT68"/>
      <c r="VU68"/>
      <c r="VV68"/>
      <c r="VW68"/>
      <c r="VX68"/>
      <c r="VY68"/>
      <c r="VZ68"/>
      <c r="WA68"/>
      <c r="WB68"/>
      <c r="WC68"/>
      <c r="WD68"/>
      <c r="WE68"/>
      <c r="WF68"/>
      <c r="WG68"/>
      <c r="WH68"/>
      <c r="WI68"/>
      <c r="WJ68"/>
      <c r="WK68"/>
      <c r="WL68"/>
      <c r="WM68"/>
      <c r="WN68"/>
      <c r="WO68"/>
      <c r="WP68"/>
      <c r="WQ68"/>
      <c r="WR68"/>
      <c r="WS68"/>
      <c r="WT68"/>
      <c r="WU68"/>
      <c r="WV68"/>
      <c r="WW68"/>
      <c r="WX68"/>
      <c r="WY68"/>
      <c r="WZ68"/>
      <c r="XA68"/>
      <c r="XB68"/>
      <c r="XC68"/>
      <c r="XD68"/>
      <c r="XE68"/>
      <c r="XF68"/>
      <c r="XG68"/>
      <c r="XH68"/>
      <c r="XI68"/>
      <c r="XJ68"/>
      <c r="XK68"/>
      <c r="XL68"/>
      <c r="XM68"/>
      <c r="XN68"/>
      <c r="XO68"/>
      <c r="XP68"/>
      <c r="XQ68"/>
      <c r="XR68"/>
      <c r="XS68"/>
      <c r="XT68"/>
      <c r="XU68"/>
      <c r="XV68"/>
      <c r="XW68"/>
      <c r="XX68"/>
      <c r="XY68"/>
      <c r="XZ68"/>
      <c r="YA68"/>
      <c r="YB68"/>
      <c r="YC68"/>
      <c r="YD68"/>
      <c r="YE68"/>
      <c r="YF68"/>
      <c r="YG68"/>
      <c r="YH68"/>
      <c r="YI68"/>
      <c r="YJ68"/>
      <c r="YK68"/>
      <c r="YL68"/>
      <c r="YM68"/>
      <c r="YN68"/>
      <c r="YO68"/>
      <c r="YP68"/>
      <c r="YQ68"/>
      <c r="YR68"/>
      <c r="YS68"/>
      <c r="YT68"/>
      <c r="YU68"/>
      <c r="YV68"/>
      <c r="YW68"/>
      <c r="YX68"/>
      <c r="YY68"/>
      <c r="YZ68"/>
      <c r="ZA68"/>
      <c r="ZB68"/>
      <c r="ZC68"/>
      <c r="ZD68"/>
      <c r="ZE68"/>
      <c r="ZF68"/>
      <c r="ZG68"/>
      <c r="ZH68"/>
      <c r="ZI68"/>
      <c r="ZJ68"/>
      <c r="ZK68"/>
      <c r="ZL68"/>
      <c r="ZM68"/>
      <c r="ZN68"/>
      <c r="ZO68"/>
      <c r="ZP68"/>
      <c r="ZQ68"/>
      <c r="ZR68"/>
      <c r="ZS68"/>
      <c r="ZT68"/>
      <c r="ZU68"/>
      <c r="ZV68"/>
      <c r="ZW68"/>
      <c r="ZX68"/>
      <c r="ZY68"/>
      <c r="ZZ68"/>
      <c r="AAA68"/>
      <c r="AAB68"/>
      <c r="AAC68"/>
      <c r="AAD68"/>
      <c r="AAE68"/>
      <c r="AAF68"/>
      <c r="AAG68"/>
      <c r="AAH68"/>
      <c r="AAI68"/>
      <c r="AAJ68"/>
      <c r="AAK68"/>
      <c r="AAL68"/>
      <c r="AAM68"/>
      <c r="AAN68"/>
      <c r="AAO68"/>
      <c r="AAP68"/>
      <c r="AAQ68"/>
      <c r="AAR68"/>
      <c r="AAS68"/>
      <c r="AAT68"/>
      <c r="AAU68"/>
      <c r="AAV68"/>
      <c r="AAW68"/>
      <c r="AAX68"/>
      <c r="AAY68"/>
      <c r="AAZ68"/>
      <c r="ABA68"/>
      <c r="ABB68"/>
      <c r="ABC68"/>
      <c r="ABD68"/>
      <c r="ABE68"/>
      <c r="ABF68"/>
      <c r="ABG68"/>
      <c r="ABH68"/>
      <c r="ABI68"/>
      <c r="ABJ68"/>
      <c r="ABK68"/>
      <c r="ABL68"/>
      <c r="ABM68"/>
      <c r="ABN68"/>
      <c r="ABO68"/>
      <c r="ABP68"/>
      <c r="ABQ68"/>
      <c r="ABR68"/>
      <c r="ABS68"/>
      <c r="ABT68"/>
      <c r="ABU68"/>
      <c r="ABV68"/>
      <c r="ABW68"/>
      <c r="ABX68"/>
      <c r="ABY68"/>
      <c r="ABZ68"/>
      <c r="ACA68"/>
      <c r="ACB68"/>
      <c r="ACC68"/>
      <c r="ACD68"/>
      <c r="ACE68"/>
      <c r="ACF68"/>
      <c r="ACG68"/>
      <c r="ACH68"/>
      <c r="ACI68"/>
      <c r="ACJ68"/>
      <c r="ACK68"/>
      <c r="ACL68"/>
      <c r="ACM68"/>
      <c r="ACN68"/>
      <c r="ACO68"/>
      <c r="ACP68"/>
      <c r="ACQ68"/>
      <c r="ACR68"/>
      <c r="ACS68"/>
      <c r="ACT68"/>
      <c r="ACU68"/>
      <c r="ACV68"/>
      <c r="ACW68"/>
      <c r="ACX68"/>
      <c r="ACY68"/>
      <c r="ACZ68"/>
      <c r="ADA68"/>
      <c r="ADB68"/>
      <c r="ADC68"/>
      <c r="ADD68"/>
      <c r="ADE68"/>
      <c r="ADF68"/>
      <c r="ADG68"/>
      <c r="ADH68"/>
      <c r="ADI68"/>
      <c r="ADJ68"/>
      <c r="ADK68"/>
      <c r="ADL68"/>
      <c r="ADM68"/>
      <c r="ADN68"/>
      <c r="ADO68"/>
      <c r="ADP68"/>
      <c r="ADQ68"/>
      <c r="ADR68"/>
      <c r="ADS68"/>
      <c r="ADT68"/>
      <c r="ADU68"/>
      <c r="ADV68"/>
      <c r="ADW68"/>
      <c r="ADX68"/>
      <c r="ADY68"/>
      <c r="ADZ68"/>
      <c r="AEA68"/>
      <c r="AEB68"/>
      <c r="AEC68"/>
      <c r="AED68"/>
      <c r="AEE68"/>
      <c r="AEF68"/>
      <c r="AEG68"/>
      <c r="AEH68"/>
      <c r="AEI68"/>
      <c r="AEJ68"/>
      <c r="AEK68"/>
      <c r="AEL68"/>
      <c r="AEM68"/>
      <c r="AEN68"/>
      <c r="AEO68"/>
      <c r="AEP68"/>
      <c r="AEQ68"/>
      <c r="AER68"/>
      <c r="AES68"/>
      <c r="AET68"/>
      <c r="AEU68"/>
      <c r="AEV68"/>
      <c r="AEW68"/>
      <c r="AEX68"/>
      <c r="AEY68"/>
      <c r="AEZ68"/>
      <c r="AFA68"/>
      <c r="AFB68"/>
      <c r="AFC68"/>
      <c r="AFD68"/>
      <c r="AFE68"/>
      <c r="AFF68"/>
      <c r="AFG68"/>
      <c r="AFH68"/>
      <c r="AFI68"/>
      <c r="AFJ68"/>
      <c r="AFK68"/>
      <c r="AFL68"/>
      <c r="AFM68"/>
      <c r="AFN68"/>
      <c r="AFO68"/>
      <c r="AFP68"/>
      <c r="AFQ68"/>
      <c r="AFR68"/>
      <c r="AFS68"/>
      <c r="AFT68"/>
      <c r="AFU68"/>
      <c r="AFV68"/>
      <c r="AFW68"/>
      <c r="AFX68"/>
      <c r="AFY68"/>
      <c r="AFZ68"/>
      <c r="AGA68"/>
      <c r="AGB68"/>
      <c r="AGC68"/>
      <c r="AGD68"/>
      <c r="AGE68"/>
      <c r="AGF68"/>
      <c r="AGG68"/>
      <c r="AGH68"/>
      <c r="AGI68"/>
      <c r="AGJ68"/>
      <c r="AGK68"/>
      <c r="AGL68"/>
      <c r="AGM68"/>
      <c r="AGN68"/>
      <c r="AGO68"/>
      <c r="AGP68"/>
      <c r="AGQ68"/>
      <c r="AGR68"/>
      <c r="AGS68"/>
      <c r="AGT68"/>
      <c r="AGU68"/>
      <c r="AGV68"/>
      <c r="AGW68"/>
      <c r="AGX68"/>
      <c r="AGY68"/>
      <c r="AGZ68"/>
      <c r="AHA68"/>
      <c r="AHB68"/>
      <c r="AHC68"/>
      <c r="AHD68"/>
      <c r="AHE68"/>
      <c r="AHF68"/>
      <c r="AHG68"/>
      <c r="AHH68"/>
      <c r="AHI68"/>
      <c r="AHJ68"/>
      <c r="AHK68"/>
      <c r="AHL68"/>
      <c r="AHM68"/>
      <c r="AHN68"/>
      <c r="AHO68"/>
      <c r="AHP68"/>
      <c r="AHQ68"/>
      <c r="AHR68"/>
      <c r="AHS68"/>
      <c r="AHT68"/>
      <c r="AHU68"/>
      <c r="AHV68"/>
      <c r="AHW68"/>
      <c r="AHX68"/>
      <c r="AHY68"/>
      <c r="AHZ68"/>
      <c r="AIA68"/>
      <c r="AIB68"/>
      <c r="AIC68"/>
      <c r="AID68"/>
      <c r="AIE68"/>
      <c r="AIF68"/>
      <c r="AIG68"/>
      <c r="AIH68"/>
      <c r="AII68"/>
      <c r="AIJ68"/>
      <c r="AIK68"/>
      <c r="AIL68"/>
      <c r="AIM68"/>
      <c r="AIN68"/>
      <c r="AIO68"/>
      <c r="AIP68"/>
      <c r="AIQ68"/>
      <c r="AIR68"/>
      <c r="AIS68"/>
      <c r="AIT68"/>
      <c r="AIU68"/>
      <c r="AIV68"/>
      <c r="AIW68"/>
      <c r="AIX68"/>
      <c r="AIY68"/>
      <c r="AIZ68"/>
      <c r="AJA68"/>
      <c r="AJB68"/>
      <c r="AJC68"/>
      <c r="AJD68"/>
      <c r="AJE68"/>
      <c r="AJF68"/>
      <c r="AJG68"/>
      <c r="AJH68"/>
      <c r="AJI68"/>
      <c r="AJJ68"/>
      <c r="AJK68"/>
      <c r="AJL68"/>
      <c r="AJM68"/>
      <c r="AJN68"/>
      <c r="AJO68"/>
      <c r="AJP68"/>
      <c r="AJQ68"/>
      <c r="AJR68"/>
      <c r="AJS68"/>
      <c r="AJT68"/>
      <c r="AJU68"/>
      <c r="AJV68"/>
      <c r="AJW68"/>
      <c r="AJX68"/>
      <c r="AJY68"/>
      <c r="AJZ68"/>
      <c r="AKA68"/>
      <c r="AKB68"/>
      <c r="AKC68"/>
      <c r="AKD68"/>
      <c r="AKE68"/>
      <c r="AKF68"/>
      <c r="AKG68"/>
      <c r="AKH68"/>
      <c r="AKI68"/>
      <c r="AKJ68"/>
      <c r="AKK68"/>
      <c r="AKL68"/>
      <c r="AKM68"/>
      <c r="AKN68"/>
      <c r="AKO68"/>
      <c r="AKP68"/>
      <c r="AKQ68"/>
      <c r="AKR68"/>
      <c r="AKS68"/>
      <c r="AKT68"/>
      <c r="AKU68"/>
      <c r="AKV68"/>
      <c r="AKW68"/>
      <c r="AKX68"/>
      <c r="AKY68"/>
      <c r="AKZ68"/>
      <c r="ALA68"/>
      <c r="ALB68"/>
      <c r="ALC68"/>
      <c r="ALD68"/>
      <c r="ALE68"/>
      <c r="ALF68"/>
      <c r="ALG68"/>
      <c r="ALH68"/>
      <c r="ALI68"/>
      <c r="ALJ68"/>
      <c r="ALK68"/>
      <c r="ALL68"/>
      <c r="ALM68"/>
      <c r="ALN68"/>
      <c r="ALO68"/>
      <c r="ALP68"/>
      <c r="ALQ68"/>
      <c r="ALR68"/>
      <c r="ALS68"/>
      <c r="ALT68"/>
      <c r="ALU68"/>
      <c r="ALV68"/>
      <c r="ALW68"/>
      <c r="ALX68"/>
      <c r="ALY68"/>
      <c r="ALZ68"/>
      <c r="AMA68"/>
      <c r="AMB68"/>
      <c r="AMC68"/>
      <c r="AMD68"/>
      <c r="AME68"/>
      <c r="AMF68"/>
      <c r="AMG68"/>
      <c r="AMH68"/>
      <c r="AMI68"/>
      <c r="AMJ68"/>
      <c r="AMK68"/>
      <c r="AML68"/>
      <c r="AMM68"/>
      <c r="AMN68"/>
      <c r="AMO68"/>
      <c r="AMP68"/>
      <c r="AMQ68"/>
      <c r="AMR68"/>
      <c r="AMS68"/>
      <c r="AMT68"/>
      <c r="AMU68"/>
      <c r="AMV68"/>
      <c r="AMW68"/>
      <c r="AMX68"/>
      <c r="AMY68"/>
      <c r="AMZ68"/>
      <c r="ANA68"/>
      <c r="ANB68"/>
      <c r="ANC68"/>
      <c r="AND68"/>
      <c r="ANE68"/>
      <c r="ANF68"/>
      <c r="ANG68"/>
      <c r="ANH68"/>
      <c r="ANI68"/>
      <c r="ANJ68"/>
      <c r="ANK68"/>
      <c r="ANL68"/>
      <c r="ANM68"/>
      <c r="ANN68"/>
      <c r="ANO68"/>
      <c r="ANP68"/>
      <c r="ANQ68"/>
      <c r="ANR68"/>
      <c r="ANS68"/>
      <c r="ANT68"/>
      <c r="ANU68"/>
      <c r="ANV68"/>
      <c r="ANW68"/>
      <c r="ANX68"/>
      <c r="ANY68"/>
      <c r="ANZ68"/>
      <c r="AOA68"/>
      <c r="AOB68"/>
      <c r="AOC68"/>
      <c r="AOD68"/>
      <c r="AOE68"/>
      <c r="AOF68"/>
      <c r="AOG68"/>
      <c r="AOH68"/>
      <c r="AOI68"/>
      <c r="AOJ68"/>
      <c r="AOK68"/>
      <c r="AOL68"/>
      <c r="AOM68"/>
      <c r="AON68"/>
      <c r="AOO68"/>
      <c r="AOP68"/>
      <c r="AOQ68"/>
      <c r="AOR68"/>
      <c r="AOS68"/>
      <c r="AOT68"/>
      <c r="AOU68"/>
      <c r="AOV68"/>
      <c r="AOW68"/>
      <c r="AOX68"/>
      <c r="AOY68"/>
      <c r="AOZ68"/>
      <c r="APA68"/>
      <c r="APB68"/>
      <c r="APC68"/>
      <c r="APD68"/>
      <c r="APE68"/>
      <c r="APF68"/>
      <c r="APG68"/>
      <c r="APH68"/>
      <c r="API68"/>
      <c r="APJ68"/>
      <c r="APK68"/>
      <c r="APL68"/>
      <c r="APM68"/>
      <c r="APN68"/>
      <c r="APO68"/>
      <c r="APP68"/>
      <c r="APQ68"/>
      <c r="APR68"/>
      <c r="APS68"/>
      <c r="APT68"/>
      <c r="APU68"/>
      <c r="APV68"/>
      <c r="APW68"/>
      <c r="APX68"/>
      <c r="APY68"/>
      <c r="APZ68"/>
      <c r="AQA68"/>
      <c r="AQB68"/>
      <c r="AQC68"/>
      <c r="AQD68"/>
      <c r="AQE68"/>
      <c r="AQF68"/>
      <c r="AQG68"/>
      <c r="AQH68"/>
      <c r="AQI68"/>
      <c r="AQJ68"/>
      <c r="AQK68"/>
      <c r="AQL68"/>
      <c r="AQM68"/>
      <c r="AQN68"/>
      <c r="AQO68"/>
      <c r="AQP68"/>
      <c r="AQQ68"/>
      <c r="AQR68"/>
      <c r="AQS68"/>
      <c r="AQT68"/>
      <c r="AQU68"/>
      <c r="AQV68"/>
      <c r="AQW68"/>
      <c r="AQX68"/>
      <c r="AQY68"/>
      <c r="AQZ68"/>
      <c r="ARA68"/>
      <c r="ARB68"/>
      <c r="ARC68"/>
      <c r="ARD68"/>
      <c r="ARE68"/>
      <c r="ARF68"/>
      <c r="ARG68"/>
      <c r="ARH68"/>
      <c r="ARI68"/>
      <c r="ARJ68"/>
      <c r="ARK68"/>
      <c r="ARL68"/>
      <c r="ARM68"/>
      <c r="ARN68"/>
      <c r="ARO68"/>
      <c r="ARP68"/>
      <c r="ARQ68"/>
      <c r="ARR68"/>
      <c r="ARS68"/>
      <c r="ART68"/>
      <c r="ARU68"/>
      <c r="ARV68"/>
      <c r="ARW68"/>
      <c r="ARX68"/>
      <c r="ARY68"/>
      <c r="ARZ68"/>
      <c r="ASA68"/>
      <c r="ASB68"/>
      <c r="ASC68"/>
      <c r="ASD68"/>
      <c r="ASE68"/>
      <c r="ASF68"/>
      <c r="ASG68"/>
      <c r="ASH68"/>
      <c r="ASI68"/>
      <c r="ASJ68"/>
      <c r="ASK68"/>
      <c r="ASL68"/>
      <c r="ASM68"/>
      <c r="ASN68"/>
      <c r="ASO68"/>
      <c r="ASP68"/>
      <c r="ASQ68"/>
      <c r="ASR68"/>
      <c r="ASS68"/>
      <c r="AST68"/>
      <c r="ASU68"/>
      <c r="ASV68"/>
      <c r="ASW68"/>
      <c r="ASX68"/>
      <c r="ASY68"/>
      <c r="ASZ68"/>
      <c r="ATA68"/>
      <c r="ATB68"/>
      <c r="ATC68"/>
      <c r="ATD68"/>
      <c r="ATE68"/>
      <c r="ATF68"/>
      <c r="ATG68"/>
      <c r="ATH68"/>
      <c r="ATI68"/>
      <c r="ATJ68"/>
      <c r="ATK68"/>
      <c r="ATL68"/>
      <c r="ATM68"/>
      <c r="ATN68"/>
      <c r="ATO68"/>
      <c r="ATP68"/>
      <c r="ATQ68"/>
      <c r="ATR68"/>
      <c r="ATS68"/>
      <c r="ATT68"/>
      <c r="ATU68"/>
      <c r="ATV68"/>
      <c r="ATW68"/>
      <c r="ATX68"/>
      <c r="ATY68"/>
      <c r="ATZ68"/>
      <c r="AUA68"/>
      <c r="AUB68"/>
      <c r="AUC68"/>
      <c r="AUD68"/>
      <c r="AUE68"/>
      <c r="AUF68"/>
      <c r="AUG68"/>
      <c r="AUH68"/>
      <c r="AUI68"/>
      <c r="AUJ68"/>
      <c r="AUK68"/>
      <c r="AUL68"/>
      <c r="AUM68"/>
      <c r="AUN68"/>
      <c r="AUO68"/>
      <c r="AUP68"/>
      <c r="AUQ68"/>
      <c r="AUR68"/>
      <c r="AUS68"/>
      <c r="AUT68"/>
      <c r="AUU68"/>
      <c r="AUV68"/>
      <c r="AUW68"/>
      <c r="AUX68"/>
      <c r="AUY68"/>
      <c r="AUZ68"/>
      <c r="AVA68"/>
      <c r="AVB68"/>
      <c r="AVC68"/>
      <c r="AVD68"/>
      <c r="AVE68"/>
      <c r="AVF68"/>
      <c r="AVG68"/>
      <c r="AVH68"/>
      <c r="AVI68"/>
      <c r="AVJ68"/>
      <c r="AVK68"/>
      <c r="AVL68"/>
      <c r="AVM68"/>
      <c r="AVN68"/>
      <c r="AVO68"/>
      <c r="AVP68"/>
      <c r="AVQ68"/>
      <c r="AVR68"/>
      <c r="AVS68"/>
      <c r="AVT68"/>
      <c r="AVU68"/>
      <c r="AVV68"/>
      <c r="AVW68"/>
      <c r="AVX68"/>
      <c r="AVY68"/>
      <c r="AVZ68"/>
      <c r="AWA68"/>
      <c r="AWB68"/>
      <c r="AWC68"/>
      <c r="AWD68"/>
      <c r="AWE68"/>
      <c r="AWF68"/>
      <c r="AWG68"/>
      <c r="AWH68"/>
      <c r="AWI68"/>
      <c r="AWJ68"/>
      <c r="AWK68"/>
      <c r="AWL68"/>
      <c r="AWM68"/>
      <c r="AWN68"/>
      <c r="AWO68"/>
      <c r="AWP68"/>
      <c r="AWQ68"/>
      <c r="AWR68"/>
      <c r="AWS68"/>
      <c r="AWT68"/>
      <c r="AWU68"/>
      <c r="AWV68"/>
      <c r="AWW68"/>
      <c r="AWX68"/>
      <c r="AWY68"/>
      <c r="AWZ68"/>
      <c r="AXA68"/>
      <c r="AXB68"/>
      <c r="AXC68"/>
      <c r="AXD68"/>
      <c r="AXE68"/>
      <c r="AXF68"/>
      <c r="AXG68"/>
      <c r="AXH68"/>
      <c r="AXI68"/>
      <c r="AXJ68"/>
      <c r="AXK68"/>
      <c r="AXL68"/>
      <c r="AXM68"/>
      <c r="AXN68"/>
      <c r="AXO68"/>
      <c r="AXP68"/>
      <c r="AXQ68"/>
      <c r="AXR68"/>
      <c r="AXS68"/>
      <c r="AXT68"/>
      <c r="AXU68"/>
      <c r="AXV68"/>
      <c r="AXW68"/>
      <c r="AXX68"/>
      <c r="AXY68"/>
      <c r="AXZ68"/>
      <c r="AYA68"/>
      <c r="AYB68"/>
      <c r="AYC68"/>
      <c r="AYD68"/>
      <c r="AYE68"/>
      <c r="AYF68"/>
      <c r="AYG68"/>
      <c r="AYH68"/>
      <c r="AYI68"/>
      <c r="AYJ68"/>
      <c r="AYK68"/>
      <c r="AYL68"/>
      <c r="AYM68"/>
      <c r="AYN68"/>
      <c r="AYO68"/>
      <c r="AYP68"/>
      <c r="AYQ68"/>
      <c r="AYR68"/>
      <c r="AYS68"/>
      <c r="AYT68"/>
      <c r="AYU68"/>
      <c r="AYV68"/>
      <c r="AYW68"/>
      <c r="AYX68"/>
      <c r="AYY68"/>
      <c r="AYZ68"/>
      <c r="AZA68"/>
      <c r="AZB68"/>
      <c r="AZC68"/>
      <c r="AZD68"/>
      <c r="AZE68"/>
      <c r="AZF68"/>
      <c r="AZG68"/>
      <c r="AZH68"/>
      <c r="AZI68"/>
      <c r="AZJ68"/>
      <c r="AZK68"/>
      <c r="AZL68"/>
      <c r="AZM68"/>
      <c r="AZN68"/>
      <c r="AZO68"/>
      <c r="AZP68"/>
      <c r="AZQ68"/>
      <c r="AZR68"/>
      <c r="AZS68"/>
      <c r="AZT68"/>
      <c r="AZU68"/>
      <c r="AZV68"/>
      <c r="AZW68"/>
      <c r="AZX68"/>
      <c r="AZY68"/>
      <c r="AZZ68"/>
      <c r="BAA68"/>
      <c r="BAB68"/>
      <c r="BAC68"/>
      <c r="BAD68"/>
      <c r="BAE68"/>
      <c r="BAF68"/>
      <c r="BAG68"/>
      <c r="BAH68"/>
      <c r="BAI68"/>
      <c r="BAJ68"/>
      <c r="BAK68"/>
      <c r="BAL68"/>
      <c r="BAM68"/>
      <c r="BAN68"/>
      <c r="BAO68"/>
      <c r="BAP68"/>
      <c r="BAQ68"/>
      <c r="BAR68"/>
      <c r="BAS68"/>
      <c r="BAT68"/>
      <c r="BAU68"/>
      <c r="BAV68"/>
      <c r="BAW68"/>
      <c r="BAX68"/>
      <c r="BAY68"/>
      <c r="BAZ68"/>
      <c r="BBA68"/>
      <c r="BBB68"/>
      <c r="BBC68"/>
      <c r="BBD68"/>
      <c r="BBE68"/>
      <c r="BBF68"/>
      <c r="BBG68"/>
      <c r="BBH68"/>
      <c r="BBI68"/>
      <c r="BBJ68"/>
      <c r="BBK68"/>
      <c r="BBL68"/>
      <c r="BBM68"/>
      <c r="BBN68"/>
      <c r="BBO68"/>
      <c r="BBP68"/>
      <c r="BBQ68"/>
      <c r="BBR68"/>
      <c r="BBS68"/>
      <c r="BBT68"/>
      <c r="BBU68"/>
      <c r="BBV68"/>
      <c r="BBW68"/>
      <c r="BBX68"/>
      <c r="BBY68"/>
      <c r="BBZ68"/>
      <c r="BCA68"/>
      <c r="BCB68"/>
      <c r="BCC68"/>
      <c r="BCD68"/>
      <c r="BCE68"/>
      <c r="BCF68"/>
      <c r="BCG68"/>
      <c r="BCH68"/>
      <c r="BCI68"/>
      <c r="BCJ68"/>
      <c r="BCK68"/>
      <c r="BCL68"/>
      <c r="BCM68"/>
      <c r="BCN68"/>
      <c r="BCO68"/>
      <c r="BCP68"/>
      <c r="BCQ68"/>
      <c r="BCR68"/>
      <c r="BCS68"/>
      <c r="BCT68"/>
      <c r="BCU68"/>
      <c r="BCV68"/>
      <c r="BCW68"/>
      <c r="BCX68"/>
      <c r="BCY68"/>
      <c r="BCZ68"/>
      <c r="BDA68"/>
      <c r="BDB68"/>
      <c r="BDC68"/>
      <c r="BDD68"/>
      <c r="BDE68"/>
      <c r="BDF68"/>
      <c r="BDG68"/>
      <c r="BDH68"/>
      <c r="BDI68"/>
      <c r="BDJ68"/>
      <c r="BDK68"/>
      <c r="BDL68"/>
      <c r="BDM68"/>
      <c r="BDN68"/>
      <c r="BDO68"/>
      <c r="BDP68"/>
      <c r="BDQ68"/>
      <c r="BDR68"/>
      <c r="BDS68"/>
      <c r="BDT68"/>
      <c r="BDU68"/>
      <c r="BDV68"/>
      <c r="BDW68"/>
      <c r="BDX68"/>
      <c r="BDY68"/>
      <c r="BDZ68"/>
      <c r="BEA68"/>
      <c r="BEB68"/>
      <c r="BEC68"/>
      <c r="BED68"/>
      <c r="BEE68"/>
      <c r="BEF68"/>
      <c r="BEG68"/>
      <c r="BEH68"/>
      <c r="BEI68"/>
      <c r="BEJ68"/>
      <c r="BEK68"/>
      <c r="BEL68"/>
      <c r="BEM68"/>
      <c r="BEN68"/>
      <c r="BEO68"/>
      <c r="BEP68"/>
      <c r="BEQ68"/>
      <c r="BER68"/>
      <c r="BES68"/>
      <c r="BET68"/>
      <c r="BEU68"/>
      <c r="BEV68"/>
      <c r="BEW68"/>
      <c r="BEX68"/>
      <c r="BEY68"/>
      <c r="BEZ68"/>
      <c r="BFA68"/>
      <c r="BFB68"/>
      <c r="BFC68"/>
      <c r="BFD68"/>
      <c r="BFE68"/>
      <c r="BFF68"/>
      <c r="BFG68"/>
      <c r="BFH68"/>
      <c r="BFI68"/>
      <c r="BFJ68"/>
      <c r="BFK68"/>
      <c r="BFL68"/>
      <c r="BFM68"/>
      <c r="BFN68"/>
      <c r="BFO68"/>
      <c r="BFP68"/>
      <c r="BFQ68"/>
      <c r="BFR68"/>
      <c r="BFS68"/>
      <c r="BFT68"/>
      <c r="BFU68"/>
      <c r="BFV68"/>
      <c r="BFW68"/>
      <c r="BFX68"/>
      <c r="BFY68"/>
      <c r="BFZ68"/>
      <c r="BGA68"/>
      <c r="BGB68"/>
      <c r="BGC68"/>
      <c r="BGD68"/>
      <c r="BGE68"/>
      <c r="BGF68"/>
      <c r="BGG68"/>
      <c r="BGH68"/>
      <c r="BGI68"/>
      <c r="BGJ68"/>
      <c r="BGK68"/>
      <c r="BGL68"/>
      <c r="BGM68"/>
      <c r="BGN68"/>
      <c r="BGO68"/>
      <c r="BGP68"/>
      <c r="BGQ68"/>
      <c r="BGR68"/>
      <c r="BGS68"/>
      <c r="BGT68"/>
      <c r="BGU68"/>
      <c r="BGV68"/>
      <c r="BGW68"/>
      <c r="BGX68"/>
      <c r="BGY68"/>
      <c r="BGZ68"/>
      <c r="BHA68"/>
      <c r="BHB68"/>
      <c r="BHC68"/>
      <c r="BHD68"/>
      <c r="BHE68"/>
      <c r="BHF68"/>
      <c r="BHG68"/>
      <c r="BHH68"/>
      <c r="BHI68"/>
      <c r="BHJ68"/>
      <c r="BHK68"/>
      <c r="BHL68"/>
      <c r="BHM68"/>
      <c r="BHN68"/>
      <c r="BHO68"/>
      <c r="BHP68"/>
      <c r="BHQ68"/>
      <c r="BHR68"/>
      <c r="BHS68"/>
      <c r="BHT68"/>
      <c r="BHU68"/>
      <c r="BHV68"/>
      <c r="BHW68"/>
      <c r="BHX68"/>
      <c r="BHY68"/>
      <c r="BHZ68"/>
      <c r="BIA68"/>
      <c r="BIB68"/>
      <c r="BIC68"/>
      <c r="BID68"/>
      <c r="BIE68"/>
      <c r="BIF68"/>
      <c r="BIG68"/>
      <c r="BIH68"/>
      <c r="BII68"/>
      <c r="BIJ68"/>
      <c r="BIK68"/>
      <c r="BIL68"/>
      <c r="BIM68"/>
      <c r="BIN68"/>
      <c r="BIO68"/>
      <c r="BIP68"/>
      <c r="BIQ68"/>
      <c r="BIR68"/>
      <c r="BIS68"/>
      <c r="BIT68"/>
      <c r="BIU68"/>
      <c r="BIV68"/>
      <c r="BIW68"/>
      <c r="BIX68"/>
      <c r="BIY68"/>
      <c r="BIZ68"/>
      <c r="BJA68"/>
      <c r="BJB68"/>
      <c r="BJC68"/>
      <c r="BJD68"/>
      <c r="BJE68"/>
      <c r="BJF68"/>
      <c r="BJG68"/>
      <c r="BJH68"/>
      <c r="BJI68"/>
      <c r="BJJ68"/>
      <c r="BJK68"/>
      <c r="BJL68"/>
      <c r="BJM68"/>
      <c r="BJN68"/>
      <c r="BJO68"/>
      <c r="BJP68"/>
      <c r="BJQ68"/>
      <c r="BJR68"/>
      <c r="BJS68"/>
      <c r="BJT68"/>
      <c r="BJU68"/>
      <c r="BJV68"/>
      <c r="BJW68"/>
      <c r="BJX68"/>
      <c r="BJY68"/>
      <c r="BJZ68"/>
      <c r="BKA68"/>
      <c r="BKB68"/>
      <c r="BKC68"/>
      <c r="BKD68"/>
      <c r="BKE68"/>
      <c r="BKF68"/>
      <c r="BKG68"/>
      <c r="BKH68"/>
      <c r="BKI68"/>
      <c r="BKJ68"/>
      <c r="BKK68"/>
      <c r="BKL68"/>
      <c r="BKM68"/>
      <c r="BKN68"/>
      <c r="BKO68"/>
      <c r="BKP68"/>
      <c r="BKQ68"/>
      <c r="BKR68"/>
      <c r="BKS68"/>
      <c r="BKT68"/>
      <c r="BKU68"/>
      <c r="BKV68"/>
      <c r="BKW68"/>
      <c r="BKX68"/>
      <c r="BKY68"/>
      <c r="BKZ68"/>
      <c r="BLA68"/>
      <c r="BLB68"/>
      <c r="BLC68"/>
      <c r="BLD68"/>
      <c r="BLE68"/>
      <c r="BLF68"/>
      <c r="BLG68"/>
      <c r="BLH68"/>
      <c r="BLI68"/>
      <c r="BLJ68"/>
      <c r="BLK68"/>
      <c r="BLL68"/>
      <c r="BLM68"/>
      <c r="BLN68"/>
      <c r="BLO68"/>
      <c r="BLP68"/>
      <c r="BLQ68"/>
      <c r="BLR68"/>
      <c r="BLS68"/>
      <c r="BLT68"/>
      <c r="BLU68"/>
      <c r="BLV68"/>
      <c r="BLW68"/>
      <c r="BLX68"/>
      <c r="BLY68"/>
      <c r="BLZ68"/>
      <c r="BMA68"/>
      <c r="BMB68"/>
      <c r="BMC68"/>
      <c r="BMD68"/>
      <c r="BME68"/>
      <c r="BMF68"/>
      <c r="BMG68"/>
      <c r="BMH68"/>
      <c r="BMI68"/>
      <c r="BMJ68"/>
      <c r="BMK68"/>
      <c r="BML68"/>
      <c r="BMM68"/>
      <c r="BMN68"/>
      <c r="BMO68"/>
      <c r="BMP68"/>
      <c r="BMQ68"/>
      <c r="BMR68"/>
      <c r="BMS68"/>
      <c r="BMT68"/>
      <c r="BMU68"/>
      <c r="BMV68"/>
      <c r="BMW68"/>
      <c r="BMX68"/>
      <c r="BMY68"/>
      <c r="BMZ68"/>
      <c r="BNA68"/>
      <c r="BNB68"/>
      <c r="BNC68"/>
      <c r="BND68"/>
      <c r="BNE68"/>
      <c r="BNF68"/>
      <c r="BNG68"/>
      <c r="BNH68"/>
      <c r="BNI68"/>
      <c r="BNJ68"/>
      <c r="BNK68"/>
      <c r="BNL68"/>
      <c r="BNM68"/>
      <c r="BNN68"/>
      <c r="BNO68"/>
      <c r="BNP68"/>
      <c r="BNQ68"/>
      <c r="BNR68"/>
      <c r="BNS68"/>
      <c r="BNT68"/>
      <c r="BNU68"/>
      <c r="BNV68"/>
      <c r="BNW68"/>
      <c r="BNX68"/>
      <c r="BNY68"/>
      <c r="BNZ68"/>
      <c r="BOA68"/>
      <c r="BOB68"/>
      <c r="BOC68"/>
      <c r="BOD68"/>
      <c r="BOE68"/>
      <c r="BOF68"/>
      <c r="BOG68"/>
      <c r="BOH68"/>
      <c r="BOI68"/>
      <c r="BOJ68"/>
      <c r="BOK68"/>
      <c r="BOL68"/>
      <c r="BOM68"/>
      <c r="BON68"/>
      <c r="BOO68"/>
      <c r="BOP68"/>
      <c r="BOQ68"/>
      <c r="BOR68"/>
      <c r="BOS68"/>
      <c r="BOT68"/>
      <c r="BOU68"/>
      <c r="BOV68"/>
      <c r="BOW68"/>
      <c r="BOX68"/>
      <c r="BOY68"/>
      <c r="BOZ68"/>
      <c r="BPA68"/>
      <c r="BPB68"/>
      <c r="BPC68"/>
      <c r="BPD68"/>
      <c r="BPE68"/>
      <c r="BPF68"/>
      <c r="BPG68"/>
      <c r="BPH68"/>
      <c r="BPI68"/>
      <c r="BPJ68"/>
      <c r="BPK68"/>
      <c r="BPL68"/>
      <c r="BPM68"/>
      <c r="BPN68"/>
      <c r="BPO68"/>
      <c r="BPP68"/>
      <c r="BPQ68"/>
      <c r="BPR68"/>
      <c r="BPS68"/>
      <c r="BPT68"/>
      <c r="BPU68"/>
      <c r="BPV68"/>
      <c r="BPW68"/>
      <c r="BPX68"/>
      <c r="BPY68"/>
      <c r="BPZ68"/>
      <c r="BQA68"/>
      <c r="BQB68"/>
      <c r="BQC68"/>
      <c r="BQD68"/>
      <c r="BQE68"/>
      <c r="BQF68"/>
      <c r="BQG68"/>
      <c r="BQH68"/>
      <c r="BQI68"/>
      <c r="BQJ68"/>
      <c r="BQK68"/>
      <c r="BQL68"/>
      <c r="BQM68"/>
      <c r="BQN68"/>
      <c r="BQO68"/>
      <c r="BQP68"/>
      <c r="BQQ68"/>
      <c r="BQR68"/>
      <c r="BQS68"/>
      <c r="BQT68"/>
      <c r="BQU68"/>
      <c r="BQV68"/>
      <c r="BQW68"/>
      <c r="BQX68"/>
      <c r="BQY68"/>
      <c r="BQZ68"/>
      <c r="BRA68"/>
      <c r="BRB68"/>
      <c r="BRC68"/>
      <c r="BRD68"/>
      <c r="BRE68"/>
      <c r="BRF68"/>
      <c r="BRG68"/>
      <c r="BRH68"/>
      <c r="BRI68"/>
      <c r="BRJ68"/>
      <c r="BRK68"/>
      <c r="BRL68"/>
      <c r="BRM68"/>
      <c r="BRN68"/>
      <c r="BRO68"/>
      <c r="BRP68"/>
      <c r="BRQ68"/>
      <c r="BRR68"/>
      <c r="BRS68"/>
      <c r="BRT68"/>
      <c r="BRU68"/>
      <c r="BRV68"/>
      <c r="BRW68"/>
      <c r="BRX68"/>
      <c r="BRY68"/>
      <c r="BRZ68"/>
      <c r="BSA68"/>
      <c r="BSB68"/>
      <c r="BSC68"/>
      <c r="BSD68"/>
      <c r="BSE68"/>
      <c r="BSF68"/>
      <c r="BSG68"/>
      <c r="BSH68"/>
      <c r="BSI68"/>
      <c r="BSJ68"/>
      <c r="BSK68"/>
      <c r="BSL68"/>
      <c r="BSM68"/>
      <c r="BSN68"/>
      <c r="BSO68"/>
      <c r="BSP68"/>
      <c r="BSQ68"/>
      <c r="BSR68"/>
      <c r="BSS68"/>
      <c r="BST68"/>
      <c r="BSU68"/>
      <c r="BSV68"/>
      <c r="BSW68"/>
      <c r="BSX68"/>
      <c r="BSY68"/>
      <c r="BSZ68"/>
      <c r="BTA68"/>
      <c r="BTB68"/>
      <c r="BTC68"/>
      <c r="BTD68"/>
      <c r="BTE68"/>
      <c r="BTF68"/>
      <c r="BTG68"/>
      <c r="BTH68"/>
      <c r="BTI68"/>
      <c r="BTJ68"/>
      <c r="BTK68"/>
      <c r="BTL68"/>
      <c r="BTM68"/>
      <c r="BTN68"/>
      <c r="BTO68"/>
      <c r="BTP68"/>
      <c r="BTQ68"/>
      <c r="BTR68"/>
      <c r="BTS68"/>
      <c r="BTT68"/>
      <c r="BTU68"/>
      <c r="BTV68"/>
      <c r="BTW68"/>
      <c r="BTX68"/>
      <c r="BTY68"/>
      <c r="BTZ68"/>
      <c r="BUA68"/>
      <c r="BUB68"/>
      <c r="BUC68"/>
      <c r="BUD68"/>
      <c r="BUE68"/>
      <c r="BUF68"/>
      <c r="BUG68"/>
      <c r="BUH68"/>
      <c r="BUI68"/>
      <c r="BUJ68"/>
      <c r="BUK68"/>
      <c r="BUL68"/>
      <c r="BUM68"/>
      <c r="BUN68"/>
      <c r="BUO68"/>
      <c r="BUP68"/>
      <c r="BUQ68"/>
      <c r="BUR68"/>
      <c r="BUS68"/>
      <c r="BUT68"/>
      <c r="BUU68"/>
      <c r="BUV68"/>
      <c r="BUW68"/>
      <c r="BUX68"/>
      <c r="BUY68"/>
      <c r="BUZ68"/>
      <c r="BVA68"/>
      <c r="BVB68"/>
      <c r="BVC68"/>
      <c r="BVD68"/>
      <c r="BVE68"/>
      <c r="BVF68"/>
      <c r="BVG68"/>
      <c r="BVH68"/>
      <c r="BVI68"/>
      <c r="BVJ68"/>
      <c r="BVK68"/>
      <c r="BVL68"/>
      <c r="BVM68"/>
      <c r="BVN68"/>
      <c r="BVO68"/>
      <c r="BVP68"/>
      <c r="BVQ68"/>
      <c r="BVR68"/>
      <c r="BVS68"/>
      <c r="BVT68"/>
      <c r="BVU68"/>
      <c r="BVV68"/>
      <c r="BVW68"/>
      <c r="BVX68"/>
      <c r="BVY68"/>
      <c r="BVZ68"/>
      <c r="BWA68"/>
      <c r="BWB68"/>
      <c r="BWC68"/>
      <c r="BWD68"/>
      <c r="BWE68"/>
      <c r="BWF68"/>
      <c r="BWG68"/>
      <c r="BWH68"/>
      <c r="BWI68"/>
      <c r="BWJ68"/>
      <c r="BWK68"/>
      <c r="BWL68"/>
      <c r="BWM68"/>
      <c r="BWN68"/>
      <c r="BWO68"/>
      <c r="BWP68"/>
      <c r="BWQ68"/>
      <c r="BWR68"/>
      <c r="BWS68"/>
      <c r="BWT68"/>
      <c r="BWU68"/>
      <c r="BWV68"/>
      <c r="BWW68"/>
      <c r="BWX68"/>
      <c r="BWY68"/>
      <c r="BWZ68"/>
      <c r="BXA68"/>
      <c r="BXB68"/>
      <c r="BXC68"/>
      <c r="BXD68"/>
      <c r="BXE68"/>
      <c r="BXF68"/>
      <c r="BXG68"/>
      <c r="BXH68"/>
      <c r="BXI68"/>
      <c r="BXJ68"/>
      <c r="BXK68"/>
      <c r="BXL68"/>
      <c r="BXM68"/>
      <c r="BXN68"/>
      <c r="BXO68"/>
      <c r="BXP68"/>
      <c r="BXQ68"/>
      <c r="BXR68"/>
      <c r="BXS68"/>
      <c r="BXT68"/>
      <c r="BXU68"/>
      <c r="BXV68"/>
      <c r="BXW68"/>
      <c r="BXX68"/>
      <c r="BXY68"/>
      <c r="BXZ68"/>
      <c r="BYA68"/>
      <c r="BYB68"/>
      <c r="BYC68"/>
      <c r="BYD68"/>
      <c r="BYE68"/>
      <c r="BYF68"/>
      <c r="BYG68"/>
      <c r="BYH68"/>
      <c r="BYI68"/>
      <c r="BYJ68"/>
      <c r="BYK68"/>
      <c r="BYL68"/>
      <c r="BYM68"/>
      <c r="BYN68"/>
      <c r="BYO68"/>
      <c r="BYP68"/>
      <c r="BYQ68"/>
      <c r="BYR68"/>
      <c r="BYS68"/>
      <c r="BYT68"/>
      <c r="BYU68"/>
      <c r="BYV68"/>
      <c r="BYW68"/>
      <c r="BYX68"/>
      <c r="BYY68"/>
      <c r="BYZ68"/>
      <c r="BZA68"/>
      <c r="BZB68"/>
      <c r="BZC68"/>
      <c r="BZD68"/>
      <c r="BZE68"/>
      <c r="BZF68"/>
      <c r="BZG68"/>
      <c r="BZH68"/>
      <c r="BZI68"/>
      <c r="BZJ68"/>
      <c r="BZK68"/>
      <c r="BZL68"/>
      <c r="BZM68"/>
      <c r="BZN68"/>
      <c r="BZO68"/>
      <c r="BZP68"/>
      <c r="BZQ68"/>
      <c r="BZR68"/>
      <c r="BZS68"/>
      <c r="BZT68"/>
      <c r="BZU68"/>
      <c r="BZV68"/>
      <c r="BZW68"/>
      <c r="BZX68"/>
      <c r="BZY68"/>
      <c r="BZZ68"/>
      <c r="CAA68"/>
      <c r="CAB68"/>
      <c r="CAC68"/>
      <c r="CAD68"/>
      <c r="CAE68"/>
      <c r="CAF68"/>
      <c r="CAG68"/>
      <c r="CAH68"/>
      <c r="CAI68"/>
      <c r="CAJ68"/>
      <c r="CAK68"/>
      <c r="CAL68"/>
      <c r="CAM68"/>
      <c r="CAN68"/>
      <c r="CAO68"/>
      <c r="CAP68"/>
      <c r="CAQ68"/>
      <c r="CAR68"/>
      <c r="CAS68"/>
      <c r="CAT68"/>
      <c r="CAU68"/>
      <c r="CAV68"/>
      <c r="CAW68"/>
      <c r="CAX68"/>
      <c r="CAY68"/>
      <c r="CAZ68"/>
      <c r="CBA68"/>
      <c r="CBB68"/>
      <c r="CBC68"/>
      <c r="CBD68"/>
      <c r="CBE68"/>
      <c r="CBF68"/>
      <c r="CBG68"/>
      <c r="CBH68"/>
      <c r="CBI68"/>
      <c r="CBJ68"/>
      <c r="CBK68"/>
      <c r="CBL68"/>
      <c r="CBM68"/>
      <c r="CBN68"/>
      <c r="CBO68"/>
      <c r="CBP68"/>
      <c r="CBQ68"/>
      <c r="CBR68"/>
      <c r="CBS68"/>
      <c r="CBT68"/>
      <c r="CBU68"/>
      <c r="CBV68"/>
      <c r="CBW68"/>
      <c r="CBX68"/>
      <c r="CBY68"/>
      <c r="CBZ68"/>
      <c r="CCA68"/>
      <c r="CCB68"/>
      <c r="CCC68"/>
      <c r="CCD68"/>
      <c r="CCE68"/>
      <c r="CCF68"/>
      <c r="CCG68"/>
      <c r="CCH68"/>
      <c r="CCI68"/>
      <c r="CCJ68"/>
      <c r="CCK68"/>
      <c r="CCL68"/>
      <c r="CCM68"/>
      <c r="CCN68"/>
      <c r="CCO68"/>
      <c r="CCP68"/>
      <c r="CCQ68"/>
      <c r="CCR68"/>
      <c r="CCS68"/>
      <c r="CCT68"/>
      <c r="CCU68"/>
      <c r="CCV68"/>
      <c r="CCW68"/>
      <c r="CCX68"/>
      <c r="CCY68"/>
      <c r="CCZ68"/>
      <c r="CDA68"/>
      <c r="CDB68"/>
      <c r="CDC68"/>
      <c r="CDD68"/>
      <c r="CDE68"/>
      <c r="CDF68"/>
      <c r="CDG68"/>
      <c r="CDH68"/>
      <c r="CDI68"/>
      <c r="CDJ68"/>
      <c r="CDK68"/>
      <c r="CDL68"/>
      <c r="CDM68"/>
      <c r="CDN68"/>
      <c r="CDO68"/>
      <c r="CDP68"/>
      <c r="CDQ68"/>
      <c r="CDR68"/>
      <c r="CDS68"/>
      <c r="CDT68"/>
      <c r="CDU68"/>
      <c r="CDV68"/>
      <c r="CDW68"/>
      <c r="CDX68"/>
      <c r="CDY68"/>
      <c r="CDZ68"/>
      <c r="CEA68"/>
      <c r="CEB68"/>
      <c r="CEC68"/>
      <c r="CED68"/>
      <c r="CEE68"/>
      <c r="CEF68"/>
      <c r="CEG68"/>
      <c r="CEH68"/>
      <c r="CEI68"/>
      <c r="CEJ68"/>
      <c r="CEK68"/>
      <c r="CEL68"/>
      <c r="CEM68"/>
      <c r="CEN68"/>
      <c r="CEO68"/>
      <c r="CEP68"/>
      <c r="CEQ68"/>
      <c r="CER68"/>
      <c r="CES68"/>
      <c r="CET68"/>
      <c r="CEU68"/>
      <c r="CEV68"/>
      <c r="CEW68"/>
      <c r="CEX68"/>
      <c r="CEY68"/>
      <c r="CEZ68"/>
      <c r="CFA68"/>
      <c r="CFB68"/>
      <c r="CFC68"/>
      <c r="CFD68"/>
      <c r="CFE68"/>
      <c r="CFF68"/>
      <c r="CFG68"/>
      <c r="CFH68"/>
      <c r="CFI68"/>
      <c r="CFJ68"/>
      <c r="CFK68"/>
      <c r="CFL68"/>
      <c r="CFM68"/>
      <c r="CFN68"/>
      <c r="CFO68"/>
      <c r="CFP68"/>
      <c r="CFQ68"/>
      <c r="CFR68"/>
      <c r="CFS68"/>
      <c r="CFT68"/>
      <c r="CFU68"/>
      <c r="CFV68"/>
      <c r="CFW68"/>
      <c r="CFX68"/>
      <c r="CFY68"/>
      <c r="CFZ68"/>
      <c r="CGA68"/>
      <c r="CGB68"/>
      <c r="CGC68"/>
      <c r="CGD68"/>
      <c r="CGE68"/>
      <c r="CGF68"/>
      <c r="CGG68"/>
      <c r="CGH68"/>
      <c r="CGI68"/>
      <c r="CGJ68"/>
      <c r="CGK68"/>
      <c r="CGL68"/>
      <c r="CGM68"/>
      <c r="CGN68"/>
      <c r="CGO68"/>
      <c r="CGP68"/>
      <c r="CGQ68"/>
      <c r="CGR68"/>
      <c r="CGS68"/>
      <c r="CGT68"/>
      <c r="CGU68"/>
      <c r="CGV68"/>
      <c r="CGW68"/>
      <c r="CGX68"/>
      <c r="CGY68"/>
      <c r="CGZ68"/>
      <c r="CHA68"/>
      <c r="CHB68"/>
      <c r="CHC68"/>
      <c r="CHD68"/>
      <c r="CHE68"/>
      <c r="CHF68"/>
      <c r="CHG68"/>
      <c r="CHH68"/>
      <c r="CHI68"/>
      <c r="CHJ68"/>
      <c r="CHK68"/>
      <c r="CHL68"/>
      <c r="CHM68"/>
      <c r="CHN68"/>
      <c r="CHO68"/>
      <c r="CHP68"/>
      <c r="CHQ68"/>
      <c r="CHR68"/>
      <c r="CHS68"/>
      <c r="CHT68"/>
      <c r="CHU68"/>
      <c r="CHV68"/>
      <c r="CHW68"/>
      <c r="CHX68"/>
      <c r="CHY68"/>
      <c r="CHZ68"/>
      <c r="CIA68"/>
      <c r="CIB68"/>
      <c r="CIC68"/>
      <c r="CID68"/>
      <c r="CIE68"/>
      <c r="CIF68"/>
      <c r="CIG68"/>
      <c r="CIH68"/>
      <c r="CII68"/>
      <c r="CIJ68"/>
      <c r="CIK68"/>
      <c r="CIL68"/>
      <c r="CIM68"/>
      <c r="CIN68"/>
      <c r="CIO68"/>
      <c r="CIP68"/>
      <c r="CIQ68"/>
      <c r="CIR68"/>
      <c r="CIS68"/>
      <c r="CIT68"/>
      <c r="CIU68"/>
      <c r="CIV68"/>
      <c r="CIW68"/>
      <c r="CIX68"/>
      <c r="CIY68"/>
      <c r="CIZ68"/>
      <c r="CJA68"/>
      <c r="CJB68"/>
      <c r="CJC68"/>
      <c r="CJD68"/>
      <c r="CJE68"/>
      <c r="CJF68"/>
      <c r="CJG68"/>
      <c r="CJH68"/>
      <c r="CJI68"/>
      <c r="CJJ68"/>
      <c r="CJK68"/>
      <c r="CJL68"/>
      <c r="CJM68"/>
      <c r="CJN68"/>
      <c r="CJO68"/>
      <c r="CJP68"/>
      <c r="CJQ68"/>
      <c r="CJR68"/>
      <c r="CJS68"/>
      <c r="CJT68"/>
      <c r="CJU68"/>
      <c r="CJV68"/>
      <c r="CJW68"/>
      <c r="CJX68"/>
      <c r="CJY68"/>
      <c r="CJZ68"/>
      <c r="CKA68"/>
      <c r="CKB68"/>
      <c r="CKC68"/>
      <c r="CKD68"/>
      <c r="CKE68"/>
      <c r="CKF68"/>
      <c r="CKG68"/>
      <c r="CKH68"/>
      <c r="CKI68"/>
      <c r="CKJ68"/>
      <c r="CKK68"/>
      <c r="CKL68"/>
      <c r="CKM68"/>
      <c r="CKN68"/>
      <c r="CKO68"/>
      <c r="CKP68"/>
      <c r="CKQ68"/>
      <c r="CKR68"/>
      <c r="CKS68"/>
      <c r="CKT68"/>
      <c r="CKU68"/>
      <c r="CKV68"/>
      <c r="CKW68"/>
      <c r="CKX68"/>
      <c r="CKY68"/>
      <c r="CKZ68"/>
      <c r="CLA68"/>
      <c r="CLB68"/>
      <c r="CLC68"/>
      <c r="CLD68"/>
      <c r="CLE68"/>
      <c r="CLF68"/>
      <c r="CLG68"/>
      <c r="CLH68"/>
      <c r="CLI68"/>
      <c r="CLJ68"/>
      <c r="CLK68"/>
      <c r="CLL68"/>
      <c r="CLM68"/>
      <c r="CLN68"/>
      <c r="CLO68"/>
      <c r="CLP68"/>
      <c r="CLQ68"/>
      <c r="CLR68"/>
      <c r="CLS68"/>
      <c r="CLT68"/>
      <c r="CLU68"/>
      <c r="CLV68"/>
      <c r="CLW68"/>
      <c r="CLX68"/>
      <c r="CLY68"/>
      <c r="CLZ68"/>
      <c r="CMA68"/>
      <c r="CMB68"/>
      <c r="CMC68"/>
      <c r="CMD68"/>
      <c r="CME68"/>
      <c r="CMF68"/>
      <c r="CMG68"/>
      <c r="CMH68"/>
      <c r="CMI68"/>
      <c r="CMJ68"/>
      <c r="CMK68"/>
      <c r="CML68"/>
      <c r="CMM68"/>
      <c r="CMN68"/>
      <c r="CMO68"/>
      <c r="CMP68"/>
      <c r="CMQ68"/>
      <c r="CMR68"/>
      <c r="CMS68"/>
      <c r="CMT68"/>
      <c r="CMU68"/>
      <c r="CMV68"/>
      <c r="CMW68"/>
      <c r="CMX68"/>
      <c r="CMY68"/>
      <c r="CMZ68"/>
      <c r="CNA68"/>
      <c r="CNB68"/>
      <c r="CNC68"/>
      <c r="CND68"/>
      <c r="CNE68"/>
      <c r="CNF68"/>
      <c r="CNG68"/>
      <c r="CNH68"/>
      <c r="CNI68"/>
      <c r="CNJ68"/>
      <c r="CNK68"/>
      <c r="CNL68"/>
      <c r="CNM68"/>
      <c r="CNN68"/>
      <c r="CNO68"/>
      <c r="CNP68"/>
      <c r="CNQ68"/>
      <c r="CNR68"/>
      <c r="CNS68"/>
      <c r="CNT68"/>
      <c r="CNU68"/>
      <c r="CNV68"/>
      <c r="CNW68"/>
      <c r="CNX68"/>
      <c r="CNY68"/>
      <c r="CNZ68"/>
      <c r="COA68"/>
      <c r="COB68"/>
      <c r="COC68"/>
      <c r="COD68"/>
      <c r="COE68"/>
      <c r="COF68"/>
      <c r="COG68"/>
      <c r="COH68"/>
      <c r="COI68"/>
      <c r="COJ68"/>
      <c r="COK68"/>
      <c r="COL68"/>
      <c r="COM68"/>
      <c r="CON68"/>
      <c r="COO68"/>
      <c r="COP68"/>
      <c r="COQ68"/>
      <c r="COR68"/>
      <c r="COS68"/>
      <c r="COT68"/>
      <c r="COU68"/>
      <c r="COV68"/>
      <c r="COW68"/>
      <c r="COX68"/>
      <c r="COY68"/>
      <c r="COZ68"/>
      <c r="CPA68"/>
      <c r="CPB68"/>
      <c r="CPC68"/>
      <c r="CPD68"/>
      <c r="CPE68"/>
      <c r="CPF68"/>
      <c r="CPG68"/>
      <c r="CPH68"/>
      <c r="CPI68"/>
      <c r="CPJ68"/>
      <c r="CPK68"/>
      <c r="CPL68"/>
      <c r="CPM68"/>
      <c r="CPN68"/>
      <c r="CPO68"/>
      <c r="CPP68"/>
      <c r="CPQ68"/>
      <c r="CPR68"/>
      <c r="CPS68"/>
      <c r="CPT68"/>
      <c r="CPU68"/>
      <c r="CPV68"/>
      <c r="CPW68"/>
      <c r="CPX68"/>
      <c r="CPY68"/>
      <c r="CPZ68"/>
      <c r="CQA68"/>
      <c r="CQB68"/>
      <c r="CQC68"/>
      <c r="CQD68"/>
      <c r="CQE68"/>
      <c r="CQF68"/>
      <c r="CQG68"/>
      <c r="CQH68"/>
      <c r="CQI68"/>
      <c r="CQJ68"/>
      <c r="CQK68"/>
      <c r="CQL68"/>
      <c r="CQM68"/>
      <c r="CQN68"/>
      <c r="CQO68"/>
      <c r="CQP68"/>
      <c r="CQQ68"/>
      <c r="CQR68"/>
      <c r="CQS68"/>
      <c r="CQT68"/>
      <c r="CQU68"/>
      <c r="CQV68"/>
      <c r="CQW68"/>
      <c r="CQX68"/>
      <c r="CQY68"/>
      <c r="CQZ68"/>
      <c r="CRA68"/>
      <c r="CRB68"/>
      <c r="CRC68"/>
      <c r="CRD68"/>
      <c r="CRE68"/>
      <c r="CRF68"/>
      <c r="CRG68"/>
      <c r="CRH68"/>
      <c r="CRI68"/>
      <c r="CRJ68"/>
      <c r="CRK68"/>
      <c r="CRL68"/>
      <c r="CRM68"/>
      <c r="CRN68"/>
      <c r="CRO68"/>
      <c r="CRP68"/>
      <c r="CRQ68"/>
      <c r="CRR68"/>
      <c r="CRS68"/>
      <c r="CRT68"/>
      <c r="CRU68"/>
      <c r="CRV68"/>
      <c r="CRW68"/>
      <c r="CRX68"/>
      <c r="CRY68"/>
      <c r="CRZ68"/>
      <c r="CSA68"/>
      <c r="CSB68"/>
      <c r="CSC68"/>
      <c r="CSD68"/>
      <c r="CSE68"/>
      <c r="CSF68"/>
      <c r="CSG68"/>
      <c r="CSH68"/>
      <c r="CSI68"/>
      <c r="CSJ68"/>
      <c r="CSK68"/>
      <c r="CSL68"/>
      <c r="CSM68"/>
      <c r="CSN68"/>
      <c r="CSO68"/>
      <c r="CSP68"/>
      <c r="CSQ68"/>
      <c r="CSR68"/>
      <c r="CSS68"/>
      <c r="CST68"/>
      <c r="CSU68"/>
      <c r="CSV68"/>
      <c r="CSW68"/>
      <c r="CSX68"/>
      <c r="CSY68"/>
      <c r="CSZ68"/>
      <c r="CTA68"/>
      <c r="CTB68"/>
      <c r="CTC68"/>
      <c r="CTD68"/>
      <c r="CTE68"/>
      <c r="CTF68"/>
      <c r="CTG68"/>
      <c r="CTH68"/>
      <c r="CTI68"/>
      <c r="CTJ68"/>
      <c r="CTK68"/>
      <c r="CTL68"/>
      <c r="CTM68"/>
      <c r="CTN68"/>
      <c r="CTO68"/>
      <c r="CTP68"/>
      <c r="CTQ68"/>
      <c r="CTR68"/>
      <c r="CTS68"/>
      <c r="CTT68"/>
      <c r="CTU68"/>
      <c r="CTV68"/>
      <c r="CTW68"/>
      <c r="CTX68"/>
      <c r="CTY68"/>
      <c r="CTZ68"/>
      <c r="CUA68"/>
      <c r="CUB68"/>
      <c r="CUC68"/>
      <c r="CUD68"/>
      <c r="CUE68"/>
      <c r="CUF68"/>
      <c r="CUG68"/>
      <c r="CUH68"/>
      <c r="CUI68"/>
      <c r="CUJ68"/>
      <c r="CUK68"/>
      <c r="CUL68"/>
      <c r="CUM68"/>
      <c r="CUN68"/>
      <c r="CUO68"/>
      <c r="CUP68"/>
      <c r="CUQ68"/>
      <c r="CUR68"/>
      <c r="CUS68"/>
      <c r="CUT68"/>
      <c r="CUU68"/>
      <c r="CUV68"/>
      <c r="CUW68"/>
      <c r="CUX68"/>
      <c r="CUY68"/>
      <c r="CUZ68"/>
      <c r="CVA68"/>
      <c r="CVB68"/>
      <c r="CVC68"/>
      <c r="CVD68"/>
      <c r="CVE68"/>
      <c r="CVF68"/>
      <c r="CVG68"/>
      <c r="CVH68"/>
      <c r="CVI68"/>
      <c r="CVJ68"/>
      <c r="CVK68"/>
      <c r="CVL68"/>
      <c r="CVM68"/>
      <c r="CVN68"/>
      <c r="CVO68"/>
      <c r="CVP68"/>
      <c r="CVQ68"/>
      <c r="CVR68"/>
      <c r="CVS68"/>
      <c r="CVT68"/>
      <c r="CVU68"/>
      <c r="CVV68"/>
      <c r="CVW68"/>
      <c r="CVX68"/>
      <c r="CVY68"/>
      <c r="CVZ68"/>
      <c r="CWA68"/>
      <c r="CWB68"/>
      <c r="CWC68"/>
      <c r="CWD68"/>
      <c r="CWE68"/>
      <c r="CWF68"/>
      <c r="CWG68"/>
      <c r="CWH68"/>
      <c r="CWI68"/>
      <c r="CWJ68"/>
      <c r="CWK68"/>
      <c r="CWL68"/>
      <c r="CWM68"/>
      <c r="CWN68"/>
      <c r="CWO68"/>
      <c r="CWP68"/>
      <c r="CWQ68"/>
      <c r="CWR68"/>
      <c r="CWS68"/>
      <c r="CWT68"/>
      <c r="CWU68"/>
      <c r="CWV68"/>
      <c r="CWW68"/>
      <c r="CWX68"/>
      <c r="CWY68"/>
      <c r="CWZ68"/>
      <c r="CXA68"/>
      <c r="CXB68"/>
      <c r="CXC68"/>
      <c r="CXD68"/>
      <c r="CXE68"/>
      <c r="CXF68"/>
      <c r="CXG68"/>
      <c r="CXH68"/>
      <c r="CXI68"/>
      <c r="CXJ68"/>
      <c r="CXK68"/>
      <c r="CXL68"/>
      <c r="CXM68"/>
      <c r="CXN68"/>
      <c r="CXO68"/>
      <c r="CXP68"/>
      <c r="CXQ68"/>
      <c r="CXR68"/>
      <c r="CXS68"/>
      <c r="CXT68"/>
      <c r="CXU68"/>
      <c r="CXV68"/>
      <c r="CXW68"/>
      <c r="CXX68"/>
      <c r="CXY68"/>
      <c r="CXZ68"/>
      <c r="CYA68"/>
      <c r="CYB68"/>
      <c r="CYC68"/>
      <c r="CYD68"/>
      <c r="CYE68"/>
      <c r="CYF68"/>
      <c r="CYG68"/>
      <c r="CYH68"/>
      <c r="CYI68"/>
      <c r="CYJ68"/>
      <c r="CYK68"/>
      <c r="CYL68"/>
      <c r="CYM68"/>
      <c r="CYN68"/>
      <c r="CYO68"/>
      <c r="CYP68"/>
      <c r="CYQ68"/>
      <c r="CYR68"/>
      <c r="CYS68"/>
      <c r="CYT68"/>
      <c r="CYU68"/>
      <c r="CYV68"/>
      <c r="CYW68"/>
      <c r="CYX68"/>
      <c r="CYY68"/>
      <c r="CYZ68"/>
      <c r="CZA68"/>
      <c r="CZB68"/>
      <c r="CZC68"/>
      <c r="CZD68"/>
      <c r="CZE68"/>
      <c r="CZF68"/>
      <c r="CZG68"/>
      <c r="CZH68"/>
      <c r="CZI68"/>
      <c r="CZJ68"/>
      <c r="CZK68"/>
      <c r="CZL68"/>
      <c r="CZM68"/>
      <c r="CZN68"/>
      <c r="CZO68"/>
      <c r="CZP68"/>
      <c r="CZQ68"/>
      <c r="CZR68"/>
      <c r="CZS68"/>
      <c r="CZT68"/>
      <c r="CZU68"/>
      <c r="CZV68"/>
      <c r="CZW68"/>
      <c r="CZX68"/>
      <c r="CZY68"/>
      <c r="CZZ68"/>
      <c r="DAA68"/>
      <c r="DAB68"/>
      <c r="DAC68"/>
      <c r="DAD68"/>
      <c r="DAE68"/>
      <c r="DAF68"/>
      <c r="DAG68"/>
      <c r="DAH68"/>
      <c r="DAI68"/>
      <c r="DAJ68"/>
      <c r="DAK68"/>
      <c r="DAL68"/>
      <c r="DAM68"/>
      <c r="DAN68"/>
      <c r="DAO68"/>
      <c r="DAP68"/>
      <c r="DAQ68"/>
      <c r="DAR68"/>
      <c r="DAS68"/>
      <c r="DAT68"/>
      <c r="DAU68"/>
      <c r="DAV68"/>
      <c r="DAW68"/>
      <c r="DAX68"/>
      <c r="DAY68"/>
      <c r="DAZ68"/>
      <c r="DBA68"/>
      <c r="DBB68"/>
      <c r="DBC68"/>
      <c r="DBD68"/>
      <c r="DBE68"/>
      <c r="DBF68"/>
      <c r="DBG68"/>
      <c r="DBH68"/>
      <c r="DBI68"/>
      <c r="DBJ68"/>
      <c r="DBK68"/>
      <c r="DBL68"/>
      <c r="DBM68"/>
      <c r="DBN68"/>
      <c r="DBO68"/>
      <c r="DBP68"/>
      <c r="DBQ68"/>
      <c r="DBR68"/>
      <c r="DBS68"/>
      <c r="DBT68"/>
      <c r="DBU68"/>
      <c r="DBV68"/>
      <c r="DBW68"/>
      <c r="DBX68"/>
      <c r="DBY68"/>
      <c r="DBZ68"/>
      <c r="DCA68"/>
      <c r="DCB68"/>
      <c r="DCC68"/>
      <c r="DCD68"/>
      <c r="DCE68"/>
      <c r="DCF68"/>
      <c r="DCG68"/>
      <c r="DCH68"/>
      <c r="DCI68"/>
      <c r="DCJ68"/>
      <c r="DCK68"/>
      <c r="DCL68"/>
      <c r="DCM68"/>
      <c r="DCN68"/>
      <c r="DCO68"/>
      <c r="DCP68"/>
      <c r="DCQ68"/>
      <c r="DCR68"/>
      <c r="DCS68"/>
      <c r="DCT68"/>
      <c r="DCU68"/>
      <c r="DCV68"/>
      <c r="DCW68"/>
      <c r="DCX68"/>
      <c r="DCY68"/>
      <c r="DCZ68"/>
      <c r="DDA68"/>
      <c r="DDB68"/>
      <c r="DDC68"/>
      <c r="DDD68"/>
      <c r="DDE68"/>
      <c r="DDF68"/>
      <c r="DDG68"/>
      <c r="DDH68"/>
      <c r="DDI68"/>
      <c r="DDJ68"/>
      <c r="DDK68"/>
      <c r="DDL68"/>
      <c r="DDM68"/>
      <c r="DDN68"/>
      <c r="DDO68"/>
      <c r="DDP68"/>
      <c r="DDQ68"/>
      <c r="DDR68"/>
      <c r="DDS68"/>
      <c r="DDT68"/>
      <c r="DDU68"/>
      <c r="DDV68"/>
      <c r="DDW68"/>
      <c r="DDX68"/>
      <c r="DDY68"/>
      <c r="DDZ68"/>
      <c r="DEA68"/>
      <c r="DEB68"/>
      <c r="DEC68"/>
      <c r="DED68"/>
      <c r="DEE68"/>
      <c r="DEF68"/>
      <c r="DEG68"/>
      <c r="DEH68"/>
      <c r="DEI68"/>
      <c r="DEJ68"/>
      <c r="DEK68"/>
      <c r="DEL68"/>
      <c r="DEM68"/>
      <c r="DEN68"/>
      <c r="DEO68"/>
      <c r="DEP68"/>
      <c r="DEQ68"/>
      <c r="DER68"/>
      <c r="DES68"/>
      <c r="DET68"/>
      <c r="DEU68"/>
      <c r="DEV68"/>
      <c r="DEW68"/>
      <c r="DEX68"/>
      <c r="DEY68"/>
      <c r="DEZ68"/>
      <c r="DFA68"/>
      <c r="DFB68"/>
      <c r="DFC68"/>
      <c r="DFD68"/>
      <c r="DFE68"/>
      <c r="DFF68"/>
      <c r="DFG68"/>
      <c r="DFH68"/>
      <c r="DFI68"/>
      <c r="DFJ68"/>
      <c r="DFK68"/>
      <c r="DFL68"/>
      <c r="DFM68"/>
      <c r="DFN68"/>
      <c r="DFO68"/>
      <c r="DFP68"/>
      <c r="DFQ68"/>
      <c r="DFR68"/>
      <c r="DFS68"/>
      <c r="DFT68"/>
      <c r="DFU68"/>
      <c r="DFV68"/>
      <c r="DFW68"/>
      <c r="DFX68"/>
      <c r="DFY68"/>
      <c r="DFZ68"/>
      <c r="DGA68"/>
      <c r="DGB68"/>
      <c r="DGC68"/>
      <c r="DGD68"/>
      <c r="DGE68"/>
      <c r="DGF68"/>
      <c r="DGG68"/>
      <c r="DGH68"/>
      <c r="DGI68"/>
      <c r="DGJ68"/>
      <c r="DGK68"/>
      <c r="DGL68"/>
      <c r="DGM68"/>
      <c r="DGN68"/>
      <c r="DGO68"/>
      <c r="DGP68"/>
      <c r="DGQ68"/>
      <c r="DGR68"/>
      <c r="DGS68"/>
      <c r="DGT68"/>
      <c r="DGU68"/>
      <c r="DGV68"/>
      <c r="DGW68"/>
      <c r="DGX68"/>
      <c r="DGY68"/>
      <c r="DGZ68"/>
      <c r="DHA68"/>
      <c r="DHB68"/>
      <c r="DHC68"/>
      <c r="DHD68"/>
      <c r="DHE68"/>
      <c r="DHF68"/>
      <c r="DHG68"/>
      <c r="DHH68"/>
      <c r="DHI68"/>
      <c r="DHJ68"/>
      <c r="DHK68"/>
      <c r="DHL68"/>
      <c r="DHM68"/>
      <c r="DHN68"/>
      <c r="DHO68"/>
      <c r="DHP68"/>
      <c r="DHQ68"/>
      <c r="DHR68"/>
      <c r="DHS68"/>
      <c r="DHT68"/>
      <c r="DHU68"/>
      <c r="DHV68"/>
      <c r="DHW68"/>
      <c r="DHX68"/>
      <c r="DHY68"/>
      <c r="DHZ68"/>
      <c r="DIA68"/>
      <c r="DIB68"/>
      <c r="DIC68"/>
      <c r="DID68"/>
      <c r="DIE68"/>
      <c r="DIF68"/>
      <c r="DIG68"/>
      <c r="DIH68"/>
      <c r="DII68"/>
      <c r="DIJ68"/>
      <c r="DIK68"/>
      <c r="DIL68"/>
      <c r="DIM68"/>
      <c r="DIN68"/>
      <c r="DIO68"/>
      <c r="DIP68"/>
      <c r="DIQ68"/>
      <c r="DIR68"/>
      <c r="DIS68"/>
      <c r="DIT68"/>
      <c r="DIU68"/>
      <c r="DIV68"/>
      <c r="DIW68"/>
      <c r="DIX68"/>
      <c r="DIY68"/>
      <c r="DIZ68"/>
      <c r="DJA68"/>
      <c r="DJB68"/>
      <c r="DJC68"/>
      <c r="DJD68"/>
      <c r="DJE68"/>
      <c r="DJF68"/>
      <c r="DJG68"/>
      <c r="DJH68"/>
      <c r="DJI68"/>
      <c r="DJJ68"/>
      <c r="DJK68"/>
      <c r="DJL68"/>
      <c r="DJM68"/>
      <c r="DJN68"/>
      <c r="DJO68"/>
      <c r="DJP68"/>
      <c r="DJQ68"/>
      <c r="DJR68"/>
      <c r="DJS68"/>
      <c r="DJT68"/>
      <c r="DJU68"/>
      <c r="DJV68"/>
      <c r="DJW68"/>
      <c r="DJX68"/>
      <c r="DJY68"/>
      <c r="DJZ68"/>
      <c r="DKA68"/>
      <c r="DKB68"/>
      <c r="DKC68"/>
      <c r="DKD68"/>
      <c r="DKE68"/>
      <c r="DKF68"/>
      <c r="DKG68"/>
      <c r="DKH68"/>
      <c r="DKI68"/>
      <c r="DKJ68"/>
      <c r="DKK68"/>
      <c r="DKL68"/>
      <c r="DKM68"/>
      <c r="DKN68"/>
      <c r="DKO68"/>
      <c r="DKP68"/>
      <c r="DKQ68"/>
      <c r="DKR68"/>
      <c r="DKS68"/>
      <c r="DKT68"/>
      <c r="DKU68"/>
      <c r="DKV68"/>
      <c r="DKW68"/>
      <c r="DKX68"/>
      <c r="DKY68"/>
      <c r="DKZ68"/>
      <c r="DLA68"/>
      <c r="DLB68"/>
      <c r="DLC68"/>
      <c r="DLD68"/>
      <c r="DLE68"/>
      <c r="DLF68"/>
      <c r="DLG68"/>
      <c r="DLH68"/>
      <c r="DLI68"/>
      <c r="DLJ68"/>
      <c r="DLK68"/>
      <c r="DLL68"/>
      <c r="DLM68"/>
      <c r="DLN68"/>
      <c r="DLO68"/>
      <c r="DLP68"/>
      <c r="DLQ68"/>
      <c r="DLR68"/>
      <c r="DLS68"/>
      <c r="DLT68"/>
      <c r="DLU68"/>
      <c r="DLV68"/>
      <c r="DLW68"/>
      <c r="DLX68"/>
      <c r="DLY68"/>
      <c r="DLZ68"/>
      <c r="DMA68"/>
      <c r="DMB68"/>
      <c r="DMC68"/>
      <c r="DMD68"/>
      <c r="DME68"/>
      <c r="DMF68"/>
      <c r="DMG68"/>
      <c r="DMH68"/>
      <c r="DMI68"/>
      <c r="DMJ68"/>
      <c r="DMK68"/>
      <c r="DML68"/>
      <c r="DMM68"/>
      <c r="DMN68"/>
      <c r="DMO68"/>
      <c r="DMP68"/>
      <c r="DMQ68"/>
      <c r="DMR68"/>
      <c r="DMS68"/>
      <c r="DMT68"/>
      <c r="DMU68"/>
      <c r="DMV68"/>
      <c r="DMW68"/>
      <c r="DMX68"/>
      <c r="DMY68"/>
      <c r="DMZ68"/>
      <c r="DNA68"/>
      <c r="DNB68"/>
      <c r="DNC68"/>
      <c r="DND68"/>
      <c r="DNE68"/>
      <c r="DNF68"/>
      <c r="DNG68"/>
      <c r="DNH68"/>
      <c r="DNI68"/>
      <c r="DNJ68"/>
      <c r="DNK68"/>
      <c r="DNL68"/>
      <c r="DNM68"/>
      <c r="DNN68"/>
      <c r="DNO68"/>
      <c r="DNP68"/>
      <c r="DNQ68"/>
      <c r="DNR68"/>
      <c r="DNS68"/>
      <c r="DNT68"/>
      <c r="DNU68"/>
      <c r="DNV68"/>
      <c r="DNW68"/>
      <c r="DNX68"/>
      <c r="DNY68"/>
      <c r="DNZ68"/>
      <c r="DOA68"/>
      <c r="DOB68"/>
      <c r="DOC68"/>
      <c r="DOD68"/>
      <c r="DOE68"/>
      <c r="DOF68"/>
      <c r="DOG68"/>
      <c r="DOH68"/>
      <c r="DOI68"/>
      <c r="DOJ68"/>
      <c r="DOK68"/>
      <c r="DOL68"/>
      <c r="DOM68"/>
      <c r="DON68"/>
      <c r="DOO68"/>
      <c r="DOP68"/>
      <c r="DOQ68"/>
      <c r="DOR68"/>
      <c r="DOS68"/>
      <c r="DOT68"/>
      <c r="DOU68"/>
      <c r="DOV68"/>
      <c r="DOW68"/>
      <c r="DOX68"/>
      <c r="DOY68"/>
      <c r="DOZ68"/>
      <c r="DPA68"/>
      <c r="DPB68"/>
      <c r="DPC68"/>
      <c r="DPD68"/>
      <c r="DPE68"/>
      <c r="DPF68"/>
      <c r="DPG68"/>
      <c r="DPH68"/>
      <c r="DPI68"/>
      <c r="DPJ68"/>
      <c r="DPK68"/>
      <c r="DPL68"/>
      <c r="DPM68"/>
      <c r="DPN68"/>
      <c r="DPO68"/>
      <c r="DPP68"/>
      <c r="DPQ68"/>
      <c r="DPR68"/>
      <c r="DPS68"/>
      <c r="DPT68"/>
      <c r="DPU68"/>
      <c r="DPV68"/>
      <c r="DPW68"/>
      <c r="DPX68"/>
      <c r="DPY68"/>
      <c r="DPZ68"/>
      <c r="DQA68"/>
      <c r="DQB68"/>
      <c r="DQC68"/>
      <c r="DQD68"/>
      <c r="DQE68"/>
      <c r="DQF68"/>
      <c r="DQG68"/>
      <c r="DQH68"/>
      <c r="DQI68"/>
      <c r="DQJ68"/>
      <c r="DQK68"/>
      <c r="DQL68"/>
      <c r="DQM68"/>
      <c r="DQN68"/>
      <c r="DQO68"/>
      <c r="DQP68"/>
      <c r="DQQ68"/>
      <c r="DQR68"/>
      <c r="DQS68"/>
      <c r="DQT68"/>
      <c r="DQU68"/>
      <c r="DQV68"/>
      <c r="DQW68"/>
      <c r="DQX68"/>
      <c r="DQY68"/>
      <c r="DQZ68"/>
      <c r="DRA68"/>
      <c r="DRB68"/>
      <c r="DRC68"/>
      <c r="DRD68"/>
      <c r="DRE68"/>
      <c r="DRF68"/>
      <c r="DRG68"/>
      <c r="DRH68"/>
      <c r="DRI68"/>
      <c r="DRJ68"/>
      <c r="DRK68"/>
      <c r="DRL68"/>
      <c r="DRM68"/>
      <c r="DRN68"/>
      <c r="DRO68"/>
      <c r="DRP68"/>
      <c r="DRQ68"/>
      <c r="DRR68"/>
      <c r="DRS68"/>
      <c r="DRT68"/>
      <c r="DRU68"/>
      <c r="DRV68"/>
      <c r="DRW68"/>
      <c r="DRX68"/>
      <c r="DRY68"/>
      <c r="DRZ68"/>
      <c r="DSA68"/>
      <c r="DSB68"/>
      <c r="DSC68"/>
      <c r="DSD68"/>
      <c r="DSE68"/>
      <c r="DSF68"/>
      <c r="DSG68"/>
      <c r="DSH68"/>
      <c r="DSI68"/>
      <c r="DSJ68"/>
      <c r="DSK68"/>
      <c r="DSL68"/>
      <c r="DSM68"/>
      <c r="DSN68"/>
      <c r="DSO68"/>
      <c r="DSP68"/>
      <c r="DSQ68"/>
      <c r="DSR68"/>
      <c r="DSS68"/>
      <c r="DST68"/>
      <c r="DSU68"/>
      <c r="DSV68"/>
      <c r="DSW68"/>
      <c r="DSX68"/>
      <c r="DSY68"/>
      <c r="DSZ68"/>
      <c r="DTA68"/>
      <c r="DTB68"/>
      <c r="DTC68"/>
      <c r="DTD68"/>
      <c r="DTE68"/>
      <c r="DTF68"/>
      <c r="DTG68"/>
      <c r="DTH68"/>
      <c r="DTI68"/>
      <c r="DTJ68"/>
      <c r="DTK68"/>
      <c r="DTL68"/>
      <c r="DTM68"/>
      <c r="DTN68"/>
      <c r="DTO68"/>
      <c r="DTP68"/>
      <c r="DTQ68"/>
      <c r="DTR68"/>
      <c r="DTS68"/>
      <c r="DTT68"/>
      <c r="DTU68"/>
      <c r="DTV68"/>
      <c r="DTW68"/>
      <c r="DTX68"/>
      <c r="DTY68"/>
      <c r="DTZ68"/>
      <c r="DUA68"/>
      <c r="DUB68"/>
      <c r="DUC68"/>
      <c r="DUD68"/>
      <c r="DUE68"/>
      <c r="DUF68"/>
      <c r="DUG68"/>
      <c r="DUH68"/>
      <c r="DUI68"/>
      <c r="DUJ68"/>
      <c r="DUK68"/>
      <c r="DUL68"/>
      <c r="DUM68"/>
      <c r="DUN68"/>
      <c r="DUO68"/>
      <c r="DUP68"/>
      <c r="DUQ68"/>
      <c r="DUR68"/>
      <c r="DUS68"/>
      <c r="DUT68"/>
      <c r="DUU68"/>
      <c r="DUV68"/>
      <c r="DUW68"/>
      <c r="DUX68"/>
      <c r="DUY68"/>
      <c r="DUZ68"/>
      <c r="DVA68"/>
      <c r="DVB68"/>
      <c r="DVC68"/>
      <c r="DVD68"/>
      <c r="DVE68"/>
      <c r="DVF68"/>
      <c r="DVG68"/>
      <c r="DVH68"/>
      <c r="DVI68"/>
      <c r="DVJ68"/>
      <c r="DVK68"/>
      <c r="DVL68"/>
      <c r="DVM68"/>
      <c r="DVN68"/>
      <c r="DVO68"/>
      <c r="DVP68"/>
      <c r="DVQ68"/>
      <c r="DVR68"/>
      <c r="DVS68"/>
      <c r="DVT68"/>
      <c r="DVU68"/>
      <c r="DVV68"/>
      <c r="DVW68"/>
      <c r="DVX68"/>
      <c r="DVY68"/>
      <c r="DVZ68"/>
      <c r="DWA68"/>
      <c r="DWB68"/>
      <c r="DWC68"/>
      <c r="DWD68"/>
      <c r="DWE68"/>
      <c r="DWF68"/>
      <c r="DWG68"/>
      <c r="DWH68"/>
      <c r="DWI68"/>
      <c r="DWJ68"/>
      <c r="DWK68"/>
      <c r="DWL68"/>
      <c r="DWM68"/>
      <c r="DWN68"/>
      <c r="DWO68"/>
      <c r="DWP68"/>
      <c r="DWQ68"/>
      <c r="DWR68"/>
      <c r="DWS68"/>
      <c r="DWT68"/>
      <c r="DWU68"/>
      <c r="DWV68"/>
      <c r="DWW68"/>
      <c r="DWX68"/>
      <c r="DWY68"/>
      <c r="DWZ68"/>
      <c r="DXA68"/>
      <c r="DXB68"/>
      <c r="DXC68"/>
      <c r="DXD68"/>
      <c r="DXE68"/>
      <c r="DXF68"/>
      <c r="DXG68"/>
      <c r="DXH68"/>
      <c r="DXI68"/>
      <c r="DXJ68"/>
      <c r="DXK68"/>
      <c r="DXL68"/>
      <c r="DXM68"/>
      <c r="DXN68"/>
      <c r="DXO68"/>
      <c r="DXP68"/>
      <c r="DXQ68"/>
      <c r="DXR68"/>
      <c r="DXS68"/>
      <c r="DXT68"/>
      <c r="DXU68"/>
      <c r="DXV68"/>
      <c r="DXW68"/>
      <c r="DXX68"/>
      <c r="DXY68"/>
      <c r="DXZ68"/>
      <c r="DYA68"/>
      <c r="DYB68"/>
      <c r="DYC68"/>
      <c r="DYD68"/>
      <c r="DYE68"/>
      <c r="DYF68"/>
      <c r="DYG68"/>
      <c r="DYH68"/>
      <c r="DYI68"/>
      <c r="DYJ68"/>
      <c r="DYK68"/>
      <c r="DYL68"/>
      <c r="DYM68"/>
      <c r="DYN68"/>
      <c r="DYO68"/>
      <c r="DYP68"/>
      <c r="DYQ68"/>
      <c r="DYR68"/>
      <c r="DYS68"/>
      <c r="DYT68"/>
      <c r="DYU68"/>
      <c r="DYV68"/>
      <c r="DYW68"/>
      <c r="DYX68"/>
      <c r="DYY68"/>
      <c r="DYZ68"/>
      <c r="DZA68"/>
      <c r="DZB68"/>
      <c r="DZC68"/>
      <c r="DZD68"/>
      <c r="DZE68"/>
      <c r="DZF68"/>
      <c r="DZG68"/>
      <c r="DZH68"/>
      <c r="DZI68"/>
      <c r="DZJ68"/>
      <c r="DZK68"/>
      <c r="DZL68"/>
      <c r="DZM68"/>
      <c r="DZN68"/>
      <c r="DZO68"/>
      <c r="DZP68"/>
      <c r="DZQ68"/>
      <c r="DZR68"/>
      <c r="DZS68"/>
      <c r="DZT68"/>
      <c r="DZU68"/>
      <c r="DZV68"/>
      <c r="DZW68"/>
      <c r="DZX68"/>
      <c r="DZY68"/>
      <c r="DZZ68"/>
      <c r="EAA68"/>
      <c r="EAB68"/>
      <c r="EAC68"/>
      <c r="EAD68"/>
      <c r="EAE68"/>
      <c r="EAF68"/>
      <c r="EAG68"/>
      <c r="EAH68"/>
      <c r="EAI68"/>
      <c r="EAJ68"/>
      <c r="EAK68"/>
      <c r="EAL68"/>
      <c r="EAM68"/>
      <c r="EAN68"/>
      <c r="EAO68"/>
      <c r="EAP68"/>
      <c r="EAQ68"/>
      <c r="EAR68"/>
      <c r="EAS68"/>
      <c r="EAT68"/>
      <c r="EAU68"/>
      <c r="EAV68"/>
      <c r="EAW68"/>
      <c r="EAX68"/>
      <c r="EAY68"/>
      <c r="EAZ68"/>
      <c r="EBA68"/>
      <c r="EBB68"/>
      <c r="EBC68"/>
      <c r="EBD68"/>
      <c r="EBE68"/>
      <c r="EBF68"/>
      <c r="EBG68"/>
      <c r="EBH68"/>
      <c r="EBI68"/>
      <c r="EBJ68"/>
      <c r="EBK68"/>
      <c r="EBL68"/>
      <c r="EBM68"/>
      <c r="EBN68"/>
      <c r="EBO68"/>
      <c r="EBP68"/>
      <c r="EBQ68"/>
      <c r="EBR68"/>
      <c r="EBS68"/>
      <c r="EBT68"/>
      <c r="EBU68"/>
      <c r="EBV68"/>
      <c r="EBW68"/>
      <c r="EBX68"/>
      <c r="EBY68"/>
      <c r="EBZ68"/>
      <c r="ECA68"/>
      <c r="ECB68"/>
      <c r="ECC68"/>
      <c r="ECD68"/>
      <c r="ECE68"/>
      <c r="ECF68"/>
      <c r="ECG68"/>
      <c r="ECH68"/>
      <c r="ECI68"/>
      <c r="ECJ68"/>
      <c r="ECK68"/>
      <c r="ECL68"/>
      <c r="ECM68"/>
      <c r="ECN68"/>
      <c r="ECO68"/>
      <c r="ECP68"/>
      <c r="ECQ68"/>
      <c r="ECR68"/>
      <c r="ECS68"/>
      <c r="ECT68"/>
      <c r="ECU68"/>
      <c r="ECV68"/>
      <c r="ECW68"/>
      <c r="ECX68"/>
      <c r="ECY68"/>
      <c r="ECZ68"/>
      <c r="EDA68"/>
      <c r="EDB68"/>
      <c r="EDC68"/>
      <c r="EDD68"/>
      <c r="EDE68"/>
      <c r="EDF68"/>
      <c r="EDG68"/>
      <c r="EDH68"/>
      <c r="EDI68"/>
      <c r="EDJ68"/>
      <c r="EDK68"/>
      <c r="EDL68"/>
      <c r="EDM68"/>
      <c r="EDN68"/>
      <c r="EDO68"/>
      <c r="EDP68"/>
      <c r="EDQ68"/>
      <c r="EDR68"/>
      <c r="EDS68"/>
      <c r="EDT68"/>
      <c r="EDU68"/>
      <c r="EDV68"/>
      <c r="EDW68"/>
      <c r="EDX68"/>
      <c r="EDY68"/>
      <c r="EDZ68"/>
      <c r="EEA68"/>
      <c r="EEB68"/>
      <c r="EEC68"/>
      <c r="EED68"/>
      <c r="EEE68"/>
      <c r="EEF68"/>
      <c r="EEG68"/>
      <c r="EEH68"/>
      <c r="EEI68"/>
      <c r="EEJ68"/>
      <c r="EEK68"/>
      <c r="EEL68"/>
      <c r="EEM68"/>
      <c r="EEN68"/>
      <c r="EEO68"/>
      <c r="EEP68"/>
      <c r="EEQ68"/>
      <c r="EER68"/>
      <c r="EES68"/>
      <c r="EET68"/>
      <c r="EEU68"/>
      <c r="EEV68"/>
      <c r="EEW68"/>
      <c r="EEX68"/>
      <c r="EEY68"/>
      <c r="EEZ68"/>
      <c r="EFA68"/>
      <c r="EFB68"/>
      <c r="EFC68"/>
      <c r="EFD68"/>
      <c r="EFE68"/>
      <c r="EFF68"/>
      <c r="EFG68"/>
      <c r="EFH68"/>
      <c r="EFI68"/>
      <c r="EFJ68"/>
      <c r="EFK68"/>
      <c r="EFL68"/>
      <c r="EFM68"/>
      <c r="EFN68"/>
      <c r="EFO68"/>
      <c r="EFP68"/>
      <c r="EFQ68"/>
      <c r="EFR68"/>
      <c r="EFS68"/>
      <c r="EFT68"/>
      <c r="EFU68"/>
      <c r="EFV68"/>
      <c r="EFW68"/>
      <c r="EFX68"/>
      <c r="EFY68"/>
      <c r="EFZ68"/>
      <c r="EGA68"/>
      <c r="EGB68"/>
      <c r="EGC68"/>
      <c r="EGD68"/>
      <c r="EGE68"/>
      <c r="EGF68"/>
      <c r="EGG68"/>
      <c r="EGH68"/>
      <c r="EGI68"/>
      <c r="EGJ68"/>
      <c r="EGK68"/>
      <c r="EGL68"/>
      <c r="EGM68"/>
      <c r="EGN68"/>
      <c r="EGO68"/>
      <c r="EGP68"/>
      <c r="EGQ68"/>
      <c r="EGR68"/>
      <c r="EGS68"/>
      <c r="EGT68"/>
      <c r="EGU68"/>
      <c r="EGV68"/>
      <c r="EGW68"/>
      <c r="EGX68"/>
      <c r="EGY68"/>
      <c r="EGZ68"/>
      <c r="EHA68"/>
      <c r="EHB68"/>
      <c r="EHC68"/>
      <c r="EHD68"/>
      <c r="EHE68"/>
      <c r="EHF68"/>
      <c r="EHG68"/>
      <c r="EHH68"/>
      <c r="EHI68"/>
      <c r="EHJ68"/>
      <c r="EHK68"/>
      <c r="EHL68"/>
      <c r="EHM68"/>
      <c r="EHN68"/>
      <c r="EHO68"/>
      <c r="EHP68"/>
      <c r="EHQ68"/>
      <c r="EHR68"/>
      <c r="EHS68"/>
      <c r="EHT68"/>
      <c r="EHU68"/>
      <c r="EHV68"/>
      <c r="EHW68"/>
      <c r="EHX68"/>
      <c r="EHY68"/>
      <c r="EHZ68"/>
      <c r="EIA68"/>
      <c r="EIB68"/>
      <c r="EIC68"/>
      <c r="EID68"/>
      <c r="EIE68"/>
      <c r="EIF68"/>
      <c r="EIG68"/>
      <c r="EIH68"/>
      <c r="EII68"/>
      <c r="EIJ68"/>
      <c r="EIK68"/>
      <c r="EIL68"/>
      <c r="EIM68"/>
      <c r="EIN68"/>
      <c r="EIO68"/>
      <c r="EIP68"/>
      <c r="EIQ68"/>
      <c r="EIR68"/>
      <c r="EIS68"/>
      <c r="EIT68"/>
      <c r="EIU68"/>
      <c r="EIV68"/>
      <c r="EIW68"/>
      <c r="EIX68"/>
      <c r="EIY68"/>
      <c r="EIZ68"/>
      <c r="EJA68"/>
      <c r="EJB68"/>
      <c r="EJC68"/>
      <c r="EJD68"/>
      <c r="EJE68"/>
      <c r="EJF68"/>
      <c r="EJG68"/>
      <c r="EJH68"/>
      <c r="EJI68"/>
      <c r="EJJ68"/>
      <c r="EJK68"/>
      <c r="EJL68"/>
      <c r="EJM68"/>
      <c r="EJN68"/>
      <c r="EJO68"/>
      <c r="EJP68"/>
      <c r="EJQ68"/>
      <c r="EJR68"/>
      <c r="EJS68"/>
      <c r="EJT68"/>
      <c r="EJU68"/>
      <c r="EJV68"/>
      <c r="EJW68"/>
      <c r="EJX68"/>
      <c r="EJY68"/>
      <c r="EJZ68"/>
      <c r="EKA68"/>
      <c r="EKB68"/>
      <c r="EKC68"/>
      <c r="EKD68"/>
      <c r="EKE68"/>
      <c r="EKF68"/>
      <c r="EKG68"/>
      <c r="EKH68"/>
      <c r="EKI68"/>
      <c r="EKJ68"/>
      <c r="EKK68"/>
      <c r="EKL68"/>
      <c r="EKM68"/>
      <c r="EKN68"/>
      <c r="EKO68"/>
      <c r="EKP68"/>
      <c r="EKQ68"/>
      <c r="EKR68"/>
      <c r="EKS68"/>
      <c r="EKT68"/>
      <c r="EKU68"/>
      <c r="EKV68"/>
      <c r="EKW68"/>
      <c r="EKX68"/>
      <c r="EKY68"/>
      <c r="EKZ68"/>
      <c r="ELA68"/>
      <c r="ELB68"/>
      <c r="ELC68"/>
      <c r="ELD68"/>
      <c r="ELE68"/>
      <c r="ELF68"/>
      <c r="ELG68"/>
      <c r="ELH68"/>
      <c r="ELI68"/>
      <c r="ELJ68"/>
      <c r="ELK68"/>
      <c r="ELL68"/>
      <c r="ELM68"/>
      <c r="ELN68"/>
      <c r="ELO68"/>
      <c r="ELP68"/>
      <c r="ELQ68"/>
      <c r="ELR68"/>
      <c r="ELS68"/>
      <c r="ELT68"/>
      <c r="ELU68"/>
      <c r="ELV68"/>
      <c r="ELW68"/>
      <c r="ELX68"/>
      <c r="ELY68"/>
      <c r="ELZ68"/>
      <c r="EMA68"/>
      <c r="EMB68"/>
      <c r="EMC68"/>
      <c r="EMD68"/>
      <c r="EME68"/>
      <c r="EMF68"/>
      <c r="EMG68"/>
      <c r="EMH68"/>
      <c r="EMI68"/>
      <c r="EMJ68"/>
      <c r="EMK68"/>
      <c r="EML68"/>
      <c r="EMM68"/>
      <c r="EMN68"/>
      <c r="EMO68"/>
      <c r="EMP68"/>
      <c r="EMQ68"/>
      <c r="EMR68"/>
      <c r="EMS68"/>
      <c r="EMT68"/>
      <c r="EMU68"/>
      <c r="EMV68"/>
      <c r="EMW68"/>
      <c r="EMX68"/>
      <c r="EMY68"/>
      <c r="EMZ68"/>
      <c r="ENA68"/>
      <c r="ENB68"/>
      <c r="ENC68"/>
      <c r="END68"/>
      <c r="ENE68"/>
      <c r="ENF68"/>
      <c r="ENG68"/>
      <c r="ENH68"/>
      <c r="ENI68"/>
      <c r="ENJ68"/>
      <c r="ENK68"/>
      <c r="ENL68"/>
      <c r="ENM68"/>
      <c r="ENN68"/>
      <c r="ENO68"/>
      <c r="ENP68"/>
      <c r="ENQ68"/>
      <c r="ENR68"/>
      <c r="ENS68"/>
      <c r="ENT68"/>
      <c r="ENU68"/>
      <c r="ENV68"/>
      <c r="ENW68"/>
      <c r="ENX68"/>
      <c r="ENY68"/>
      <c r="ENZ68"/>
      <c r="EOA68"/>
      <c r="EOB68"/>
      <c r="EOC68"/>
      <c r="EOD68"/>
      <c r="EOE68"/>
      <c r="EOF68"/>
      <c r="EOG68"/>
      <c r="EOH68"/>
      <c r="EOI68"/>
      <c r="EOJ68"/>
      <c r="EOK68"/>
      <c r="EOL68"/>
      <c r="EOM68"/>
      <c r="EON68"/>
      <c r="EOO68"/>
      <c r="EOP68"/>
      <c r="EOQ68"/>
      <c r="EOR68"/>
      <c r="EOS68"/>
      <c r="EOT68"/>
      <c r="EOU68"/>
      <c r="EOV68"/>
      <c r="EOW68"/>
      <c r="EOX68"/>
      <c r="EOY68"/>
      <c r="EOZ68"/>
      <c r="EPA68"/>
      <c r="EPB68"/>
      <c r="EPC68"/>
      <c r="EPD68"/>
      <c r="EPE68"/>
      <c r="EPF68"/>
      <c r="EPG68"/>
      <c r="EPH68"/>
      <c r="EPI68"/>
      <c r="EPJ68"/>
      <c r="EPK68"/>
      <c r="EPL68"/>
      <c r="EPM68"/>
      <c r="EPN68"/>
      <c r="EPO68"/>
      <c r="EPP68"/>
      <c r="EPQ68"/>
      <c r="EPR68"/>
      <c r="EPS68"/>
      <c r="EPT68"/>
      <c r="EPU68"/>
      <c r="EPV68"/>
      <c r="EPW68"/>
      <c r="EPX68"/>
      <c r="EPY68"/>
      <c r="EPZ68"/>
      <c r="EQA68"/>
      <c r="EQB68"/>
      <c r="EQC68"/>
      <c r="EQD68"/>
      <c r="EQE68"/>
      <c r="EQF68"/>
      <c r="EQG68"/>
      <c r="EQH68"/>
      <c r="EQI68"/>
      <c r="EQJ68"/>
      <c r="EQK68"/>
      <c r="EQL68"/>
      <c r="EQM68"/>
      <c r="EQN68"/>
      <c r="EQO68"/>
      <c r="EQP68"/>
      <c r="EQQ68"/>
      <c r="EQR68"/>
      <c r="EQS68"/>
      <c r="EQT68"/>
      <c r="EQU68"/>
      <c r="EQV68"/>
      <c r="EQW68"/>
      <c r="EQX68"/>
      <c r="EQY68"/>
      <c r="EQZ68"/>
      <c r="ERA68"/>
      <c r="ERB68"/>
      <c r="ERC68"/>
      <c r="ERD68"/>
      <c r="ERE68"/>
      <c r="ERF68"/>
      <c r="ERG68"/>
      <c r="ERH68"/>
      <c r="ERI68"/>
      <c r="ERJ68"/>
      <c r="ERK68"/>
      <c r="ERL68"/>
      <c r="ERM68"/>
      <c r="ERN68"/>
      <c r="ERO68"/>
      <c r="ERP68"/>
      <c r="ERQ68"/>
      <c r="ERR68"/>
      <c r="ERS68"/>
      <c r="ERT68"/>
      <c r="ERU68"/>
      <c r="ERV68"/>
      <c r="ERW68"/>
      <c r="ERX68"/>
      <c r="ERY68"/>
      <c r="ERZ68"/>
      <c r="ESA68"/>
      <c r="ESB68"/>
      <c r="ESC68"/>
      <c r="ESD68"/>
      <c r="ESE68"/>
      <c r="ESF68"/>
      <c r="ESG68"/>
      <c r="ESH68"/>
      <c r="ESI68"/>
      <c r="ESJ68"/>
      <c r="ESK68"/>
      <c r="ESL68"/>
      <c r="ESM68"/>
      <c r="ESN68"/>
      <c r="ESO68"/>
      <c r="ESP68"/>
      <c r="ESQ68"/>
      <c r="ESR68"/>
      <c r="ESS68"/>
      <c r="EST68"/>
      <c r="ESU68"/>
      <c r="ESV68"/>
      <c r="ESW68"/>
      <c r="ESX68"/>
      <c r="ESY68"/>
      <c r="ESZ68"/>
      <c r="ETA68"/>
      <c r="ETB68"/>
      <c r="ETC68"/>
      <c r="ETD68"/>
      <c r="ETE68"/>
      <c r="ETF68"/>
      <c r="ETG68"/>
      <c r="ETH68"/>
      <c r="ETI68"/>
      <c r="ETJ68"/>
      <c r="ETK68"/>
      <c r="ETL68"/>
      <c r="ETM68"/>
      <c r="ETN68"/>
      <c r="ETO68"/>
      <c r="ETP68"/>
      <c r="ETQ68"/>
      <c r="ETR68"/>
      <c r="ETS68"/>
      <c r="ETT68"/>
      <c r="ETU68"/>
      <c r="ETV68"/>
      <c r="ETW68"/>
      <c r="ETX68"/>
      <c r="ETY68"/>
      <c r="ETZ68"/>
      <c r="EUA68"/>
      <c r="EUB68"/>
      <c r="EUC68"/>
      <c r="EUD68"/>
      <c r="EUE68"/>
      <c r="EUF68"/>
      <c r="EUG68"/>
      <c r="EUH68"/>
      <c r="EUI68"/>
      <c r="EUJ68"/>
      <c r="EUK68"/>
      <c r="EUL68"/>
      <c r="EUM68"/>
      <c r="EUN68"/>
      <c r="EUO68"/>
      <c r="EUP68"/>
      <c r="EUQ68"/>
      <c r="EUR68"/>
      <c r="EUS68"/>
      <c r="EUT68"/>
      <c r="EUU68"/>
      <c r="EUV68"/>
      <c r="EUW68"/>
      <c r="EUX68"/>
      <c r="EUY68"/>
      <c r="EUZ68"/>
      <c r="EVA68"/>
      <c r="EVB68"/>
      <c r="EVC68"/>
      <c r="EVD68"/>
      <c r="EVE68"/>
      <c r="EVF68"/>
      <c r="EVG68"/>
      <c r="EVH68"/>
      <c r="EVI68"/>
      <c r="EVJ68"/>
      <c r="EVK68"/>
      <c r="EVL68"/>
      <c r="EVM68"/>
      <c r="EVN68"/>
      <c r="EVO68"/>
      <c r="EVP68"/>
      <c r="EVQ68"/>
      <c r="EVR68"/>
      <c r="EVS68"/>
      <c r="EVT68"/>
      <c r="EVU68"/>
      <c r="EVV68"/>
      <c r="EVW68"/>
      <c r="EVX68"/>
      <c r="EVY68"/>
      <c r="EVZ68"/>
      <c r="EWA68"/>
      <c r="EWB68"/>
      <c r="EWC68"/>
      <c r="EWD68"/>
      <c r="EWE68"/>
      <c r="EWF68"/>
      <c r="EWG68"/>
      <c r="EWH68"/>
      <c r="EWI68"/>
      <c r="EWJ68"/>
      <c r="EWK68"/>
      <c r="EWL68"/>
      <c r="EWM68"/>
      <c r="EWN68"/>
      <c r="EWO68"/>
      <c r="EWP68"/>
      <c r="EWQ68"/>
      <c r="EWR68"/>
      <c r="EWS68"/>
      <c r="EWT68"/>
      <c r="EWU68"/>
      <c r="EWV68"/>
      <c r="EWW68"/>
      <c r="EWX68"/>
      <c r="EWY68"/>
      <c r="EWZ68"/>
      <c r="EXA68"/>
      <c r="EXB68"/>
      <c r="EXC68"/>
      <c r="EXD68"/>
      <c r="EXE68"/>
      <c r="EXF68"/>
      <c r="EXG68"/>
      <c r="EXH68"/>
      <c r="EXI68"/>
      <c r="EXJ68"/>
      <c r="EXK68"/>
      <c r="EXL68"/>
      <c r="EXM68"/>
      <c r="EXN68"/>
      <c r="EXO68"/>
      <c r="EXP68"/>
      <c r="EXQ68"/>
      <c r="EXR68"/>
      <c r="EXS68"/>
      <c r="EXT68"/>
      <c r="EXU68"/>
      <c r="EXV68"/>
      <c r="EXW68"/>
      <c r="EXX68"/>
      <c r="EXY68"/>
      <c r="EXZ68"/>
      <c r="EYA68"/>
      <c r="EYB68"/>
      <c r="EYC68"/>
      <c r="EYD68"/>
      <c r="EYE68"/>
      <c r="EYF68"/>
      <c r="EYG68"/>
      <c r="EYH68"/>
      <c r="EYI68"/>
      <c r="EYJ68"/>
      <c r="EYK68"/>
      <c r="EYL68"/>
      <c r="EYM68"/>
      <c r="EYN68"/>
      <c r="EYO68"/>
      <c r="EYP68"/>
      <c r="EYQ68"/>
      <c r="EYR68"/>
      <c r="EYS68"/>
      <c r="EYT68"/>
      <c r="EYU68"/>
      <c r="EYV68"/>
      <c r="EYW68"/>
      <c r="EYX68"/>
      <c r="EYY68"/>
      <c r="EYZ68"/>
      <c r="EZA68"/>
      <c r="EZB68"/>
      <c r="EZC68"/>
      <c r="EZD68"/>
      <c r="EZE68"/>
      <c r="EZF68"/>
      <c r="EZG68"/>
      <c r="EZH68"/>
      <c r="EZI68"/>
      <c r="EZJ68"/>
      <c r="EZK68"/>
      <c r="EZL68"/>
      <c r="EZM68"/>
      <c r="EZN68"/>
      <c r="EZO68"/>
      <c r="EZP68"/>
      <c r="EZQ68"/>
      <c r="EZR68"/>
      <c r="EZS68"/>
      <c r="EZT68"/>
      <c r="EZU68"/>
      <c r="EZV68"/>
      <c r="EZW68"/>
      <c r="EZX68"/>
      <c r="EZY68"/>
      <c r="EZZ68"/>
      <c r="FAA68"/>
      <c r="FAB68"/>
      <c r="FAC68"/>
      <c r="FAD68"/>
      <c r="FAE68"/>
      <c r="FAF68"/>
      <c r="FAG68"/>
      <c r="FAH68"/>
      <c r="FAI68"/>
      <c r="FAJ68"/>
      <c r="FAK68"/>
      <c r="FAL68"/>
      <c r="FAM68"/>
      <c r="FAN68"/>
      <c r="FAO68"/>
      <c r="FAP68"/>
      <c r="FAQ68"/>
      <c r="FAR68"/>
      <c r="FAS68"/>
      <c r="FAT68"/>
      <c r="FAU68"/>
      <c r="FAV68"/>
      <c r="FAW68"/>
      <c r="FAX68"/>
      <c r="FAY68"/>
      <c r="FAZ68"/>
      <c r="FBA68"/>
      <c r="FBB68"/>
      <c r="FBC68"/>
      <c r="FBD68"/>
      <c r="FBE68"/>
      <c r="FBF68"/>
      <c r="FBG68"/>
      <c r="FBH68"/>
      <c r="FBI68"/>
      <c r="FBJ68"/>
      <c r="FBK68"/>
      <c r="FBL68"/>
      <c r="FBM68"/>
      <c r="FBN68"/>
      <c r="FBO68"/>
      <c r="FBP68"/>
      <c r="FBQ68"/>
      <c r="FBR68"/>
      <c r="FBS68"/>
      <c r="FBT68"/>
      <c r="FBU68"/>
      <c r="FBV68"/>
      <c r="FBW68"/>
      <c r="FBX68"/>
      <c r="FBY68"/>
      <c r="FBZ68"/>
      <c r="FCA68"/>
      <c r="FCB68"/>
      <c r="FCC68"/>
      <c r="FCD68"/>
      <c r="FCE68"/>
      <c r="FCF68"/>
      <c r="FCG68"/>
      <c r="FCH68"/>
      <c r="FCI68"/>
      <c r="FCJ68"/>
      <c r="FCK68"/>
      <c r="FCL68"/>
      <c r="FCM68"/>
      <c r="FCN68"/>
      <c r="FCO68"/>
      <c r="FCP68"/>
      <c r="FCQ68"/>
      <c r="FCR68"/>
      <c r="FCS68"/>
      <c r="FCT68"/>
      <c r="FCU68"/>
      <c r="FCV68"/>
      <c r="FCW68"/>
      <c r="FCX68"/>
      <c r="FCY68"/>
      <c r="FCZ68"/>
      <c r="FDA68"/>
      <c r="FDB68"/>
      <c r="FDC68"/>
      <c r="FDD68"/>
      <c r="FDE68"/>
      <c r="FDF68"/>
      <c r="FDG68"/>
      <c r="FDH68"/>
      <c r="FDI68"/>
      <c r="FDJ68"/>
      <c r="FDK68"/>
      <c r="FDL68"/>
      <c r="FDM68"/>
      <c r="FDN68"/>
      <c r="FDO68"/>
      <c r="FDP68"/>
      <c r="FDQ68"/>
      <c r="FDR68"/>
      <c r="FDS68"/>
      <c r="FDT68"/>
      <c r="FDU68"/>
      <c r="FDV68"/>
      <c r="FDW68"/>
      <c r="FDX68"/>
      <c r="FDY68"/>
      <c r="FDZ68"/>
      <c r="FEA68"/>
      <c r="FEB68"/>
      <c r="FEC68"/>
      <c r="FED68"/>
      <c r="FEE68"/>
      <c r="FEF68"/>
      <c r="FEG68"/>
      <c r="FEH68"/>
      <c r="FEI68"/>
      <c r="FEJ68"/>
      <c r="FEK68"/>
      <c r="FEL68"/>
      <c r="FEM68"/>
      <c r="FEN68"/>
      <c r="FEO68"/>
      <c r="FEP68"/>
      <c r="FEQ68"/>
      <c r="FER68"/>
      <c r="FES68"/>
      <c r="FET68"/>
      <c r="FEU68"/>
      <c r="FEV68"/>
      <c r="FEW68"/>
      <c r="FEX68"/>
      <c r="FEY68"/>
      <c r="FEZ68"/>
      <c r="FFA68"/>
      <c r="FFB68"/>
      <c r="FFC68"/>
      <c r="FFD68"/>
      <c r="FFE68"/>
      <c r="FFF68"/>
      <c r="FFG68"/>
      <c r="FFH68"/>
      <c r="FFI68"/>
      <c r="FFJ68"/>
      <c r="FFK68"/>
      <c r="FFL68"/>
      <c r="FFM68"/>
      <c r="FFN68"/>
      <c r="FFO68"/>
      <c r="FFP68"/>
      <c r="FFQ68"/>
      <c r="FFR68"/>
      <c r="FFS68"/>
      <c r="FFT68"/>
      <c r="FFU68"/>
      <c r="FFV68"/>
      <c r="FFW68"/>
      <c r="FFX68"/>
      <c r="FFY68"/>
      <c r="FFZ68"/>
      <c r="FGA68"/>
      <c r="FGB68"/>
      <c r="FGC68"/>
      <c r="FGD68"/>
      <c r="FGE68"/>
      <c r="FGF68"/>
      <c r="FGG68"/>
      <c r="FGH68"/>
      <c r="FGI68"/>
      <c r="FGJ68"/>
      <c r="FGK68"/>
      <c r="FGL68"/>
      <c r="FGM68"/>
      <c r="FGN68"/>
      <c r="FGO68"/>
      <c r="FGP68"/>
      <c r="FGQ68"/>
      <c r="FGR68"/>
      <c r="FGS68"/>
      <c r="FGT68"/>
      <c r="FGU68"/>
      <c r="FGV68"/>
      <c r="FGW68"/>
      <c r="FGX68"/>
      <c r="FGY68"/>
      <c r="FGZ68"/>
      <c r="FHA68"/>
      <c r="FHB68"/>
      <c r="FHC68"/>
      <c r="FHD68"/>
      <c r="FHE68"/>
      <c r="FHF68"/>
      <c r="FHG68"/>
      <c r="FHH68"/>
      <c r="FHI68"/>
      <c r="FHJ68"/>
      <c r="FHK68"/>
      <c r="FHL68"/>
      <c r="FHM68"/>
      <c r="FHN68"/>
      <c r="FHO68"/>
      <c r="FHP68"/>
      <c r="FHQ68"/>
      <c r="FHR68"/>
      <c r="FHS68"/>
      <c r="FHT68"/>
      <c r="FHU68"/>
      <c r="FHV68"/>
      <c r="FHW68"/>
      <c r="FHX68"/>
      <c r="FHY68"/>
      <c r="FHZ68"/>
      <c r="FIA68"/>
      <c r="FIB68"/>
      <c r="FIC68"/>
      <c r="FID68"/>
      <c r="FIE68"/>
      <c r="FIF68"/>
      <c r="FIG68"/>
      <c r="FIH68"/>
      <c r="FII68"/>
      <c r="FIJ68"/>
      <c r="FIK68"/>
      <c r="FIL68"/>
      <c r="FIM68"/>
      <c r="FIN68"/>
      <c r="FIO68"/>
      <c r="FIP68"/>
      <c r="FIQ68"/>
      <c r="FIR68"/>
      <c r="FIS68"/>
      <c r="FIT68"/>
      <c r="FIU68"/>
      <c r="FIV68"/>
      <c r="FIW68"/>
      <c r="FIX68"/>
      <c r="FIY68"/>
      <c r="FIZ68"/>
      <c r="FJA68"/>
      <c r="FJB68"/>
      <c r="FJC68"/>
      <c r="FJD68"/>
      <c r="FJE68"/>
      <c r="FJF68"/>
      <c r="FJG68"/>
      <c r="FJH68"/>
      <c r="FJI68"/>
      <c r="FJJ68"/>
      <c r="FJK68"/>
      <c r="FJL68"/>
      <c r="FJM68"/>
      <c r="FJN68"/>
      <c r="FJO68"/>
      <c r="FJP68"/>
      <c r="FJQ68"/>
      <c r="FJR68"/>
      <c r="FJS68"/>
      <c r="FJT68"/>
      <c r="FJU68"/>
      <c r="FJV68"/>
      <c r="FJW68"/>
      <c r="FJX68"/>
      <c r="FJY68"/>
      <c r="FJZ68"/>
      <c r="FKA68"/>
      <c r="FKB68"/>
      <c r="FKC68"/>
      <c r="FKD68"/>
      <c r="FKE68"/>
      <c r="FKF68"/>
      <c r="FKG68"/>
      <c r="FKH68"/>
      <c r="FKI68"/>
      <c r="FKJ68"/>
      <c r="FKK68"/>
      <c r="FKL68"/>
      <c r="FKM68"/>
      <c r="FKN68"/>
      <c r="FKO68"/>
      <c r="FKP68"/>
      <c r="FKQ68"/>
      <c r="FKR68"/>
      <c r="FKS68"/>
      <c r="FKT68"/>
      <c r="FKU68"/>
      <c r="FKV68"/>
      <c r="FKW68"/>
      <c r="FKX68"/>
      <c r="FKY68"/>
      <c r="FKZ68"/>
      <c r="FLA68"/>
      <c r="FLB68"/>
      <c r="FLC68"/>
      <c r="FLD68"/>
      <c r="FLE68"/>
      <c r="FLF68"/>
      <c r="FLG68"/>
      <c r="FLH68"/>
      <c r="FLI68"/>
      <c r="FLJ68"/>
      <c r="FLK68"/>
      <c r="FLL68"/>
      <c r="FLM68"/>
      <c r="FLN68"/>
      <c r="FLO68"/>
      <c r="FLP68"/>
      <c r="FLQ68"/>
      <c r="FLR68"/>
      <c r="FLS68"/>
      <c r="FLT68"/>
      <c r="FLU68"/>
      <c r="FLV68"/>
      <c r="FLW68"/>
      <c r="FLX68"/>
      <c r="FLY68"/>
      <c r="FLZ68"/>
      <c r="FMA68"/>
      <c r="FMB68"/>
      <c r="FMC68"/>
      <c r="FMD68"/>
      <c r="FME68"/>
      <c r="FMF68"/>
      <c r="FMG68"/>
      <c r="FMH68"/>
      <c r="FMI68"/>
      <c r="FMJ68"/>
      <c r="FMK68"/>
      <c r="FML68"/>
      <c r="FMM68"/>
      <c r="FMN68"/>
      <c r="FMO68"/>
      <c r="FMP68"/>
      <c r="FMQ68"/>
      <c r="FMR68"/>
      <c r="FMS68"/>
      <c r="FMT68"/>
      <c r="FMU68"/>
      <c r="FMV68"/>
      <c r="FMW68"/>
      <c r="FMX68"/>
      <c r="FMY68"/>
      <c r="FMZ68"/>
      <c r="FNA68"/>
      <c r="FNB68"/>
      <c r="FNC68"/>
      <c r="FND68"/>
      <c r="FNE68"/>
      <c r="FNF68"/>
      <c r="FNG68"/>
      <c r="FNH68"/>
      <c r="FNI68"/>
      <c r="FNJ68"/>
      <c r="FNK68"/>
      <c r="FNL68"/>
      <c r="FNM68"/>
      <c r="FNN68"/>
      <c r="FNO68"/>
      <c r="FNP68"/>
      <c r="FNQ68"/>
      <c r="FNR68"/>
      <c r="FNS68"/>
      <c r="FNT68"/>
      <c r="FNU68"/>
      <c r="FNV68"/>
      <c r="FNW68"/>
      <c r="FNX68"/>
      <c r="FNY68"/>
      <c r="FNZ68"/>
      <c r="FOA68"/>
      <c r="FOB68"/>
      <c r="FOC68"/>
      <c r="FOD68"/>
      <c r="FOE68"/>
      <c r="FOF68"/>
      <c r="FOG68"/>
      <c r="FOH68"/>
      <c r="FOI68"/>
      <c r="FOJ68"/>
      <c r="FOK68"/>
      <c r="FOL68"/>
      <c r="FOM68"/>
      <c r="FON68"/>
      <c r="FOO68"/>
      <c r="FOP68"/>
      <c r="FOQ68"/>
      <c r="FOR68"/>
      <c r="FOS68"/>
      <c r="FOT68"/>
      <c r="FOU68"/>
      <c r="FOV68"/>
      <c r="FOW68"/>
      <c r="FOX68"/>
      <c r="FOY68"/>
      <c r="FOZ68"/>
      <c r="FPA68"/>
      <c r="FPB68"/>
      <c r="FPC68"/>
      <c r="FPD68"/>
      <c r="FPE68"/>
      <c r="FPF68"/>
      <c r="FPG68"/>
      <c r="FPH68"/>
      <c r="FPI68"/>
      <c r="FPJ68"/>
      <c r="FPK68"/>
      <c r="FPL68"/>
      <c r="FPM68"/>
      <c r="FPN68"/>
      <c r="FPO68"/>
      <c r="FPP68"/>
      <c r="FPQ68"/>
      <c r="FPR68"/>
      <c r="FPS68"/>
      <c r="FPT68"/>
      <c r="FPU68"/>
      <c r="FPV68"/>
      <c r="FPW68"/>
      <c r="FPX68"/>
      <c r="FPY68"/>
      <c r="FPZ68"/>
      <c r="FQA68"/>
      <c r="FQB68"/>
      <c r="FQC68"/>
      <c r="FQD68"/>
      <c r="FQE68"/>
      <c r="FQF68"/>
      <c r="FQG68"/>
      <c r="FQH68"/>
      <c r="FQI68"/>
      <c r="FQJ68"/>
      <c r="FQK68"/>
      <c r="FQL68"/>
      <c r="FQM68"/>
      <c r="FQN68"/>
      <c r="FQO68"/>
      <c r="FQP68"/>
      <c r="FQQ68"/>
      <c r="FQR68"/>
      <c r="FQS68"/>
      <c r="FQT68"/>
      <c r="FQU68"/>
      <c r="FQV68"/>
      <c r="FQW68"/>
      <c r="FQX68"/>
      <c r="FQY68"/>
      <c r="FQZ68"/>
      <c r="FRA68"/>
      <c r="FRB68"/>
      <c r="FRC68"/>
      <c r="FRD68"/>
      <c r="FRE68"/>
      <c r="FRF68"/>
      <c r="FRG68"/>
      <c r="FRH68"/>
      <c r="FRI68"/>
      <c r="FRJ68"/>
      <c r="FRK68"/>
      <c r="FRL68"/>
      <c r="FRM68"/>
      <c r="FRN68"/>
      <c r="FRO68"/>
      <c r="FRP68"/>
      <c r="FRQ68"/>
      <c r="FRR68"/>
      <c r="FRS68"/>
      <c r="FRT68"/>
      <c r="FRU68"/>
      <c r="FRV68"/>
      <c r="FRW68"/>
      <c r="FRX68"/>
      <c r="FRY68"/>
      <c r="FRZ68"/>
      <c r="FSA68"/>
      <c r="FSB68"/>
      <c r="FSC68"/>
      <c r="FSD68"/>
      <c r="FSE68"/>
      <c r="FSF68"/>
      <c r="FSG68"/>
      <c r="FSH68"/>
      <c r="FSI68"/>
      <c r="FSJ68"/>
      <c r="FSK68"/>
      <c r="FSL68"/>
      <c r="FSM68"/>
      <c r="FSN68"/>
      <c r="FSO68"/>
      <c r="FSP68"/>
      <c r="FSQ68"/>
      <c r="FSR68"/>
      <c r="FSS68"/>
      <c r="FST68"/>
      <c r="FSU68"/>
      <c r="FSV68"/>
      <c r="FSW68"/>
      <c r="FSX68"/>
      <c r="FSY68"/>
      <c r="FSZ68"/>
      <c r="FTA68"/>
      <c r="FTB68"/>
      <c r="FTC68"/>
      <c r="FTD68"/>
      <c r="FTE68"/>
      <c r="FTF68"/>
      <c r="FTG68"/>
      <c r="FTH68"/>
      <c r="FTI68"/>
      <c r="FTJ68"/>
      <c r="FTK68"/>
      <c r="FTL68"/>
      <c r="FTM68"/>
      <c r="FTN68"/>
      <c r="FTO68"/>
      <c r="FTP68"/>
      <c r="FTQ68"/>
      <c r="FTR68"/>
      <c r="FTS68"/>
      <c r="FTT68"/>
      <c r="FTU68"/>
      <c r="FTV68"/>
      <c r="FTW68"/>
      <c r="FTX68"/>
      <c r="FTY68"/>
      <c r="FTZ68"/>
      <c r="FUA68"/>
      <c r="FUB68"/>
      <c r="FUC68"/>
      <c r="FUD68"/>
      <c r="FUE68"/>
      <c r="FUF68"/>
      <c r="FUG68"/>
      <c r="FUH68"/>
      <c r="FUI68"/>
      <c r="FUJ68"/>
      <c r="FUK68"/>
      <c r="FUL68"/>
      <c r="FUM68"/>
      <c r="FUN68"/>
      <c r="FUO68"/>
      <c r="FUP68"/>
      <c r="FUQ68"/>
      <c r="FUR68"/>
      <c r="FUS68"/>
      <c r="FUT68"/>
      <c r="FUU68"/>
      <c r="FUV68"/>
      <c r="FUW68"/>
      <c r="FUX68"/>
      <c r="FUY68"/>
      <c r="FUZ68"/>
      <c r="FVA68"/>
      <c r="FVB68"/>
      <c r="FVC68"/>
      <c r="FVD68"/>
      <c r="FVE68"/>
      <c r="FVF68"/>
      <c r="FVG68"/>
      <c r="FVH68"/>
      <c r="FVI68"/>
      <c r="FVJ68"/>
      <c r="FVK68"/>
      <c r="FVL68"/>
      <c r="FVM68"/>
      <c r="FVN68"/>
      <c r="FVO68"/>
      <c r="FVP68"/>
      <c r="FVQ68"/>
      <c r="FVR68"/>
      <c r="FVS68"/>
      <c r="FVT68"/>
      <c r="FVU68"/>
      <c r="FVV68"/>
      <c r="FVW68"/>
      <c r="FVX68"/>
      <c r="FVY68"/>
      <c r="FVZ68"/>
    </row>
    <row r="69" spans="1:4654" ht="16.5">
      <c r="A69" s="7" t="s">
        <v>27</v>
      </c>
      <c r="B69" s="17" t="s">
        <v>28</v>
      </c>
      <c r="C69" s="3">
        <f>H63/I63</f>
        <v>2.2532666845245313</v>
      </c>
      <c r="D69" s="48"/>
      <c r="G69"/>
      <c r="H69"/>
      <c r="I69"/>
    </row>
    <row r="70" spans="1:4654" ht="16.5">
      <c r="A70" s="8" t="s">
        <v>29</v>
      </c>
      <c r="B70" s="17" t="s">
        <v>30</v>
      </c>
      <c r="C70" s="3">
        <f>H64/I64</f>
        <v>1.8606084239751572</v>
      </c>
      <c r="D70" s="38"/>
      <c r="G70"/>
      <c r="H70"/>
      <c r="I70"/>
    </row>
    <row r="71" spans="1:4654" ht="15.75" customHeight="1">
      <c r="A71" s="16" t="s">
        <v>31</v>
      </c>
      <c r="B71" s="67" t="s">
        <v>32</v>
      </c>
      <c r="C71" s="68"/>
      <c r="D71"/>
      <c r="G71"/>
      <c r="H71"/>
      <c r="I71"/>
    </row>
    <row r="72" spans="1:4654" ht="15.75">
      <c r="A72" s="66" t="s">
        <v>33</v>
      </c>
      <c r="B72" s="56"/>
      <c r="C72" s="56"/>
      <c r="G72"/>
      <c r="H72"/>
      <c r="I72"/>
    </row>
    <row r="73" spans="1:4654" ht="15.75">
      <c r="A73" s="56"/>
      <c r="B73" s="56"/>
      <c r="C73" s="56"/>
      <c r="G73"/>
      <c r="H73"/>
      <c r="I73"/>
    </row>
    <row r="74" spans="1:4654" ht="15.75">
      <c r="A74" s="36" t="s">
        <v>34</v>
      </c>
      <c r="B74" s="36"/>
      <c r="C74" s="36"/>
      <c r="G74"/>
      <c r="H74"/>
      <c r="I74"/>
    </row>
    <row r="75" spans="1:4654" ht="15.75">
      <c r="A75" s="36"/>
      <c r="B75" s="36"/>
      <c r="C75" s="36"/>
      <c r="G75"/>
      <c r="H75"/>
      <c r="I75"/>
    </row>
    <row r="76" spans="1:4654" ht="15.75" customHeight="1">
      <c r="A76" s="64" t="s">
        <v>35</v>
      </c>
      <c r="B76" s="64"/>
      <c r="C76" s="64"/>
      <c r="G76"/>
      <c r="H76"/>
      <c r="I76"/>
    </row>
    <row r="77" spans="1:4654" ht="15.75" customHeight="1">
      <c r="A77" s="64"/>
      <c r="B77" s="64"/>
      <c r="C77" s="64"/>
      <c r="G77"/>
      <c r="H77"/>
      <c r="I77"/>
    </row>
    <row r="78" spans="1:4654" ht="15.75">
      <c r="A78" s="65"/>
      <c r="B78" s="65"/>
      <c r="C78" s="65"/>
      <c r="G78"/>
      <c r="H78"/>
      <c r="I78"/>
    </row>
    <row r="79" spans="1:4654" ht="16.5">
      <c r="A79" s="7" t="s">
        <v>36</v>
      </c>
      <c r="B79" s="17" t="s">
        <v>37</v>
      </c>
      <c r="C79" s="4">
        <f>(SUM(TRA[bounced_sessions])/SUM('Recording Academy Data'!E:E))</f>
        <v>0.3367192393391451</v>
      </c>
      <c r="D79" s="37" t="s">
        <v>6</v>
      </c>
      <c r="G79"/>
      <c r="H79"/>
      <c r="I79"/>
    </row>
    <row r="80" spans="1:4654" ht="16.5">
      <c r="A80" s="7" t="s">
        <v>38</v>
      </c>
      <c r="B80" s="17" t="s">
        <v>39</v>
      </c>
      <c r="C80" s="12">
        <f>(SUMIFS(Grammys[bounced_sessions],Grammys[website_content],"Grammys")/SUMIFS(Grammys[sessions],Grammys[website_content],"Grammys"))*100</f>
        <v>40.158614333215198</v>
      </c>
      <c r="D80" s="48"/>
    </row>
    <row r="81" spans="1:4" ht="16.5">
      <c r="A81" s="8" t="s">
        <v>40</v>
      </c>
      <c r="B81" s="17" t="s">
        <v>41</v>
      </c>
      <c r="C81" s="4">
        <f>(SUMIFS(Grammys[bounced_sessions],Grammys[website_content],"Grammys TRA")/SUMIFS(Grammys[sessions],Grammys[website_content],"Grammys TRA"))</f>
        <v>0.41584428207045615</v>
      </c>
      <c r="D81" s="38"/>
    </row>
    <row r="82" spans="1:4" ht="17.100000000000001" customHeight="1">
      <c r="A82" s="46" t="s">
        <v>42</v>
      </c>
      <c r="B82" s="46"/>
      <c r="C82" s="46"/>
      <c r="D82"/>
    </row>
    <row r="83" spans="1:4" ht="15.95" customHeight="1">
      <c r="A83" s="47"/>
      <c r="B83" s="47"/>
      <c r="C83" s="47"/>
    </row>
    <row r="84" spans="1:4" ht="17.100000000000001" customHeight="1">
      <c r="A84" s="69"/>
      <c r="B84" s="69"/>
      <c r="C84" s="69"/>
    </row>
    <row r="85" spans="1:4" ht="16.5">
      <c r="A85" s="7" t="s">
        <v>43</v>
      </c>
      <c r="B85" s="17" t="s">
        <v>44</v>
      </c>
      <c r="C85" s="3">
        <f>AVERAGE(TRA[avg_session_duration_secs])</f>
        <v>128.50309278350517</v>
      </c>
      <c r="D85" s="37" t="s">
        <v>6</v>
      </c>
    </row>
    <row r="86" spans="1:4" ht="18" thickBot="1">
      <c r="A86" s="9" t="s">
        <v>45</v>
      </c>
      <c r="B86" s="17" t="s">
        <v>46</v>
      </c>
      <c r="C86" s="3">
        <f>AVERAGEIFS(Grammys[avg_session_duration_secs],Grammys[website_content],"Grammys")</f>
        <v>82.985567010309282</v>
      </c>
      <c r="D86" s="48"/>
    </row>
    <row r="87" spans="1:4" ht="18" thickBot="1">
      <c r="A87" s="7" t="s">
        <v>47</v>
      </c>
      <c r="B87" s="17" t="s">
        <v>48</v>
      </c>
      <c r="C87" s="10">
        <f>AVERAGEIFS(Grammys[avg_session_duration_secs],Grammys[website_content],"Grammys TRA")</f>
        <v>102.85352719439958</v>
      </c>
      <c r="D87" s="38"/>
    </row>
    <row r="88" spans="1:4" ht="17.100000000000001" customHeight="1" thickBot="1">
      <c r="A88" s="22" t="s">
        <v>49</v>
      </c>
      <c r="B88" s="62" t="s">
        <v>50</v>
      </c>
      <c r="C88" s="63"/>
    </row>
    <row r="89" spans="1:4" ht="15.75">
      <c r="A89" s="36" t="s">
        <v>51</v>
      </c>
      <c r="B89" s="36"/>
      <c r="C89" s="36"/>
    </row>
    <row r="90" spans="1:4" ht="17.100000000000001" thickBot="1">
      <c r="A90" s="36"/>
      <c r="B90" s="36"/>
      <c r="C90" s="36"/>
    </row>
    <row r="91" spans="1:4" ht="17.100000000000001" thickBot="1">
      <c r="A91" s="36"/>
      <c r="B91" s="36"/>
      <c r="C91" s="36"/>
    </row>
    <row r="92" spans="1:4" ht="17.100000000000001" thickBot="1">
      <c r="A92" s="36"/>
      <c r="B92" s="36"/>
      <c r="C92" s="36"/>
    </row>
    <row r="93" spans="1:4" ht="17.100000000000001" thickBot="1"/>
    <row r="94" spans="1:4" ht="17.100000000000001" thickBot="1">
      <c r="A94" s="29" t="s">
        <v>52</v>
      </c>
      <c r="B94" s="29"/>
      <c r="C94" s="29"/>
    </row>
    <row r="95" spans="1:4" ht="17.100000000000001" thickBot="1">
      <c r="A95" s="29"/>
      <c r="B95" s="29"/>
      <c r="C95" s="29"/>
    </row>
    <row r="96" spans="1:4" ht="15.95" customHeight="1" thickBot="1">
      <c r="A96" s="31" t="s">
        <v>53</v>
      </c>
      <c r="B96" s="31"/>
      <c r="C96" s="31"/>
    </row>
    <row r="97" spans="1:4" ht="17.100000000000001" thickBot="1">
      <c r="A97" s="31"/>
      <c r="B97" s="31"/>
      <c r="C97" s="31"/>
    </row>
    <row r="98" spans="1:4" ht="15.95" customHeight="1" thickBot="1">
      <c r="A98" s="32" t="s">
        <v>54</v>
      </c>
      <c r="B98" s="31" t="s">
        <v>55</v>
      </c>
      <c r="C98" s="31"/>
      <c r="D98" s="70" t="s">
        <v>6</v>
      </c>
    </row>
    <row r="99" spans="1:4" ht="17.100000000000001" thickBot="1">
      <c r="A99" s="32"/>
      <c r="B99" s="31"/>
      <c r="C99" s="31"/>
      <c r="D99" s="71"/>
    </row>
    <row r="100" spans="1:4" ht="17.100000000000001" thickBot="1">
      <c r="A100" s="32"/>
      <c r="B100" s="31"/>
      <c r="C100" s="31"/>
    </row>
    <row r="101" spans="1:4" ht="17.100000000000001" customHeight="1" thickBot="1">
      <c r="A101" s="73" t="s">
        <v>56</v>
      </c>
      <c r="B101" s="72" t="s">
        <v>57</v>
      </c>
      <c r="C101" s="74">
        <f>(SUMIFS(Grammys[mobile_visitors],Grammys[website_content],"Grammys")/SUMIFS(Grammys[visitors],Grammys[website_content],"Grammys"))</f>
        <v>0.73692174841859626</v>
      </c>
      <c r="D101" s="44" t="s">
        <v>6</v>
      </c>
    </row>
    <row r="102" spans="1:4" ht="17.100000000000001" thickBot="1">
      <c r="A102" s="73"/>
      <c r="B102" s="72"/>
      <c r="C102" s="74"/>
      <c r="D102" s="45"/>
    </row>
    <row r="103" spans="1:4" ht="17.100000000000001" thickBot="1">
      <c r="A103" s="32" t="s">
        <v>58</v>
      </c>
      <c r="B103" s="31" t="s">
        <v>59</v>
      </c>
      <c r="C103" s="31"/>
    </row>
    <row r="104" spans="1:4" ht="17.100000000000001" thickBot="1">
      <c r="A104" s="32"/>
      <c r="B104" s="31"/>
      <c r="C104" s="31"/>
    </row>
    <row r="105" spans="1:4" ht="17.100000000000001" thickBot="1">
      <c r="A105" s="32"/>
      <c r="B105" s="31"/>
      <c r="C105" s="31"/>
    </row>
    <row r="106" spans="1:4" ht="15.75">
      <c r="A106" s="36" t="s">
        <v>60</v>
      </c>
      <c r="B106" s="36"/>
      <c r="C106" s="36"/>
    </row>
    <row r="107" spans="1:4" ht="17.100000000000001" thickBot="1">
      <c r="A107" s="36"/>
      <c r="B107" s="36"/>
      <c r="C107" s="36"/>
    </row>
    <row r="108" spans="1:4" ht="17.100000000000001" thickBot="1">
      <c r="A108" s="36"/>
      <c r="B108" s="36"/>
      <c r="C108" s="36"/>
    </row>
    <row r="109" spans="1:4" ht="17.100000000000001" thickBot="1">
      <c r="A109" s="36"/>
      <c r="B109" s="36"/>
      <c r="C109" s="36"/>
    </row>
    <row r="110" spans="1:4" ht="17.100000000000001" thickBot="1"/>
    <row r="111" spans="1:4" ht="15.95" customHeight="1" thickBot="1">
      <c r="A111" s="29" t="s">
        <v>61</v>
      </c>
      <c r="B111" s="29"/>
      <c r="C111" s="29"/>
    </row>
    <row r="112" spans="1:4" ht="17.100000000000001" thickBot="1">
      <c r="A112" s="29"/>
      <c r="B112" s="29"/>
      <c r="C112" s="29"/>
    </row>
    <row r="113" spans="1:3" ht="17.100000000000001" thickBot="1">
      <c r="A113" s="30" t="s">
        <v>62</v>
      </c>
      <c r="B113" s="30"/>
      <c r="C113" s="30"/>
    </row>
    <row r="114" spans="1:3" ht="17.100000000000001" thickBot="1">
      <c r="A114" s="30"/>
      <c r="B114" s="30"/>
      <c r="C114" s="30"/>
    </row>
    <row r="115" spans="1:3" ht="17.100000000000001" thickBot="1">
      <c r="A115" s="32" t="s">
        <v>63</v>
      </c>
      <c r="B115" s="31" t="s">
        <v>64</v>
      </c>
      <c r="C115" s="31"/>
    </row>
    <row r="116" spans="1:3" ht="17.100000000000001" thickBot="1">
      <c r="A116" s="32"/>
      <c r="B116" s="31"/>
      <c r="C116" s="31"/>
    </row>
    <row r="117" spans="1:3" ht="17.100000000000001" thickBot="1">
      <c r="A117" s="32"/>
      <c r="B117" s="31"/>
      <c r="C117" s="31"/>
    </row>
    <row r="118" spans="1:3" ht="15.75">
      <c r="A118" s="36" t="s">
        <v>65</v>
      </c>
      <c r="B118" s="36"/>
      <c r="C118" s="36"/>
    </row>
    <row r="119" spans="1:3" ht="17.100000000000001" thickBot="1">
      <c r="A119" s="36"/>
      <c r="B119" s="36"/>
      <c r="C119" s="36"/>
    </row>
    <row r="120" spans="1:3" ht="17.100000000000001" thickBot="1">
      <c r="A120" s="36"/>
      <c r="B120" s="36"/>
      <c r="C120" s="36"/>
    </row>
    <row r="121" spans="1:3" ht="17.100000000000001" thickBot="1">
      <c r="A121" s="36"/>
      <c r="B121" s="36"/>
      <c r="C121" s="36"/>
    </row>
    <row r="122" spans="1:3" ht="17.100000000000001" thickBot="1">
      <c r="A122" s="36"/>
      <c r="B122" s="36"/>
      <c r="C122" s="36"/>
    </row>
    <row r="123" spans="1:3" ht="17.100000000000001" thickBot="1">
      <c r="A123" s="32" t="s">
        <v>66</v>
      </c>
      <c r="B123" s="31" t="s">
        <v>67</v>
      </c>
      <c r="C123" s="31"/>
    </row>
    <row r="124" spans="1:3" ht="15.75">
      <c r="A124" s="32"/>
      <c r="B124" s="31"/>
      <c r="C124" s="31"/>
    </row>
    <row r="125" spans="1:3" ht="15.75">
      <c r="A125" s="95" t="s">
        <v>68</v>
      </c>
      <c r="B125" s="96"/>
      <c r="C125" s="97"/>
    </row>
    <row r="126" spans="1:3" ht="17.100000000000001" customHeight="1">
      <c r="A126" s="98"/>
      <c r="B126" s="99"/>
      <c r="C126" s="100"/>
    </row>
    <row r="127" spans="1:3" ht="17.100000000000001" customHeight="1">
      <c r="A127" s="98"/>
      <c r="B127" s="99"/>
      <c r="C127" s="100"/>
    </row>
    <row r="128" spans="1:3" ht="17.100000000000001" customHeight="1">
      <c r="A128" s="101"/>
      <c r="B128" s="102"/>
      <c r="C128" s="103"/>
    </row>
    <row r="129" spans="1:4" ht="15.75">
      <c r="A129" s="32" t="s">
        <v>69</v>
      </c>
      <c r="B129" s="31" t="s">
        <v>70</v>
      </c>
      <c r="C129" s="31"/>
      <c r="D129" s="44" t="s">
        <v>71</v>
      </c>
    </row>
    <row r="130" spans="1:4" ht="15.75">
      <c r="A130" s="32"/>
      <c r="B130" s="31"/>
      <c r="C130" s="31"/>
      <c r="D130" s="45"/>
    </row>
    <row r="131" spans="1:4" ht="15.75">
      <c r="A131" s="95" t="s">
        <v>72</v>
      </c>
      <c r="B131" s="96"/>
      <c r="C131" s="97"/>
    </row>
    <row r="132" spans="1:4" ht="15.75">
      <c r="A132" s="98"/>
      <c r="B132" s="99"/>
      <c r="C132" s="100"/>
    </row>
    <row r="133" spans="1:4" ht="15.75">
      <c r="A133" s="98"/>
      <c r="B133" s="99"/>
      <c r="C133" s="100"/>
    </row>
    <row r="134" spans="1:4" ht="15.75">
      <c r="A134" s="98"/>
      <c r="B134" s="99"/>
      <c r="C134" s="100"/>
    </row>
    <row r="135" spans="1:4" ht="15.75">
      <c r="A135" s="98"/>
      <c r="B135" s="99"/>
      <c r="C135" s="100"/>
    </row>
    <row r="136" spans="1:4" ht="15.75">
      <c r="A136" s="98"/>
      <c r="B136" s="99"/>
      <c r="C136" s="100"/>
    </row>
    <row r="137" spans="1:4" ht="15.75">
      <c r="A137" s="98"/>
      <c r="B137" s="99"/>
      <c r="C137" s="100"/>
    </row>
    <row r="138" spans="1:4" ht="15.75">
      <c r="A138" s="98"/>
      <c r="B138" s="99"/>
      <c r="C138" s="100"/>
    </row>
    <row r="139" spans="1:4" ht="15.95" customHeight="1">
      <c r="A139" s="101"/>
      <c r="B139" s="102"/>
      <c r="C139" s="103"/>
    </row>
    <row r="140" spans="1:4" ht="15.75"/>
    <row r="141" spans="1:4" ht="15.75">
      <c r="A141" s="104" t="s">
        <v>73</v>
      </c>
      <c r="B141" s="105"/>
      <c r="C141" s="106"/>
    </row>
    <row r="142" spans="1:4" ht="15.75">
      <c r="A142" s="107"/>
      <c r="B142" s="108"/>
      <c r="C142" s="109"/>
    </row>
    <row r="143" spans="1:4" ht="15.75">
      <c r="A143" s="46" t="s">
        <v>74</v>
      </c>
      <c r="B143" s="46"/>
      <c r="C143" s="46"/>
    </row>
    <row r="144" spans="1:4" ht="15.75">
      <c r="A144" s="47"/>
      <c r="B144" s="47"/>
      <c r="C144" s="47"/>
    </row>
    <row r="145" spans="1:3" ht="15.75">
      <c r="A145" s="47"/>
      <c r="B145" s="47"/>
      <c r="C145" s="47"/>
    </row>
    <row r="274" spans="1:3">
      <c r="A274" s="11"/>
      <c r="B274" s="11"/>
      <c r="C274" s="11"/>
    </row>
    <row r="275" spans="1:3">
      <c r="A275" s="11"/>
      <c r="B275" s="11"/>
      <c r="C275" s="11"/>
    </row>
    <row r="276" spans="1:3">
      <c r="A276" s="11"/>
      <c r="B276" s="11"/>
      <c r="C276" s="11"/>
    </row>
    <row r="277" spans="1:3">
      <c r="A277" s="11"/>
      <c r="B277" s="11"/>
      <c r="C277" s="11"/>
    </row>
  </sheetData>
  <mergeCells count="59">
    <mergeCell ref="D129:D130"/>
    <mergeCell ref="D98:D99"/>
    <mergeCell ref="B98:C100"/>
    <mergeCell ref="A98:A100"/>
    <mergeCell ref="B101:B102"/>
    <mergeCell ref="A101:A102"/>
    <mergeCell ref="C101:C102"/>
    <mergeCell ref="D101:D102"/>
    <mergeCell ref="A118:C122"/>
    <mergeCell ref="A123:A124"/>
    <mergeCell ref="B123:C124"/>
    <mergeCell ref="A125:C128"/>
    <mergeCell ref="A129:A130"/>
    <mergeCell ref="B129:C130"/>
    <mergeCell ref="D85:D87"/>
    <mergeCell ref="A76:C78"/>
    <mergeCell ref="A72:C73"/>
    <mergeCell ref="B71:C71"/>
    <mergeCell ref="A74:C75"/>
    <mergeCell ref="A82:C84"/>
    <mergeCell ref="A143:C145"/>
    <mergeCell ref="B22:C23"/>
    <mergeCell ref="A22:A23"/>
    <mergeCell ref="A24:C39"/>
    <mergeCell ref="A46:C48"/>
    <mergeCell ref="B51:C52"/>
    <mergeCell ref="A53:C55"/>
    <mergeCell ref="A62:C67"/>
    <mergeCell ref="A40:A41"/>
    <mergeCell ref="A42:C45"/>
    <mergeCell ref="A51:A52"/>
    <mergeCell ref="A49:A50"/>
    <mergeCell ref="B49:C50"/>
    <mergeCell ref="B88:C88"/>
    <mergeCell ref="A89:C92"/>
    <mergeCell ref="A94:C95"/>
    <mergeCell ref="A131:C139"/>
    <mergeCell ref="A141:C142"/>
    <mergeCell ref="D22:D23"/>
    <mergeCell ref="B40:C41"/>
    <mergeCell ref="A1:C2"/>
    <mergeCell ref="A3:C12"/>
    <mergeCell ref="A60:C61"/>
    <mergeCell ref="D49:D50"/>
    <mergeCell ref="D56:D58"/>
    <mergeCell ref="A16:C21"/>
    <mergeCell ref="A96:C97"/>
    <mergeCell ref="A103:A105"/>
    <mergeCell ref="B103:C105"/>
    <mergeCell ref="D79:D81"/>
    <mergeCell ref="D68:D70"/>
    <mergeCell ref="B56:C58"/>
    <mergeCell ref="A14:C15"/>
    <mergeCell ref="A111:C112"/>
    <mergeCell ref="A113:C114"/>
    <mergeCell ref="B115:C117"/>
    <mergeCell ref="A115:A117"/>
    <mergeCell ref="A56:A58"/>
    <mergeCell ref="A106:C109"/>
  </mergeCells>
  <pageMargins left="0.7" right="0.7" top="0.75" bottom="0.75" header="0.3" footer="0.3"/>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0" id="{44AB4F13-1FE4-3E4B-827A-5AE957531526}">
            <xm:f>ABS($C$68-Solutions!$B$2)&lt;=Solutions!$C$2</xm:f>
            <x14:dxf>
              <fill>
                <patternFill>
                  <bgColor rgb="FF98DA74"/>
                </patternFill>
              </fill>
            </x14:dxf>
          </x14:cfRule>
          <xm:sqref>A68</xm:sqref>
        </x14:conditionalFormatting>
        <x14:conditionalFormatting xmlns:xm="http://schemas.microsoft.com/office/excel/2006/main">
          <x14:cfRule type="expression" priority="9" stopIfTrue="1" id="{7B02B97F-4E2A-3141-9803-4B3922043E5C}">
            <xm:f>ABS($C$69-Solutions!$B$3)&lt;=Solutions!$C$3</xm:f>
            <x14:dxf>
              <fill>
                <patternFill>
                  <bgColor rgb="FF98DA74"/>
                </patternFill>
              </fill>
            </x14:dxf>
          </x14:cfRule>
          <xm:sqref>A69</xm:sqref>
        </x14:conditionalFormatting>
        <x14:conditionalFormatting xmlns:xm="http://schemas.microsoft.com/office/excel/2006/main">
          <x14:cfRule type="expression" priority="8" id="{5EA14C0F-2F18-0D4E-ABF7-F7D35572105C}">
            <xm:f>ABS($C$70-Solutions!$B$4)&lt;=Solutions!$C$4</xm:f>
            <x14:dxf>
              <fill>
                <patternFill>
                  <bgColor rgb="FF98DA74"/>
                </patternFill>
              </fill>
            </x14:dxf>
          </x14:cfRule>
          <xm:sqref>A70</xm:sqref>
        </x14:conditionalFormatting>
        <x14:conditionalFormatting xmlns:xm="http://schemas.microsoft.com/office/excel/2006/main">
          <x14:cfRule type="expression" priority="7" id="{1398398A-DEF2-B340-8E59-0A21E0B4FA9A}">
            <xm:f>ABS($C$79-Solutions!$B$5)&lt;=Solutions!$C$5</xm:f>
            <x14:dxf>
              <fill>
                <patternFill>
                  <bgColor rgb="FF98DA74"/>
                </patternFill>
              </fill>
            </x14:dxf>
          </x14:cfRule>
          <xm:sqref>A79</xm:sqref>
        </x14:conditionalFormatting>
        <x14:conditionalFormatting xmlns:xm="http://schemas.microsoft.com/office/excel/2006/main">
          <x14:cfRule type="expression" priority="4" stopIfTrue="1" id="{D09A84A5-A5F2-EA48-91FC-A9733D65156C}">
            <xm:f>ABS($C$85-Solutions!$B$8)&lt;=Solutions!$C$8</xm:f>
            <x14:dxf>
              <fill>
                <patternFill>
                  <bgColor rgb="FF98DA74"/>
                </patternFill>
              </fill>
            </x14:dxf>
          </x14:cfRule>
          <xm:sqref>A85</xm:sqref>
        </x14:conditionalFormatting>
        <x14:conditionalFormatting xmlns:xm="http://schemas.microsoft.com/office/excel/2006/main">
          <x14:cfRule type="expression" priority="3" stopIfTrue="1" id="{5AFD83FD-552F-154E-9FE1-C984236336B0}">
            <xm:f>ABS($C$86-Solutions!$B$9)&lt;=Solutions!$C$9</xm:f>
            <x14:dxf>
              <fill>
                <patternFill>
                  <bgColor rgb="FF98DA74"/>
                </patternFill>
              </fill>
            </x14:dxf>
          </x14:cfRule>
          <xm:sqref>A86</xm:sqref>
        </x14:conditionalFormatting>
        <x14:conditionalFormatting xmlns:xm="http://schemas.microsoft.com/office/excel/2006/main">
          <x14:cfRule type="expression" priority="2" id="{DAFFA1FE-631B-1E4D-8451-5DDF4263C077}">
            <xm:f>ABS($C$87-Solutions!$B$10)&lt;=Solutions!$C$10</xm:f>
            <x14:dxf>
              <fill>
                <patternFill>
                  <bgColor rgb="FF98DA74"/>
                </patternFill>
              </fill>
            </x14:dxf>
          </x14:cfRule>
          <xm:sqref>A87</xm:sqref>
        </x14:conditionalFormatting>
        <x14:conditionalFormatting xmlns:xm="http://schemas.microsoft.com/office/excel/2006/main">
          <x14:cfRule type="expression" priority="1" stopIfTrue="1" id="{37B5FD74-A89C-1742-A419-12F17F9ADD73}">
            <xm:f>ABS($C$101-Solutions!$B$11)&lt;=Solutions!$C$11</xm:f>
            <x14:dxf>
              <fill>
                <patternFill>
                  <bgColor rgb="FF98DA74"/>
                </patternFill>
              </fill>
            </x14:dxf>
          </x14:cfRule>
          <xm:sqref>A101</xm:sqref>
        </x14:conditionalFormatting>
        <x14:conditionalFormatting xmlns:xm="http://schemas.microsoft.com/office/excel/2006/main">
          <x14:cfRule type="expression" priority="11" stopIfTrue="1" id="{394FDF8E-4434-5144-93F2-B0569DCEBE3F}">
            <xm:f>ABS($C$81-Solutions!$B$6)&lt;=Solutions!$C$6</xm:f>
            <x14:dxf>
              <fill>
                <patternFill>
                  <bgColor rgb="FF98DA74"/>
                </patternFill>
              </fill>
            </x14:dxf>
          </x14:cfRule>
          <xm:sqref>A80</xm:sqref>
        </x14:conditionalFormatting>
        <x14:conditionalFormatting xmlns:xm="http://schemas.microsoft.com/office/excel/2006/main">
          <x14:cfRule type="expression" priority="12" stopIfTrue="1" id="{007D7DD8-BC7F-4D48-8881-E34E20971C45}">
            <xm:f>ABS(#REF!-Solutions!$B$7)&lt;=Solutions!$C$7</xm:f>
            <x14:dxf>
              <fill>
                <patternFill>
                  <bgColor rgb="FF98DA74"/>
                </patternFill>
              </fill>
            </x14:dxf>
          </x14:cfRule>
          <xm:sqref>A81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2343"/>
  <sheetViews>
    <sheetView topLeftCell="A2" zoomScaleNormal="100" workbookViewId="0">
      <selection activeCell="K9" sqref="K9"/>
    </sheetView>
  </sheetViews>
  <sheetFormatPr defaultColWidth="11" defaultRowHeight="15.95"/>
  <cols>
    <col min="3" max="3" width="12.375" customWidth="1"/>
    <col min="5" max="5" width="18.125" customWidth="1"/>
    <col min="6" max="6" width="25.875" customWidth="1"/>
    <col min="7" max="7" width="14.625" customWidth="1"/>
    <col min="8" max="8" width="17.375" bestFit="1" customWidth="1"/>
    <col min="9" max="9" width="16.375" bestFit="1" customWidth="1"/>
    <col min="11" max="11" width="14.625" bestFit="1" customWidth="1"/>
    <col min="12" max="12" width="16.5" bestFit="1" customWidth="1"/>
    <col min="13" max="13" width="16.125" bestFit="1" customWidth="1"/>
    <col min="14" max="14" width="14.25" bestFit="1" customWidth="1"/>
    <col min="16" max="16" width="16.375" bestFit="1" customWidth="1"/>
  </cols>
  <sheetData>
    <row r="1" spans="1:16">
      <c r="A1" t="s">
        <v>75</v>
      </c>
      <c r="B1" t="s">
        <v>76</v>
      </c>
      <c r="C1" t="s">
        <v>77</v>
      </c>
      <c r="D1" t="s">
        <v>78</v>
      </c>
      <c r="E1" t="s">
        <v>79</v>
      </c>
      <c r="F1" t="s">
        <v>80</v>
      </c>
      <c r="G1" t="s">
        <v>81</v>
      </c>
      <c r="H1" s="5" t="s">
        <v>19</v>
      </c>
      <c r="I1" s="5" t="s">
        <v>82</v>
      </c>
      <c r="O1" t="s">
        <v>75</v>
      </c>
      <c r="P1" t="s">
        <v>82</v>
      </c>
    </row>
    <row r="2" spans="1:16">
      <c r="A2" s="1">
        <v>42736</v>
      </c>
      <c r="B2">
        <v>9611</v>
      </c>
      <c r="C2">
        <v>21407</v>
      </c>
      <c r="D2">
        <v>10196</v>
      </c>
      <c r="E2">
        <v>6490</v>
      </c>
      <c r="F2">
        <v>86</v>
      </c>
      <c r="G2" t="s">
        <v>83</v>
      </c>
      <c r="H2" t="str" cm="1">
        <f t="array" ref="H2">_xlfn.IFS(Grammys[[#This Row],[date]] &gt;= DATE(2022,2,1),"Grammys",TRUE,"Grammys TRA")</f>
        <v>Grammys TRA</v>
      </c>
      <c r="I2">
        <f>_xlfn.XLOOKUP(Grammys[[#This Row],[date]],mobile_visits[date],mobile_visits[mobile_visitors],0)</f>
        <v>0</v>
      </c>
      <c r="O2" s="1">
        <v>44593</v>
      </c>
      <c r="P2">
        <v>23014</v>
      </c>
    </row>
    <row r="3" spans="1:16">
      <c r="A3" s="1">
        <v>42737</v>
      </c>
      <c r="B3">
        <v>10752</v>
      </c>
      <c r="C3">
        <v>25658</v>
      </c>
      <c r="D3">
        <v>11350</v>
      </c>
      <c r="E3">
        <v>7055</v>
      </c>
      <c r="F3">
        <v>100</v>
      </c>
      <c r="G3" t="s">
        <v>83</v>
      </c>
      <c r="H3" t="str" cm="1">
        <f t="array" ref="H3">_xlfn.IFS(Grammys[[#This Row],[date]] &gt;= DATE(2022,2,1),"Grammys",TRUE,"Grammys TRA")</f>
        <v>Grammys TRA</v>
      </c>
      <c r="I3">
        <f>_xlfn.XLOOKUP(Grammys[[#This Row],[date]],mobile_visits[date],mobile_visits[mobile_visitors],0)</f>
        <v>0</v>
      </c>
      <c r="O3" s="1">
        <v>44594</v>
      </c>
      <c r="P3">
        <v>19951</v>
      </c>
    </row>
    <row r="4" spans="1:16">
      <c r="A4" s="1">
        <v>42738</v>
      </c>
      <c r="B4">
        <v>11425</v>
      </c>
      <c r="C4">
        <v>27062</v>
      </c>
      <c r="D4">
        <v>12215</v>
      </c>
      <c r="E4">
        <v>7569</v>
      </c>
      <c r="F4">
        <v>92</v>
      </c>
      <c r="G4" t="s">
        <v>83</v>
      </c>
      <c r="H4" t="str" cm="1">
        <f t="array" ref="H4">_xlfn.IFS(Grammys[[#This Row],[date]] &gt;= DATE(2022,2,1),"Grammys",TRUE,"Grammys TRA")</f>
        <v>Grammys TRA</v>
      </c>
      <c r="I4">
        <f>_xlfn.XLOOKUP(Grammys[[#This Row],[date]],mobile_visits[date],mobile_visits[mobile_visitors],0)</f>
        <v>0</v>
      </c>
      <c r="O4" s="1">
        <v>44595</v>
      </c>
      <c r="P4">
        <v>21567</v>
      </c>
    </row>
    <row r="5" spans="1:16">
      <c r="A5" s="1">
        <v>42739</v>
      </c>
      <c r="B5">
        <v>13098</v>
      </c>
      <c r="C5">
        <v>29189</v>
      </c>
      <c r="D5">
        <v>13852</v>
      </c>
      <c r="E5">
        <v>8929</v>
      </c>
      <c r="F5">
        <v>90</v>
      </c>
      <c r="G5" t="s">
        <v>83</v>
      </c>
      <c r="H5" t="str" cm="1">
        <f t="array" ref="H5">_xlfn.IFS(Grammys[[#This Row],[date]] &gt;= DATE(2022,2,1),"Grammys",TRUE,"Grammys TRA")</f>
        <v>Grammys TRA</v>
      </c>
      <c r="I5">
        <f>_xlfn.XLOOKUP(Grammys[[#This Row],[date]],mobile_visits[date],mobile_visits[mobile_visitors],0)</f>
        <v>0</v>
      </c>
      <c r="K5" s="27" t="s">
        <v>81</v>
      </c>
      <c r="L5" t="s">
        <v>84</v>
      </c>
      <c r="O5" s="1">
        <v>44596</v>
      </c>
      <c r="P5">
        <v>18362</v>
      </c>
    </row>
    <row r="6" spans="1:16">
      <c r="A6" s="1">
        <v>42740</v>
      </c>
      <c r="B6">
        <v>12234</v>
      </c>
      <c r="C6">
        <v>28288</v>
      </c>
      <c r="D6">
        <v>12990</v>
      </c>
      <c r="E6">
        <v>8105</v>
      </c>
      <c r="F6">
        <v>95</v>
      </c>
      <c r="G6" t="s">
        <v>83</v>
      </c>
      <c r="H6" t="str" cm="1">
        <f t="array" ref="H6">_xlfn.IFS(Grammys[[#This Row],[date]] &gt;= DATE(2022,2,1),"Grammys",TRUE,"Grammys TRA")</f>
        <v>Grammys TRA</v>
      </c>
      <c r="I6">
        <f>_xlfn.XLOOKUP(Grammys[[#This Row],[date]],mobile_visits[date],mobile_visits[mobile_visitors],0)</f>
        <v>0</v>
      </c>
      <c r="K6" t="s">
        <v>85</v>
      </c>
      <c r="L6">
        <v>1389590.2307692308</v>
      </c>
      <c r="O6" s="1">
        <v>44597</v>
      </c>
      <c r="P6">
        <v>12590</v>
      </c>
    </row>
    <row r="7" spans="1:16">
      <c r="A7" s="1">
        <v>42741</v>
      </c>
      <c r="B7">
        <v>11461</v>
      </c>
      <c r="C7">
        <v>28022</v>
      </c>
      <c r="D7">
        <v>12309</v>
      </c>
      <c r="E7">
        <v>7500</v>
      </c>
      <c r="F7">
        <v>95</v>
      </c>
      <c r="G7" t="s">
        <v>83</v>
      </c>
      <c r="H7" t="str" cm="1">
        <f t="array" ref="H7">_xlfn.IFS(Grammys[[#This Row],[date]] &gt;= DATE(2022,2,1),"Grammys",TRUE,"Grammys TRA")</f>
        <v>Grammys TRA</v>
      </c>
      <c r="I7">
        <f>_xlfn.XLOOKUP(Grammys[[#This Row],[date]],mobile_visits[date],mobile_visits[mobile_visitors],0)</f>
        <v>0</v>
      </c>
      <c r="K7" t="s">
        <v>83</v>
      </c>
      <c r="L7">
        <v>32388.276942893946</v>
      </c>
      <c r="O7" s="1">
        <v>44598</v>
      </c>
      <c r="P7">
        <v>12316</v>
      </c>
    </row>
    <row r="8" spans="1:16">
      <c r="A8" s="1">
        <v>42742</v>
      </c>
      <c r="B8">
        <v>11183</v>
      </c>
      <c r="C8">
        <v>27491</v>
      </c>
      <c r="D8">
        <v>11993</v>
      </c>
      <c r="E8">
        <v>7287</v>
      </c>
      <c r="F8">
        <v>94</v>
      </c>
      <c r="G8" t="s">
        <v>83</v>
      </c>
      <c r="H8" t="str" cm="1">
        <f t="array" ref="H8">_xlfn.IFS(Grammys[[#This Row],[date]] &gt;= DATE(2022,2,1),"Grammys",TRUE,"Grammys TRA")</f>
        <v>Grammys TRA</v>
      </c>
      <c r="I8">
        <f>_xlfn.XLOOKUP(Grammys[[#This Row],[date]],mobile_visits[date],mobile_visits[mobile_visitors],0)</f>
        <v>0</v>
      </c>
      <c r="K8" t="s">
        <v>24</v>
      </c>
      <c r="L8">
        <v>39921.848847139197</v>
      </c>
      <c r="O8" s="1">
        <v>44599</v>
      </c>
      <c r="P8">
        <v>10416</v>
      </c>
    </row>
    <row r="9" spans="1:16">
      <c r="A9" s="1">
        <v>42743</v>
      </c>
      <c r="B9">
        <v>16265</v>
      </c>
      <c r="C9">
        <v>38529</v>
      </c>
      <c r="D9">
        <v>17361</v>
      </c>
      <c r="E9">
        <v>10587</v>
      </c>
      <c r="F9">
        <v>84</v>
      </c>
      <c r="G9" t="s">
        <v>83</v>
      </c>
      <c r="H9" t="str" cm="1">
        <f t="array" ref="H9">_xlfn.IFS(Grammys[[#This Row],[date]] &gt;= DATE(2022,2,1),"Grammys",TRUE,"Grammys TRA")</f>
        <v>Grammys TRA</v>
      </c>
      <c r="I9">
        <f>_xlfn.XLOOKUP(Grammys[[#This Row],[date]],mobile_visits[date],mobile_visits[mobile_visitors],0)</f>
        <v>0</v>
      </c>
      <c r="O9" s="1">
        <v>44600</v>
      </c>
      <c r="P9">
        <v>19299</v>
      </c>
    </row>
    <row r="10" spans="1:16">
      <c r="A10" s="1">
        <v>42744</v>
      </c>
      <c r="B10">
        <v>17852</v>
      </c>
      <c r="C10">
        <v>40698</v>
      </c>
      <c r="D10">
        <v>18914</v>
      </c>
      <c r="E10">
        <v>11697</v>
      </c>
      <c r="F10">
        <v>87</v>
      </c>
      <c r="G10" t="s">
        <v>83</v>
      </c>
      <c r="H10" t="str" cm="1">
        <f t="array" ref="H10">_xlfn.IFS(Grammys[[#This Row],[date]] &gt;= DATE(2022,2,1),"Grammys",TRUE,"Grammys TRA")</f>
        <v>Grammys TRA</v>
      </c>
      <c r="I10">
        <f>_xlfn.XLOOKUP(Grammys[[#This Row],[date]],mobile_visits[date],mobile_visits[mobile_visitors],0)</f>
        <v>0</v>
      </c>
      <c r="O10" s="1">
        <v>44601</v>
      </c>
      <c r="P10">
        <v>16050</v>
      </c>
    </row>
    <row r="11" spans="1:16">
      <c r="A11" s="1">
        <v>42745</v>
      </c>
      <c r="B11">
        <v>14211</v>
      </c>
      <c r="C11">
        <v>33218</v>
      </c>
      <c r="D11">
        <v>15124</v>
      </c>
      <c r="E11">
        <v>9270</v>
      </c>
      <c r="F11">
        <v>96</v>
      </c>
      <c r="G11" t="s">
        <v>83</v>
      </c>
      <c r="H11" t="str" cm="1">
        <f t="array" ref="H11">_xlfn.IFS(Grammys[[#This Row],[date]] &gt;= DATE(2022,2,1),"Grammys",TRUE,"Grammys TRA")</f>
        <v>Grammys TRA</v>
      </c>
      <c r="I11">
        <f>_xlfn.XLOOKUP(Grammys[[#This Row],[date]],mobile_visits[date],mobile_visits[mobile_visitors],0)</f>
        <v>0</v>
      </c>
      <c r="O11" s="1">
        <v>44602</v>
      </c>
      <c r="P11">
        <v>13590</v>
      </c>
    </row>
    <row r="12" spans="1:16">
      <c r="A12" s="1">
        <v>42746</v>
      </c>
      <c r="B12">
        <v>13456</v>
      </c>
      <c r="C12">
        <v>30704</v>
      </c>
      <c r="D12">
        <v>14397</v>
      </c>
      <c r="E12">
        <v>8922</v>
      </c>
      <c r="F12">
        <v>99</v>
      </c>
      <c r="G12" t="s">
        <v>83</v>
      </c>
      <c r="H12" t="str" cm="1">
        <f t="array" ref="H12">_xlfn.IFS(Grammys[[#This Row],[date]] &gt;= DATE(2022,2,1),"Grammys",TRUE,"Grammys TRA")</f>
        <v>Grammys TRA</v>
      </c>
      <c r="I12">
        <f>_xlfn.XLOOKUP(Grammys[[#This Row],[date]],mobile_visits[date],mobile_visits[mobile_visitors],0)</f>
        <v>0</v>
      </c>
      <c r="O12" s="1">
        <v>44603</v>
      </c>
      <c r="P12">
        <v>13393</v>
      </c>
    </row>
    <row r="13" spans="1:16">
      <c r="A13" s="1">
        <v>42747</v>
      </c>
      <c r="B13">
        <v>13616</v>
      </c>
      <c r="C13">
        <v>31559</v>
      </c>
      <c r="D13">
        <v>14613</v>
      </c>
      <c r="E13">
        <v>9227</v>
      </c>
      <c r="F13">
        <v>98</v>
      </c>
      <c r="G13" t="s">
        <v>83</v>
      </c>
      <c r="H13" t="str" cm="1">
        <f t="array" ref="H13">_xlfn.IFS(Grammys[[#This Row],[date]] &gt;= DATE(2022,2,1),"Grammys",TRUE,"Grammys TRA")</f>
        <v>Grammys TRA</v>
      </c>
      <c r="I13">
        <f>_xlfn.XLOOKUP(Grammys[[#This Row],[date]],mobile_visits[date],mobile_visits[mobile_visitors],0)</f>
        <v>0</v>
      </c>
      <c r="O13" s="1">
        <v>44604</v>
      </c>
      <c r="P13">
        <v>13824</v>
      </c>
    </row>
    <row r="14" spans="1:16">
      <c r="A14" s="1">
        <v>42748</v>
      </c>
      <c r="B14">
        <v>11880</v>
      </c>
      <c r="C14">
        <v>27526</v>
      </c>
      <c r="D14">
        <v>12805</v>
      </c>
      <c r="E14">
        <v>8148</v>
      </c>
      <c r="F14">
        <v>97</v>
      </c>
      <c r="G14" t="s">
        <v>83</v>
      </c>
      <c r="H14" t="str" cm="1">
        <f t="array" ref="H14">_xlfn.IFS(Grammys[[#This Row],[date]] &gt;= DATE(2022,2,1),"Grammys",TRUE,"Grammys TRA")</f>
        <v>Grammys TRA</v>
      </c>
      <c r="I14">
        <f>_xlfn.XLOOKUP(Grammys[[#This Row],[date]],mobile_visits[date],mobile_visits[mobile_visitors],0)</f>
        <v>0</v>
      </c>
      <c r="O14" s="1">
        <v>44605</v>
      </c>
      <c r="P14">
        <v>15704</v>
      </c>
    </row>
    <row r="15" spans="1:16">
      <c r="A15" s="1">
        <v>42749</v>
      </c>
      <c r="B15">
        <v>11888</v>
      </c>
      <c r="C15">
        <v>27940</v>
      </c>
      <c r="D15">
        <v>12608</v>
      </c>
      <c r="E15">
        <v>7804</v>
      </c>
      <c r="F15">
        <v>93</v>
      </c>
      <c r="G15" t="s">
        <v>83</v>
      </c>
      <c r="H15" t="str" cm="1">
        <f t="array" ref="H15">_xlfn.IFS(Grammys[[#This Row],[date]] &gt;= DATE(2022,2,1),"Grammys",TRUE,"Grammys TRA")</f>
        <v>Grammys TRA</v>
      </c>
      <c r="I15">
        <f>_xlfn.XLOOKUP(Grammys[[#This Row],[date]],mobile_visits[date],mobile_visits[mobile_visitors],0)</f>
        <v>0</v>
      </c>
      <c r="O15" s="1">
        <v>44606</v>
      </c>
      <c r="P15">
        <v>9362</v>
      </c>
    </row>
    <row r="16" spans="1:16">
      <c r="A16" s="1">
        <v>42750</v>
      </c>
      <c r="B16">
        <v>12706</v>
      </c>
      <c r="C16">
        <v>29109</v>
      </c>
      <c r="D16">
        <v>13416</v>
      </c>
      <c r="E16">
        <v>8349</v>
      </c>
      <c r="F16">
        <v>96</v>
      </c>
      <c r="G16" t="s">
        <v>83</v>
      </c>
      <c r="H16" t="str" cm="1">
        <f t="array" ref="H16">_xlfn.IFS(Grammys[[#This Row],[date]] &gt;= DATE(2022,2,1),"Grammys",TRUE,"Grammys TRA")</f>
        <v>Grammys TRA</v>
      </c>
      <c r="I16">
        <f>_xlfn.XLOOKUP(Grammys[[#This Row],[date]],mobile_visits[date],mobile_visits[mobile_visitors],0)</f>
        <v>0</v>
      </c>
      <c r="O16" s="1">
        <v>44607</v>
      </c>
      <c r="P16">
        <v>9596</v>
      </c>
    </row>
    <row r="17" spans="1:16">
      <c r="A17" s="1">
        <v>42751</v>
      </c>
      <c r="B17">
        <v>12691</v>
      </c>
      <c r="C17">
        <v>30284</v>
      </c>
      <c r="D17">
        <v>13525</v>
      </c>
      <c r="E17">
        <v>8282</v>
      </c>
      <c r="F17">
        <v>100</v>
      </c>
      <c r="G17" t="s">
        <v>83</v>
      </c>
      <c r="H17" t="str" cm="1">
        <f t="array" ref="H17">_xlfn.IFS(Grammys[[#This Row],[date]] &gt;= DATE(2022,2,1),"Grammys",TRUE,"Grammys TRA")</f>
        <v>Grammys TRA</v>
      </c>
      <c r="I17">
        <f>_xlfn.XLOOKUP(Grammys[[#This Row],[date]],mobile_visits[date],mobile_visits[mobile_visitors],0)</f>
        <v>0</v>
      </c>
      <c r="O17" s="1">
        <v>44608</v>
      </c>
      <c r="P17">
        <v>11132</v>
      </c>
    </row>
    <row r="18" spans="1:16">
      <c r="A18" s="1">
        <v>42752</v>
      </c>
      <c r="B18">
        <v>13260</v>
      </c>
      <c r="C18">
        <v>33596</v>
      </c>
      <c r="D18">
        <v>14260</v>
      </c>
      <c r="E18">
        <v>8514</v>
      </c>
      <c r="F18">
        <v>121</v>
      </c>
      <c r="G18" t="s">
        <v>83</v>
      </c>
      <c r="H18" t="str" cm="1">
        <f t="array" ref="H18">_xlfn.IFS(Grammys[[#This Row],[date]] &gt;= DATE(2022,2,1),"Grammys",TRUE,"Grammys TRA")</f>
        <v>Grammys TRA</v>
      </c>
      <c r="I18">
        <f>_xlfn.XLOOKUP(Grammys[[#This Row],[date]],mobile_visits[date],mobile_visits[mobile_visitors],0)</f>
        <v>0</v>
      </c>
      <c r="O18" s="1">
        <v>44609</v>
      </c>
      <c r="P18">
        <v>10821</v>
      </c>
    </row>
    <row r="19" spans="1:16">
      <c r="A19" s="1">
        <v>42753</v>
      </c>
      <c r="B19">
        <v>14483</v>
      </c>
      <c r="C19">
        <v>36586</v>
      </c>
      <c r="D19">
        <v>15809</v>
      </c>
      <c r="E19">
        <v>9494</v>
      </c>
      <c r="F19">
        <v>117</v>
      </c>
      <c r="G19" t="s">
        <v>83</v>
      </c>
      <c r="H19" t="str" cm="1">
        <f t="array" ref="H19">_xlfn.IFS(Grammys[[#This Row],[date]] &gt;= DATE(2022,2,1),"Grammys",TRUE,"Grammys TRA")</f>
        <v>Grammys TRA</v>
      </c>
      <c r="I19">
        <f>_xlfn.XLOOKUP(Grammys[[#This Row],[date]],mobile_visits[date],mobile_visits[mobile_visitors],0)</f>
        <v>0</v>
      </c>
      <c r="O19" s="1">
        <v>44610</v>
      </c>
      <c r="P19">
        <v>8344</v>
      </c>
    </row>
    <row r="20" spans="1:16">
      <c r="A20" s="1">
        <v>42754</v>
      </c>
      <c r="B20">
        <v>13551</v>
      </c>
      <c r="C20">
        <v>31964</v>
      </c>
      <c r="D20">
        <v>14694</v>
      </c>
      <c r="E20">
        <v>9118</v>
      </c>
      <c r="F20">
        <v>104</v>
      </c>
      <c r="G20" t="s">
        <v>83</v>
      </c>
      <c r="H20" t="str" cm="1">
        <f t="array" ref="H20">_xlfn.IFS(Grammys[[#This Row],[date]] &gt;= DATE(2022,2,1),"Grammys",TRUE,"Grammys TRA")</f>
        <v>Grammys TRA</v>
      </c>
      <c r="I20">
        <f>_xlfn.XLOOKUP(Grammys[[#This Row],[date]],mobile_visits[date],mobile_visits[mobile_visitors],0)</f>
        <v>0</v>
      </c>
      <c r="O20" s="1">
        <v>44611</v>
      </c>
      <c r="P20">
        <v>9054</v>
      </c>
    </row>
    <row r="21" spans="1:16">
      <c r="A21" s="1">
        <v>42755</v>
      </c>
      <c r="B21">
        <v>13215</v>
      </c>
      <c r="C21">
        <v>32339</v>
      </c>
      <c r="D21">
        <v>14083</v>
      </c>
      <c r="E21">
        <v>8609</v>
      </c>
      <c r="F21">
        <v>99</v>
      </c>
      <c r="G21" t="s">
        <v>83</v>
      </c>
      <c r="H21" t="str" cm="1">
        <f t="array" ref="H21">_xlfn.IFS(Grammys[[#This Row],[date]] &gt;= DATE(2022,2,1),"Grammys",TRUE,"Grammys TRA")</f>
        <v>Grammys TRA</v>
      </c>
      <c r="I21">
        <f>_xlfn.XLOOKUP(Grammys[[#This Row],[date]],mobile_visits[date],mobile_visits[mobile_visitors],0)</f>
        <v>0</v>
      </c>
      <c r="O21" s="1">
        <v>44612</v>
      </c>
      <c r="P21">
        <v>10781</v>
      </c>
    </row>
    <row r="22" spans="1:16">
      <c r="A22" s="1">
        <v>42756</v>
      </c>
      <c r="B22">
        <v>12578</v>
      </c>
      <c r="C22">
        <v>32504</v>
      </c>
      <c r="D22">
        <v>13725</v>
      </c>
      <c r="E22">
        <v>8135</v>
      </c>
      <c r="F22">
        <v>101</v>
      </c>
      <c r="G22" t="s">
        <v>83</v>
      </c>
      <c r="H22" t="str" cm="1">
        <f t="array" ref="H22">_xlfn.IFS(Grammys[[#This Row],[date]] &gt;= DATE(2022,2,1),"Grammys",TRUE,"Grammys TRA")</f>
        <v>Grammys TRA</v>
      </c>
      <c r="I22">
        <f>_xlfn.XLOOKUP(Grammys[[#This Row],[date]],mobile_visits[date],mobile_visits[mobile_visitors],0)</f>
        <v>0</v>
      </c>
      <c r="O22" s="1">
        <v>44613</v>
      </c>
      <c r="P22">
        <v>8657</v>
      </c>
    </row>
    <row r="23" spans="1:16">
      <c r="A23" s="1">
        <v>42757</v>
      </c>
      <c r="B23">
        <v>16502</v>
      </c>
      <c r="C23">
        <v>42656</v>
      </c>
      <c r="D23">
        <v>17814</v>
      </c>
      <c r="E23">
        <v>10570</v>
      </c>
      <c r="F23">
        <v>93</v>
      </c>
      <c r="G23" t="s">
        <v>83</v>
      </c>
      <c r="H23" t="str" cm="1">
        <f t="array" ref="H23">_xlfn.IFS(Grammys[[#This Row],[date]] &gt;= DATE(2022,2,1),"Grammys",TRUE,"Grammys TRA")</f>
        <v>Grammys TRA</v>
      </c>
      <c r="I23">
        <f>_xlfn.XLOOKUP(Grammys[[#This Row],[date]],mobile_visits[date],mobile_visits[mobile_visitors],0)</f>
        <v>0</v>
      </c>
      <c r="O23" s="1">
        <v>44614</v>
      </c>
      <c r="P23">
        <v>9721</v>
      </c>
    </row>
    <row r="24" spans="1:16">
      <c r="A24" s="1">
        <v>42758</v>
      </c>
      <c r="B24">
        <v>14620</v>
      </c>
      <c r="C24">
        <v>35936</v>
      </c>
      <c r="D24">
        <v>15755</v>
      </c>
      <c r="E24">
        <v>9463</v>
      </c>
      <c r="F24">
        <v>106</v>
      </c>
      <c r="G24" t="s">
        <v>83</v>
      </c>
      <c r="H24" t="str" cm="1">
        <f t="array" ref="H24">_xlfn.IFS(Grammys[[#This Row],[date]] &gt;= DATE(2022,2,1),"Grammys",TRUE,"Grammys TRA")</f>
        <v>Grammys TRA</v>
      </c>
      <c r="I24">
        <f>_xlfn.XLOOKUP(Grammys[[#This Row],[date]],mobile_visits[date],mobile_visits[mobile_visitors],0)</f>
        <v>0</v>
      </c>
      <c r="O24" s="1">
        <v>44615</v>
      </c>
      <c r="P24">
        <v>9813</v>
      </c>
    </row>
    <row r="25" spans="1:16">
      <c r="A25" s="1">
        <v>42759</v>
      </c>
      <c r="B25">
        <v>17787</v>
      </c>
      <c r="C25">
        <v>43392</v>
      </c>
      <c r="D25">
        <v>19070</v>
      </c>
      <c r="E25">
        <v>11845</v>
      </c>
      <c r="F25">
        <v>106</v>
      </c>
      <c r="G25" t="s">
        <v>83</v>
      </c>
      <c r="H25" t="str" cm="1">
        <f t="array" ref="H25">_xlfn.IFS(Grammys[[#This Row],[date]] &gt;= DATE(2022,2,1),"Grammys",TRUE,"Grammys TRA")</f>
        <v>Grammys TRA</v>
      </c>
      <c r="I25">
        <f>_xlfn.XLOOKUP(Grammys[[#This Row],[date]],mobile_visits[date],mobile_visits[mobile_visitors],0)</f>
        <v>0</v>
      </c>
      <c r="O25" s="1">
        <v>44616</v>
      </c>
      <c r="P25">
        <v>8065</v>
      </c>
    </row>
    <row r="26" spans="1:16">
      <c r="A26" s="1">
        <v>42760</v>
      </c>
      <c r="B26">
        <v>15447</v>
      </c>
      <c r="C26">
        <v>38741</v>
      </c>
      <c r="D26">
        <v>16650</v>
      </c>
      <c r="E26">
        <v>10094</v>
      </c>
      <c r="F26">
        <v>112</v>
      </c>
      <c r="G26" t="s">
        <v>83</v>
      </c>
      <c r="H26" t="str" cm="1">
        <f t="array" ref="H26">_xlfn.IFS(Grammys[[#This Row],[date]] &gt;= DATE(2022,2,1),"Grammys",TRUE,"Grammys TRA")</f>
        <v>Grammys TRA</v>
      </c>
      <c r="I26">
        <f>_xlfn.XLOOKUP(Grammys[[#This Row],[date]],mobile_visits[date],mobile_visits[mobile_visitors],0)</f>
        <v>0</v>
      </c>
      <c r="O26" s="1">
        <v>44617</v>
      </c>
      <c r="P26">
        <v>14550</v>
      </c>
    </row>
    <row r="27" spans="1:16">
      <c r="A27" s="1">
        <v>42761</v>
      </c>
      <c r="B27">
        <v>15211</v>
      </c>
      <c r="C27">
        <v>35885</v>
      </c>
      <c r="D27">
        <v>16507</v>
      </c>
      <c r="E27">
        <v>10184</v>
      </c>
      <c r="F27">
        <v>111</v>
      </c>
      <c r="G27" t="s">
        <v>83</v>
      </c>
      <c r="H27" t="str" cm="1">
        <f t="array" ref="H27">_xlfn.IFS(Grammys[[#This Row],[date]] &gt;= DATE(2022,2,1),"Grammys",TRUE,"Grammys TRA")</f>
        <v>Grammys TRA</v>
      </c>
      <c r="I27">
        <f>_xlfn.XLOOKUP(Grammys[[#This Row],[date]],mobile_visits[date],mobile_visits[mobile_visitors],0)</f>
        <v>0</v>
      </c>
      <c r="O27" s="1">
        <v>44618</v>
      </c>
      <c r="P27">
        <v>11505</v>
      </c>
    </row>
    <row r="28" spans="1:16">
      <c r="A28" s="1">
        <v>42762</v>
      </c>
      <c r="B28">
        <v>14007</v>
      </c>
      <c r="C28">
        <v>32563</v>
      </c>
      <c r="D28">
        <v>15147</v>
      </c>
      <c r="E28">
        <v>9337</v>
      </c>
      <c r="F28">
        <v>104</v>
      </c>
      <c r="G28" t="s">
        <v>83</v>
      </c>
      <c r="H28" t="str" cm="1">
        <f t="array" ref="H28">_xlfn.IFS(Grammys[[#This Row],[date]] &gt;= DATE(2022,2,1),"Grammys",TRUE,"Grammys TRA")</f>
        <v>Grammys TRA</v>
      </c>
      <c r="I28">
        <f>_xlfn.XLOOKUP(Grammys[[#This Row],[date]],mobile_visits[date],mobile_visits[mobile_visitors],0)</f>
        <v>0</v>
      </c>
      <c r="O28" s="1">
        <v>44619</v>
      </c>
      <c r="P28">
        <v>9702</v>
      </c>
    </row>
    <row r="29" spans="1:16">
      <c r="A29" s="1">
        <v>42763</v>
      </c>
      <c r="B29">
        <v>12950</v>
      </c>
      <c r="C29">
        <v>30170</v>
      </c>
      <c r="D29">
        <v>13920</v>
      </c>
      <c r="E29">
        <v>8861</v>
      </c>
      <c r="F29">
        <v>101</v>
      </c>
      <c r="G29" t="s">
        <v>83</v>
      </c>
      <c r="H29" t="str" cm="1">
        <f t="array" ref="H29">_xlfn.IFS(Grammys[[#This Row],[date]] &gt;= DATE(2022,2,1),"Grammys",TRUE,"Grammys TRA")</f>
        <v>Grammys TRA</v>
      </c>
      <c r="I29">
        <f>_xlfn.XLOOKUP(Grammys[[#This Row],[date]],mobile_visits[date],mobile_visits[mobile_visitors],0)</f>
        <v>0</v>
      </c>
      <c r="O29" s="1">
        <v>44620</v>
      </c>
      <c r="P29">
        <v>9113</v>
      </c>
    </row>
    <row r="30" spans="1:16">
      <c r="A30" s="1">
        <v>42764</v>
      </c>
      <c r="B30">
        <v>16137</v>
      </c>
      <c r="C30">
        <v>35206</v>
      </c>
      <c r="D30">
        <v>17316</v>
      </c>
      <c r="E30">
        <v>11180</v>
      </c>
      <c r="F30">
        <v>91</v>
      </c>
      <c r="G30" t="s">
        <v>83</v>
      </c>
      <c r="H30" t="str" cm="1">
        <f t="array" ref="H30">_xlfn.IFS(Grammys[[#This Row],[date]] &gt;= DATE(2022,2,1),"Grammys",TRUE,"Grammys TRA")</f>
        <v>Grammys TRA</v>
      </c>
      <c r="I30">
        <f>_xlfn.XLOOKUP(Grammys[[#This Row],[date]],mobile_visits[date],mobile_visits[mobile_visitors],0)</f>
        <v>0</v>
      </c>
      <c r="O30" s="1">
        <v>44621</v>
      </c>
      <c r="P30">
        <v>7336</v>
      </c>
    </row>
    <row r="31" spans="1:16">
      <c r="A31" s="1">
        <v>42765</v>
      </c>
      <c r="B31">
        <v>18765</v>
      </c>
      <c r="C31">
        <v>45298</v>
      </c>
      <c r="D31">
        <v>20142</v>
      </c>
      <c r="E31">
        <v>12442</v>
      </c>
      <c r="F31">
        <v>105</v>
      </c>
      <c r="G31" t="s">
        <v>83</v>
      </c>
      <c r="H31" t="str" cm="1">
        <f t="array" ref="H31">_xlfn.IFS(Grammys[[#This Row],[date]] &gt;= DATE(2022,2,1),"Grammys",TRUE,"Grammys TRA")</f>
        <v>Grammys TRA</v>
      </c>
      <c r="I31">
        <f>_xlfn.XLOOKUP(Grammys[[#This Row],[date]],mobile_visits[date],mobile_visits[mobile_visitors],0)</f>
        <v>0</v>
      </c>
      <c r="O31" s="1">
        <v>44622</v>
      </c>
      <c r="P31">
        <v>7905</v>
      </c>
    </row>
    <row r="32" spans="1:16">
      <c r="A32" s="1">
        <v>42766</v>
      </c>
      <c r="B32">
        <v>35148</v>
      </c>
      <c r="C32">
        <v>89209</v>
      </c>
      <c r="D32">
        <v>38493</v>
      </c>
      <c r="E32">
        <v>24474</v>
      </c>
      <c r="F32">
        <v>104</v>
      </c>
      <c r="G32" t="s">
        <v>83</v>
      </c>
      <c r="H32" t="str" cm="1">
        <f t="array" ref="H32">_xlfn.IFS(Grammys[[#This Row],[date]] &gt;= DATE(2022,2,1),"Grammys",TRUE,"Grammys TRA")</f>
        <v>Grammys TRA</v>
      </c>
      <c r="I32">
        <f>_xlfn.XLOOKUP(Grammys[[#This Row],[date]],mobile_visits[date],mobile_visits[mobile_visitors],0)</f>
        <v>0</v>
      </c>
      <c r="O32" s="1">
        <v>44623</v>
      </c>
      <c r="P32">
        <v>9374</v>
      </c>
    </row>
    <row r="33" spans="1:16">
      <c r="A33" s="1">
        <v>42767</v>
      </c>
      <c r="B33">
        <v>28565</v>
      </c>
      <c r="C33">
        <v>69292</v>
      </c>
      <c r="D33">
        <v>31107</v>
      </c>
      <c r="E33">
        <v>19408</v>
      </c>
      <c r="F33">
        <v>98</v>
      </c>
      <c r="G33" t="s">
        <v>83</v>
      </c>
      <c r="H33" t="str" cm="1">
        <f t="array" ref="H33">_xlfn.IFS(Grammys[[#This Row],[date]] &gt;= DATE(2022,2,1),"Grammys",TRUE,"Grammys TRA")</f>
        <v>Grammys TRA</v>
      </c>
      <c r="I33">
        <f>_xlfn.XLOOKUP(Grammys[[#This Row],[date]],mobile_visits[date],mobile_visits[mobile_visitors],0)</f>
        <v>0</v>
      </c>
      <c r="O33" s="1">
        <v>44624</v>
      </c>
      <c r="P33">
        <v>10977</v>
      </c>
    </row>
    <row r="34" spans="1:16">
      <c r="A34" s="1">
        <v>42768</v>
      </c>
      <c r="B34">
        <v>27502</v>
      </c>
      <c r="C34">
        <v>63795</v>
      </c>
      <c r="D34">
        <v>29756</v>
      </c>
      <c r="E34">
        <v>18955</v>
      </c>
      <c r="F34">
        <v>92</v>
      </c>
      <c r="G34" t="s">
        <v>83</v>
      </c>
      <c r="H34" t="str" cm="1">
        <f t="array" ref="H34">_xlfn.IFS(Grammys[[#This Row],[date]] &gt;= DATE(2022,2,1),"Grammys",TRUE,"Grammys TRA")</f>
        <v>Grammys TRA</v>
      </c>
      <c r="I34">
        <f>_xlfn.XLOOKUP(Grammys[[#This Row],[date]],mobile_visits[date],mobile_visits[mobile_visitors],0)</f>
        <v>0</v>
      </c>
      <c r="O34" s="1">
        <v>44625</v>
      </c>
      <c r="P34">
        <v>10404</v>
      </c>
    </row>
    <row r="35" spans="1:16">
      <c r="A35" s="1">
        <v>42769</v>
      </c>
      <c r="B35">
        <v>22888</v>
      </c>
      <c r="C35">
        <v>54418</v>
      </c>
      <c r="D35">
        <v>24902</v>
      </c>
      <c r="E35">
        <v>15676</v>
      </c>
      <c r="F35">
        <v>102</v>
      </c>
      <c r="G35" t="s">
        <v>83</v>
      </c>
      <c r="H35" t="str" cm="1">
        <f t="array" ref="H35">_xlfn.IFS(Grammys[[#This Row],[date]] &gt;= DATE(2022,2,1),"Grammys",TRUE,"Grammys TRA")</f>
        <v>Grammys TRA</v>
      </c>
      <c r="I35">
        <f>_xlfn.XLOOKUP(Grammys[[#This Row],[date]],mobile_visits[date],mobile_visits[mobile_visitors],0)</f>
        <v>0</v>
      </c>
      <c r="O35" s="1">
        <v>44626</v>
      </c>
      <c r="P35">
        <v>9655</v>
      </c>
    </row>
    <row r="36" spans="1:16">
      <c r="A36" s="1">
        <v>42770</v>
      </c>
      <c r="B36">
        <v>25069</v>
      </c>
      <c r="C36">
        <v>69341</v>
      </c>
      <c r="D36">
        <v>27585</v>
      </c>
      <c r="E36">
        <v>16849</v>
      </c>
      <c r="F36">
        <v>95</v>
      </c>
      <c r="G36" t="s">
        <v>83</v>
      </c>
      <c r="H36" t="str" cm="1">
        <f t="array" ref="H36">_xlfn.IFS(Grammys[[#This Row],[date]] &gt;= DATE(2022,2,1),"Grammys",TRUE,"Grammys TRA")</f>
        <v>Grammys TRA</v>
      </c>
      <c r="I36">
        <f>_xlfn.XLOOKUP(Grammys[[#This Row],[date]],mobile_visits[date],mobile_visits[mobile_visitors],0)</f>
        <v>0</v>
      </c>
      <c r="O36" s="1">
        <v>44627</v>
      </c>
      <c r="P36">
        <v>9351</v>
      </c>
    </row>
    <row r="37" spans="1:16">
      <c r="A37" s="1">
        <v>42771</v>
      </c>
      <c r="B37">
        <v>30728</v>
      </c>
      <c r="C37">
        <v>84077</v>
      </c>
      <c r="D37">
        <v>33575</v>
      </c>
      <c r="E37">
        <v>20307</v>
      </c>
      <c r="F37">
        <v>100</v>
      </c>
      <c r="G37" t="s">
        <v>83</v>
      </c>
      <c r="H37" t="str" cm="1">
        <f t="array" ref="H37">_xlfn.IFS(Grammys[[#This Row],[date]] &gt;= DATE(2022,2,1),"Grammys",TRUE,"Grammys TRA")</f>
        <v>Grammys TRA</v>
      </c>
      <c r="I37">
        <f>_xlfn.XLOOKUP(Grammys[[#This Row],[date]],mobile_visits[date],mobile_visits[mobile_visitors],0)</f>
        <v>0</v>
      </c>
      <c r="O37" s="1">
        <v>44628</v>
      </c>
      <c r="P37">
        <v>9410</v>
      </c>
    </row>
    <row r="38" spans="1:16">
      <c r="A38" s="1">
        <v>42772</v>
      </c>
      <c r="B38">
        <v>34723</v>
      </c>
      <c r="C38">
        <v>88352</v>
      </c>
      <c r="D38">
        <v>38058</v>
      </c>
      <c r="E38">
        <v>22957</v>
      </c>
      <c r="F38">
        <v>104</v>
      </c>
      <c r="G38" t="s">
        <v>83</v>
      </c>
      <c r="H38" t="str" cm="1">
        <f t="array" ref="H38">_xlfn.IFS(Grammys[[#This Row],[date]] &gt;= DATE(2022,2,1),"Grammys",TRUE,"Grammys TRA")</f>
        <v>Grammys TRA</v>
      </c>
      <c r="I38">
        <f>_xlfn.XLOOKUP(Grammys[[#This Row],[date]],mobile_visits[date],mobile_visits[mobile_visitors],0)</f>
        <v>0</v>
      </c>
      <c r="O38" s="1">
        <v>44629</v>
      </c>
      <c r="P38">
        <v>8478</v>
      </c>
    </row>
    <row r="39" spans="1:16">
      <c r="A39" s="1">
        <v>42773</v>
      </c>
      <c r="B39">
        <v>47583</v>
      </c>
      <c r="C39">
        <v>122424</v>
      </c>
      <c r="D39">
        <v>52246</v>
      </c>
      <c r="E39">
        <v>31531</v>
      </c>
      <c r="F39">
        <v>108</v>
      </c>
      <c r="G39" t="s">
        <v>83</v>
      </c>
      <c r="H39" t="str" cm="1">
        <f t="array" ref="H39">_xlfn.IFS(Grammys[[#This Row],[date]] &gt;= DATE(2022,2,1),"Grammys",TRUE,"Grammys TRA")</f>
        <v>Grammys TRA</v>
      </c>
      <c r="I39">
        <f>_xlfn.XLOOKUP(Grammys[[#This Row],[date]],mobile_visits[date],mobile_visits[mobile_visitors],0)</f>
        <v>0</v>
      </c>
      <c r="O39" s="1">
        <v>44630</v>
      </c>
      <c r="P39">
        <v>9234</v>
      </c>
    </row>
    <row r="40" spans="1:16">
      <c r="A40" s="1">
        <v>42774</v>
      </c>
      <c r="B40">
        <v>52279</v>
      </c>
      <c r="C40">
        <v>133884</v>
      </c>
      <c r="D40">
        <v>57599</v>
      </c>
      <c r="E40">
        <v>34946</v>
      </c>
      <c r="F40">
        <v>104</v>
      </c>
      <c r="G40" t="s">
        <v>83</v>
      </c>
      <c r="H40" t="str" cm="1">
        <f t="array" ref="H40">_xlfn.IFS(Grammys[[#This Row],[date]] &gt;= DATE(2022,2,1),"Grammys",TRUE,"Grammys TRA")</f>
        <v>Grammys TRA</v>
      </c>
      <c r="I40">
        <f>_xlfn.XLOOKUP(Grammys[[#This Row],[date]],mobile_visits[date],mobile_visits[mobile_visitors],0)</f>
        <v>0</v>
      </c>
      <c r="O40" s="1">
        <v>44631</v>
      </c>
      <c r="P40">
        <v>9408</v>
      </c>
    </row>
    <row r="41" spans="1:16">
      <c r="A41" s="1">
        <v>42775</v>
      </c>
      <c r="B41">
        <v>73648</v>
      </c>
      <c r="C41">
        <v>191472</v>
      </c>
      <c r="D41">
        <v>81432</v>
      </c>
      <c r="E41">
        <v>49926</v>
      </c>
      <c r="F41">
        <v>108</v>
      </c>
      <c r="G41" t="s">
        <v>83</v>
      </c>
      <c r="H41" t="str" cm="1">
        <f t="array" ref="H41">_xlfn.IFS(Grammys[[#This Row],[date]] &gt;= DATE(2022,2,1),"Grammys",TRUE,"Grammys TRA")</f>
        <v>Grammys TRA</v>
      </c>
      <c r="I41">
        <f>_xlfn.XLOOKUP(Grammys[[#This Row],[date]],mobile_visits[date],mobile_visits[mobile_visitors],0)</f>
        <v>0</v>
      </c>
      <c r="O41" s="1">
        <v>44632</v>
      </c>
      <c r="P41">
        <v>10478</v>
      </c>
    </row>
    <row r="42" spans="1:16">
      <c r="A42" s="1">
        <v>42776</v>
      </c>
      <c r="B42">
        <v>91058</v>
      </c>
      <c r="C42">
        <v>230302</v>
      </c>
      <c r="D42">
        <v>99229</v>
      </c>
      <c r="E42">
        <v>59072</v>
      </c>
      <c r="F42">
        <v>104</v>
      </c>
      <c r="G42" t="s">
        <v>83</v>
      </c>
      <c r="H42" t="str" cm="1">
        <f t="array" ref="H42">_xlfn.IFS(Grammys[[#This Row],[date]] &gt;= DATE(2022,2,1),"Grammys",TRUE,"Grammys TRA")</f>
        <v>Grammys TRA</v>
      </c>
      <c r="I42">
        <f>_xlfn.XLOOKUP(Grammys[[#This Row],[date]],mobile_visits[date],mobile_visits[mobile_visitors],0)</f>
        <v>0</v>
      </c>
      <c r="O42" s="1">
        <v>44633</v>
      </c>
      <c r="P42">
        <v>11570</v>
      </c>
    </row>
    <row r="43" spans="1:16">
      <c r="A43" s="1">
        <v>42777</v>
      </c>
      <c r="B43">
        <v>133362</v>
      </c>
      <c r="C43">
        <v>346375</v>
      </c>
      <c r="D43">
        <v>145977</v>
      </c>
      <c r="E43">
        <v>82930</v>
      </c>
      <c r="F43">
        <v>105</v>
      </c>
      <c r="G43" t="s">
        <v>83</v>
      </c>
      <c r="H43" t="str" cm="1">
        <f t="array" ref="H43">_xlfn.IFS(Grammys[[#This Row],[date]] &gt;= DATE(2022,2,1),"Grammys",TRUE,"Grammys TRA")</f>
        <v>Grammys TRA</v>
      </c>
      <c r="I43">
        <f>_xlfn.XLOOKUP(Grammys[[#This Row],[date]],mobile_visits[date],mobile_visits[mobile_visitors],0)</f>
        <v>0</v>
      </c>
      <c r="O43" s="1">
        <v>44634</v>
      </c>
      <c r="P43">
        <v>14861</v>
      </c>
    </row>
    <row r="44" spans="1:16">
      <c r="A44" s="1">
        <v>42778</v>
      </c>
      <c r="B44">
        <v>1930245</v>
      </c>
      <c r="C44">
        <v>5406421</v>
      </c>
      <c r="D44">
        <v>2254973</v>
      </c>
      <c r="E44">
        <v>1190175</v>
      </c>
      <c r="F44">
        <v>162</v>
      </c>
      <c r="G44" t="s">
        <v>85</v>
      </c>
      <c r="H44" t="str" cm="1">
        <f t="array" ref="H44">_xlfn.IFS(Grammys[[#This Row],[date]] &gt;= DATE(2022,2,1),"Grammys",TRUE,"Grammys TRA")</f>
        <v>Grammys TRA</v>
      </c>
      <c r="I44">
        <f>_xlfn.XLOOKUP(Grammys[[#This Row],[date]],mobile_visits[date],mobile_visits[mobile_visitors],0)</f>
        <v>0</v>
      </c>
      <c r="O44" s="1">
        <v>44635</v>
      </c>
      <c r="P44">
        <v>34343</v>
      </c>
    </row>
    <row r="45" spans="1:16">
      <c r="A45" s="1">
        <v>42779</v>
      </c>
      <c r="B45">
        <v>1057729</v>
      </c>
      <c r="C45">
        <v>2926094</v>
      </c>
      <c r="D45">
        <v>1150572</v>
      </c>
      <c r="E45">
        <v>694831</v>
      </c>
      <c r="F45">
        <v>113</v>
      </c>
      <c r="G45" t="s">
        <v>83</v>
      </c>
      <c r="H45" t="str" cm="1">
        <f t="array" ref="H45">_xlfn.IFS(Grammys[[#This Row],[date]] &gt;= DATE(2022,2,1),"Grammys",TRUE,"Grammys TRA")</f>
        <v>Grammys TRA</v>
      </c>
      <c r="I45">
        <f>_xlfn.XLOOKUP(Grammys[[#This Row],[date]],mobile_visits[date],mobile_visits[mobile_visitors],0)</f>
        <v>0</v>
      </c>
      <c r="O45" s="1">
        <v>44636</v>
      </c>
      <c r="P45">
        <v>17294</v>
      </c>
    </row>
    <row r="46" spans="1:16">
      <c r="A46" s="1">
        <v>42780</v>
      </c>
      <c r="B46">
        <v>213939</v>
      </c>
      <c r="C46">
        <v>526079</v>
      </c>
      <c r="D46">
        <v>229644</v>
      </c>
      <c r="E46">
        <v>149522</v>
      </c>
      <c r="F46">
        <v>102</v>
      </c>
      <c r="G46" t="s">
        <v>83</v>
      </c>
      <c r="H46" t="str" cm="1">
        <f t="array" ref="H46">_xlfn.IFS(Grammys[[#This Row],[date]] &gt;= DATE(2022,2,1),"Grammys",TRUE,"Grammys TRA")</f>
        <v>Grammys TRA</v>
      </c>
      <c r="I46">
        <f>_xlfn.XLOOKUP(Grammys[[#This Row],[date]],mobile_visits[date],mobile_visits[mobile_visitors],0)</f>
        <v>0</v>
      </c>
      <c r="O46" s="1">
        <v>44637</v>
      </c>
      <c r="P46">
        <v>14935</v>
      </c>
    </row>
    <row r="47" spans="1:16">
      <c r="A47" s="1">
        <v>42781</v>
      </c>
      <c r="B47">
        <v>105345</v>
      </c>
      <c r="C47">
        <v>257780</v>
      </c>
      <c r="D47">
        <v>113153</v>
      </c>
      <c r="E47">
        <v>73663</v>
      </c>
      <c r="F47">
        <v>101</v>
      </c>
      <c r="G47" t="s">
        <v>83</v>
      </c>
      <c r="H47" t="str" cm="1">
        <f t="array" ref="H47">_xlfn.IFS(Grammys[[#This Row],[date]] &gt;= DATE(2022,2,1),"Grammys",TRUE,"Grammys TRA")</f>
        <v>Grammys TRA</v>
      </c>
      <c r="I47">
        <f>_xlfn.XLOOKUP(Grammys[[#This Row],[date]],mobile_visits[date],mobile_visits[mobile_visitors],0)</f>
        <v>0</v>
      </c>
      <c r="O47" s="1">
        <v>44638</v>
      </c>
      <c r="P47">
        <v>18086</v>
      </c>
    </row>
    <row r="48" spans="1:16">
      <c r="A48" s="1">
        <v>42782</v>
      </c>
      <c r="B48">
        <v>72888</v>
      </c>
      <c r="C48">
        <v>176323</v>
      </c>
      <c r="D48">
        <v>78087</v>
      </c>
      <c r="E48">
        <v>52100</v>
      </c>
      <c r="F48">
        <v>102</v>
      </c>
      <c r="G48" t="s">
        <v>83</v>
      </c>
      <c r="H48" t="str" cm="1">
        <f t="array" ref="H48">_xlfn.IFS(Grammys[[#This Row],[date]] &gt;= DATE(2022,2,1),"Grammys",TRUE,"Grammys TRA")</f>
        <v>Grammys TRA</v>
      </c>
      <c r="I48">
        <f>_xlfn.XLOOKUP(Grammys[[#This Row],[date]],mobile_visits[date],mobile_visits[mobile_visitors],0)</f>
        <v>0</v>
      </c>
      <c r="O48" s="1">
        <v>44639</v>
      </c>
      <c r="P48">
        <v>24121</v>
      </c>
    </row>
    <row r="49" spans="1:16">
      <c r="A49" s="1">
        <v>42783</v>
      </c>
      <c r="B49">
        <v>62042</v>
      </c>
      <c r="C49">
        <v>137206</v>
      </c>
      <c r="D49">
        <v>66572</v>
      </c>
      <c r="E49">
        <v>46108</v>
      </c>
      <c r="F49">
        <v>95</v>
      </c>
      <c r="G49" t="s">
        <v>83</v>
      </c>
      <c r="H49" t="str" cm="1">
        <f t="array" ref="H49">_xlfn.IFS(Grammys[[#This Row],[date]] &gt;= DATE(2022,2,1),"Grammys",TRUE,"Grammys TRA")</f>
        <v>Grammys TRA</v>
      </c>
      <c r="I49">
        <f>_xlfn.XLOOKUP(Grammys[[#This Row],[date]],mobile_visits[date],mobile_visits[mobile_visitors],0)</f>
        <v>0</v>
      </c>
      <c r="O49" s="1">
        <v>44640</v>
      </c>
      <c r="P49">
        <v>24641</v>
      </c>
    </row>
    <row r="50" spans="1:16">
      <c r="A50" s="1">
        <v>42784</v>
      </c>
      <c r="B50">
        <v>56309</v>
      </c>
      <c r="C50">
        <v>122892</v>
      </c>
      <c r="D50">
        <v>60790</v>
      </c>
      <c r="E50">
        <v>42517</v>
      </c>
      <c r="F50">
        <v>93</v>
      </c>
      <c r="G50" t="s">
        <v>83</v>
      </c>
      <c r="H50" t="str" cm="1">
        <f t="array" ref="H50">_xlfn.IFS(Grammys[[#This Row],[date]] &gt;= DATE(2022,2,1),"Grammys",TRUE,"Grammys TRA")</f>
        <v>Grammys TRA</v>
      </c>
      <c r="I50">
        <f>_xlfn.XLOOKUP(Grammys[[#This Row],[date]],mobile_visits[date],mobile_visits[mobile_visitors],0)</f>
        <v>0</v>
      </c>
      <c r="O50" s="1">
        <v>44641</v>
      </c>
      <c r="P50">
        <v>20029</v>
      </c>
    </row>
    <row r="51" spans="1:16">
      <c r="A51" s="1">
        <v>42785</v>
      </c>
      <c r="B51">
        <v>45545</v>
      </c>
      <c r="C51">
        <v>94898</v>
      </c>
      <c r="D51">
        <v>48812</v>
      </c>
      <c r="E51">
        <v>34345</v>
      </c>
      <c r="F51">
        <v>90</v>
      </c>
      <c r="G51" t="s">
        <v>83</v>
      </c>
      <c r="H51" t="str" cm="1">
        <f t="array" ref="H51">_xlfn.IFS(Grammys[[#This Row],[date]] &gt;= DATE(2022,2,1),"Grammys",TRUE,"Grammys TRA")</f>
        <v>Grammys TRA</v>
      </c>
      <c r="I51">
        <f>_xlfn.XLOOKUP(Grammys[[#This Row],[date]],mobile_visits[date],mobile_visits[mobile_visitors],0)</f>
        <v>0</v>
      </c>
      <c r="O51" s="1">
        <v>44642</v>
      </c>
      <c r="P51">
        <v>25122</v>
      </c>
    </row>
    <row r="52" spans="1:16">
      <c r="A52" s="1">
        <v>42786</v>
      </c>
      <c r="B52">
        <v>36105</v>
      </c>
      <c r="C52">
        <v>76531</v>
      </c>
      <c r="D52">
        <v>38674</v>
      </c>
      <c r="E52">
        <v>27324</v>
      </c>
      <c r="F52">
        <v>92</v>
      </c>
      <c r="G52" t="s">
        <v>83</v>
      </c>
      <c r="H52" t="str" cm="1">
        <f t="array" ref="H52">_xlfn.IFS(Grammys[[#This Row],[date]] &gt;= DATE(2022,2,1),"Grammys",TRUE,"Grammys TRA")</f>
        <v>Grammys TRA</v>
      </c>
      <c r="I52">
        <f>_xlfn.XLOOKUP(Grammys[[#This Row],[date]],mobile_visits[date],mobile_visits[mobile_visitors],0)</f>
        <v>0</v>
      </c>
      <c r="O52" s="1">
        <v>44643</v>
      </c>
      <c r="P52">
        <v>23193</v>
      </c>
    </row>
    <row r="53" spans="1:16">
      <c r="A53" s="1">
        <v>42787</v>
      </c>
      <c r="B53">
        <v>32413</v>
      </c>
      <c r="C53">
        <v>67242</v>
      </c>
      <c r="D53">
        <v>34335</v>
      </c>
      <c r="E53">
        <v>23908</v>
      </c>
      <c r="F53">
        <v>92</v>
      </c>
      <c r="G53" t="s">
        <v>83</v>
      </c>
      <c r="H53" t="str" cm="1">
        <f t="array" ref="H53">_xlfn.IFS(Grammys[[#This Row],[date]] &gt;= DATE(2022,2,1),"Grammys",TRUE,"Grammys TRA")</f>
        <v>Grammys TRA</v>
      </c>
      <c r="I53">
        <f>_xlfn.XLOOKUP(Grammys[[#This Row],[date]],mobile_visits[date],mobile_visits[mobile_visitors],0)</f>
        <v>0</v>
      </c>
      <c r="O53" s="1">
        <v>44644</v>
      </c>
      <c r="P53">
        <v>21853</v>
      </c>
    </row>
    <row r="54" spans="1:16">
      <c r="A54" s="1">
        <v>42788</v>
      </c>
      <c r="B54">
        <v>29955</v>
      </c>
      <c r="C54">
        <v>65302</v>
      </c>
      <c r="D54">
        <v>31991</v>
      </c>
      <c r="E54">
        <v>22189</v>
      </c>
      <c r="F54">
        <v>93</v>
      </c>
      <c r="G54" t="s">
        <v>83</v>
      </c>
      <c r="H54" t="str" cm="1">
        <f t="array" ref="H54">_xlfn.IFS(Grammys[[#This Row],[date]] &gt;= DATE(2022,2,1),"Grammys",TRUE,"Grammys TRA")</f>
        <v>Grammys TRA</v>
      </c>
      <c r="I54">
        <f>_xlfn.XLOOKUP(Grammys[[#This Row],[date]],mobile_visits[date],mobile_visits[mobile_visitors],0)</f>
        <v>0</v>
      </c>
      <c r="O54" s="1">
        <v>44645</v>
      </c>
      <c r="P54">
        <v>23730</v>
      </c>
    </row>
    <row r="55" spans="1:16">
      <c r="A55" s="1">
        <v>42789</v>
      </c>
      <c r="B55">
        <v>25603</v>
      </c>
      <c r="C55">
        <v>55174</v>
      </c>
      <c r="D55">
        <v>27515</v>
      </c>
      <c r="E55">
        <v>19275</v>
      </c>
      <c r="F55">
        <v>92</v>
      </c>
      <c r="G55" t="s">
        <v>83</v>
      </c>
      <c r="H55" t="str" cm="1">
        <f t="array" ref="H55">_xlfn.IFS(Grammys[[#This Row],[date]] &gt;= DATE(2022,2,1),"Grammys",TRUE,"Grammys TRA")</f>
        <v>Grammys TRA</v>
      </c>
      <c r="I55">
        <f>_xlfn.XLOOKUP(Grammys[[#This Row],[date]],mobile_visits[date],mobile_visits[mobile_visitors],0)</f>
        <v>0</v>
      </c>
      <c r="O55" s="1">
        <v>44646</v>
      </c>
      <c r="P55">
        <v>31163</v>
      </c>
    </row>
    <row r="56" spans="1:16">
      <c r="A56" s="1">
        <v>42790</v>
      </c>
      <c r="B56">
        <v>23074</v>
      </c>
      <c r="C56">
        <v>47921</v>
      </c>
      <c r="D56">
        <v>24605</v>
      </c>
      <c r="E56">
        <v>17384</v>
      </c>
      <c r="F56">
        <v>84</v>
      </c>
      <c r="G56" t="s">
        <v>83</v>
      </c>
      <c r="H56" t="str" cm="1">
        <f t="array" ref="H56">_xlfn.IFS(Grammys[[#This Row],[date]] &gt;= DATE(2022,2,1),"Grammys",TRUE,"Grammys TRA")</f>
        <v>Grammys TRA</v>
      </c>
      <c r="I56">
        <f>_xlfn.XLOOKUP(Grammys[[#This Row],[date]],mobile_visits[date],mobile_visits[mobile_visitors],0)</f>
        <v>0</v>
      </c>
      <c r="O56" s="1">
        <v>44647</v>
      </c>
      <c r="P56">
        <v>64557</v>
      </c>
    </row>
    <row r="57" spans="1:16">
      <c r="A57" s="1">
        <v>42791</v>
      </c>
      <c r="B57">
        <v>26718</v>
      </c>
      <c r="C57">
        <v>49579</v>
      </c>
      <c r="D57">
        <v>28030</v>
      </c>
      <c r="E57">
        <v>20874</v>
      </c>
      <c r="F57">
        <v>74</v>
      </c>
      <c r="G57" t="s">
        <v>83</v>
      </c>
      <c r="H57" t="str" cm="1">
        <f t="array" ref="H57">_xlfn.IFS(Grammys[[#This Row],[date]] &gt;= DATE(2022,2,1),"Grammys",TRUE,"Grammys TRA")</f>
        <v>Grammys TRA</v>
      </c>
      <c r="I57">
        <f>_xlfn.XLOOKUP(Grammys[[#This Row],[date]],mobile_visits[date],mobile_visits[mobile_visitors],0)</f>
        <v>0</v>
      </c>
      <c r="O57" s="1">
        <v>44648</v>
      </c>
      <c r="P57">
        <v>67000</v>
      </c>
    </row>
    <row r="58" spans="1:16">
      <c r="A58" s="1">
        <v>42792</v>
      </c>
      <c r="B58">
        <v>33563</v>
      </c>
      <c r="C58">
        <v>60222</v>
      </c>
      <c r="D58">
        <v>35116</v>
      </c>
      <c r="E58">
        <v>25790</v>
      </c>
      <c r="F58">
        <v>69</v>
      </c>
      <c r="G58" t="s">
        <v>83</v>
      </c>
      <c r="H58" t="str" cm="1">
        <f t="array" ref="H58">_xlfn.IFS(Grammys[[#This Row],[date]] &gt;= DATE(2022,2,1),"Grammys",TRUE,"Grammys TRA")</f>
        <v>Grammys TRA</v>
      </c>
      <c r="I58">
        <f>_xlfn.XLOOKUP(Grammys[[#This Row],[date]],mobile_visits[date],mobile_visits[mobile_visitors],0)</f>
        <v>0</v>
      </c>
      <c r="O58" s="1">
        <v>44649</v>
      </c>
      <c r="P58">
        <v>64586</v>
      </c>
    </row>
    <row r="59" spans="1:16">
      <c r="A59" s="1">
        <v>42793</v>
      </c>
      <c r="B59">
        <v>27790</v>
      </c>
      <c r="C59">
        <v>53034</v>
      </c>
      <c r="D59">
        <v>29224</v>
      </c>
      <c r="E59">
        <v>21261</v>
      </c>
      <c r="F59">
        <v>77</v>
      </c>
      <c r="G59" t="s">
        <v>83</v>
      </c>
      <c r="H59" t="str" cm="1">
        <f t="array" ref="H59">_xlfn.IFS(Grammys[[#This Row],[date]] &gt;= DATE(2022,2,1),"Grammys",TRUE,"Grammys TRA")</f>
        <v>Grammys TRA</v>
      </c>
      <c r="I59">
        <f>_xlfn.XLOOKUP(Grammys[[#This Row],[date]],mobile_visits[date],mobile_visits[mobile_visitors],0)</f>
        <v>0</v>
      </c>
      <c r="O59" s="1">
        <v>44650</v>
      </c>
      <c r="P59">
        <v>70495</v>
      </c>
    </row>
    <row r="60" spans="1:16">
      <c r="A60" s="1">
        <v>42794</v>
      </c>
      <c r="B60">
        <v>19932</v>
      </c>
      <c r="C60">
        <v>38080</v>
      </c>
      <c r="D60">
        <v>21147</v>
      </c>
      <c r="E60">
        <v>15222</v>
      </c>
      <c r="F60">
        <v>80</v>
      </c>
      <c r="G60" t="s">
        <v>83</v>
      </c>
      <c r="H60" t="str" cm="1">
        <f t="array" ref="H60">_xlfn.IFS(Grammys[[#This Row],[date]] &gt;= DATE(2022,2,1),"Grammys",TRUE,"Grammys TRA")</f>
        <v>Grammys TRA</v>
      </c>
      <c r="I60">
        <f>_xlfn.XLOOKUP(Grammys[[#This Row],[date]],mobile_visits[date],mobile_visits[mobile_visitors],0)</f>
        <v>0</v>
      </c>
      <c r="O60" s="1">
        <v>44651</v>
      </c>
      <c r="P60">
        <v>58734</v>
      </c>
    </row>
    <row r="61" spans="1:16">
      <c r="A61" s="1">
        <v>42795</v>
      </c>
      <c r="B61">
        <v>17077</v>
      </c>
      <c r="C61">
        <v>33835</v>
      </c>
      <c r="D61">
        <v>18085</v>
      </c>
      <c r="E61">
        <v>12738</v>
      </c>
      <c r="F61">
        <v>87</v>
      </c>
      <c r="G61" t="s">
        <v>83</v>
      </c>
      <c r="H61" t="str" cm="1">
        <f t="array" ref="H61">_xlfn.IFS(Grammys[[#This Row],[date]] &gt;= DATE(2022,2,1),"Grammys",TRUE,"Grammys TRA")</f>
        <v>Grammys TRA</v>
      </c>
      <c r="I61">
        <f>_xlfn.XLOOKUP(Grammys[[#This Row],[date]],mobile_visits[date],mobile_visits[mobile_visitors],0)</f>
        <v>0</v>
      </c>
      <c r="O61" s="1">
        <v>44652</v>
      </c>
      <c r="P61">
        <v>81320</v>
      </c>
    </row>
    <row r="62" spans="1:16">
      <c r="A62" s="1">
        <v>42796</v>
      </c>
      <c r="B62">
        <v>21703</v>
      </c>
      <c r="C62">
        <v>38318</v>
      </c>
      <c r="D62">
        <v>22885</v>
      </c>
      <c r="E62">
        <v>17530</v>
      </c>
      <c r="F62">
        <v>68</v>
      </c>
      <c r="G62" t="s">
        <v>83</v>
      </c>
      <c r="H62" t="str" cm="1">
        <f t="array" ref="H62">_xlfn.IFS(Grammys[[#This Row],[date]] &gt;= DATE(2022,2,1),"Grammys",TRUE,"Grammys TRA")</f>
        <v>Grammys TRA</v>
      </c>
      <c r="I62">
        <f>_xlfn.XLOOKUP(Grammys[[#This Row],[date]],mobile_visits[date],mobile_visits[mobile_visitors],0)</f>
        <v>0</v>
      </c>
      <c r="O62" s="1">
        <v>44653</v>
      </c>
      <c r="P62">
        <v>181561</v>
      </c>
    </row>
    <row r="63" spans="1:16">
      <c r="A63" s="1">
        <v>42797</v>
      </c>
      <c r="B63">
        <v>21421</v>
      </c>
      <c r="C63">
        <v>39240</v>
      </c>
      <c r="D63">
        <v>22932</v>
      </c>
      <c r="E63">
        <v>17378</v>
      </c>
      <c r="F63">
        <v>73</v>
      </c>
      <c r="G63" t="s">
        <v>83</v>
      </c>
      <c r="H63" t="str" cm="1">
        <f t="array" ref="H63">_xlfn.IFS(Grammys[[#This Row],[date]] &gt;= DATE(2022,2,1),"Grammys",TRUE,"Grammys TRA")</f>
        <v>Grammys TRA</v>
      </c>
      <c r="I63">
        <f>_xlfn.XLOOKUP(Grammys[[#This Row],[date]],mobile_visits[date],mobile_visits[mobile_visitors],0)</f>
        <v>0</v>
      </c>
      <c r="O63" s="1">
        <v>44654</v>
      </c>
      <c r="P63">
        <v>1751415</v>
      </c>
    </row>
    <row r="64" spans="1:16">
      <c r="A64" s="1">
        <v>42798</v>
      </c>
      <c r="B64">
        <v>16004</v>
      </c>
      <c r="C64">
        <v>31000</v>
      </c>
      <c r="D64">
        <v>17007</v>
      </c>
      <c r="E64">
        <v>12417</v>
      </c>
      <c r="F64">
        <v>79</v>
      </c>
      <c r="G64" t="s">
        <v>83</v>
      </c>
      <c r="H64" t="str" cm="1">
        <f t="array" ref="H64">_xlfn.IFS(Grammys[[#This Row],[date]] &gt;= DATE(2022,2,1),"Grammys",TRUE,"Grammys TRA")</f>
        <v>Grammys TRA</v>
      </c>
      <c r="I64">
        <f>_xlfn.XLOOKUP(Grammys[[#This Row],[date]],mobile_visits[date],mobile_visits[mobile_visitors],0)</f>
        <v>0</v>
      </c>
      <c r="O64" s="1">
        <v>44655</v>
      </c>
      <c r="P64">
        <v>568791</v>
      </c>
    </row>
    <row r="65" spans="1:16">
      <c r="A65" s="1">
        <v>42799</v>
      </c>
      <c r="B65">
        <v>15142</v>
      </c>
      <c r="C65">
        <v>29655</v>
      </c>
      <c r="D65">
        <v>16135</v>
      </c>
      <c r="E65">
        <v>11606</v>
      </c>
      <c r="F65">
        <v>84</v>
      </c>
      <c r="G65" t="s">
        <v>83</v>
      </c>
      <c r="H65" t="str" cm="1">
        <f t="array" ref="H65">_xlfn.IFS(Grammys[[#This Row],[date]] &gt;= DATE(2022,2,1),"Grammys",TRUE,"Grammys TRA")</f>
        <v>Grammys TRA</v>
      </c>
      <c r="I65">
        <f>_xlfn.XLOOKUP(Grammys[[#This Row],[date]],mobile_visits[date],mobile_visits[mobile_visitors],0)</f>
        <v>0</v>
      </c>
      <c r="O65" s="1">
        <v>44656</v>
      </c>
      <c r="P65">
        <v>156760</v>
      </c>
    </row>
    <row r="66" spans="1:16">
      <c r="A66" s="1">
        <v>42800</v>
      </c>
      <c r="B66">
        <v>14735</v>
      </c>
      <c r="C66">
        <v>28074</v>
      </c>
      <c r="D66">
        <v>15733</v>
      </c>
      <c r="E66">
        <v>11346</v>
      </c>
      <c r="F66">
        <v>81</v>
      </c>
      <c r="G66" t="s">
        <v>83</v>
      </c>
      <c r="H66" t="str" cm="1">
        <f t="array" ref="H66">_xlfn.IFS(Grammys[[#This Row],[date]] &gt;= DATE(2022,2,1),"Grammys",TRUE,"Grammys TRA")</f>
        <v>Grammys TRA</v>
      </c>
      <c r="I66">
        <f>_xlfn.XLOOKUP(Grammys[[#This Row],[date]],mobile_visits[date],mobile_visits[mobile_visitors],0)</f>
        <v>0</v>
      </c>
      <c r="O66" s="1">
        <v>44657</v>
      </c>
      <c r="P66">
        <v>88797</v>
      </c>
    </row>
    <row r="67" spans="1:16">
      <c r="A67" s="1">
        <v>42801</v>
      </c>
      <c r="B67">
        <v>12773</v>
      </c>
      <c r="C67">
        <v>24940</v>
      </c>
      <c r="D67">
        <v>13571</v>
      </c>
      <c r="E67">
        <v>9838</v>
      </c>
      <c r="F67">
        <v>82</v>
      </c>
      <c r="G67" t="s">
        <v>83</v>
      </c>
      <c r="H67" t="str" cm="1">
        <f t="array" ref="H67">_xlfn.IFS(Grammys[[#This Row],[date]] &gt;= DATE(2022,2,1),"Grammys",TRUE,"Grammys TRA")</f>
        <v>Grammys TRA</v>
      </c>
      <c r="I67">
        <f>_xlfn.XLOOKUP(Grammys[[#This Row],[date]],mobile_visits[date],mobile_visits[mobile_visitors],0)</f>
        <v>0</v>
      </c>
      <c r="O67" s="1">
        <v>44658</v>
      </c>
      <c r="P67">
        <v>64588</v>
      </c>
    </row>
    <row r="68" spans="1:16">
      <c r="A68" s="1">
        <v>42802</v>
      </c>
      <c r="B68">
        <v>11539</v>
      </c>
      <c r="C68">
        <v>23070</v>
      </c>
      <c r="D68">
        <v>12432</v>
      </c>
      <c r="E68">
        <v>8892</v>
      </c>
      <c r="F68">
        <v>87</v>
      </c>
      <c r="G68" t="s">
        <v>83</v>
      </c>
      <c r="H68" t="str" cm="1">
        <f t="array" ref="H68">_xlfn.IFS(Grammys[[#This Row],[date]] &gt;= DATE(2022,2,1),"Grammys",TRUE,"Grammys TRA")</f>
        <v>Grammys TRA</v>
      </c>
      <c r="I68">
        <f>_xlfn.XLOOKUP(Grammys[[#This Row],[date]],mobile_visits[date],mobile_visits[mobile_visitors],0)</f>
        <v>0</v>
      </c>
      <c r="O68" s="1">
        <v>44659</v>
      </c>
      <c r="P68">
        <v>55077</v>
      </c>
    </row>
    <row r="69" spans="1:16">
      <c r="A69" s="1">
        <v>42803</v>
      </c>
      <c r="B69">
        <v>11395</v>
      </c>
      <c r="C69">
        <v>23221</v>
      </c>
      <c r="D69">
        <v>12217</v>
      </c>
      <c r="E69">
        <v>8667</v>
      </c>
      <c r="F69">
        <v>83</v>
      </c>
      <c r="G69" t="s">
        <v>83</v>
      </c>
      <c r="H69" t="str" cm="1">
        <f t="array" ref="H69">_xlfn.IFS(Grammys[[#This Row],[date]] &gt;= DATE(2022,2,1),"Grammys",TRUE,"Grammys TRA")</f>
        <v>Grammys TRA</v>
      </c>
      <c r="I69">
        <f>_xlfn.XLOOKUP(Grammys[[#This Row],[date]],mobile_visits[date],mobile_visits[mobile_visitors],0)</f>
        <v>0</v>
      </c>
      <c r="O69" s="1">
        <v>44660</v>
      </c>
      <c r="P69">
        <v>50750</v>
      </c>
    </row>
    <row r="70" spans="1:16">
      <c r="A70" s="1">
        <v>42804</v>
      </c>
      <c r="B70">
        <v>10794</v>
      </c>
      <c r="C70">
        <v>21259</v>
      </c>
      <c r="D70">
        <v>11382</v>
      </c>
      <c r="E70">
        <v>8175</v>
      </c>
      <c r="F70">
        <v>86</v>
      </c>
      <c r="G70" t="s">
        <v>83</v>
      </c>
      <c r="H70" t="str" cm="1">
        <f t="array" ref="H70">_xlfn.IFS(Grammys[[#This Row],[date]] &gt;= DATE(2022,2,1),"Grammys",TRUE,"Grammys TRA")</f>
        <v>Grammys TRA</v>
      </c>
      <c r="I70">
        <f>_xlfn.XLOOKUP(Grammys[[#This Row],[date]],mobile_visits[date],mobile_visits[mobile_visitors],0)</f>
        <v>0</v>
      </c>
      <c r="O70" s="1">
        <v>44661</v>
      </c>
      <c r="P70">
        <v>41091</v>
      </c>
    </row>
    <row r="71" spans="1:16">
      <c r="A71" s="1">
        <v>42805</v>
      </c>
      <c r="B71">
        <v>11855</v>
      </c>
      <c r="C71">
        <v>25447</v>
      </c>
      <c r="D71">
        <v>12524</v>
      </c>
      <c r="E71">
        <v>8706</v>
      </c>
      <c r="F71">
        <v>81</v>
      </c>
      <c r="G71" t="s">
        <v>83</v>
      </c>
      <c r="H71" t="str" cm="1">
        <f t="array" ref="H71">_xlfn.IFS(Grammys[[#This Row],[date]] &gt;= DATE(2022,2,1),"Grammys",TRUE,"Grammys TRA")</f>
        <v>Grammys TRA</v>
      </c>
      <c r="I71">
        <f>_xlfn.XLOOKUP(Grammys[[#This Row],[date]],mobile_visits[date],mobile_visits[mobile_visitors],0)</f>
        <v>0</v>
      </c>
      <c r="O71" s="1">
        <v>44662</v>
      </c>
      <c r="P71">
        <v>29459</v>
      </c>
    </row>
    <row r="72" spans="1:16">
      <c r="A72" s="1">
        <v>42806</v>
      </c>
      <c r="B72">
        <v>9602</v>
      </c>
      <c r="C72">
        <v>19257</v>
      </c>
      <c r="D72">
        <v>10334</v>
      </c>
      <c r="E72">
        <v>7414</v>
      </c>
      <c r="F72">
        <v>83</v>
      </c>
      <c r="G72" t="s">
        <v>83</v>
      </c>
      <c r="H72" t="str" cm="1">
        <f t="array" ref="H72">_xlfn.IFS(Grammys[[#This Row],[date]] &gt;= DATE(2022,2,1),"Grammys",TRUE,"Grammys TRA")</f>
        <v>Grammys TRA</v>
      </c>
      <c r="I72">
        <f>_xlfn.XLOOKUP(Grammys[[#This Row],[date]],mobile_visits[date],mobile_visits[mobile_visitors],0)</f>
        <v>0</v>
      </c>
      <c r="O72" s="1">
        <v>44663</v>
      </c>
      <c r="P72">
        <v>26759</v>
      </c>
    </row>
    <row r="73" spans="1:16">
      <c r="A73" s="1">
        <v>42807</v>
      </c>
      <c r="B73">
        <v>9797</v>
      </c>
      <c r="C73">
        <v>19886</v>
      </c>
      <c r="D73">
        <v>10432</v>
      </c>
      <c r="E73">
        <v>7483</v>
      </c>
      <c r="F73">
        <v>96</v>
      </c>
      <c r="G73" t="s">
        <v>83</v>
      </c>
      <c r="H73" t="str" cm="1">
        <f t="array" ref="H73">_xlfn.IFS(Grammys[[#This Row],[date]] &gt;= DATE(2022,2,1),"Grammys",TRUE,"Grammys TRA")</f>
        <v>Grammys TRA</v>
      </c>
      <c r="I73">
        <f>_xlfn.XLOOKUP(Grammys[[#This Row],[date]],mobile_visits[date],mobile_visits[mobile_visitors],0)</f>
        <v>0</v>
      </c>
      <c r="O73" s="1">
        <v>44664</v>
      </c>
      <c r="P73">
        <v>23134</v>
      </c>
    </row>
    <row r="74" spans="1:16">
      <c r="A74" s="1">
        <v>42808</v>
      </c>
      <c r="B74">
        <v>10665</v>
      </c>
      <c r="C74">
        <v>20742</v>
      </c>
      <c r="D74">
        <v>11257</v>
      </c>
      <c r="E74">
        <v>8190</v>
      </c>
      <c r="F74">
        <v>86</v>
      </c>
      <c r="G74" t="s">
        <v>83</v>
      </c>
      <c r="H74" t="str" cm="1">
        <f t="array" ref="H74">_xlfn.IFS(Grammys[[#This Row],[date]] &gt;= DATE(2022,2,1),"Grammys",TRUE,"Grammys TRA")</f>
        <v>Grammys TRA</v>
      </c>
      <c r="I74">
        <f>_xlfn.XLOOKUP(Grammys[[#This Row],[date]],mobile_visits[date],mobile_visits[mobile_visitors],0)</f>
        <v>0</v>
      </c>
      <c r="O74" s="1">
        <v>44665</v>
      </c>
      <c r="P74">
        <v>21536</v>
      </c>
    </row>
    <row r="75" spans="1:16">
      <c r="A75" s="1">
        <v>42809</v>
      </c>
      <c r="B75">
        <v>9546</v>
      </c>
      <c r="C75">
        <v>19267</v>
      </c>
      <c r="D75">
        <v>10205</v>
      </c>
      <c r="E75">
        <v>7397</v>
      </c>
      <c r="F75">
        <v>96</v>
      </c>
      <c r="G75" t="s">
        <v>83</v>
      </c>
      <c r="H75" t="str" cm="1">
        <f t="array" ref="H75">_xlfn.IFS(Grammys[[#This Row],[date]] &gt;= DATE(2022,2,1),"Grammys",TRUE,"Grammys TRA")</f>
        <v>Grammys TRA</v>
      </c>
      <c r="I75">
        <f>_xlfn.XLOOKUP(Grammys[[#This Row],[date]],mobile_visits[date],mobile_visits[mobile_visitors],0)</f>
        <v>0</v>
      </c>
      <c r="O75" s="1">
        <v>44666</v>
      </c>
      <c r="P75">
        <v>21387</v>
      </c>
    </row>
    <row r="76" spans="1:16">
      <c r="A76" s="1">
        <v>42810</v>
      </c>
      <c r="B76">
        <v>8789</v>
      </c>
      <c r="C76">
        <v>17184</v>
      </c>
      <c r="D76">
        <v>9291</v>
      </c>
      <c r="E76">
        <v>6718</v>
      </c>
      <c r="F76">
        <v>83</v>
      </c>
      <c r="G76" t="s">
        <v>83</v>
      </c>
      <c r="H76" t="str" cm="1">
        <f t="array" ref="H76">_xlfn.IFS(Grammys[[#This Row],[date]] &gt;= DATE(2022,2,1),"Grammys",TRUE,"Grammys TRA")</f>
        <v>Grammys TRA</v>
      </c>
      <c r="I76">
        <f>_xlfn.XLOOKUP(Grammys[[#This Row],[date]],mobile_visits[date],mobile_visits[mobile_visitors],0)</f>
        <v>0</v>
      </c>
      <c r="O76" s="1">
        <v>44667</v>
      </c>
      <c r="P76">
        <v>20604</v>
      </c>
    </row>
    <row r="77" spans="1:16">
      <c r="A77" s="1">
        <v>42811</v>
      </c>
      <c r="B77">
        <v>8242</v>
      </c>
      <c r="C77">
        <v>15837</v>
      </c>
      <c r="D77">
        <v>8790</v>
      </c>
      <c r="E77">
        <v>6308</v>
      </c>
      <c r="F77">
        <v>85</v>
      </c>
      <c r="G77" t="s">
        <v>83</v>
      </c>
      <c r="H77" t="str" cm="1">
        <f t="array" ref="H77">_xlfn.IFS(Grammys[[#This Row],[date]] &gt;= DATE(2022,2,1),"Grammys",TRUE,"Grammys TRA")</f>
        <v>Grammys TRA</v>
      </c>
      <c r="I77">
        <f>_xlfn.XLOOKUP(Grammys[[#This Row],[date]],mobile_visits[date],mobile_visits[mobile_visitors],0)</f>
        <v>0</v>
      </c>
      <c r="O77" s="1">
        <v>44668</v>
      </c>
      <c r="P77">
        <v>20193</v>
      </c>
    </row>
    <row r="78" spans="1:16">
      <c r="A78" s="1">
        <v>42812</v>
      </c>
      <c r="B78">
        <v>8303</v>
      </c>
      <c r="C78">
        <v>16195</v>
      </c>
      <c r="D78">
        <v>8767</v>
      </c>
      <c r="E78">
        <v>6314</v>
      </c>
      <c r="F78">
        <v>89</v>
      </c>
      <c r="G78" t="s">
        <v>83</v>
      </c>
      <c r="H78" t="str" cm="1">
        <f t="array" ref="H78">_xlfn.IFS(Grammys[[#This Row],[date]] &gt;= DATE(2022,2,1),"Grammys",TRUE,"Grammys TRA")</f>
        <v>Grammys TRA</v>
      </c>
      <c r="I78">
        <f>_xlfn.XLOOKUP(Grammys[[#This Row],[date]],mobile_visits[date],mobile_visits[mobile_visitors],0)</f>
        <v>0</v>
      </c>
      <c r="O78" s="1">
        <v>44669</v>
      </c>
      <c r="P78">
        <v>17961</v>
      </c>
    </row>
    <row r="79" spans="1:16">
      <c r="A79" s="1">
        <v>42813</v>
      </c>
      <c r="B79">
        <v>8990</v>
      </c>
      <c r="C79">
        <v>17393</v>
      </c>
      <c r="D79">
        <v>9573</v>
      </c>
      <c r="E79">
        <v>6931</v>
      </c>
      <c r="F79">
        <v>82</v>
      </c>
      <c r="G79" t="s">
        <v>83</v>
      </c>
      <c r="H79" t="str" cm="1">
        <f t="array" ref="H79">_xlfn.IFS(Grammys[[#This Row],[date]] &gt;= DATE(2022,2,1),"Grammys",TRUE,"Grammys TRA")</f>
        <v>Grammys TRA</v>
      </c>
      <c r="I79">
        <f>_xlfn.XLOOKUP(Grammys[[#This Row],[date]],mobile_visits[date],mobile_visits[mobile_visitors],0)</f>
        <v>0</v>
      </c>
      <c r="O79" s="1">
        <v>44670</v>
      </c>
      <c r="P79">
        <v>15563</v>
      </c>
    </row>
    <row r="80" spans="1:16">
      <c r="A80" s="1">
        <v>42814</v>
      </c>
      <c r="B80">
        <v>8511</v>
      </c>
      <c r="C80">
        <v>16708</v>
      </c>
      <c r="D80">
        <v>9077</v>
      </c>
      <c r="E80">
        <v>6560</v>
      </c>
      <c r="F80">
        <v>87</v>
      </c>
      <c r="G80" t="s">
        <v>83</v>
      </c>
      <c r="H80" t="str" cm="1">
        <f t="array" ref="H80">_xlfn.IFS(Grammys[[#This Row],[date]] &gt;= DATE(2022,2,1),"Grammys",TRUE,"Grammys TRA")</f>
        <v>Grammys TRA</v>
      </c>
      <c r="I80">
        <f>_xlfn.XLOOKUP(Grammys[[#This Row],[date]],mobile_visits[date],mobile_visits[mobile_visitors],0)</f>
        <v>0</v>
      </c>
      <c r="O80" s="1">
        <v>44671</v>
      </c>
      <c r="P80">
        <v>14430</v>
      </c>
    </row>
    <row r="81" spans="1:16">
      <c r="A81" s="1">
        <v>42815</v>
      </c>
      <c r="B81">
        <v>12251</v>
      </c>
      <c r="C81">
        <v>21578</v>
      </c>
      <c r="D81">
        <v>12929</v>
      </c>
      <c r="E81">
        <v>9971</v>
      </c>
      <c r="F81">
        <v>73</v>
      </c>
      <c r="G81" t="s">
        <v>83</v>
      </c>
      <c r="H81" t="str" cm="1">
        <f t="array" ref="H81">_xlfn.IFS(Grammys[[#This Row],[date]] &gt;= DATE(2022,2,1),"Grammys",TRUE,"Grammys TRA")</f>
        <v>Grammys TRA</v>
      </c>
      <c r="I81">
        <f>_xlfn.XLOOKUP(Grammys[[#This Row],[date]],mobile_visits[date],mobile_visits[mobile_visitors],0)</f>
        <v>0</v>
      </c>
      <c r="O81" s="1">
        <v>44672</v>
      </c>
      <c r="P81">
        <v>17867</v>
      </c>
    </row>
    <row r="82" spans="1:16">
      <c r="A82" s="1">
        <v>42816</v>
      </c>
      <c r="B82">
        <v>9377</v>
      </c>
      <c r="C82">
        <v>17646</v>
      </c>
      <c r="D82">
        <v>9899</v>
      </c>
      <c r="E82">
        <v>7190</v>
      </c>
      <c r="F82">
        <v>86</v>
      </c>
      <c r="G82" t="s">
        <v>83</v>
      </c>
      <c r="H82" t="str" cm="1">
        <f t="array" ref="H82">_xlfn.IFS(Grammys[[#This Row],[date]] &gt;= DATE(2022,2,1),"Grammys",TRUE,"Grammys TRA")</f>
        <v>Grammys TRA</v>
      </c>
      <c r="I82">
        <f>_xlfn.XLOOKUP(Grammys[[#This Row],[date]],mobile_visits[date],mobile_visits[mobile_visitors],0)</f>
        <v>0</v>
      </c>
      <c r="O82" s="1">
        <v>44673</v>
      </c>
      <c r="P82">
        <v>17332</v>
      </c>
    </row>
    <row r="83" spans="1:16">
      <c r="A83" s="1">
        <v>42817</v>
      </c>
      <c r="B83">
        <v>8615</v>
      </c>
      <c r="C83">
        <v>16532</v>
      </c>
      <c r="D83">
        <v>9261</v>
      </c>
      <c r="E83">
        <v>6743</v>
      </c>
      <c r="F83">
        <v>84</v>
      </c>
      <c r="G83" t="s">
        <v>83</v>
      </c>
      <c r="H83" t="str" cm="1">
        <f t="array" ref="H83">_xlfn.IFS(Grammys[[#This Row],[date]] &gt;= DATE(2022,2,1),"Grammys",TRUE,"Grammys TRA")</f>
        <v>Grammys TRA</v>
      </c>
      <c r="I83">
        <f>_xlfn.XLOOKUP(Grammys[[#This Row],[date]],mobile_visits[date],mobile_visits[mobile_visitors],0)</f>
        <v>0</v>
      </c>
      <c r="O83" s="1">
        <v>44674</v>
      </c>
      <c r="P83">
        <v>16219</v>
      </c>
    </row>
    <row r="84" spans="1:16">
      <c r="A84" s="1">
        <v>42818</v>
      </c>
      <c r="B84">
        <v>7789</v>
      </c>
      <c r="C84">
        <v>15290</v>
      </c>
      <c r="D84">
        <v>8334</v>
      </c>
      <c r="E84">
        <v>6033</v>
      </c>
      <c r="F84">
        <v>90</v>
      </c>
      <c r="G84" t="s">
        <v>83</v>
      </c>
      <c r="H84" t="str" cm="1">
        <f t="array" ref="H84">_xlfn.IFS(Grammys[[#This Row],[date]] &gt;= DATE(2022,2,1),"Grammys",TRUE,"Grammys TRA")</f>
        <v>Grammys TRA</v>
      </c>
      <c r="I84">
        <f>_xlfn.XLOOKUP(Grammys[[#This Row],[date]],mobile_visits[date],mobile_visits[mobile_visitors],0)</f>
        <v>0</v>
      </c>
      <c r="O84" s="1">
        <v>44675</v>
      </c>
      <c r="P84">
        <v>15779</v>
      </c>
    </row>
    <row r="85" spans="1:16">
      <c r="A85" s="1">
        <v>42819</v>
      </c>
      <c r="B85">
        <v>7602</v>
      </c>
      <c r="C85">
        <v>14023</v>
      </c>
      <c r="D85">
        <v>8081</v>
      </c>
      <c r="E85">
        <v>6030</v>
      </c>
      <c r="F85">
        <v>76</v>
      </c>
      <c r="G85" t="s">
        <v>83</v>
      </c>
      <c r="H85" t="str" cm="1">
        <f t="array" ref="H85">_xlfn.IFS(Grammys[[#This Row],[date]] &gt;= DATE(2022,2,1),"Grammys",TRUE,"Grammys TRA")</f>
        <v>Grammys TRA</v>
      </c>
      <c r="I85">
        <f>_xlfn.XLOOKUP(Grammys[[#This Row],[date]],mobile_visits[date],mobile_visits[mobile_visitors],0)</f>
        <v>0</v>
      </c>
      <c r="O85" s="1">
        <v>44676</v>
      </c>
      <c r="P85">
        <v>12360</v>
      </c>
    </row>
    <row r="86" spans="1:16">
      <c r="A86" s="1">
        <v>42820</v>
      </c>
      <c r="B86">
        <v>7633</v>
      </c>
      <c r="C86">
        <v>14420</v>
      </c>
      <c r="D86">
        <v>8076</v>
      </c>
      <c r="E86">
        <v>5961</v>
      </c>
      <c r="F86">
        <v>82</v>
      </c>
      <c r="G86" t="s">
        <v>83</v>
      </c>
      <c r="H86" t="str" cm="1">
        <f t="array" ref="H86">_xlfn.IFS(Grammys[[#This Row],[date]] &gt;= DATE(2022,2,1),"Grammys",TRUE,"Grammys TRA")</f>
        <v>Grammys TRA</v>
      </c>
      <c r="I86">
        <f>_xlfn.XLOOKUP(Grammys[[#This Row],[date]],mobile_visits[date],mobile_visits[mobile_visitors],0)</f>
        <v>0</v>
      </c>
      <c r="O86" s="1">
        <v>44677</v>
      </c>
      <c r="P86">
        <v>12417</v>
      </c>
    </row>
    <row r="87" spans="1:16">
      <c r="A87" s="1">
        <v>42821</v>
      </c>
      <c r="B87">
        <v>7947</v>
      </c>
      <c r="C87">
        <v>14722</v>
      </c>
      <c r="D87">
        <v>8454</v>
      </c>
      <c r="E87">
        <v>6224</v>
      </c>
      <c r="F87">
        <v>76</v>
      </c>
      <c r="G87" t="s">
        <v>83</v>
      </c>
      <c r="H87" t="str" cm="1">
        <f t="array" ref="H87">_xlfn.IFS(Grammys[[#This Row],[date]] &gt;= DATE(2022,2,1),"Grammys",TRUE,"Grammys TRA")</f>
        <v>Grammys TRA</v>
      </c>
      <c r="I87">
        <f>_xlfn.XLOOKUP(Grammys[[#This Row],[date]],mobile_visits[date],mobile_visits[mobile_visitors],0)</f>
        <v>0</v>
      </c>
      <c r="O87" s="1">
        <v>44678</v>
      </c>
      <c r="P87">
        <v>11444</v>
      </c>
    </row>
    <row r="88" spans="1:16">
      <c r="A88" s="1">
        <v>42822</v>
      </c>
      <c r="B88">
        <v>8096</v>
      </c>
      <c r="C88">
        <v>14785</v>
      </c>
      <c r="D88">
        <v>8517</v>
      </c>
      <c r="E88">
        <v>6388</v>
      </c>
      <c r="F88">
        <v>81</v>
      </c>
      <c r="G88" t="s">
        <v>83</v>
      </c>
      <c r="H88" t="str" cm="1">
        <f t="array" ref="H88">_xlfn.IFS(Grammys[[#This Row],[date]] &gt;= DATE(2022,2,1),"Grammys",TRUE,"Grammys TRA")</f>
        <v>Grammys TRA</v>
      </c>
      <c r="I88">
        <f>_xlfn.XLOOKUP(Grammys[[#This Row],[date]],mobile_visits[date],mobile_visits[mobile_visitors],0)</f>
        <v>0</v>
      </c>
      <c r="O88" s="1">
        <v>44679</v>
      </c>
      <c r="P88">
        <v>12591</v>
      </c>
    </row>
    <row r="89" spans="1:16">
      <c r="A89" s="1">
        <v>42823</v>
      </c>
      <c r="B89">
        <v>7968</v>
      </c>
      <c r="C89">
        <v>15487</v>
      </c>
      <c r="D89">
        <v>8531</v>
      </c>
      <c r="E89">
        <v>6241</v>
      </c>
      <c r="F89">
        <v>93</v>
      </c>
      <c r="G89" t="s">
        <v>83</v>
      </c>
      <c r="H89" t="str" cm="1">
        <f t="array" ref="H89">_xlfn.IFS(Grammys[[#This Row],[date]] &gt;= DATE(2022,2,1),"Grammys",TRUE,"Grammys TRA")</f>
        <v>Grammys TRA</v>
      </c>
      <c r="I89">
        <f>_xlfn.XLOOKUP(Grammys[[#This Row],[date]],mobile_visits[date],mobile_visits[mobile_visitors],0)</f>
        <v>0</v>
      </c>
      <c r="O89" s="1">
        <v>44680</v>
      </c>
      <c r="P89">
        <v>12764</v>
      </c>
    </row>
    <row r="90" spans="1:16">
      <c r="A90" s="1">
        <v>42824</v>
      </c>
      <c r="B90">
        <v>7624</v>
      </c>
      <c r="C90">
        <v>15014</v>
      </c>
      <c r="D90">
        <v>8122</v>
      </c>
      <c r="E90">
        <v>5836</v>
      </c>
      <c r="F90">
        <v>87</v>
      </c>
      <c r="G90" t="s">
        <v>83</v>
      </c>
      <c r="H90" t="str" cm="1">
        <f t="array" ref="H90">_xlfn.IFS(Grammys[[#This Row],[date]] &gt;= DATE(2022,2,1),"Grammys",TRUE,"Grammys TRA")</f>
        <v>Grammys TRA</v>
      </c>
      <c r="I90">
        <f>_xlfn.XLOOKUP(Grammys[[#This Row],[date]],mobile_visits[date],mobile_visits[mobile_visitors],0)</f>
        <v>0</v>
      </c>
      <c r="O90" s="1">
        <v>44681</v>
      </c>
      <c r="P90">
        <v>13395</v>
      </c>
    </row>
    <row r="91" spans="1:16">
      <c r="A91" s="1">
        <v>42825</v>
      </c>
      <c r="B91">
        <v>7373</v>
      </c>
      <c r="C91">
        <v>14068</v>
      </c>
      <c r="D91">
        <v>7817</v>
      </c>
      <c r="E91">
        <v>5665</v>
      </c>
      <c r="F91">
        <v>69</v>
      </c>
      <c r="G91" t="s">
        <v>83</v>
      </c>
      <c r="H91" t="str" cm="1">
        <f t="array" ref="H91">_xlfn.IFS(Grammys[[#This Row],[date]] &gt;= DATE(2022,2,1),"Grammys",TRUE,"Grammys TRA")</f>
        <v>Grammys TRA</v>
      </c>
      <c r="I91">
        <f>_xlfn.XLOOKUP(Grammys[[#This Row],[date]],mobile_visits[date],mobile_visits[mobile_visitors],0)</f>
        <v>0</v>
      </c>
      <c r="O91" s="1">
        <v>44682</v>
      </c>
      <c r="P91">
        <v>13256</v>
      </c>
    </row>
    <row r="92" spans="1:16">
      <c r="A92" s="1">
        <v>42826</v>
      </c>
      <c r="B92">
        <v>7627</v>
      </c>
      <c r="C92">
        <v>13840</v>
      </c>
      <c r="D92">
        <v>7987</v>
      </c>
      <c r="E92">
        <v>5976</v>
      </c>
      <c r="F92">
        <v>78</v>
      </c>
      <c r="G92" t="s">
        <v>83</v>
      </c>
      <c r="H92" t="str" cm="1">
        <f t="array" ref="H92">_xlfn.IFS(Grammys[[#This Row],[date]] &gt;= DATE(2022,2,1),"Grammys",TRUE,"Grammys TRA")</f>
        <v>Grammys TRA</v>
      </c>
      <c r="I92">
        <f>_xlfn.XLOOKUP(Grammys[[#This Row],[date]],mobile_visits[date],mobile_visits[mobile_visitors],0)</f>
        <v>0</v>
      </c>
      <c r="O92" s="1">
        <v>44683</v>
      </c>
      <c r="P92">
        <v>11428</v>
      </c>
    </row>
    <row r="93" spans="1:16">
      <c r="A93" s="1">
        <v>42827</v>
      </c>
      <c r="B93">
        <v>7970</v>
      </c>
      <c r="C93">
        <v>15161</v>
      </c>
      <c r="D93">
        <v>8488</v>
      </c>
      <c r="E93">
        <v>6203</v>
      </c>
      <c r="F93">
        <v>82</v>
      </c>
      <c r="G93" t="s">
        <v>83</v>
      </c>
      <c r="H93" t="str" cm="1">
        <f t="array" ref="H93">_xlfn.IFS(Grammys[[#This Row],[date]] &gt;= DATE(2022,2,1),"Grammys",TRUE,"Grammys TRA")</f>
        <v>Grammys TRA</v>
      </c>
      <c r="I93">
        <f>_xlfn.XLOOKUP(Grammys[[#This Row],[date]],mobile_visits[date],mobile_visits[mobile_visitors],0)</f>
        <v>0</v>
      </c>
      <c r="O93" s="1">
        <v>44684</v>
      </c>
      <c r="P93">
        <v>11634</v>
      </c>
    </row>
    <row r="94" spans="1:16">
      <c r="A94" s="1">
        <v>42828</v>
      </c>
      <c r="B94">
        <v>7827</v>
      </c>
      <c r="C94">
        <v>15386</v>
      </c>
      <c r="D94">
        <v>8361</v>
      </c>
      <c r="E94">
        <v>5994</v>
      </c>
      <c r="F94">
        <v>80</v>
      </c>
      <c r="G94" t="s">
        <v>83</v>
      </c>
      <c r="H94" t="str" cm="1">
        <f t="array" ref="H94">_xlfn.IFS(Grammys[[#This Row],[date]] &gt;= DATE(2022,2,1),"Grammys",TRUE,"Grammys TRA")</f>
        <v>Grammys TRA</v>
      </c>
      <c r="I94">
        <f>_xlfn.XLOOKUP(Grammys[[#This Row],[date]],mobile_visits[date],mobile_visits[mobile_visitors],0)</f>
        <v>0</v>
      </c>
      <c r="O94" s="1">
        <v>44685</v>
      </c>
      <c r="P94">
        <v>11398</v>
      </c>
    </row>
    <row r="95" spans="1:16">
      <c r="A95" s="1">
        <v>42829</v>
      </c>
      <c r="B95">
        <v>7359</v>
      </c>
      <c r="C95">
        <v>15506</v>
      </c>
      <c r="D95">
        <v>7811</v>
      </c>
      <c r="E95">
        <v>5510</v>
      </c>
      <c r="F95">
        <v>83</v>
      </c>
      <c r="G95" t="s">
        <v>83</v>
      </c>
      <c r="H95" t="str" cm="1">
        <f t="array" ref="H95">_xlfn.IFS(Grammys[[#This Row],[date]] &gt;= DATE(2022,2,1),"Grammys",TRUE,"Grammys TRA")</f>
        <v>Grammys TRA</v>
      </c>
      <c r="I95">
        <f>_xlfn.XLOOKUP(Grammys[[#This Row],[date]],mobile_visits[date],mobile_visits[mobile_visitors],0)</f>
        <v>0</v>
      </c>
      <c r="O95" s="1">
        <v>44686</v>
      </c>
      <c r="P95">
        <v>10272</v>
      </c>
    </row>
    <row r="96" spans="1:16">
      <c r="A96" s="1">
        <v>42830</v>
      </c>
      <c r="B96">
        <v>7201</v>
      </c>
      <c r="C96">
        <v>13538</v>
      </c>
      <c r="D96">
        <v>7526</v>
      </c>
      <c r="E96">
        <v>5521</v>
      </c>
      <c r="F96">
        <v>80</v>
      </c>
      <c r="G96" t="s">
        <v>83</v>
      </c>
      <c r="H96" t="str" cm="1">
        <f t="array" ref="H96">_xlfn.IFS(Grammys[[#This Row],[date]] &gt;= DATE(2022,2,1),"Grammys",TRUE,"Grammys TRA")</f>
        <v>Grammys TRA</v>
      </c>
      <c r="I96">
        <f>_xlfn.XLOOKUP(Grammys[[#This Row],[date]],mobile_visits[date],mobile_visits[mobile_visitors],0)</f>
        <v>0</v>
      </c>
      <c r="O96" s="1">
        <v>44687</v>
      </c>
      <c r="P96">
        <v>11848</v>
      </c>
    </row>
    <row r="97" spans="1:16">
      <c r="A97" s="1">
        <v>42831</v>
      </c>
      <c r="B97">
        <v>7249</v>
      </c>
      <c r="C97">
        <v>13767</v>
      </c>
      <c r="D97">
        <v>7605</v>
      </c>
      <c r="E97">
        <v>5377</v>
      </c>
      <c r="F97">
        <v>80</v>
      </c>
      <c r="G97" t="s">
        <v>83</v>
      </c>
      <c r="H97" t="str" cm="1">
        <f t="array" ref="H97">_xlfn.IFS(Grammys[[#This Row],[date]] &gt;= DATE(2022,2,1),"Grammys",TRUE,"Grammys TRA")</f>
        <v>Grammys TRA</v>
      </c>
      <c r="I97">
        <f>_xlfn.XLOOKUP(Grammys[[#This Row],[date]],mobile_visits[date],mobile_visits[mobile_visitors],0)</f>
        <v>0</v>
      </c>
      <c r="O97" s="1">
        <v>44688</v>
      </c>
      <c r="P97">
        <v>11987</v>
      </c>
    </row>
    <row r="98" spans="1:16">
      <c r="A98" s="1">
        <v>42832</v>
      </c>
      <c r="B98">
        <v>6950</v>
      </c>
      <c r="C98">
        <v>13052</v>
      </c>
      <c r="D98">
        <v>7292</v>
      </c>
      <c r="E98">
        <v>5254</v>
      </c>
      <c r="F98">
        <v>71</v>
      </c>
      <c r="G98" t="s">
        <v>83</v>
      </c>
      <c r="H98" t="str" cm="1">
        <f t="array" ref="H98">_xlfn.IFS(Grammys[[#This Row],[date]] &gt;= DATE(2022,2,1),"Grammys",TRUE,"Grammys TRA")</f>
        <v>Grammys TRA</v>
      </c>
      <c r="I98">
        <f>_xlfn.XLOOKUP(Grammys[[#This Row],[date]],mobile_visits[date],mobile_visits[mobile_visitors],0)</f>
        <v>0</v>
      </c>
      <c r="O98" s="1">
        <v>44689</v>
      </c>
      <c r="P98">
        <v>11988</v>
      </c>
    </row>
    <row r="99" spans="1:16">
      <c r="A99" s="1">
        <v>42833</v>
      </c>
      <c r="B99">
        <v>6262</v>
      </c>
      <c r="C99">
        <v>11439</v>
      </c>
      <c r="D99">
        <v>6648</v>
      </c>
      <c r="E99">
        <v>4947</v>
      </c>
      <c r="F99">
        <v>68</v>
      </c>
      <c r="G99" t="s">
        <v>83</v>
      </c>
      <c r="H99" t="str" cm="1">
        <f t="array" ref="H99">_xlfn.IFS(Grammys[[#This Row],[date]] &gt;= DATE(2022,2,1),"Grammys",TRUE,"Grammys TRA")</f>
        <v>Grammys TRA</v>
      </c>
      <c r="I99">
        <f>_xlfn.XLOOKUP(Grammys[[#This Row],[date]],mobile_visits[date],mobile_visits[mobile_visitors],0)</f>
        <v>0</v>
      </c>
      <c r="O99" s="1">
        <v>44690</v>
      </c>
      <c r="P99">
        <v>10033</v>
      </c>
    </row>
    <row r="100" spans="1:16">
      <c r="A100" s="1">
        <v>42834</v>
      </c>
      <c r="B100">
        <v>6347</v>
      </c>
      <c r="C100">
        <v>12067</v>
      </c>
      <c r="D100">
        <v>6701</v>
      </c>
      <c r="E100">
        <v>4855</v>
      </c>
      <c r="F100">
        <v>78</v>
      </c>
      <c r="G100" t="s">
        <v>83</v>
      </c>
      <c r="H100" t="str" cm="1">
        <f t="array" ref="H100">_xlfn.IFS(Grammys[[#This Row],[date]] &gt;= DATE(2022,2,1),"Grammys",TRUE,"Grammys TRA")</f>
        <v>Grammys TRA</v>
      </c>
      <c r="I100">
        <f>_xlfn.XLOOKUP(Grammys[[#This Row],[date]],mobile_visits[date],mobile_visits[mobile_visitors],0)</f>
        <v>0</v>
      </c>
      <c r="O100" s="1">
        <v>44691</v>
      </c>
      <c r="P100">
        <v>8265</v>
      </c>
    </row>
    <row r="101" spans="1:16">
      <c r="A101" s="1">
        <v>42835</v>
      </c>
      <c r="B101">
        <v>6337</v>
      </c>
      <c r="C101">
        <v>12033</v>
      </c>
      <c r="D101">
        <v>6719</v>
      </c>
      <c r="E101">
        <v>4883</v>
      </c>
      <c r="F101">
        <v>75</v>
      </c>
      <c r="G101" t="s">
        <v>83</v>
      </c>
      <c r="H101" t="str" cm="1">
        <f t="array" ref="H101">_xlfn.IFS(Grammys[[#This Row],[date]] &gt;= DATE(2022,2,1),"Grammys",TRUE,"Grammys TRA")</f>
        <v>Grammys TRA</v>
      </c>
      <c r="I101">
        <f>_xlfn.XLOOKUP(Grammys[[#This Row],[date]],mobile_visits[date],mobile_visits[mobile_visitors],0)</f>
        <v>0</v>
      </c>
      <c r="O101" s="1">
        <v>44692</v>
      </c>
      <c r="P101">
        <v>9151</v>
      </c>
    </row>
    <row r="102" spans="1:16">
      <c r="A102" s="1">
        <v>42836</v>
      </c>
      <c r="B102">
        <v>7011</v>
      </c>
      <c r="C102">
        <v>13225</v>
      </c>
      <c r="D102">
        <v>7513</v>
      </c>
      <c r="E102">
        <v>5456</v>
      </c>
      <c r="F102">
        <v>74</v>
      </c>
      <c r="G102" t="s">
        <v>83</v>
      </c>
      <c r="H102" t="str" cm="1">
        <f t="array" ref="H102">_xlfn.IFS(Grammys[[#This Row],[date]] &gt;= DATE(2022,2,1),"Grammys",TRUE,"Grammys TRA")</f>
        <v>Grammys TRA</v>
      </c>
      <c r="I102">
        <f>_xlfn.XLOOKUP(Grammys[[#This Row],[date]],mobile_visits[date],mobile_visits[mobile_visitors],0)</f>
        <v>0</v>
      </c>
      <c r="O102" s="1">
        <v>44693</v>
      </c>
      <c r="P102">
        <v>10890</v>
      </c>
    </row>
    <row r="103" spans="1:16">
      <c r="A103" s="1">
        <v>42837</v>
      </c>
      <c r="B103">
        <v>8038</v>
      </c>
      <c r="C103">
        <v>13900</v>
      </c>
      <c r="D103">
        <v>8415</v>
      </c>
      <c r="E103">
        <v>6181</v>
      </c>
      <c r="F103">
        <v>62</v>
      </c>
      <c r="G103" t="s">
        <v>83</v>
      </c>
      <c r="H103" t="str" cm="1">
        <f t="array" ref="H103">_xlfn.IFS(Grammys[[#This Row],[date]] &gt;= DATE(2022,2,1),"Grammys",TRUE,"Grammys TRA")</f>
        <v>Grammys TRA</v>
      </c>
      <c r="I103">
        <f>_xlfn.XLOOKUP(Grammys[[#This Row],[date]],mobile_visits[date],mobile_visits[mobile_visitors],0)</f>
        <v>0</v>
      </c>
      <c r="O103" s="1">
        <v>44694</v>
      </c>
      <c r="P103">
        <v>11956</v>
      </c>
    </row>
    <row r="104" spans="1:16">
      <c r="A104" s="1">
        <v>42838</v>
      </c>
      <c r="B104">
        <v>10204</v>
      </c>
      <c r="C104">
        <v>17707</v>
      </c>
      <c r="D104">
        <v>10830</v>
      </c>
      <c r="E104">
        <v>8061</v>
      </c>
      <c r="F104">
        <v>62</v>
      </c>
      <c r="G104" t="s">
        <v>83</v>
      </c>
      <c r="H104" t="str" cm="1">
        <f t="array" ref="H104">_xlfn.IFS(Grammys[[#This Row],[date]] &gt;= DATE(2022,2,1),"Grammys",TRUE,"Grammys TRA")</f>
        <v>Grammys TRA</v>
      </c>
      <c r="I104">
        <f>_xlfn.XLOOKUP(Grammys[[#This Row],[date]],mobile_visits[date],mobile_visits[mobile_visitors],0)</f>
        <v>0</v>
      </c>
      <c r="O104" s="1">
        <v>44695</v>
      </c>
      <c r="P104">
        <v>12357</v>
      </c>
    </row>
    <row r="105" spans="1:16">
      <c r="A105" s="1">
        <v>42839</v>
      </c>
      <c r="B105">
        <v>10322</v>
      </c>
      <c r="C105">
        <v>17967</v>
      </c>
      <c r="D105">
        <v>10990</v>
      </c>
      <c r="E105">
        <v>8253</v>
      </c>
      <c r="F105">
        <v>67</v>
      </c>
      <c r="G105" t="s">
        <v>83</v>
      </c>
      <c r="H105" t="str" cm="1">
        <f t="array" ref="H105">_xlfn.IFS(Grammys[[#This Row],[date]] &gt;= DATE(2022,2,1),"Grammys",TRUE,"Grammys TRA")</f>
        <v>Grammys TRA</v>
      </c>
      <c r="I105">
        <f>_xlfn.XLOOKUP(Grammys[[#This Row],[date]],mobile_visits[date],mobile_visits[mobile_visitors],0)</f>
        <v>0</v>
      </c>
      <c r="O105" s="1">
        <v>44696</v>
      </c>
      <c r="P105">
        <v>12572</v>
      </c>
    </row>
    <row r="106" spans="1:16">
      <c r="A106" s="1">
        <v>42840</v>
      </c>
      <c r="B106">
        <v>8806</v>
      </c>
      <c r="C106">
        <v>15271</v>
      </c>
      <c r="D106">
        <v>9285</v>
      </c>
      <c r="E106">
        <v>6988</v>
      </c>
      <c r="F106">
        <v>62</v>
      </c>
      <c r="G106" t="s">
        <v>83</v>
      </c>
      <c r="H106" t="str" cm="1">
        <f t="array" ref="H106">_xlfn.IFS(Grammys[[#This Row],[date]] &gt;= DATE(2022,2,1),"Grammys",TRUE,"Grammys TRA")</f>
        <v>Grammys TRA</v>
      </c>
      <c r="I106">
        <f>_xlfn.XLOOKUP(Grammys[[#This Row],[date]],mobile_visits[date],mobile_visits[mobile_visitors],0)</f>
        <v>0</v>
      </c>
      <c r="O106" s="1">
        <v>44697</v>
      </c>
      <c r="P106">
        <v>10794</v>
      </c>
    </row>
    <row r="107" spans="1:16">
      <c r="A107" s="1">
        <v>42841</v>
      </c>
      <c r="B107">
        <v>21469</v>
      </c>
      <c r="C107">
        <v>37310</v>
      </c>
      <c r="D107">
        <v>22710</v>
      </c>
      <c r="E107">
        <v>16452</v>
      </c>
      <c r="F107">
        <v>67</v>
      </c>
      <c r="G107" t="s">
        <v>83</v>
      </c>
      <c r="H107" t="str" cm="1">
        <f t="array" ref="H107">_xlfn.IFS(Grammys[[#This Row],[date]] &gt;= DATE(2022,2,1),"Grammys",TRUE,"Grammys TRA")</f>
        <v>Grammys TRA</v>
      </c>
      <c r="I107">
        <f>_xlfn.XLOOKUP(Grammys[[#This Row],[date]],mobile_visits[date],mobile_visits[mobile_visitors],0)</f>
        <v>0</v>
      </c>
      <c r="O107" s="1">
        <v>44698</v>
      </c>
      <c r="P107">
        <v>9797</v>
      </c>
    </row>
    <row r="108" spans="1:16">
      <c r="A108" s="1">
        <v>42842</v>
      </c>
      <c r="B108">
        <v>14149</v>
      </c>
      <c r="C108">
        <v>27777</v>
      </c>
      <c r="D108">
        <v>14922</v>
      </c>
      <c r="E108">
        <v>10188</v>
      </c>
      <c r="F108">
        <v>73</v>
      </c>
      <c r="G108" t="s">
        <v>83</v>
      </c>
      <c r="H108" t="str" cm="1">
        <f t="array" ref="H108">_xlfn.IFS(Grammys[[#This Row],[date]] &gt;= DATE(2022,2,1),"Grammys",TRUE,"Grammys TRA")</f>
        <v>Grammys TRA</v>
      </c>
      <c r="I108">
        <f>_xlfn.XLOOKUP(Grammys[[#This Row],[date]],mobile_visits[date],mobile_visits[mobile_visitors],0)</f>
        <v>0</v>
      </c>
      <c r="O108" s="1">
        <v>44699</v>
      </c>
      <c r="P108">
        <v>9463</v>
      </c>
    </row>
    <row r="109" spans="1:16">
      <c r="A109" s="1">
        <v>42843</v>
      </c>
      <c r="B109">
        <v>10477</v>
      </c>
      <c r="C109">
        <v>20391</v>
      </c>
      <c r="D109">
        <v>11127</v>
      </c>
      <c r="E109">
        <v>7851</v>
      </c>
      <c r="F109">
        <v>74</v>
      </c>
      <c r="G109" t="s">
        <v>83</v>
      </c>
      <c r="H109" t="str" cm="1">
        <f t="array" ref="H109">_xlfn.IFS(Grammys[[#This Row],[date]] &gt;= DATE(2022,2,1),"Grammys",TRUE,"Grammys TRA")</f>
        <v>Grammys TRA</v>
      </c>
      <c r="I109">
        <f>_xlfn.XLOOKUP(Grammys[[#This Row],[date]],mobile_visits[date],mobile_visits[mobile_visitors],0)</f>
        <v>0</v>
      </c>
      <c r="O109" s="1">
        <v>44700</v>
      </c>
      <c r="P109">
        <v>12308</v>
      </c>
    </row>
    <row r="110" spans="1:16">
      <c r="A110" s="1">
        <v>42844</v>
      </c>
      <c r="B110">
        <v>35249</v>
      </c>
      <c r="C110">
        <v>50045</v>
      </c>
      <c r="D110">
        <v>36246</v>
      </c>
      <c r="E110">
        <v>30063</v>
      </c>
      <c r="F110">
        <v>35</v>
      </c>
      <c r="G110" t="s">
        <v>83</v>
      </c>
      <c r="H110" t="str" cm="1">
        <f t="array" ref="H110">_xlfn.IFS(Grammys[[#This Row],[date]] &gt;= DATE(2022,2,1),"Grammys",TRUE,"Grammys TRA")</f>
        <v>Grammys TRA</v>
      </c>
      <c r="I110">
        <f>_xlfn.XLOOKUP(Grammys[[#This Row],[date]],mobile_visits[date],mobile_visits[mobile_visitors],0)</f>
        <v>0</v>
      </c>
      <c r="O110" s="1">
        <v>44701</v>
      </c>
      <c r="P110">
        <v>11140</v>
      </c>
    </row>
    <row r="111" spans="1:16">
      <c r="A111" s="1">
        <v>42845</v>
      </c>
      <c r="B111">
        <v>13080</v>
      </c>
      <c r="C111">
        <v>23052</v>
      </c>
      <c r="D111">
        <v>13730</v>
      </c>
      <c r="E111">
        <v>10242</v>
      </c>
      <c r="F111">
        <v>59</v>
      </c>
      <c r="G111" t="s">
        <v>83</v>
      </c>
      <c r="H111" t="str" cm="1">
        <f t="array" ref="H111">_xlfn.IFS(Grammys[[#This Row],[date]] &gt;= DATE(2022,2,1),"Grammys",TRUE,"Grammys TRA")</f>
        <v>Grammys TRA</v>
      </c>
      <c r="I111">
        <f>_xlfn.XLOOKUP(Grammys[[#This Row],[date]],mobile_visits[date],mobile_visits[mobile_visitors],0)</f>
        <v>0</v>
      </c>
      <c r="O111" s="1">
        <v>44702</v>
      </c>
      <c r="P111">
        <v>11411</v>
      </c>
    </row>
    <row r="112" spans="1:16">
      <c r="A112" s="1">
        <v>42846</v>
      </c>
      <c r="B112">
        <v>11195</v>
      </c>
      <c r="C112">
        <v>20578</v>
      </c>
      <c r="D112">
        <v>11770</v>
      </c>
      <c r="E112">
        <v>8228</v>
      </c>
      <c r="F112">
        <v>68</v>
      </c>
      <c r="G112" t="s">
        <v>83</v>
      </c>
      <c r="H112" t="str" cm="1">
        <f t="array" ref="H112">_xlfn.IFS(Grammys[[#This Row],[date]] &gt;= DATE(2022,2,1),"Grammys",TRUE,"Grammys TRA")</f>
        <v>Grammys TRA</v>
      </c>
      <c r="I112">
        <f>_xlfn.XLOOKUP(Grammys[[#This Row],[date]],mobile_visits[date],mobile_visits[mobile_visitors],0)</f>
        <v>0</v>
      </c>
      <c r="O112" s="1">
        <v>44703</v>
      </c>
      <c r="P112">
        <v>11219</v>
      </c>
    </row>
    <row r="113" spans="1:16">
      <c r="A113" s="1">
        <v>42847</v>
      </c>
      <c r="B113">
        <v>8363</v>
      </c>
      <c r="C113">
        <v>14911</v>
      </c>
      <c r="D113">
        <v>8892</v>
      </c>
      <c r="E113">
        <v>6258</v>
      </c>
      <c r="F113">
        <v>66</v>
      </c>
      <c r="G113" t="s">
        <v>83</v>
      </c>
      <c r="H113" t="str" cm="1">
        <f t="array" ref="H113">_xlfn.IFS(Grammys[[#This Row],[date]] &gt;= DATE(2022,2,1),"Grammys",TRUE,"Grammys TRA")</f>
        <v>Grammys TRA</v>
      </c>
      <c r="I113">
        <f>_xlfn.XLOOKUP(Grammys[[#This Row],[date]],mobile_visits[date],mobile_visits[mobile_visitors],0)</f>
        <v>0</v>
      </c>
      <c r="O113" s="1">
        <v>44704</v>
      </c>
      <c r="P113">
        <v>9882</v>
      </c>
    </row>
    <row r="114" spans="1:16">
      <c r="A114" s="1">
        <v>42848</v>
      </c>
      <c r="B114">
        <v>8071</v>
      </c>
      <c r="C114">
        <v>14772</v>
      </c>
      <c r="D114">
        <v>8486</v>
      </c>
      <c r="E114">
        <v>6231</v>
      </c>
      <c r="F114">
        <v>69</v>
      </c>
      <c r="G114" t="s">
        <v>83</v>
      </c>
      <c r="H114" t="str" cm="1">
        <f t="array" ref="H114">_xlfn.IFS(Grammys[[#This Row],[date]] &gt;= DATE(2022,2,1),"Grammys",TRUE,"Grammys TRA")</f>
        <v>Grammys TRA</v>
      </c>
      <c r="I114">
        <f>_xlfn.XLOOKUP(Grammys[[#This Row],[date]],mobile_visits[date],mobile_visits[mobile_visitors],0)</f>
        <v>0</v>
      </c>
      <c r="O114" s="1">
        <v>44705</v>
      </c>
      <c r="P114">
        <v>10101</v>
      </c>
    </row>
    <row r="115" spans="1:16">
      <c r="A115" s="1">
        <v>42849</v>
      </c>
      <c r="B115">
        <v>8548</v>
      </c>
      <c r="C115">
        <v>15685</v>
      </c>
      <c r="D115">
        <v>8981</v>
      </c>
      <c r="E115">
        <v>6587</v>
      </c>
      <c r="F115">
        <v>72</v>
      </c>
      <c r="G115" t="s">
        <v>83</v>
      </c>
      <c r="H115" t="str" cm="1">
        <f t="array" ref="H115">_xlfn.IFS(Grammys[[#This Row],[date]] &gt;= DATE(2022,2,1),"Grammys",TRUE,"Grammys TRA")</f>
        <v>Grammys TRA</v>
      </c>
      <c r="I115">
        <f>_xlfn.XLOOKUP(Grammys[[#This Row],[date]],mobile_visits[date],mobile_visits[mobile_visitors],0)</f>
        <v>0</v>
      </c>
      <c r="O115" s="1">
        <v>44706</v>
      </c>
      <c r="P115">
        <v>10184</v>
      </c>
    </row>
    <row r="116" spans="1:16">
      <c r="A116" s="1">
        <v>42850</v>
      </c>
      <c r="B116">
        <v>8179</v>
      </c>
      <c r="C116">
        <v>14435</v>
      </c>
      <c r="D116">
        <v>8633</v>
      </c>
      <c r="E116">
        <v>6410</v>
      </c>
      <c r="F116">
        <v>60</v>
      </c>
      <c r="G116" t="s">
        <v>83</v>
      </c>
      <c r="H116" t="str" cm="1">
        <f t="array" ref="H116">_xlfn.IFS(Grammys[[#This Row],[date]] &gt;= DATE(2022,2,1),"Grammys",TRUE,"Grammys TRA")</f>
        <v>Grammys TRA</v>
      </c>
      <c r="I116">
        <f>_xlfn.XLOOKUP(Grammys[[#This Row],[date]],mobile_visits[date],mobile_visits[mobile_visitors],0)</f>
        <v>0</v>
      </c>
      <c r="O116" s="1">
        <v>44707</v>
      </c>
      <c r="P116">
        <v>10467</v>
      </c>
    </row>
    <row r="117" spans="1:16">
      <c r="A117" s="1">
        <v>42851</v>
      </c>
      <c r="B117">
        <v>7717</v>
      </c>
      <c r="C117">
        <v>14183</v>
      </c>
      <c r="D117">
        <v>8186</v>
      </c>
      <c r="E117">
        <v>5975</v>
      </c>
      <c r="F117">
        <v>67</v>
      </c>
      <c r="G117" t="s">
        <v>83</v>
      </c>
      <c r="H117" t="str" cm="1">
        <f t="array" ref="H117">_xlfn.IFS(Grammys[[#This Row],[date]] &gt;= DATE(2022,2,1),"Grammys",TRUE,"Grammys TRA")</f>
        <v>Grammys TRA</v>
      </c>
      <c r="I117">
        <f>_xlfn.XLOOKUP(Grammys[[#This Row],[date]],mobile_visits[date],mobile_visits[mobile_visitors],0)</f>
        <v>0</v>
      </c>
      <c r="O117" s="1">
        <v>44708</v>
      </c>
      <c r="P117">
        <v>13647</v>
      </c>
    </row>
    <row r="118" spans="1:16">
      <c r="A118" s="1">
        <v>42852</v>
      </c>
      <c r="B118">
        <v>7489</v>
      </c>
      <c r="C118">
        <v>13680</v>
      </c>
      <c r="D118">
        <v>7869</v>
      </c>
      <c r="E118">
        <v>5706</v>
      </c>
      <c r="F118">
        <v>67</v>
      </c>
      <c r="G118" t="s">
        <v>83</v>
      </c>
      <c r="H118" t="str" cm="1">
        <f t="array" ref="H118">_xlfn.IFS(Grammys[[#This Row],[date]] &gt;= DATE(2022,2,1),"Grammys",TRUE,"Grammys TRA")</f>
        <v>Grammys TRA</v>
      </c>
      <c r="I118">
        <f>_xlfn.XLOOKUP(Grammys[[#This Row],[date]],mobile_visits[date],mobile_visits[mobile_visitors],0)</f>
        <v>0</v>
      </c>
      <c r="O118" s="1">
        <v>44709</v>
      </c>
      <c r="P118">
        <v>9615</v>
      </c>
    </row>
    <row r="119" spans="1:16">
      <c r="A119" s="1">
        <v>42853</v>
      </c>
      <c r="B119">
        <v>7011</v>
      </c>
      <c r="C119">
        <v>13079</v>
      </c>
      <c r="D119">
        <v>7342</v>
      </c>
      <c r="E119">
        <v>5301</v>
      </c>
      <c r="F119">
        <v>69</v>
      </c>
      <c r="G119" t="s">
        <v>83</v>
      </c>
      <c r="H119" t="str" cm="1">
        <f t="array" ref="H119">_xlfn.IFS(Grammys[[#This Row],[date]] &gt;= DATE(2022,2,1),"Grammys",TRUE,"Grammys TRA")</f>
        <v>Grammys TRA</v>
      </c>
      <c r="I119">
        <f>_xlfn.XLOOKUP(Grammys[[#This Row],[date]],mobile_visits[date],mobile_visits[mobile_visitors],0)</f>
        <v>0</v>
      </c>
      <c r="O119" s="1">
        <v>44710</v>
      </c>
      <c r="P119">
        <v>8738</v>
      </c>
    </row>
    <row r="120" spans="1:16">
      <c r="A120" s="1">
        <v>42854</v>
      </c>
      <c r="B120">
        <v>10897</v>
      </c>
      <c r="C120">
        <v>16223</v>
      </c>
      <c r="D120">
        <v>11306</v>
      </c>
      <c r="E120">
        <v>9440</v>
      </c>
      <c r="F120">
        <v>36</v>
      </c>
      <c r="G120" t="s">
        <v>83</v>
      </c>
      <c r="H120" t="str" cm="1">
        <f t="array" ref="H120">_xlfn.IFS(Grammys[[#This Row],[date]] &gt;= DATE(2022,2,1),"Grammys",TRUE,"Grammys TRA")</f>
        <v>Grammys TRA</v>
      </c>
      <c r="I120">
        <f>_xlfn.XLOOKUP(Grammys[[#This Row],[date]],mobile_visits[date],mobile_visits[mobile_visitors],0)</f>
        <v>0</v>
      </c>
      <c r="O120" s="1">
        <v>44711</v>
      </c>
      <c r="P120">
        <v>9641</v>
      </c>
    </row>
    <row r="121" spans="1:16">
      <c r="A121" s="1">
        <v>42855</v>
      </c>
      <c r="B121">
        <v>8115</v>
      </c>
      <c r="C121">
        <v>14750</v>
      </c>
      <c r="D121">
        <v>8418</v>
      </c>
      <c r="E121">
        <v>6104</v>
      </c>
      <c r="F121">
        <v>61</v>
      </c>
      <c r="G121" t="s">
        <v>83</v>
      </c>
      <c r="H121" t="str" cm="1">
        <f t="array" ref="H121">_xlfn.IFS(Grammys[[#This Row],[date]] &gt;= DATE(2022,2,1),"Grammys",TRUE,"Grammys TRA")</f>
        <v>Grammys TRA</v>
      </c>
      <c r="I121">
        <f>_xlfn.XLOOKUP(Grammys[[#This Row],[date]],mobile_visits[date],mobile_visits[mobile_visitors],0)</f>
        <v>0</v>
      </c>
      <c r="O121" s="1">
        <v>44712</v>
      </c>
      <c r="P121">
        <v>8517</v>
      </c>
    </row>
    <row r="122" spans="1:16">
      <c r="A122" s="1">
        <v>42856</v>
      </c>
      <c r="B122">
        <v>7923</v>
      </c>
      <c r="C122">
        <v>14731</v>
      </c>
      <c r="D122">
        <v>8382</v>
      </c>
      <c r="E122">
        <v>5982</v>
      </c>
      <c r="F122">
        <v>70</v>
      </c>
      <c r="G122" t="s">
        <v>83</v>
      </c>
      <c r="H122" t="str" cm="1">
        <f t="array" ref="H122">_xlfn.IFS(Grammys[[#This Row],[date]] &gt;= DATE(2022,2,1),"Grammys",TRUE,"Grammys TRA")</f>
        <v>Grammys TRA</v>
      </c>
      <c r="I122">
        <f>_xlfn.XLOOKUP(Grammys[[#This Row],[date]],mobile_visits[date],mobile_visits[mobile_visitors],0)</f>
        <v>0</v>
      </c>
      <c r="O122" s="1">
        <v>44713</v>
      </c>
      <c r="P122">
        <v>9204</v>
      </c>
    </row>
    <row r="123" spans="1:16">
      <c r="A123" s="1">
        <v>42857</v>
      </c>
      <c r="B123">
        <v>7653</v>
      </c>
      <c r="C123">
        <v>13879</v>
      </c>
      <c r="D123">
        <v>8156</v>
      </c>
      <c r="E123">
        <v>5918</v>
      </c>
      <c r="F123">
        <v>67</v>
      </c>
      <c r="G123" t="s">
        <v>83</v>
      </c>
      <c r="H123" t="str" cm="1">
        <f t="array" ref="H123">_xlfn.IFS(Grammys[[#This Row],[date]] &gt;= DATE(2022,2,1),"Grammys",TRUE,"Grammys TRA")</f>
        <v>Grammys TRA</v>
      </c>
      <c r="I123">
        <f>_xlfn.XLOOKUP(Grammys[[#This Row],[date]],mobile_visits[date],mobile_visits[mobile_visitors],0)</f>
        <v>0</v>
      </c>
      <c r="O123" s="1">
        <v>44714</v>
      </c>
      <c r="P123">
        <v>9134</v>
      </c>
    </row>
    <row r="124" spans="1:16">
      <c r="A124" s="1">
        <v>42858</v>
      </c>
      <c r="B124">
        <v>12064</v>
      </c>
      <c r="C124">
        <v>21432</v>
      </c>
      <c r="D124">
        <v>12821</v>
      </c>
      <c r="E124">
        <v>9369</v>
      </c>
      <c r="F124">
        <v>69</v>
      </c>
      <c r="G124" t="s">
        <v>83</v>
      </c>
      <c r="H124" t="str" cm="1">
        <f t="array" ref="H124">_xlfn.IFS(Grammys[[#This Row],[date]] &gt;= DATE(2022,2,1),"Grammys",TRUE,"Grammys TRA")</f>
        <v>Grammys TRA</v>
      </c>
      <c r="I124">
        <f>_xlfn.XLOOKUP(Grammys[[#This Row],[date]],mobile_visits[date],mobile_visits[mobile_visitors],0)</f>
        <v>0</v>
      </c>
      <c r="O124" s="1">
        <v>44715</v>
      </c>
      <c r="P124">
        <v>7944</v>
      </c>
    </row>
    <row r="125" spans="1:16">
      <c r="A125" s="1">
        <v>42859</v>
      </c>
      <c r="B125">
        <v>9065</v>
      </c>
      <c r="C125">
        <v>17003</v>
      </c>
      <c r="D125">
        <v>9524</v>
      </c>
      <c r="E125">
        <v>6938</v>
      </c>
      <c r="F125">
        <v>72</v>
      </c>
      <c r="G125" t="s">
        <v>83</v>
      </c>
      <c r="H125" t="str" cm="1">
        <f t="array" ref="H125">_xlfn.IFS(Grammys[[#This Row],[date]] &gt;= DATE(2022,2,1),"Grammys",TRUE,"Grammys TRA")</f>
        <v>Grammys TRA</v>
      </c>
      <c r="I125">
        <f>_xlfn.XLOOKUP(Grammys[[#This Row],[date]],mobile_visits[date],mobile_visits[mobile_visitors],0)</f>
        <v>0</v>
      </c>
      <c r="O125" s="1">
        <v>44716</v>
      </c>
      <c r="P125">
        <v>8937</v>
      </c>
    </row>
    <row r="126" spans="1:16">
      <c r="A126" s="1">
        <v>42860</v>
      </c>
      <c r="B126">
        <v>8668</v>
      </c>
      <c r="C126">
        <v>15453</v>
      </c>
      <c r="D126">
        <v>9066</v>
      </c>
      <c r="E126">
        <v>6757</v>
      </c>
      <c r="F126">
        <v>66</v>
      </c>
      <c r="G126" t="s">
        <v>83</v>
      </c>
      <c r="H126" t="str" cm="1">
        <f t="array" ref="H126">_xlfn.IFS(Grammys[[#This Row],[date]] &gt;= DATE(2022,2,1),"Grammys",TRUE,"Grammys TRA")</f>
        <v>Grammys TRA</v>
      </c>
      <c r="I126">
        <f>_xlfn.XLOOKUP(Grammys[[#This Row],[date]],mobile_visits[date],mobile_visits[mobile_visitors],0)</f>
        <v>0</v>
      </c>
      <c r="O126" s="1">
        <v>44717</v>
      </c>
      <c r="P126">
        <v>8709</v>
      </c>
    </row>
    <row r="127" spans="1:16">
      <c r="A127" s="1">
        <v>42861</v>
      </c>
      <c r="B127">
        <v>7559</v>
      </c>
      <c r="C127">
        <v>12839</v>
      </c>
      <c r="D127">
        <v>8032</v>
      </c>
      <c r="E127">
        <v>6130</v>
      </c>
      <c r="F127">
        <v>59</v>
      </c>
      <c r="G127" t="s">
        <v>83</v>
      </c>
      <c r="H127" t="str" cm="1">
        <f t="array" ref="H127">_xlfn.IFS(Grammys[[#This Row],[date]] &gt;= DATE(2022,2,1),"Grammys",TRUE,"Grammys TRA")</f>
        <v>Grammys TRA</v>
      </c>
      <c r="I127">
        <f>_xlfn.XLOOKUP(Grammys[[#This Row],[date]],mobile_visits[date],mobile_visits[mobile_visitors],0)</f>
        <v>0</v>
      </c>
      <c r="O127" s="1">
        <v>44718</v>
      </c>
      <c r="P127">
        <v>7237</v>
      </c>
    </row>
    <row r="128" spans="1:16">
      <c r="A128" s="1">
        <v>42862</v>
      </c>
      <c r="B128">
        <v>7065</v>
      </c>
      <c r="C128">
        <v>12279</v>
      </c>
      <c r="D128">
        <v>7410</v>
      </c>
      <c r="E128">
        <v>5465</v>
      </c>
      <c r="F128">
        <v>63</v>
      </c>
      <c r="G128" t="s">
        <v>83</v>
      </c>
      <c r="H128" t="str" cm="1">
        <f t="array" ref="H128">_xlfn.IFS(Grammys[[#This Row],[date]] &gt;= DATE(2022,2,1),"Grammys",TRUE,"Grammys TRA")</f>
        <v>Grammys TRA</v>
      </c>
      <c r="I128">
        <f>_xlfn.XLOOKUP(Grammys[[#This Row],[date]],mobile_visits[date],mobile_visits[mobile_visitors],0)</f>
        <v>0</v>
      </c>
      <c r="O128" s="1">
        <v>44719</v>
      </c>
      <c r="P128">
        <v>7657</v>
      </c>
    </row>
    <row r="129" spans="1:16">
      <c r="A129" s="1">
        <v>42863</v>
      </c>
      <c r="B129">
        <v>7589</v>
      </c>
      <c r="C129">
        <v>13694</v>
      </c>
      <c r="D129">
        <v>7946</v>
      </c>
      <c r="E129">
        <v>5815</v>
      </c>
      <c r="F129">
        <v>67</v>
      </c>
      <c r="G129" t="s">
        <v>83</v>
      </c>
      <c r="H129" t="str" cm="1">
        <f t="array" ref="H129">_xlfn.IFS(Grammys[[#This Row],[date]] &gt;= DATE(2022,2,1),"Grammys",TRUE,"Grammys TRA")</f>
        <v>Grammys TRA</v>
      </c>
      <c r="I129">
        <f>_xlfn.XLOOKUP(Grammys[[#This Row],[date]],mobile_visits[date],mobile_visits[mobile_visitors],0)</f>
        <v>0</v>
      </c>
      <c r="O129" s="1">
        <v>44720</v>
      </c>
      <c r="P129">
        <v>13109</v>
      </c>
    </row>
    <row r="130" spans="1:16">
      <c r="A130" s="1">
        <v>42864</v>
      </c>
      <c r="B130">
        <v>7908</v>
      </c>
      <c r="C130">
        <v>14439</v>
      </c>
      <c r="D130">
        <v>8440</v>
      </c>
      <c r="E130">
        <v>6023</v>
      </c>
      <c r="F130">
        <v>69</v>
      </c>
      <c r="G130" t="s">
        <v>83</v>
      </c>
      <c r="H130" t="str" cm="1">
        <f t="array" ref="H130">_xlfn.IFS(Grammys[[#This Row],[date]] &gt;= DATE(2022,2,1),"Grammys",TRUE,"Grammys TRA")</f>
        <v>Grammys TRA</v>
      </c>
      <c r="I130">
        <f>_xlfn.XLOOKUP(Grammys[[#This Row],[date]],mobile_visits[date],mobile_visits[mobile_visitors],0)</f>
        <v>0</v>
      </c>
      <c r="O130" s="1">
        <v>44721</v>
      </c>
      <c r="P130">
        <v>18442</v>
      </c>
    </row>
    <row r="131" spans="1:16">
      <c r="A131" s="1">
        <v>42865</v>
      </c>
      <c r="B131">
        <v>7363</v>
      </c>
      <c r="C131">
        <v>13436</v>
      </c>
      <c r="D131">
        <v>7787</v>
      </c>
      <c r="E131">
        <v>5634</v>
      </c>
      <c r="F131">
        <v>67</v>
      </c>
      <c r="G131" t="s">
        <v>83</v>
      </c>
      <c r="H131" t="str" cm="1">
        <f t="array" ref="H131">_xlfn.IFS(Grammys[[#This Row],[date]] &gt;= DATE(2022,2,1),"Grammys",TRUE,"Grammys TRA")</f>
        <v>Grammys TRA</v>
      </c>
      <c r="I131">
        <f>_xlfn.XLOOKUP(Grammys[[#This Row],[date]],mobile_visits[date],mobile_visits[mobile_visitors],0)</f>
        <v>0</v>
      </c>
      <c r="O131" s="1">
        <v>44722</v>
      </c>
      <c r="P131">
        <v>22236</v>
      </c>
    </row>
    <row r="132" spans="1:16">
      <c r="A132" s="1">
        <v>42866</v>
      </c>
      <c r="B132">
        <v>7019</v>
      </c>
      <c r="C132">
        <v>12511</v>
      </c>
      <c r="D132">
        <v>7409</v>
      </c>
      <c r="E132">
        <v>5431</v>
      </c>
      <c r="F132">
        <v>64</v>
      </c>
      <c r="G132" t="s">
        <v>83</v>
      </c>
      <c r="H132" t="str" cm="1">
        <f t="array" ref="H132">_xlfn.IFS(Grammys[[#This Row],[date]] &gt;= DATE(2022,2,1),"Grammys",TRUE,"Grammys TRA")</f>
        <v>Grammys TRA</v>
      </c>
      <c r="I132">
        <f>_xlfn.XLOOKUP(Grammys[[#This Row],[date]],mobile_visits[date],mobile_visits[mobile_visitors],0)</f>
        <v>0</v>
      </c>
      <c r="O132" s="1">
        <v>44723</v>
      </c>
      <c r="P132">
        <v>15349</v>
      </c>
    </row>
    <row r="133" spans="1:16">
      <c r="A133" s="1">
        <v>42867</v>
      </c>
      <c r="B133">
        <v>6703</v>
      </c>
      <c r="C133">
        <v>12084</v>
      </c>
      <c r="D133">
        <v>7098</v>
      </c>
      <c r="E133">
        <v>5281</v>
      </c>
      <c r="F133">
        <v>64</v>
      </c>
      <c r="G133" t="s">
        <v>83</v>
      </c>
      <c r="H133" t="str" cm="1">
        <f t="array" ref="H133">_xlfn.IFS(Grammys[[#This Row],[date]] &gt;= DATE(2022,2,1),"Grammys",TRUE,"Grammys TRA")</f>
        <v>Grammys TRA</v>
      </c>
      <c r="I133">
        <f>_xlfn.XLOOKUP(Grammys[[#This Row],[date]],mobile_visits[date],mobile_visits[mobile_visitors],0)</f>
        <v>0</v>
      </c>
      <c r="O133" s="1">
        <v>44724</v>
      </c>
      <c r="P133">
        <v>11890</v>
      </c>
    </row>
    <row r="134" spans="1:16">
      <c r="A134" s="1">
        <v>42868</v>
      </c>
      <c r="B134">
        <v>6279</v>
      </c>
      <c r="C134">
        <v>11498</v>
      </c>
      <c r="D134">
        <v>6524</v>
      </c>
      <c r="E134">
        <v>4736</v>
      </c>
      <c r="F134">
        <v>69</v>
      </c>
      <c r="G134" t="s">
        <v>83</v>
      </c>
      <c r="H134" t="str" cm="1">
        <f t="array" ref="H134">_xlfn.IFS(Grammys[[#This Row],[date]] &gt;= DATE(2022,2,1),"Grammys",TRUE,"Grammys TRA")</f>
        <v>Grammys TRA</v>
      </c>
      <c r="I134">
        <f>_xlfn.XLOOKUP(Grammys[[#This Row],[date]],mobile_visits[date],mobile_visits[mobile_visitors],0)</f>
        <v>0</v>
      </c>
      <c r="O134" s="1">
        <v>44725</v>
      </c>
      <c r="P134">
        <v>10433</v>
      </c>
    </row>
    <row r="135" spans="1:16">
      <c r="A135" s="1">
        <v>42869</v>
      </c>
      <c r="B135">
        <v>5789</v>
      </c>
      <c r="C135">
        <v>11085</v>
      </c>
      <c r="D135">
        <v>6111</v>
      </c>
      <c r="E135">
        <v>4466</v>
      </c>
      <c r="F135">
        <v>71</v>
      </c>
      <c r="G135" t="s">
        <v>83</v>
      </c>
      <c r="H135" t="str" cm="1">
        <f t="array" ref="H135">_xlfn.IFS(Grammys[[#This Row],[date]] &gt;= DATE(2022,2,1),"Grammys",TRUE,"Grammys TRA")</f>
        <v>Grammys TRA</v>
      </c>
      <c r="I135">
        <f>_xlfn.XLOOKUP(Grammys[[#This Row],[date]],mobile_visits[date],mobile_visits[mobile_visitors],0)</f>
        <v>0</v>
      </c>
      <c r="O135" s="1">
        <v>44726</v>
      </c>
      <c r="P135">
        <v>10968</v>
      </c>
    </row>
    <row r="136" spans="1:16">
      <c r="A136" s="1">
        <v>42870</v>
      </c>
      <c r="B136">
        <v>6356</v>
      </c>
      <c r="C136">
        <v>11424</v>
      </c>
      <c r="D136">
        <v>6691</v>
      </c>
      <c r="E136">
        <v>4928</v>
      </c>
      <c r="F136">
        <v>68</v>
      </c>
      <c r="G136" t="s">
        <v>83</v>
      </c>
      <c r="H136" t="str" cm="1">
        <f t="array" ref="H136">_xlfn.IFS(Grammys[[#This Row],[date]] &gt;= DATE(2022,2,1),"Grammys",TRUE,"Grammys TRA")</f>
        <v>Grammys TRA</v>
      </c>
      <c r="I136">
        <f>_xlfn.XLOOKUP(Grammys[[#This Row],[date]],mobile_visits[date],mobile_visits[mobile_visitors],0)</f>
        <v>0</v>
      </c>
      <c r="O136" s="1">
        <v>44727</v>
      </c>
      <c r="P136">
        <v>8899</v>
      </c>
    </row>
    <row r="137" spans="1:16">
      <c r="A137" s="1">
        <v>42871</v>
      </c>
      <c r="B137">
        <v>6376</v>
      </c>
      <c r="C137">
        <v>11956</v>
      </c>
      <c r="D137">
        <v>6735</v>
      </c>
      <c r="E137">
        <v>4848</v>
      </c>
      <c r="F137">
        <v>75</v>
      </c>
      <c r="G137" t="s">
        <v>83</v>
      </c>
      <c r="H137" t="str" cm="1">
        <f t="array" ref="H137">_xlfn.IFS(Grammys[[#This Row],[date]] &gt;= DATE(2022,2,1),"Grammys",TRUE,"Grammys TRA")</f>
        <v>Grammys TRA</v>
      </c>
      <c r="I137">
        <f>_xlfn.XLOOKUP(Grammys[[#This Row],[date]],mobile_visits[date],mobile_visits[mobile_visitors],0)</f>
        <v>0</v>
      </c>
      <c r="O137" s="1">
        <v>44728</v>
      </c>
      <c r="P137">
        <v>11492</v>
      </c>
    </row>
    <row r="138" spans="1:16">
      <c r="A138" s="1">
        <v>42872</v>
      </c>
      <c r="B138">
        <v>1462</v>
      </c>
      <c r="C138">
        <v>2493</v>
      </c>
      <c r="D138">
        <v>1516</v>
      </c>
      <c r="E138">
        <v>1002</v>
      </c>
      <c r="F138">
        <v>94</v>
      </c>
      <c r="G138" t="s">
        <v>83</v>
      </c>
      <c r="H138" t="str" cm="1">
        <f t="array" ref="H138">_xlfn.IFS(Grammys[[#This Row],[date]] &gt;= DATE(2022,2,1),"Grammys",TRUE,"Grammys TRA")</f>
        <v>Grammys TRA</v>
      </c>
      <c r="I138">
        <f>_xlfn.XLOOKUP(Grammys[[#This Row],[date]],mobile_visits[date],mobile_visits[mobile_visitors],0)</f>
        <v>0</v>
      </c>
      <c r="O138" s="1">
        <v>44729</v>
      </c>
      <c r="P138">
        <v>12255</v>
      </c>
    </row>
    <row r="139" spans="1:16">
      <c r="A139" s="1">
        <v>42873</v>
      </c>
      <c r="B139">
        <v>4263</v>
      </c>
      <c r="C139">
        <v>6743</v>
      </c>
      <c r="D139">
        <v>4490</v>
      </c>
      <c r="E139">
        <v>3042</v>
      </c>
      <c r="F139">
        <v>69</v>
      </c>
      <c r="G139" t="s">
        <v>83</v>
      </c>
      <c r="H139" t="str" cm="1">
        <f t="array" ref="H139">_xlfn.IFS(Grammys[[#This Row],[date]] &gt;= DATE(2022,2,1),"Grammys",TRUE,"Grammys TRA")</f>
        <v>Grammys TRA</v>
      </c>
      <c r="I139">
        <f>_xlfn.XLOOKUP(Grammys[[#This Row],[date]],mobile_visits[date],mobile_visits[mobile_visitors],0)</f>
        <v>0</v>
      </c>
      <c r="O139" s="1">
        <v>44730</v>
      </c>
      <c r="P139">
        <v>9358</v>
      </c>
    </row>
    <row r="140" spans="1:16">
      <c r="A140" s="1">
        <v>42874</v>
      </c>
      <c r="B140">
        <v>4018</v>
      </c>
      <c r="C140">
        <v>6443</v>
      </c>
      <c r="D140">
        <v>4220</v>
      </c>
      <c r="E140">
        <v>2364</v>
      </c>
      <c r="F140">
        <v>78</v>
      </c>
      <c r="G140" t="s">
        <v>83</v>
      </c>
      <c r="H140" t="str" cm="1">
        <f t="array" ref="H140">_xlfn.IFS(Grammys[[#This Row],[date]] &gt;= DATE(2022,2,1),"Grammys",TRUE,"Grammys TRA")</f>
        <v>Grammys TRA</v>
      </c>
      <c r="I140">
        <f>_xlfn.XLOOKUP(Grammys[[#This Row],[date]],mobile_visits[date],mobile_visits[mobile_visitors],0)</f>
        <v>0</v>
      </c>
      <c r="O140" s="1">
        <v>44731</v>
      </c>
      <c r="P140">
        <v>9579</v>
      </c>
    </row>
    <row r="141" spans="1:16">
      <c r="A141" s="1">
        <v>42875</v>
      </c>
      <c r="B141">
        <v>3444</v>
      </c>
      <c r="C141">
        <v>5451</v>
      </c>
      <c r="D141">
        <v>3610</v>
      </c>
      <c r="E141">
        <v>1861</v>
      </c>
      <c r="F141">
        <v>83</v>
      </c>
      <c r="G141" t="s">
        <v>83</v>
      </c>
      <c r="H141" t="str" cm="1">
        <f t="array" ref="H141">_xlfn.IFS(Grammys[[#This Row],[date]] &gt;= DATE(2022,2,1),"Grammys",TRUE,"Grammys TRA")</f>
        <v>Grammys TRA</v>
      </c>
      <c r="I141">
        <f>_xlfn.XLOOKUP(Grammys[[#This Row],[date]],mobile_visits[date],mobile_visits[mobile_visitors],0)</f>
        <v>0</v>
      </c>
      <c r="O141" s="1">
        <v>44732</v>
      </c>
      <c r="P141">
        <v>9868</v>
      </c>
    </row>
    <row r="142" spans="1:16">
      <c r="A142" s="1">
        <v>42876</v>
      </c>
      <c r="B142">
        <v>4776</v>
      </c>
      <c r="C142">
        <v>7596</v>
      </c>
      <c r="D142">
        <v>5018</v>
      </c>
      <c r="E142">
        <v>2711</v>
      </c>
      <c r="F142">
        <v>83</v>
      </c>
      <c r="G142" t="s">
        <v>83</v>
      </c>
      <c r="H142" t="str" cm="1">
        <f t="array" ref="H142">_xlfn.IFS(Grammys[[#This Row],[date]] &gt;= DATE(2022,2,1),"Grammys",TRUE,"Grammys TRA")</f>
        <v>Grammys TRA</v>
      </c>
      <c r="I142">
        <f>_xlfn.XLOOKUP(Grammys[[#This Row],[date]],mobile_visits[date],mobile_visits[mobile_visitors],0)</f>
        <v>0</v>
      </c>
      <c r="O142" s="1">
        <v>44733</v>
      </c>
      <c r="P142">
        <v>9075</v>
      </c>
    </row>
    <row r="143" spans="1:16">
      <c r="A143" s="1">
        <v>42877</v>
      </c>
      <c r="B143">
        <v>5434</v>
      </c>
      <c r="C143">
        <v>8280</v>
      </c>
      <c r="D143">
        <v>5687</v>
      </c>
      <c r="E143">
        <v>3141</v>
      </c>
      <c r="F143">
        <v>77</v>
      </c>
      <c r="G143" t="s">
        <v>83</v>
      </c>
      <c r="H143" t="str" cm="1">
        <f t="array" ref="H143">_xlfn.IFS(Grammys[[#This Row],[date]] &gt;= DATE(2022,2,1),"Grammys",TRUE,"Grammys TRA")</f>
        <v>Grammys TRA</v>
      </c>
      <c r="I143">
        <f>_xlfn.XLOOKUP(Grammys[[#This Row],[date]],mobile_visits[date],mobile_visits[mobile_visitors],0)</f>
        <v>0</v>
      </c>
      <c r="O143" s="1">
        <v>44734</v>
      </c>
      <c r="P143">
        <v>8343</v>
      </c>
    </row>
    <row r="144" spans="1:16">
      <c r="A144" s="1">
        <v>42878</v>
      </c>
      <c r="B144">
        <v>4157</v>
      </c>
      <c r="C144">
        <v>6434</v>
      </c>
      <c r="D144">
        <v>4412</v>
      </c>
      <c r="E144">
        <v>2466</v>
      </c>
      <c r="F144">
        <v>80</v>
      </c>
      <c r="G144" t="s">
        <v>83</v>
      </c>
      <c r="H144" t="str" cm="1">
        <f t="array" ref="H144">_xlfn.IFS(Grammys[[#This Row],[date]] &gt;= DATE(2022,2,1),"Grammys",TRUE,"Grammys TRA")</f>
        <v>Grammys TRA</v>
      </c>
      <c r="I144">
        <f>_xlfn.XLOOKUP(Grammys[[#This Row],[date]],mobile_visits[date],mobile_visits[mobile_visitors],0)</f>
        <v>0</v>
      </c>
      <c r="O144" s="1">
        <v>44735</v>
      </c>
      <c r="P144">
        <v>8078</v>
      </c>
    </row>
    <row r="145" spans="1:16">
      <c r="A145" s="1">
        <v>42879</v>
      </c>
      <c r="B145">
        <v>3766</v>
      </c>
      <c r="C145">
        <v>6088</v>
      </c>
      <c r="D145">
        <v>3986</v>
      </c>
      <c r="E145">
        <v>2163</v>
      </c>
      <c r="F145">
        <v>90</v>
      </c>
      <c r="G145" t="s">
        <v>83</v>
      </c>
      <c r="H145" t="str" cm="1">
        <f t="array" ref="H145">_xlfn.IFS(Grammys[[#This Row],[date]] &gt;= DATE(2022,2,1),"Grammys",TRUE,"Grammys TRA")</f>
        <v>Grammys TRA</v>
      </c>
      <c r="I145">
        <f>_xlfn.XLOOKUP(Grammys[[#This Row],[date]],mobile_visits[date],mobile_visits[mobile_visitors],0)</f>
        <v>0</v>
      </c>
      <c r="O145" s="1">
        <v>44736</v>
      </c>
      <c r="P145">
        <v>8148</v>
      </c>
    </row>
    <row r="146" spans="1:16">
      <c r="A146" s="1">
        <v>42880</v>
      </c>
      <c r="B146">
        <v>4317</v>
      </c>
      <c r="C146">
        <v>7003</v>
      </c>
      <c r="D146">
        <v>4582</v>
      </c>
      <c r="E146">
        <v>2529</v>
      </c>
      <c r="F146">
        <v>84</v>
      </c>
      <c r="G146" t="s">
        <v>83</v>
      </c>
      <c r="H146" t="str" cm="1">
        <f t="array" ref="H146">_xlfn.IFS(Grammys[[#This Row],[date]] &gt;= DATE(2022,2,1),"Grammys",TRUE,"Grammys TRA")</f>
        <v>Grammys TRA</v>
      </c>
      <c r="I146">
        <f>_xlfn.XLOOKUP(Grammys[[#This Row],[date]],mobile_visits[date],mobile_visits[mobile_visitors],0)</f>
        <v>0</v>
      </c>
      <c r="O146" s="1">
        <v>44737</v>
      </c>
      <c r="P146">
        <v>7657</v>
      </c>
    </row>
    <row r="147" spans="1:16">
      <c r="A147" s="1">
        <v>42881</v>
      </c>
      <c r="B147">
        <v>4406</v>
      </c>
      <c r="C147">
        <v>7131</v>
      </c>
      <c r="D147">
        <v>4729</v>
      </c>
      <c r="E147">
        <v>2613</v>
      </c>
      <c r="F147">
        <v>81</v>
      </c>
      <c r="G147" t="s">
        <v>83</v>
      </c>
      <c r="H147" t="str" cm="1">
        <f t="array" ref="H147">_xlfn.IFS(Grammys[[#This Row],[date]] &gt;= DATE(2022,2,1),"Grammys",TRUE,"Grammys TRA")</f>
        <v>Grammys TRA</v>
      </c>
      <c r="I147">
        <f>_xlfn.XLOOKUP(Grammys[[#This Row],[date]],mobile_visits[date],mobile_visits[mobile_visitors],0)</f>
        <v>0</v>
      </c>
      <c r="O147" s="1">
        <v>44738</v>
      </c>
      <c r="P147">
        <v>8268</v>
      </c>
    </row>
    <row r="148" spans="1:16">
      <c r="A148" s="1">
        <v>42882</v>
      </c>
      <c r="B148">
        <v>4031</v>
      </c>
      <c r="C148">
        <v>6774</v>
      </c>
      <c r="D148">
        <v>4272</v>
      </c>
      <c r="E148">
        <v>2474</v>
      </c>
      <c r="F148">
        <v>76</v>
      </c>
      <c r="G148" t="s">
        <v>83</v>
      </c>
      <c r="H148" t="str" cm="1">
        <f t="array" ref="H148">_xlfn.IFS(Grammys[[#This Row],[date]] &gt;= DATE(2022,2,1),"Grammys",TRUE,"Grammys TRA")</f>
        <v>Grammys TRA</v>
      </c>
      <c r="I148">
        <f>_xlfn.XLOOKUP(Grammys[[#This Row],[date]],mobile_visits[date],mobile_visits[mobile_visitors],0)</f>
        <v>0</v>
      </c>
      <c r="O148" s="1">
        <v>44739</v>
      </c>
      <c r="P148">
        <v>7772</v>
      </c>
    </row>
    <row r="149" spans="1:16">
      <c r="A149" s="1">
        <v>42883</v>
      </c>
      <c r="B149">
        <v>5186</v>
      </c>
      <c r="C149">
        <v>12019</v>
      </c>
      <c r="D149">
        <v>5566</v>
      </c>
      <c r="E149">
        <v>2796</v>
      </c>
      <c r="F149">
        <v>111</v>
      </c>
      <c r="G149" t="s">
        <v>83</v>
      </c>
      <c r="H149" t="str" cm="1">
        <f t="array" ref="H149">_xlfn.IFS(Grammys[[#This Row],[date]] &gt;= DATE(2022,2,1),"Grammys",TRUE,"Grammys TRA")</f>
        <v>Grammys TRA</v>
      </c>
      <c r="I149">
        <f>_xlfn.XLOOKUP(Grammys[[#This Row],[date]],mobile_visits[date],mobile_visits[mobile_visitors],0)</f>
        <v>0</v>
      </c>
      <c r="O149" s="1">
        <v>44740</v>
      </c>
      <c r="P149">
        <v>7860</v>
      </c>
    </row>
    <row r="150" spans="1:16">
      <c r="A150" s="1">
        <v>42884</v>
      </c>
      <c r="B150">
        <v>3972</v>
      </c>
      <c r="C150">
        <v>7122</v>
      </c>
      <c r="D150">
        <v>4245</v>
      </c>
      <c r="E150">
        <v>2365</v>
      </c>
      <c r="F150">
        <v>87</v>
      </c>
      <c r="G150" t="s">
        <v>83</v>
      </c>
      <c r="H150" t="str" cm="1">
        <f t="array" ref="H150">_xlfn.IFS(Grammys[[#This Row],[date]] &gt;= DATE(2022,2,1),"Grammys",TRUE,"Grammys TRA")</f>
        <v>Grammys TRA</v>
      </c>
      <c r="I150">
        <f>_xlfn.XLOOKUP(Grammys[[#This Row],[date]],mobile_visits[date],mobile_visits[mobile_visitors],0)</f>
        <v>0</v>
      </c>
      <c r="O150" s="1">
        <v>44741</v>
      </c>
      <c r="P150">
        <v>20986</v>
      </c>
    </row>
    <row r="151" spans="1:16">
      <c r="A151" s="1">
        <v>42885</v>
      </c>
      <c r="B151">
        <v>5343</v>
      </c>
      <c r="C151">
        <v>8187</v>
      </c>
      <c r="D151">
        <v>5624</v>
      </c>
      <c r="E151">
        <v>2816</v>
      </c>
      <c r="F151">
        <v>85</v>
      </c>
      <c r="G151" t="s">
        <v>83</v>
      </c>
      <c r="H151" t="str" cm="1">
        <f t="array" ref="H151">_xlfn.IFS(Grammys[[#This Row],[date]] &gt;= DATE(2022,2,1),"Grammys",TRUE,"Grammys TRA")</f>
        <v>Grammys TRA</v>
      </c>
      <c r="I151">
        <f>_xlfn.XLOOKUP(Grammys[[#This Row],[date]],mobile_visits[date],mobile_visits[mobile_visitors],0)</f>
        <v>0</v>
      </c>
      <c r="O151" s="1">
        <v>44742</v>
      </c>
      <c r="P151">
        <v>11811</v>
      </c>
    </row>
    <row r="152" spans="1:16">
      <c r="A152" s="1">
        <v>42886</v>
      </c>
      <c r="B152">
        <v>5060</v>
      </c>
      <c r="C152">
        <v>8021</v>
      </c>
      <c r="D152">
        <v>5307</v>
      </c>
      <c r="E152">
        <v>2805</v>
      </c>
      <c r="F152">
        <v>81</v>
      </c>
      <c r="G152" t="s">
        <v>83</v>
      </c>
      <c r="H152" t="str" cm="1">
        <f t="array" ref="H152">_xlfn.IFS(Grammys[[#This Row],[date]] &gt;= DATE(2022,2,1),"Grammys",TRUE,"Grammys TRA")</f>
        <v>Grammys TRA</v>
      </c>
      <c r="I152">
        <f>_xlfn.XLOOKUP(Grammys[[#This Row],[date]],mobile_visits[date],mobile_visits[mobile_visitors],0)</f>
        <v>0</v>
      </c>
      <c r="O152" s="1">
        <v>44743</v>
      </c>
      <c r="P152">
        <v>10215</v>
      </c>
    </row>
    <row r="153" spans="1:16">
      <c r="A153" s="1">
        <v>42887</v>
      </c>
      <c r="B153">
        <v>3998</v>
      </c>
      <c r="C153">
        <v>6474</v>
      </c>
      <c r="D153">
        <v>4233</v>
      </c>
      <c r="E153">
        <v>2396</v>
      </c>
      <c r="F153">
        <v>78</v>
      </c>
      <c r="G153" t="s">
        <v>83</v>
      </c>
      <c r="H153" t="str" cm="1">
        <f t="array" ref="H153">_xlfn.IFS(Grammys[[#This Row],[date]] &gt;= DATE(2022,2,1),"Grammys",TRUE,"Grammys TRA")</f>
        <v>Grammys TRA</v>
      </c>
      <c r="I153">
        <f>_xlfn.XLOOKUP(Grammys[[#This Row],[date]],mobile_visits[date],mobile_visits[mobile_visitors],0)</f>
        <v>0</v>
      </c>
      <c r="O153" s="1">
        <v>44744</v>
      </c>
      <c r="P153">
        <v>11704</v>
      </c>
    </row>
    <row r="154" spans="1:16">
      <c r="A154" s="1">
        <v>42888</v>
      </c>
      <c r="B154">
        <v>3761</v>
      </c>
      <c r="C154">
        <v>5890</v>
      </c>
      <c r="D154">
        <v>3972</v>
      </c>
      <c r="E154">
        <v>2307</v>
      </c>
      <c r="F154">
        <v>73</v>
      </c>
      <c r="G154" t="s">
        <v>83</v>
      </c>
      <c r="H154" t="str" cm="1">
        <f t="array" ref="H154">_xlfn.IFS(Grammys[[#This Row],[date]] &gt;= DATE(2022,2,1),"Grammys",TRUE,"Grammys TRA")</f>
        <v>Grammys TRA</v>
      </c>
      <c r="I154">
        <f>_xlfn.XLOOKUP(Grammys[[#This Row],[date]],mobile_visits[date],mobile_visits[mobile_visitors],0)</f>
        <v>0</v>
      </c>
      <c r="O154" s="1">
        <v>44745</v>
      </c>
      <c r="P154">
        <v>10138</v>
      </c>
    </row>
    <row r="155" spans="1:16">
      <c r="A155" s="1">
        <v>42889</v>
      </c>
      <c r="B155">
        <v>3794</v>
      </c>
      <c r="C155">
        <v>6006</v>
      </c>
      <c r="D155">
        <v>3967</v>
      </c>
      <c r="E155">
        <v>2282</v>
      </c>
      <c r="F155">
        <v>78</v>
      </c>
      <c r="G155" t="s">
        <v>83</v>
      </c>
      <c r="H155" t="str" cm="1">
        <f t="array" ref="H155">_xlfn.IFS(Grammys[[#This Row],[date]] &gt;= DATE(2022,2,1),"Grammys",TRUE,"Grammys TRA")</f>
        <v>Grammys TRA</v>
      </c>
      <c r="I155">
        <f>_xlfn.XLOOKUP(Grammys[[#This Row],[date]],mobile_visits[date],mobile_visits[mobile_visitors],0)</f>
        <v>0</v>
      </c>
      <c r="O155" s="1">
        <v>44746</v>
      </c>
      <c r="P155">
        <v>9361</v>
      </c>
    </row>
    <row r="156" spans="1:16">
      <c r="A156" s="1">
        <v>42890</v>
      </c>
      <c r="B156">
        <v>3907</v>
      </c>
      <c r="C156">
        <v>6189</v>
      </c>
      <c r="D156">
        <v>4103</v>
      </c>
      <c r="E156">
        <v>2351</v>
      </c>
      <c r="F156">
        <v>70</v>
      </c>
      <c r="G156" t="s">
        <v>83</v>
      </c>
      <c r="H156" t="str" cm="1">
        <f t="array" ref="H156">_xlfn.IFS(Grammys[[#This Row],[date]] &gt;= DATE(2022,2,1),"Grammys",TRUE,"Grammys TRA")</f>
        <v>Grammys TRA</v>
      </c>
      <c r="I156">
        <f>_xlfn.XLOOKUP(Grammys[[#This Row],[date]],mobile_visits[date],mobile_visits[mobile_visitors],0)</f>
        <v>0</v>
      </c>
      <c r="O156" s="1">
        <v>44747</v>
      </c>
      <c r="P156">
        <v>11760</v>
      </c>
    </row>
    <row r="157" spans="1:16">
      <c r="A157" s="1">
        <v>42891</v>
      </c>
      <c r="B157">
        <v>5109</v>
      </c>
      <c r="C157">
        <v>8047</v>
      </c>
      <c r="D157">
        <v>5355</v>
      </c>
      <c r="E157">
        <v>2833</v>
      </c>
      <c r="F157">
        <v>76</v>
      </c>
      <c r="G157" t="s">
        <v>83</v>
      </c>
      <c r="H157" t="str" cm="1">
        <f t="array" ref="H157">_xlfn.IFS(Grammys[[#This Row],[date]] &gt;= DATE(2022,2,1),"Grammys",TRUE,"Grammys TRA")</f>
        <v>Grammys TRA</v>
      </c>
      <c r="I157">
        <f>_xlfn.XLOOKUP(Grammys[[#This Row],[date]],mobile_visits[date],mobile_visits[mobile_visitors],0)</f>
        <v>0</v>
      </c>
      <c r="O157" s="1">
        <v>44748</v>
      </c>
      <c r="P157">
        <v>10296</v>
      </c>
    </row>
    <row r="158" spans="1:16">
      <c r="A158" s="1">
        <v>42892</v>
      </c>
      <c r="B158">
        <v>4786</v>
      </c>
      <c r="C158">
        <v>9770</v>
      </c>
      <c r="D158">
        <v>5054</v>
      </c>
      <c r="E158">
        <v>2091</v>
      </c>
      <c r="F158">
        <v>84</v>
      </c>
      <c r="G158" t="s">
        <v>83</v>
      </c>
      <c r="H158" t="str" cm="1">
        <f t="array" ref="H158">_xlfn.IFS(Grammys[[#This Row],[date]] &gt;= DATE(2022,2,1),"Grammys",TRUE,"Grammys TRA")</f>
        <v>Grammys TRA</v>
      </c>
      <c r="I158">
        <f>_xlfn.XLOOKUP(Grammys[[#This Row],[date]],mobile_visits[date],mobile_visits[mobile_visitors],0)</f>
        <v>0</v>
      </c>
      <c r="O158" s="1">
        <v>44749</v>
      </c>
      <c r="P158">
        <v>10806</v>
      </c>
    </row>
    <row r="159" spans="1:16">
      <c r="A159" s="1">
        <v>42893</v>
      </c>
      <c r="B159">
        <v>5010</v>
      </c>
      <c r="C159">
        <v>11189</v>
      </c>
      <c r="D159">
        <v>5290</v>
      </c>
      <c r="E159">
        <v>1746</v>
      </c>
      <c r="F159">
        <v>80</v>
      </c>
      <c r="G159" t="s">
        <v>83</v>
      </c>
      <c r="H159" t="str" cm="1">
        <f t="array" ref="H159">_xlfn.IFS(Grammys[[#This Row],[date]] &gt;= DATE(2022,2,1),"Grammys",TRUE,"Grammys TRA")</f>
        <v>Grammys TRA</v>
      </c>
      <c r="I159">
        <f>_xlfn.XLOOKUP(Grammys[[#This Row],[date]],mobile_visits[date],mobile_visits[mobile_visitors],0)</f>
        <v>0</v>
      </c>
      <c r="O159" s="1">
        <v>44750</v>
      </c>
      <c r="P159">
        <v>9690</v>
      </c>
    </row>
    <row r="160" spans="1:16">
      <c r="A160" s="1">
        <v>42894</v>
      </c>
      <c r="B160">
        <v>5338</v>
      </c>
      <c r="C160">
        <v>9638</v>
      </c>
      <c r="D160">
        <v>5648</v>
      </c>
      <c r="E160">
        <v>2436</v>
      </c>
      <c r="F160">
        <v>77</v>
      </c>
      <c r="G160" t="s">
        <v>83</v>
      </c>
      <c r="H160" t="str" cm="1">
        <f t="array" ref="H160">_xlfn.IFS(Grammys[[#This Row],[date]] &gt;= DATE(2022,2,1),"Grammys",TRUE,"Grammys TRA")</f>
        <v>Grammys TRA</v>
      </c>
      <c r="I160">
        <f>_xlfn.XLOOKUP(Grammys[[#This Row],[date]],mobile_visits[date],mobile_visits[mobile_visitors],0)</f>
        <v>0</v>
      </c>
      <c r="O160" s="1">
        <v>44751</v>
      </c>
      <c r="P160">
        <v>8807</v>
      </c>
    </row>
    <row r="161" spans="1:16">
      <c r="A161" s="1">
        <v>42895</v>
      </c>
      <c r="B161">
        <v>4948</v>
      </c>
      <c r="C161">
        <v>8029</v>
      </c>
      <c r="D161">
        <v>5214</v>
      </c>
      <c r="E161">
        <v>2716</v>
      </c>
      <c r="F161">
        <v>86</v>
      </c>
      <c r="G161" t="s">
        <v>83</v>
      </c>
      <c r="H161" t="str" cm="1">
        <f t="array" ref="H161">_xlfn.IFS(Grammys[[#This Row],[date]] &gt;= DATE(2022,2,1),"Grammys",TRUE,"Grammys TRA")</f>
        <v>Grammys TRA</v>
      </c>
      <c r="I161">
        <f>_xlfn.XLOOKUP(Grammys[[#This Row],[date]],mobile_visits[date],mobile_visits[mobile_visitors],0)</f>
        <v>0</v>
      </c>
      <c r="O161" s="1">
        <v>44752</v>
      </c>
      <c r="P161">
        <v>7675</v>
      </c>
    </row>
    <row r="162" spans="1:16">
      <c r="A162" s="1">
        <v>42896</v>
      </c>
      <c r="B162">
        <v>4786</v>
      </c>
      <c r="C162">
        <v>7389</v>
      </c>
      <c r="D162">
        <v>5034</v>
      </c>
      <c r="E162">
        <v>2599</v>
      </c>
      <c r="F162">
        <v>75</v>
      </c>
      <c r="G162" t="s">
        <v>83</v>
      </c>
      <c r="H162" t="str" cm="1">
        <f t="array" ref="H162">_xlfn.IFS(Grammys[[#This Row],[date]] &gt;= DATE(2022,2,1),"Grammys",TRUE,"Grammys TRA")</f>
        <v>Grammys TRA</v>
      </c>
      <c r="I162">
        <f>_xlfn.XLOOKUP(Grammys[[#This Row],[date]],mobile_visits[date],mobile_visits[mobile_visitors],0)</f>
        <v>0</v>
      </c>
      <c r="O162" s="1">
        <v>44753</v>
      </c>
      <c r="P162">
        <v>9797</v>
      </c>
    </row>
    <row r="163" spans="1:16">
      <c r="A163" s="1">
        <v>42897</v>
      </c>
      <c r="B163">
        <v>5219</v>
      </c>
      <c r="C163">
        <v>8070</v>
      </c>
      <c r="D163">
        <v>5513</v>
      </c>
      <c r="E163">
        <v>2783</v>
      </c>
      <c r="F163">
        <v>77</v>
      </c>
      <c r="G163" t="s">
        <v>83</v>
      </c>
      <c r="H163" t="str" cm="1">
        <f t="array" ref="H163">_xlfn.IFS(Grammys[[#This Row],[date]] &gt;= DATE(2022,2,1),"Grammys",TRUE,"Grammys TRA")</f>
        <v>Grammys TRA</v>
      </c>
      <c r="I163">
        <f>_xlfn.XLOOKUP(Grammys[[#This Row],[date]],mobile_visits[date],mobile_visits[mobile_visitors],0)</f>
        <v>0</v>
      </c>
      <c r="O163" s="1">
        <v>44754</v>
      </c>
      <c r="P163">
        <v>10548</v>
      </c>
    </row>
    <row r="164" spans="1:16">
      <c r="A164" s="1">
        <v>42898</v>
      </c>
      <c r="B164">
        <v>5631</v>
      </c>
      <c r="C164">
        <v>8580</v>
      </c>
      <c r="D164">
        <v>5962</v>
      </c>
      <c r="E164">
        <v>3023</v>
      </c>
      <c r="F164">
        <v>84</v>
      </c>
      <c r="G164" t="s">
        <v>83</v>
      </c>
      <c r="H164" t="str" cm="1">
        <f t="array" ref="H164">_xlfn.IFS(Grammys[[#This Row],[date]] &gt;= DATE(2022,2,1),"Grammys",TRUE,"Grammys TRA")</f>
        <v>Grammys TRA</v>
      </c>
      <c r="I164">
        <f>_xlfn.XLOOKUP(Grammys[[#This Row],[date]],mobile_visits[date],mobile_visits[mobile_visitors],0)</f>
        <v>0</v>
      </c>
      <c r="O164" s="1">
        <v>44755</v>
      </c>
      <c r="P164">
        <v>9586</v>
      </c>
    </row>
    <row r="165" spans="1:16">
      <c r="A165" s="1">
        <v>42899</v>
      </c>
      <c r="B165">
        <v>5178</v>
      </c>
      <c r="C165">
        <v>8196</v>
      </c>
      <c r="D165">
        <v>5504</v>
      </c>
      <c r="E165">
        <v>2803</v>
      </c>
      <c r="F165">
        <v>92</v>
      </c>
      <c r="G165" t="s">
        <v>83</v>
      </c>
      <c r="H165" t="str" cm="1">
        <f t="array" ref="H165">_xlfn.IFS(Grammys[[#This Row],[date]] &gt;= DATE(2022,2,1),"Grammys",TRUE,"Grammys TRA")</f>
        <v>Grammys TRA</v>
      </c>
      <c r="I165">
        <f>_xlfn.XLOOKUP(Grammys[[#This Row],[date]],mobile_visits[date],mobile_visits[mobile_visitors],0)</f>
        <v>0</v>
      </c>
      <c r="O165" s="1">
        <v>44756</v>
      </c>
      <c r="P165">
        <v>10245</v>
      </c>
    </row>
    <row r="166" spans="1:16">
      <c r="A166" s="1">
        <v>42900</v>
      </c>
      <c r="B166">
        <v>5952</v>
      </c>
      <c r="C166">
        <v>9445</v>
      </c>
      <c r="D166">
        <v>6368</v>
      </c>
      <c r="E166">
        <v>3146</v>
      </c>
      <c r="F166">
        <v>85</v>
      </c>
      <c r="G166" t="s">
        <v>83</v>
      </c>
      <c r="H166" t="str" cm="1">
        <f t="array" ref="H166">_xlfn.IFS(Grammys[[#This Row],[date]] &gt;= DATE(2022,2,1),"Grammys",TRUE,"Grammys TRA")</f>
        <v>Grammys TRA</v>
      </c>
      <c r="I166">
        <f>_xlfn.XLOOKUP(Grammys[[#This Row],[date]],mobile_visits[date],mobile_visits[mobile_visitors],0)</f>
        <v>0</v>
      </c>
      <c r="O166" s="1">
        <v>44757</v>
      </c>
      <c r="P166">
        <v>13501</v>
      </c>
    </row>
    <row r="167" spans="1:16">
      <c r="A167" s="1">
        <v>42901</v>
      </c>
      <c r="B167">
        <v>5287</v>
      </c>
      <c r="C167">
        <v>8453</v>
      </c>
      <c r="D167">
        <v>5597</v>
      </c>
      <c r="E167">
        <v>2798</v>
      </c>
      <c r="F167">
        <v>83</v>
      </c>
      <c r="G167" t="s">
        <v>83</v>
      </c>
      <c r="H167" t="str" cm="1">
        <f t="array" ref="H167">_xlfn.IFS(Grammys[[#This Row],[date]] &gt;= DATE(2022,2,1),"Grammys",TRUE,"Grammys TRA")</f>
        <v>Grammys TRA</v>
      </c>
      <c r="I167">
        <f>_xlfn.XLOOKUP(Grammys[[#This Row],[date]],mobile_visits[date],mobile_visits[mobile_visitors],0)</f>
        <v>0</v>
      </c>
      <c r="O167" s="1">
        <v>44758</v>
      </c>
      <c r="P167">
        <v>11995</v>
      </c>
    </row>
    <row r="168" spans="1:16">
      <c r="A168" s="1">
        <v>42902</v>
      </c>
      <c r="B168">
        <v>4749</v>
      </c>
      <c r="C168">
        <v>7681</v>
      </c>
      <c r="D168">
        <v>5050</v>
      </c>
      <c r="E168">
        <v>2582</v>
      </c>
      <c r="F168">
        <v>78</v>
      </c>
      <c r="G168" t="s">
        <v>83</v>
      </c>
      <c r="H168" t="str" cm="1">
        <f t="array" ref="H168">_xlfn.IFS(Grammys[[#This Row],[date]] &gt;= DATE(2022,2,1),"Grammys",TRUE,"Grammys TRA")</f>
        <v>Grammys TRA</v>
      </c>
      <c r="I168">
        <f>_xlfn.XLOOKUP(Grammys[[#This Row],[date]],mobile_visits[date],mobile_visits[mobile_visitors],0)</f>
        <v>0</v>
      </c>
      <c r="O168" s="1">
        <v>44759</v>
      </c>
      <c r="P168">
        <v>12154</v>
      </c>
    </row>
    <row r="169" spans="1:16">
      <c r="A169" s="1">
        <v>42903</v>
      </c>
      <c r="B169">
        <v>4515</v>
      </c>
      <c r="C169">
        <v>6917</v>
      </c>
      <c r="D169">
        <v>4743</v>
      </c>
      <c r="E169">
        <v>2464</v>
      </c>
      <c r="F169">
        <v>78</v>
      </c>
      <c r="G169" t="s">
        <v>83</v>
      </c>
      <c r="H169" t="str" cm="1">
        <f t="array" ref="H169">_xlfn.IFS(Grammys[[#This Row],[date]] &gt;= DATE(2022,2,1),"Grammys",TRUE,"Grammys TRA")</f>
        <v>Grammys TRA</v>
      </c>
      <c r="I169">
        <f>_xlfn.XLOOKUP(Grammys[[#This Row],[date]],mobile_visits[date],mobile_visits[mobile_visitors],0)</f>
        <v>0</v>
      </c>
      <c r="O169" s="1">
        <v>44760</v>
      </c>
      <c r="P169">
        <v>8633</v>
      </c>
    </row>
    <row r="170" spans="1:16">
      <c r="A170" s="1">
        <v>42904</v>
      </c>
      <c r="B170">
        <v>4738</v>
      </c>
      <c r="C170">
        <v>7482</v>
      </c>
      <c r="D170">
        <v>4998</v>
      </c>
      <c r="E170">
        <v>2497</v>
      </c>
      <c r="F170">
        <v>84</v>
      </c>
      <c r="G170" t="s">
        <v>83</v>
      </c>
      <c r="H170" t="str" cm="1">
        <f t="array" ref="H170">_xlfn.IFS(Grammys[[#This Row],[date]] &gt;= DATE(2022,2,1),"Grammys",TRUE,"Grammys TRA")</f>
        <v>Grammys TRA</v>
      </c>
      <c r="I170">
        <f>_xlfn.XLOOKUP(Grammys[[#This Row],[date]],mobile_visits[date],mobile_visits[mobile_visitors],0)</f>
        <v>0</v>
      </c>
      <c r="O170" s="1">
        <v>44761</v>
      </c>
      <c r="P170">
        <v>4581</v>
      </c>
    </row>
    <row r="171" spans="1:16">
      <c r="A171" s="1">
        <v>42905</v>
      </c>
      <c r="B171">
        <v>5153</v>
      </c>
      <c r="C171">
        <v>8225</v>
      </c>
      <c r="D171">
        <v>5481</v>
      </c>
      <c r="E171">
        <v>2727</v>
      </c>
      <c r="F171">
        <v>87</v>
      </c>
      <c r="G171" t="s">
        <v>83</v>
      </c>
      <c r="H171" t="str" cm="1">
        <f t="array" ref="H171">_xlfn.IFS(Grammys[[#This Row],[date]] &gt;= DATE(2022,2,1),"Grammys",TRUE,"Grammys TRA")</f>
        <v>Grammys TRA</v>
      </c>
      <c r="I171">
        <f>_xlfn.XLOOKUP(Grammys[[#This Row],[date]],mobile_visits[date],mobile_visits[mobile_visitors],0)</f>
        <v>0</v>
      </c>
      <c r="O171" s="1">
        <v>44762</v>
      </c>
      <c r="P171">
        <v>4698</v>
      </c>
    </row>
    <row r="172" spans="1:16">
      <c r="A172" s="1">
        <v>42906</v>
      </c>
      <c r="B172">
        <v>5278</v>
      </c>
      <c r="C172">
        <v>8230</v>
      </c>
      <c r="D172">
        <v>5586</v>
      </c>
      <c r="E172">
        <v>2828</v>
      </c>
      <c r="F172">
        <v>83</v>
      </c>
      <c r="G172" t="s">
        <v>83</v>
      </c>
      <c r="H172" t="str" cm="1">
        <f t="array" ref="H172">_xlfn.IFS(Grammys[[#This Row],[date]] &gt;= DATE(2022,2,1),"Grammys",TRUE,"Grammys TRA")</f>
        <v>Grammys TRA</v>
      </c>
      <c r="I172">
        <f>_xlfn.XLOOKUP(Grammys[[#This Row],[date]],mobile_visits[date],mobile_visits[mobile_visitors],0)</f>
        <v>0</v>
      </c>
      <c r="O172" s="1">
        <v>44763</v>
      </c>
      <c r="P172">
        <v>7134</v>
      </c>
    </row>
    <row r="173" spans="1:16">
      <c r="A173" s="1">
        <v>42907</v>
      </c>
      <c r="B173">
        <v>5224</v>
      </c>
      <c r="C173">
        <v>8407</v>
      </c>
      <c r="D173">
        <v>5518</v>
      </c>
      <c r="E173">
        <v>2794</v>
      </c>
      <c r="F173">
        <v>90</v>
      </c>
      <c r="G173" t="s">
        <v>83</v>
      </c>
      <c r="H173" t="str" cm="1">
        <f t="array" ref="H173">_xlfn.IFS(Grammys[[#This Row],[date]] &gt;= DATE(2022,2,1),"Grammys",TRUE,"Grammys TRA")</f>
        <v>Grammys TRA</v>
      </c>
      <c r="I173">
        <f>_xlfn.XLOOKUP(Grammys[[#This Row],[date]],mobile_visits[date],mobile_visits[mobile_visitors],0)</f>
        <v>0</v>
      </c>
      <c r="O173" s="1">
        <v>44764</v>
      </c>
      <c r="P173">
        <v>8850</v>
      </c>
    </row>
    <row r="174" spans="1:16">
      <c r="A174" s="1">
        <v>42908</v>
      </c>
      <c r="B174">
        <v>5065</v>
      </c>
      <c r="C174">
        <v>8053</v>
      </c>
      <c r="D174">
        <v>5341</v>
      </c>
      <c r="E174">
        <v>2691</v>
      </c>
      <c r="F174">
        <v>82</v>
      </c>
      <c r="G174" t="s">
        <v>83</v>
      </c>
      <c r="H174" t="str" cm="1">
        <f t="array" ref="H174">_xlfn.IFS(Grammys[[#This Row],[date]] &gt;= DATE(2022,2,1),"Grammys",TRUE,"Grammys TRA")</f>
        <v>Grammys TRA</v>
      </c>
      <c r="I174">
        <f>_xlfn.XLOOKUP(Grammys[[#This Row],[date]],mobile_visits[date],mobile_visits[mobile_visitors],0)</f>
        <v>0</v>
      </c>
      <c r="O174" s="1">
        <v>44765</v>
      </c>
      <c r="P174">
        <v>8627</v>
      </c>
    </row>
    <row r="175" spans="1:16">
      <c r="A175" s="1">
        <v>42909</v>
      </c>
      <c r="B175">
        <v>5043</v>
      </c>
      <c r="C175">
        <v>7795</v>
      </c>
      <c r="D175">
        <v>5313</v>
      </c>
      <c r="E175">
        <v>2687</v>
      </c>
      <c r="F175">
        <v>83</v>
      </c>
      <c r="G175" t="s">
        <v>83</v>
      </c>
      <c r="H175" t="str" cm="1">
        <f t="array" ref="H175">_xlfn.IFS(Grammys[[#This Row],[date]] &gt;= DATE(2022,2,1),"Grammys",TRUE,"Grammys TRA")</f>
        <v>Grammys TRA</v>
      </c>
      <c r="I175">
        <f>_xlfn.XLOOKUP(Grammys[[#This Row],[date]],mobile_visits[date],mobile_visits[mobile_visitors],0)</f>
        <v>0</v>
      </c>
      <c r="O175" s="1">
        <v>44766</v>
      </c>
      <c r="P175">
        <v>8119</v>
      </c>
    </row>
    <row r="176" spans="1:16">
      <c r="A176" s="1">
        <v>42910</v>
      </c>
      <c r="B176">
        <v>5261</v>
      </c>
      <c r="C176">
        <v>8453</v>
      </c>
      <c r="D176">
        <v>5551</v>
      </c>
      <c r="E176">
        <v>2743</v>
      </c>
      <c r="F176">
        <v>98</v>
      </c>
      <c r="G176" t="s">
        <v>83</v>
      </c>
      <c r="H176" t="str" cm="1">
        <f t="array" ref="H176">_xlfn.IFS(Grammys[[#This Row],[date]] &gt;= DATE(2022,2,1),"Grammys",TRUE,"Grammys TRA")</f>
        <v>Grammys TRA</v>
      </c>
      <c r="I176">
        <f>_xlfn.XLOOKUP(Grammys[[#This Row],[date]],mobile_visits[date],mobile_visits[mobile_visitors],0)</f>
        <v>0</v>
      </c>
      <c r="O176" s="1">
        <v>44767</v>
      </c>
      <c r="P176">
        <v>7526</v>
      </c>
    </row>
    <row r="177" spans="1:16">
      <c r="A177" s="1">
        <v>42911</v>
      </c>
      <c r="B177">
        <v>6300</v>
      </c>
      <c r="C177">
        <v>9476</v>
      </c>
      <c r="D177">
        <v>6584</v>
      </c>
      <c r="E177">
        <v>3431</v>
      </c>
      <c r="F177">
        <v>79</v>
      </c>
      <c r="G177" t="s">
        <v>83</v>
      </c>
      <c r="H177" t="str" cm="1">
        <f t="array" ref="H177">_xlfn.IFS(Grammys[[#This Row],[date]] &gt;= DATE(2022,2,1),"Grammys",TRUE,"Grammys TRA")</f>
        <v>Grammys TRA</v>
      </c>
      <c r="I177">
        <f>_xlfn.XLOOKUP(Grammys[[#This Row],[date]],mobile_visits[date],mobile_visits[mobile_visitors],0)</f>
        <v>0</v>
      </c>
      <c r="O177" s="1">
        <v>44768</v>
      </c>
      <c r="P177">
        <v>8198</v>
      </c>
    </row>
    <row r="178" spans="1:16">
      <c r="A178" s="1">
        <v>42912</v>
      </c>
      <c r="B178">
        <v>6453</v>
      </c>
      <c r="C178">
        <v>9981</v>
      </c>
      <c r="D178">
        <v>6805</v>
      </c>
      <c r="E178">
        <v>3477</v>
      </c>
      <c r="F178">
        <v>82</v>
      </c>
      <c r="G178" t="s">
        <v>83</v>
      </c>
      <c r="H178" t="str" cm="1">
        <f t="array" ref="H178">_xlfn.IFS(Grammys[[#This Row],[date]] &gt;= DATE(2022,2,1),"Grammys",TRUE,"Grammys TRA")</f>
        <v>Grammys TRA</v>
      </c>
      <c r="I178">
        <f>_xlfn.XLOOKUP(Grammys[[#This Row],[date]],mobile_visits[date],mobile_visits[mobile_visitors],0)</f>
        <v>0</v>
      </c>
      <c r="O178" s="1">
        <v>44769</v>
      </c>
      <c r="P178">
        <v>17024</v>
      </c>
    </row>
    <row r="179" spans="1:16">
      <c r="A179" s="1">
        <v>42913</v>
      </c>
      <c r="B179">
        <v>6162</v>
      </c>
      <c r="C179">
        <v>9714</v>
      </c>
      <c r="D179">
        <v>6531</v>
      </c>
      <c r="E179">
        <v>3314</v>
      </c>
      <c r="F179">
        <v>90</v>
      </c>
      <c r="G179" t="s">
        <v>83</v>
      </c>
      <c r="H179" t="str" cm="1">
        <f t="array" ref="H179">_xlfn.IFS(Grammys[[#This Row],[date]] &gt;= DATE(2022,2,1),"Grammys",TRUE,"Grammys TRA")</f>
        <v>Grammys TRA</v>
      </c>
      <c r="I179">
        <f>_xlfn.XLOOKUP(Grammys[[#This Row],[date]],mobile_visits[date],mobile_visits[mobile_visitors],0)</f>
        <v>0</v>
      </c>
      <c r="O179" s="1">
        <v>44770</v>
      </c>
      <c r="P179">
        <v>14734</v>
      </c>
    </row>
    <row r="180" spans="1:16">
      <c r="A180" s="1">
        <v>42914</v>
      </c>
      <c r="B180">
        <v>5933</v>
      </c>
      <c r="C180">
        <v>9964</v>
      </c>
      <c r="D180">
        <v>6335</v>
      </c>
      <c r="E180">
        <v>3176</v>
      </c>
      <c r="F180">
        <v>95</v>
      </c>
      <c r="G180" t="s">
        <v>83</v>
      </c>
      <c r="H180" t="str" cm="1">
        <f t="array" ref="H180">_xlfn.IFS(Grammys[[#This Row],[date]] &gt;= DATE(2022,2,1),"Grammys",TRUE,"Grammys TRA")</f>
        <v>Grammys TRA</v>
      </c>
      <c r="I180">
        <f>_xlfn.XLOOKUP(Grammys[[#This Row],[date]],mobile_visits[date],mobile_visits[mobile_visitors],0)</f>
        <v>0</v>
      </c>
      <c r="O180" s="1">
        <v>44771</v>
      </c>
      <c r="P180">
        <v>8994</v>
      </c>
    </row>
    <row r="181" spans="1:16">
      <c r="A181" s="1">
        <v>42915</v>
      </c>
      <c r="B181">
        <v>6410</v>
      </c>
      <c r="C181">
        <v>9903</v>
      </c>
      <c r="D181">
        <v>6725</v>
      </c>
      <c r="E181">
        <v>3391</v>
      </c>
      <c r="F181">
        <v>80</v>
      </c>
      <c r="G181" t="s">
        <v>83</v>
      </c>
      <c r="H181" t="str" cm="1">
        <f t="array" ref="H181">_xlfn.IFS(Grammys[[#This Row],[date]] &gt;= DATE(2022,2,1),"Grammys",TRUE,"Grammys TRA")</f>
        <v>Grammys TRA</v>
      </c>
      <c r="I181">
        <f>_xlfn.XLOOKUP(Grammys[[#This Row],[date]],mobile_visits[date],mobile_visits[mobile_visitors],0)</f>
        <v>0</v>
      </c>
      <c r="O181" s="1">
        <v>44772</v>
      </c>
      <c r="P181">
        <v>8694</v>
      </c>
    </row>
    <row r="182" spans="1:16">
      <c r="A182" s="1">
        <v>42916</v>
      </c>
      <c r="B182">
        <v>5818</v>
      </c>
      <c r="C182">
        <v>9003</v>
      </c>
      <c r="D182">
        <v>6129</v>
      </c>
      <c r="E182">
        <v>3224</v>
      </c>
      <c r="F182">
        <v>75</v>
      </c>
      <c r="G182" t="s">
        <v>83</v>
      </c>
      <c r="H182" t="str" cm="1">
        <f t="array" ref="H182">_xlfn.IFS(Grammys[[#This Row],[date]] &gt;= DATE(2022,2,1),"Grammys",TRUE,"Grammys TRA")</f>
        <v>Grammys TRA</v>
      </c>
      <c r="I182">
        <f>_xlfn.XLOOKUP(Grammys[[#This Row],[date]],mobile_visits[date],mobile_visits[mobile_visitors],0)</f>
        <v>0</v>
      </c>
      <c r="O182" s="1">
        <v>44773</v>
      </c>
      <c r="P182">
        <v>9151</v>
      </c>
    </row>
    <row r="183" spans="1:16">
      <c r="A183" s="1">
        <v>42917</v>
      </c>
      <c r="B183">
        <v>6168</v>
      </c>
      <c r="C183">
        <v>9049</v>
      </c>
      <c r="D183">
        <v>6472</v>
      </c>
      <c r="E183">
        <v>3427</v>
      </c>
      <c r="F183">
        <v>73</v>
      </c>
      <c r="G183" t="s">
        <v>83</v>
      </c>
      <c r="H183" t="str" cm="1">
        <f t="array" ref="H183">_xlfn.IFS(Grammys[[#This Row],[date]] &gt;= DATE(2022,2,1),"Grammys",TRUE,"Grammys TRA")</f>
        <v>Grammys TRA</v>
      </c>
      <c r="I183">
        <f>_xlfn.XLOOKUP(Grammys[[#This Row],[date]],mobile_visits[date],mobile_visits[mobile_visitors],0)</f>
        <v>0</v>
      </c>
      <c r="O183" s="1">
        <v>44774</v>
      </c>
      <c r="P183">
        <v>8274</v>
      </c>
    </row>
    <row r="184" spans="1:16">
      <c r="A184" s="1">
        <v>42918</v>
      </c>
      <c r="B184">
        <v>7661</v>
      </c>
      <c r="C184">
        <v>11298</v>
      </c>
      <c r="D184">
        <v>7985</v>
      </c>
      <c r="E184">
        <v>3519</v>
      </c>
      <c r="F184">
        <v>89</v>
      </c>
      <c r="G184" t="s">
        <v>83</v>
      </c>
      <c r="H184" t="str" cm="1">
        <f t="array" ref="H184">_xlfn.IFS(Grammys[[#This Row],[date]] &gt;= DATE(2022,2,1),"Grammys",TRUE,"Grammys TRA")</f>
        <v>Grammys TRA</v>
      </c>
      <c r="I184">
        <f>_xlfn.XLOOKUP(Grammys[[#This Row],[date]],mobile_visits[date],mobile_visits[mobile_visitors],0)</f>
        <v>0</v>
      </c>
      <c r="O184" s="1">
        <v>44775</v>
      </c>
      <c r="P184">
        <v>8624</v>
      </c>
    </row>
    <row r="185" spans="1:16">
      <c r="A185" s="1">
        <v>42919</v>
      </c>
      <c r="B185">
        <v>17656</v>
      </c>
      <c r="C185">
        <v>32203</v>
      </c>
      <c r="D185">
        <v>23606</v>
      </c>
      <c r="E185">
        <v>8976</v>
      </c>
      <c r="F185">
        <v>65</v>
      </c>
      <c r="G185" t="s">
        <v>83</v>
      </c>
      <c r="H185" t="str" cm="1">
        <f t="array" ref="H185">_xlfn.IFS(Grammys[[#This Row],[date]] &gt;= DATE(2022,2,1),"Grammys",TRUE,"Grammys TRA")</f>
        <v>Grammys TRA</v>
      </c>
      <c r="I185">
        <f>_xlfn.XLOOKUP(Grammys[[#This Row],[date]],mobile_visits[date],mobile_visits[mobile_visitors],0)</f>
        <v>0</v>
      </c>
      <c r="O185" s="1">
        <v>44776</v>
      </c>
      <c r="P185">
        <v>8557</v>
      </c>
    </row>
    <row r="186" spans="1:16">
      <c r="A186" s="1">
        <v>42920</v>
      </c>
      <c r="B186">
        <v>15108</v>
      </c>
      <c r="C186">
        <v>24464</v>
      </c>
      <c r="D186">
        <v>18655</v>
      </c>
      <c r="E186">
        <v>9020</v>
      </c>
      <c r="F186">
        <v>56</v>
      </c>
      <c r="G186" t="s">
        <v>83</v>
      </c>
      <c r="H186" t="str" cm="1">
        <f t="array" ref="H186">_xlfn.IFS(Grammys[[#This Row],[date]] &gt;= DATE(2022,2,1),"Grammys",TRUE,"Grammys TRA")</f>
        <v>Grammys TRA</v>
      </c>
      <c r="I186">
        <f>_xlfn.XLOOKUP(Grammys[[#This Row],[date]],mobile_visits[date],mobile_visits[mobile_visitors],0)</f>
        <v>0</v>
      </c>
      <c r="O186" s="1">
        <v>44777</v>
      </c>
      <c r="P186">
        <v>8857</v>
      </c>
    </row>
    <row r="187" spans="1:16">
      <c r="A187" s="1">
        <v>42921</v>
      </c>
      <c r="B187">
        <v>6976</v>
      </c>
      <c r="C187">
        <v>11251</v>
      </c>
      <c r="D187">
        <v>7676</v>
      </c>
      <c r="E187">
        <v>3904</v>
      </c>
      <c r="F187">
        <v>69</v>
      </c>
      <c r="G187" t="s">
        <v>83</v>
      </c>
      <c r="H187" t="str" cm="1">
        <f t="array" ref="H187">_xlfn.IFS(Grammys[[#This Row],[date]] &gt;= DATE(2022,2,1),"Grammys",TRUE,"Grammys TRA")</f>
        <v>Grammys TRA</v>
      </c>
      <c r="I187">
        <f>_xlfn.XLOOKUP(Grammys[[#This Row],[date]],mobile_visits[date],mobile_visits[mobile_visitors],0)</f>
        <v>0</v>
      </c>
      <c r="O187" s="1">
        <v>44778</v>
      </c>
      <c r="P187">
        <v>9058</v>
      </c>
    </row>
    <row r="188" spans="1:16">
      <c r="A188" s="1">
        <v>42922</v>
      </c>
      <c r="B188">
        <v>6162</v>
      </c>
      <c r="C188">
        <v>9883</v>
      </c>
      <c r="D188">
        <v>6635</v>
      </c>
      <c r="E188">
        <v>3524</v>
      </c>
      <c r="F188">
        <v>77</v>
      </c>
      <c r="G188" t="s">
        <v>83</v>
      </c>
      <c r="H188" t="str" cm="1">
        <f t="array" ref="H188">_xlfn.IFS(Grammys[[#This Row],[date]] &gt;= DATE(2022,2,1),"Grammys",TRUE,"Grammys TRA")</f>
        <v>Grammys TRA</v>
      </c>
      <c r="I188">
        <f>_xlfn.XLOOKUP(Grammys[[#This Row],[date]],mobile_visits[date],mobile_visits[mobile_visitors],0)</f>
        <v>0</v>
      </c>
      <c r="O188" s="1">
        <v>44779</v>
      </c>
      <c r="P188">
        <v>9409</v>
      </c>
    </row>
    <row r="189" spans="1:16">
      <c r="A189" s="1">
        <v>42923</v>
      </c>
      <c r="B189">
        <v>5866</v>
      </c>
      <c r="C189">
        <v>9138</v>
      </c>
      <c r="D189">
        <v>6285</v>
      </c>
      <c r="E189">
        <v>3469</v>
      </c>
      <c r="F189">
        <v>80</v>
      </c>
      <c r="G189" t="s">
        <v>83</v>
      </c>
      <c r="H189" t="str" cm="1">
        <f t="array" ref="H189">_xlfn.IFS(Grammys[[#This Row],[date]] &gt;= DATE(2022,2,1),"Grammys",TRUE,"Grammys TRA")</f>
        <v>Grammys TRA</v>
      </c>
      <c r="I189">
        <f>_xlfn.XLOOKUP(Grammys[[#This Row],[date]],mobile_visits[date],mobile_visits[mobile_visitors],0)</f>
        <v>0</v>
      </c>
      <c r="O189" s="1">
        <v>44780</v>
      </c>
      <c r="P189">
        <v>10702</v>
      </c>
    </row>
    <row r="190" spans="1:16">
      <c r="A190" s="1">
        <v>42924</v>
      </c>
      <c r="B190">
        <v>5802</v>
      </c>
      <c r="C190">
        <v>8911</v>
      </c>
      <c r="D190">
        <v>6149</v>
      </c>
      <c r="E190">
        <v>3355</v>
      </c>
      <c r="F190">
        <v>69</v>
      </c>
      <c r="G190" t="s">
        <v>83</v>
      </c>
      <c r="H190" t="str" cm="1">
        <f t="array" ref="H190">_xlfn.IFS(Grammys[[#This Row],[date]] &gt;= DATE(2022,2,1),"Grammys",TRUE,"Grammys TRA")</f>
        <v>Grammys TRA</v>
      </c>
      <c r="I190">
        <f>_xlfn.XLOOKUP(Grammys[[#This Row],[date]],mobile_visits[date],mobile_visits[mobile_visitors],0)</f>
        <v>0</v>
      </c>
      <c r="O190" s="1">
        <v>44781</v>
      </c>
      <c r="P190">
        <v>10088</v>
      </c>
    </row>
    <row r="191" spans="1:16">
      <c r="A191" s="1">
        <v>42925</v>
      </c>
      <c r="B191">
        <v>5786</v>
      </c>
      <c r="C191">
        <v>9016</v>
      </c>
      <c r="D191">
        <v>6131</v>
      </c>
      <c r="E191">
        <v>3266</v>
      </c>
      <c r="F191">
        <v>76</v>
      </c>
      <c r="G191" t="s">
        <v>83</v>
      </c>
      <c r="H191" t="str" cm="1">
        <f t="array" ref="H191">_xlfn.IFS(Grammys[[#This Row],[date]] &gt;= DATE(2022,2,1),"Grammys",TRUE,"Grammys TRA")</f>
        <v>Grammys TRA</v>
      </c>
      <c r="I191">
        <f>_xlfn.XLOOKUP(Grammys[[#This Row],[date]],mobile_visits[date],mobile_visits[mobile_visitors],0)</f>
        <v>0</v>
      </c>
      <c r="O191" s="1">
        <v>44782</v>
      </c>
      <c r="P191">
        <v>10171</v>
      </c>
    </row>
    <row r="192" spans="1:16">
      <c r="A192" s="1">
        <v>42926</v>
      </c>
      <c r="B192">
        <v>5573</v>
      </c>
      <c r="C192">
        <v>8960</v>
      </c>
      <c r="D192">
        <v>5958</v>
      </c>
      <c r="E192">
        <v>3136</v>
      </c>
      <c r="F192">
        <v>81</v>
      </c>
      <c r="G192" t="s">
        <v>83</v>
      </c>
      <c r="H192" t="str" cm="1">
        <f t="array" ref="H192">_xlfn.IFS(Grammys[[#This Row],[date]] &gt;= DATE(2022,2,1),"Grammys",TRUE,"Grammys TRA")</f>
        <v>Grammys TRA</v>
      </c>
      <c r="I192">
        <f>_xlfn.XLOOKUP(Grammys[[#This Row],[date]],mobile_visits[date],mobile_visits[mobile_visitors],0)</f>
        <v>0</v>
      </c>
      <c r="O192" s="1">
        <v>44783</v>
      </c>
      <c r="P192">
        <v>7844</v>
      </c>
    </row>
    <row r="193" spans="1:16">
      <c r="A193" s="1">
        <v>42927</v>
      </c>
      <c r="B193">
        <v>5949</v>
      </c>
      <c r="C193">
        <v>9433</v>
      </c>
      <c r="D193">
        <v>6286</v>
      </c>
      <c r="E193">
        <v>3284</v>
      </c>
      <c r="F193">
        <v>83</v>
      </c>
      <c r="G193" t="s">
        <v>83</v>
      </c>
      <c r="H193" t="str" cm="1">
        <f t="array" ref="H193">_xlfn.IFS(Grammys[[#This Row],[date]] &gt;= DATE(2022,2,1),"Grammys",TRUE,"Grammys TRA")</f>
        <v>Grammys TRA</v>
      </c>
      <c r="I193">
        <f>_xlfn.XLOOKUP(Grammys[[#This Row],[date]],mobile_visits[date],mobile_visits[mobile_visitors],0)</f>
        <v>0</v>
      </c>
      <c r="O193" s="1">
        <v>44784</v>
      </c>
      <c r="P193">
        <v>8586</v>
      </c>
    </row>
    <row r="194" spans="1:16">
      <c r="A194" s="1">
        <v>42928</v>
      </c>
      <c r="B194">
        <v>6848</v>
      </c>
      <c r="C194">
        <v>10583</v>
      </c>
      <c r="D194">
        <v>7201</v>
      </c>
      <c r="E194">
        <v>4246</v>
      </c>
      <c r="F194">
        <v>72</v>
      </c>
      <c r="G194" t="s">
        <v>83</v>
      </c>
      <c r="H194" t="str" cm="1">
        <f t="array" ref="H194">_xlfn.IFS(Grammys[[#This Row],[date]] &gt;= DATE(2022,2,1),"Grammys",TRUE,"Grammys TRA")</f>
        <v>Grammys TRA</v>
      </c>
      <c r="I194">
        <f>_xlfn.XLOOKUP(Grammys[[#This Row],[date]],mobile_visits[date],mobile_visits[mobile_visitors],0)</f>
        <v>0</v>
      </c>
      <c r="O194" s="1">
        <v>44785</v>
      </c>
      <c r="P194">
        <v>12142</v>
      </c>
    </row>
    <row r="195" spans="1:16">
      <c r="A195" s="1">
        <v>42929</v>
      </c>
      <c r="B195">
        <v>5618</v>
      </c>
      <c r="C195">
        <v>9053</v>
      </c>
      <c r="D195">
        <v>5967</v>
      </c>
      <c r="E195">
        <v>3174</v>
      </c>
      <c r="F195">
        <v>78</v>
      </c>
      <c r="G195" t="s">
        <v>83</v>
      </c>
      <c r="H195" t="str" cm="1">
        <f t="array" ref="H195">_xlfn.IFS(Grammys[[#This Row],[date]] &gt;= DATE(2022,2,1),"Grammys",TRUE,"Grammys TRA")</f>
        <v>Grammys TRA</v>
      </c>
      <c r="I195">
        <f>_xlfn.XLOOKUP(Grammys[[#This Row],[date]],mobile_visits[date],mobile_visits[mobile_visitors],0)</f>
        <v>0</v>
      </c>
      <c r="O195" s="1">
        <v>44786</v>
      </c>
      <c r="P195">
        <v>10824</v>
      </c>
    </row>
    <row r="196" spans="1:16">
      <c r="A196" s="1">
        <v>42930</v>
      </c>
      <c r="B196">
        <v>6162</v>
      </c>
      <c r="C196">
        <v>9682</v>
      </c>
      <c r="D196">
        <v>6542</v>
      </c>
      <c r="E196">
        <v>3200</v>
      </c>
      <c r="F196">
        <v>82</v>
      </c>
      <c r="G196" t="s">
        <v>83</v>
      </c>
      <c r="H196" t="str" cm="1">
        <f t="array" ref="H196">_xlfn.IFS(Grammys[[#This Row],[date]] &gt;= DATE(2022,2,1),"Grammys",TRUE,"Grammys TRA")</f>
        <v>Grammys TRA</v>
      </c>
      <c r="I196">
        <f>_xlfn.XLOOKUP(Grammys[[#This Row],[date]],mobile_visits[date],mobile_visits[mobile_visitors],0)</f>
        <v>0</v>
      </c>
      <c r="O196" s="1">
        <v>44787</v>
      </c>
      <c r="P196">
        <v>10521</v>
      </c>
    </row>
    <row r="197" spans="1:16">
      <c r="A197" s="1">
        <v>42931</v>
      </c>
      <c r="B197">
        <v>6425</v>
      </c>
      <c r="C197">
        <v>9757</v>
      </c>
      <c r="D197">
        <v>6726</v>
      </c>
      <c r="E197">
        <v>3370</v>
      </c>
      <c r="F197">
        <v>82</v>
      </c>
      <c r="G197" t="s">
        <v>83</v>
      </c>
      <c r="H197" t="str" cm="1">
        <f t="array" ref="H197">_xlfn.IFS(Grammys[[#This Row],[date]] &gt;= DATE(2022,2,1),"Grammys",TRUE,"Grammys TRA")</f>
        <v>Grammys TRA</v>
      </c>
      <c r="I197">
        <f>_xlfn.XLOOKUP(Grammys[[#This Row],[date]],mobile_visits[date],mobile_visits[mobile_visitors],0)</f>
        <v>0</v>
      </c>
      <c r="O197" s="1">
        <v>44788</v>
      </c>
      <c r="P197">
        <v>14312</v>
      </c>
    </row>
    <row r="198" spans="1:16">
      <c r="A198" s="1">
        <v>42932</v>
      </c>
      <c r="B198">
        <v>5923</v>
      </c>
      <c r="C198">
        <v>9198</v>
      </c>
      <c r="D198">
        <v>6236</v>
      </c>
      <c r="E198">
        <v>3281</v>
      </c>
      <c r="F198">
        <v>76</v>
      </c>
      <c r="G198" t="s">
        <v>83</v>
      </c>
      <c r="H198" t="str" cm="1">
        <f t="array" ref="H198">_xlfn.IFS(Grammys[[#This Row],[date]] &gt;= DATE(2022,2,1),"Grammys",TRUE,"Grammys TRA")</f>
        <v>Grammys TRA</v>
      </c>
      <c r="I198">
        <f>_xlfn.XLOOKUP(Grammys[[#This Row],[date]],mobile_visits[date],mobile_visits[mobile_visitors],0)</f>
        <v>0</v>
      </c>
      <c r="O198" s="1">
        <v>44789</v>
      </c>
      <c r="P198">
        <v>10770</v>
      </c>
    </row>
    <row r="199" spans="1:16">
      <c r="A199" s="1">
        <v>42933</v>
      </c>
      <c r="B199">
        <v>6098</v>
      </c>
      <c r="C199">
        <v>9840</v>
      </c>
      <c r="D199">
        <v>6509</v>
      </c>
      <c r="E199">
        <v>3340</v>
      </c>
      <c r="F199">
        <v>86</v>
      </c>
      <c r="G199" t="s">
        <v>83</v>
      </c>
      <c r="H199" t="str" cm="1">
        <f t="array" ref="H199">_xlfn.IFS(Grammys[[#This Row],[date]] &gt;= DATE(2022,2,1),"Grammys",TRUE,"Grammys TRA")</f>
        <v>Grammys TRA</v>
      </c>
      <c r="I199">
        <f>_xlfn.XLOOKUP(Grammys[[#This Row],[date]],mobile_visits[date],mobile_visits[mobile_visitors],0)</f>
        <v>0</v>
      </c>
      <c r="O199" s="1">
        <v>44790</v>
      </c>
      <c r="P199">
        <v>9347</v>
      </c>
    </row>
    <row r="200" spans="1:16">
      <c r="A200" s="1">
        <v>42934</v>
      </c>
      <c r="B200">
        <v>5624</v>
      </c>
      <c r="C200">
        <v>9063</v>
      </c>
      <c r="D200">
        <v>5975</v>
      </c>
      <c r="E200">
        <v>3211</v>
      </c>
      <c r="F200">
        <v>81</v>
      </c>
      <c r="G200" t="s">
        <v>83</v>
      </c>
      <c r="H200" t="str" cm="1">
        <f t="array" ref="H200">_xlfn.IFS(Grammys[[#This Row],[date]] &gt;= DATE(2022,2,1),"Grammys",TRUE,"Grammys TRA")</f>
        <v>Grammys TRA</v>
      </c>
      <c r="I200">
        <f>_xlfn.XLOOKUP(Grammys[[#This Row],[date]],mobile_visits[date],mobile_visits[mobile_visitors],0)</f>
        <v>0</v>
      </c>
      <c r="O200" s="1">
        <v>44791</v>
      </c>
      <c r="P200">
        <v>9270</v>
      </c>
    </row>
    <row r="201" spans="1:16">
      <c r="A201" s="1">
        <v>42935</v>
      </c>
      <c r="B201">
        <v>6170</v>
      </c>
      <c r="C201">
        <v>8922</v>
      </c>
      <c r="D201">
        <v>5872</v>
      </c>
      <c r="E201">
        <v>2909</v>
      </c>
      <c r="F201">
        <v>84</v>
      </c>
      <c r="G201" t="s">
        <v>83</v>
      </c>
      <c r="H201" t="str" cm="1">
        <f t="array" ref="H201">_xlfn.IFS(Grammys[[#This Row],[date]] &gt;= DATE(2022,2,1),"Grammys",TRUE,"Grammys TRA")</f>
        <v>Grammys TRA</v>
      </c>
      <c r="I201">
        <f>_xlfn.XLOOKUP(Grammys[[#This Row],[date]],mobile_visits[date],mobile_visits[mobile_visitors],0)</f>
        <v>0</v>
      </c>
      <c r="O201" s="1">
        <v>44792</v>
      </c>
      <c r="P201">
        <v>10770</v>
      </c>
    </row>
    <row r="202" spans="1:16">
      <c r="A202" s="1">
        <v>42936</v>
      </c>
      <c r="B202">
        <v>6578</v>
      </c>
      <c r="C202">
        <v>10065</v>
      </c>
      <c r="D202">
        <v>6648</v>
      </c>
      <c r="E202">
        <v>3390</v>
      </c>
      <c r="F202">
        <v>79</v>
      </c>
      <c r="G202" t="s">
        <v>83</v>
      </c>
      <c r="H202" t="str" cm="1">
        <f t="array" ref="H202">_xlfn.IFS(Grammys[[#This Row],[date]] &gt;= DATE(2022,2,1),"Grammys",TRUE,"Grammys TRA")</f>
        <v>Grammys TRA</v>
      </c>
      <c r="I202">
        <f>_xlfn.XLOOKUP(Grammys[[#This Row],[date]],mobile_visits[date],mobile_visits[mobile_visitors],0)</f>
        <v>0</v>
      </c>
      <c r="O202" s="1">
        <v>44793</v>
      </c>
      <c r="P202">
        <v>10141</v>
      </c>
    </row>
    <row r="203" spans="1:16">
      <c r="A203" s="1">
        <v>42937</v>
      </c>
      <c r="B203">
        <v>6650</v>
      </c>
      <c r="C203">
        <v>10223</v>
      </c>
      <c r="D203">
        <v>6981</v>
      </c>
      <c r="E203">
        <v>3742</v>
      </c>
      <c r="F203">
        <v>76</v>
      </c>
      <c r="G203" t="s">
        <v>83</v>
      </c>
      <c r="H203" t="str" cm="1">
        <f t="array" ref="H203">_xlfn.IFS(Grammys[[#This Row],[date]] &gt;= DATE(2022,2,1),"Grammys",TRUE,"Grammys TRA")</f>
        <v>Grammys TRA</v>
      </c>
      <c r="I203">
        <f>_xlfn.XLOOKUP(Grammys[[#This Row],[date]],mobile_visits[date],mobile_visits[mobile_visitors],0)</f>
        <v>0</v>
      </c>
      <c r="O203" s="1">
        <v>44794</v>
      </c>
      <c r="P203">
        <v>8996</v>
      </c>
    </row>
    <row r="204" spans="1:16">
      <c r="A204" s="1">
        <v>42938</v>
      </c>
      <c r="B204">
        <v>5125</v>
      </c>
      <c r="C204">
        <v>7853</v>
      </c>
      <c r="D204">
        <v>5370</v>
      </c>
      <c r="E204">
        <v>3080</v>
      </c>
      <c r="F204">
        <v>71</v>
      </c>
      <c r="G204" t="s">
        <v>83</v>
      </c>
      <c r="H204" t="str" cm="1">
        <f t="array" ref="H204">_xlfn.IFS(Grammys[[#This Row],[date]] &gt;= DATE(2022,2,1),"Grammys",TRUE,"Grammys TRA")</f>
        <v>Grammys TRA</v>
      </c>
      <c r="I204">
        <f>_xlfn.XLOOKUP(Grammys[[#This Row],[date]],mobile_visits[date],mobile_visits[mobile_visitors],0)</f>
        <v>0</v>
      </c>
      <c r="O204" s="1">
        <v>44795</v>
      </c>
      <c r="P204">
        <v>8941</v>
      </c>
    </row>
    <row r="205" spans="1:16">
      <c r="A205" s="1">
        <v>42939</v>
      </c>
      <c r="B205">
        <v>5381</v>
      </c>
      <c r="C205">
        <v>8514</v>
      </c>
      <c r="D205">
        <v>5647</v>
      </c>
      <c r="E205">
        <v>3084</v>
      </c>
      <c r="F205">
        <v>76</v>
      </c>
      <c r="G205" t="s">
        <v>83</v>
      </c>
      <c r="H205" t="str" cm="1">
        <f t="array" ref="H205">_xlfn.IFS(Grammys[[#This Row],[date]] &gt;= DATE(2022,2,1),"Grammys",TRUE,"Grammys TRA")</f>
        <v>Grammys TRA</v>
      </c>
      <c r="I205">
        <f>_xlfn.XLOOKUP(Grammys[[#This Row],[date]],mobile_visits[date],mobile_visits[mobile_visitors],0)</f>
        <v>0</v>
      </c>
      <c r="O205" s="1">
        <v>44796</v>
      </c>
      <c r="P205">
        <v>8600</v>
      </c>
    </row>
    <row r="206" spans="1:16">
      <c r="A206" s="1">
        <v>42940</v>
      </c>
      <c r="B206">
        <v>5381</v>
      </c>
      <c r="C206">
        <v>8742</v>
      </c>
      <c r="D206">
        <v>5699</v>
      </c>
      <c r="E206">
        <v>3200</v>
      </c>
      <c r="F206">
        <v>87</v>
      </c>
      <c r="G206" t="s">
        <v>83</v>
      </c>
      <c r="H206" t="str" cm="1">
        <f t="array" ref="H206">_xlfn.IFS(Grammys[[#This Row],[date]] &gt;= DATE(2022,2,1),"Grammys",TRUE,"Grammys TRA")</f>
        <v>Grammys TRA</v>
      </c>
      <c r="I206">
        <f>_xlfn.XLOOKUP(Grammys[[#This Row],[date]],mobile_visits[date],mobile_visits[mobile_visitors],0)</f>
        <v>0</v>
      </c>
      <c r="O206" s="1">
        <v>44797</v>
      </c>
      <c r="P206">
        <v>16935</v>
      </c>
    </row>
    <row r="207" spans="1:16">
      <c r="A207" s="1">
        <v>42941</v>
      </c>
      <c r="B207">
        <v>5481</v>
      </c>
      <c r="C207">
        <v>8973</v>
      </c>
      <c r="D207">
        <v>5845</v>
      </c>
      <c r="E207">
        <v>3572</v>
      </c>
      <c r="F207">
        <v>80</v>
      </c>
      <c r="G207" t="s">
        <v>83</v>
      </c>
      <c r="H207" t="str" cm="1">
        <f t="array" ref="H207">_xlfn.IFS(Grammys[[#This Row],[date]] &gt;= DATE(2022,2,1),"Grammys",TRUE,"Grammys TRA")</f>
        <v>Grammys TRA</v>
      </c>
      <c r="I207">
        <f>_xlfn.XLOOKUP(Grammys[[#This Row],[date]],mobile_visits[date],mobile_visits[mobile_visitors],0)</f>
        <v>0</v>
      </c>
      <c r="O207" s="1">
        <v>44798</v>
      </c>
      <c r="P207">
        <v>13291</v>
      </c>
    </row>
    <row r="208" spans="1:16">
      <c r="A208" s="1">
        <v>42942</v>
      </c>
      <c r="B208">
        <v>5468</v>
      </c>
      <c r="C208">
        <v>9092</v>
      </c>
      <c r="D208">
        <v>5851</v>
      </c>
      <c r="E208">
        <v>4079</v>
      </c>
      <c r="F208">
        <v>78</v>
      </c>
      <c r="G208" t="s">
        <v>83</v>
      </c>
      <c r="H208" t="str" cm="1">
        <f t="array" ref="H208">_xlfn.IFS(Grammys[[#This Row],[date]] &gt;= DATE(2022,2,1),"Grammys",TRUE,"Grammys TRA")</f>
        <v>Grammys TRA</v>
      </c>
      <c r="I208">
        <f>_xlfn.XLOOKUP(Grammys[[#This Row],[date]],mobile_visits[date],mobile_visits[mobile_visitors],0)</f>
        <v>0</v>
      </c>
      <c r="O208" s="1">
        <v>44799</v>
      </c>
      <c r="P208">
        <v>12975</v>
      </c>
    </row>
    <row r="209" spans="1:16">
      <c r="A209" s="1">
        <v>42943</v>
      </c>
      <c r="B209">
        <v>5519</v>
      </c>
      <c r="C209">
        <v>9154</v>
      </c>
      <c r="D209">
        <v>5810</v>
      </c>
      <c r="E209">
        <v>4087</v>
      </c>
      <c r="F209">
        <v>69</v>
      </c>
      <c r="G209" t="s">
        <v>83</v>
      </c>
      <c r="H209" t="str" cm="1">
        <f t="array" ref="H209">_xlfn.IFS(Grammys[[#This Row],[date]] &gt;= DATE(2022,2,1),"Grammys",TRUE,"Grammys TRA")</f>
        <v>Grammys TRA</v>
      </c>
      <c r="I209">
        <f>_xlfn.XLOOKUP(Grammys[[#This Row],[date]],mobile_visits[date],mobile_visits[mobile_visitors],0)</f>
        <v>0</v>
      </c>
      <c r="O209" s="1">
        <v>44800</v>
      </c>
      <c r="P209">
        <v>12040</v>
      </c>
    </row>
    <row r="210" spans="1:16">
      <c r="A210" s="1">
        <v>42944</v>
      </c>
      <c r="B210">
        <v>5274</v>
      </c>
      <c r="C210">
        <v>8907</v>
      </c>
      <c r="D210">
        <v>5552</v>
      </c>
      <c r="E210">
        <v>3806</v>
      </c>
      <c r="F210">
        <v>77</v>
      </c>
      <c r="G210" t="s">
        <v>83</v>
      </c>
      <c r="H210" t="str" cm="1">
        <f t="array" ref="H210">_xlfn.IFS(Grammys[[#This Row],[date]] &gt;= DATE(2022,2,1),"Grammys",TRUE,"Grammys TRA")</f>
        <v>Grammys TRA</v>
      </c>
      <c r="I210">
        <f>_xlfn.XLOOKUP(Grammys[[#This Row],[date]],mobile_visits[date],mobile_visits[mobile_visitors],0)</f>
        <v>0</v>
      </c>
      <c r="O210" s="1">
        <v>44801</v>
      </c>
      <c r="P210">
        <v>14455</v>
      </c>
    </row>
    <row r="211" spans="1:16">
      <c r="A211" s="1">
        <v>42945</v>
      </c>
      <c r="B211">
        <v>9232</v>
      </c>
      <c r="C211">
        <v>15138</v>
      </c>
      <c r="D211">
        <v>10018</v>
      </c>
      <c r="E211">
        <v>7018</v>
      </c>
      <c r="F211">
        <v>60</v>
      </c>
      <c r="G211" t="s">
        <v>83</v>
      </c>
      <c r="H211" t="str" cm="1">
        <f t="array" ref="H211">_xlfn.IFS(Grammys[[#This Row],[date]] &gt;= DATE(2022,2,1),"Grammys",TRUE,"Grammys TRA")</f>
        <v>Grammys TRA</v>
      </c>
      <c r="I211">
        <f>_xlfn.XLOOKUP(Grammys[[#This Row],[date]],mobile_visits[date],mobile_visits[mobile_visitors],0)</f>
        <v>0</v>
      </c>
      <c r="O211" s="1">
        <v>44802</v>
      </c>
      <c r="P211">
        <v>12556</v>
      </c>
    </row>
    <row r="212" spans="1:16">
      <c r="A212" s="1">
        <v>42946</v>
      </c>
      <c r="B212">
        <v>7637</v>
      </c>
      <c r="C212">
        <v>12684</v>
      </c>
      <c r="D212">
        <v>8190</v>
      </c>
      <c r="E212">
        <v>5829</v>
      </c>
      <c r="F212">
        <v>60</v>
      </c>
      <c r="G212" t="s">
        <v>83</v>
      </c>
      <c r="H212" t="str" cm="1">
        <f t="array" ref="H212">_xlfn.IFS(Grammys[[#This Row],[date]] &gt;= DATE(2022,2,1),"Grammys",TRUE,"Grammys TRA")</f>
        <v>Grammys TRA</v>
      </c>
      <c r="I212">
        <f>_xlfn.XLOOKUP(Grammys[[#This Row],[date]],mobile_visits[date],mobile_visits[mobile_visitors],0)</f>
        <v>0</v>
      </c>
      <c r="O212" s="1">
        <v>44803</v>
      </c>
      <c r="P212">
        <v>10963</v>
      </c>
    </row>
    <row r="213" spans="1:16">
      <c r="A213" s="1">
        <v>42947</v>
      </c>
      <c r="B213">
        <v>5929</v>
      </c>
      <c r="C213">
        <v>10088</v>
      </c>
      <c r="D213">
        <v>6300</v>
      </c>
      <c r="E213">
        <v>4380</v>
      </c>
      <c r="F213">
        <v>77</v>
      </c>
      <c r="G213" t="s">
        <v>83</v>
      </c>
      <c r="H213" t="str" cm="1">
        <f t="array" ref="H213">_xlfn.IFS(Grammys[[#This Row],[date]] &gt;= DATE(2022,2,1),"Grammys",TRUE,"Grammys TRA")</f>
        <v>Grammys TRA</v>
      </c>
      <c r="I213">
        <f>_xlfn.XLOOKUP(Grammys[[#This Row],[date]],mobile_visits[date],mobile_visits[mobile_visitors],0)</f>
        <v>0</v>
      </c>
      <c r="O213" s="1">
        <v>44804</v>
      </c>
      <c r="P213">
        <v>9804</v>
      </c>
    </row>
    <row r="214" spans="1:16">
      <c r="A214" s="1">
        <v>42948</v>
      </c>
      <c r="B214">
        <v>5822</v>
      </c>
      <c r="C214">
        <v>9805</v>
      </c>
      <c r="D214">
        <v>6188</v>
      </c>
      <c r="E214">
        <v>4351</v>
      </c>
      <c r="F214">
        <v>80</v>
      </c>
      <c r="G214" t="s">
        <v>83</v>
      </c>
      <c r="H214" t="str" cm="1">
        <f t="array" ref="H214">_xlfn.IFS(Grammys[[#This Row],[date]] &gt;= DATE(2022,2,1),"Grammys",TRUE,"Grammys TRA")</f>
        <v>Grammys TRA</v>
      </c>
      <c r="I214">
        <f>_xlfn.XLOOKUP(Grammys[[#This Row],[date]],mobile_visits[date],mobile_visits[mobile_visitors],0)</f>
        <v>0</v>
      </c>
      <c r="O214" s="1">
        <v>44805</v>
      </c>
      <c r="P214">
        <v>9398</v>
      </c>
    </row>
    <row r="215" spans="1:16">
      <c r="A215" s="1">
        <v>42949</v>
      </c>
      <c r="B215">
        <v>6357</v>
      </c>
      <c r="C215">
        <v>11135</v>
      </c>
      <c r="D215">
        <v>6832</v>
      </c>
      <c r="E215">
        <v>3701</v>
      </c>
      <c r="F215">
        <v>97</v>
      </c>
      <c r="G215" t="s">
        <v>83</v>
      </c>
      <c r="H215" t="str" cm="1">
        <f t="array" ref="H215">_xlfn.IFS(Grammys[[#This Row],[date]] &gt;= DATE(2022,2,1),"Grammys",TRUE,"Grammys TRA")</f>
        <v>Grammys TRA</v>
      </c>
      <c r="I215">
        <f>_xlfn.XLOOKUP(Grammys[[#This Row],[date]],mobile_visits[date],mobile_visits[mobile_visitors],0)</f>
        <v>0</v>
      </c>
      <c r="O215" s="1">
        <v>44806</v>
      </c>
      <c r="P215">
        <v>9469</v>
      </c>
    </row>
    <row r="216" spans="1:16">
      <c r="A216" s="1">
        <v>42950</v>
      </c>
      <c r="B216">
        <v>5559</v>
      </c>
      <c r="C216">
        <v>9464</v>
      </c>
      <c r="D216">
        <v>5962</v>
      </c>
      <c r="E216">
        <v>3287</v>
      </c>
      <c r="F216">
        <v>98</v>
      </c>
      <c r="G216" t="s">
        <v>83</v>
      </c>
      <c r="H216" t="str" cm="1">
        <f t="array" ref="H216">_xlfn.IFS(Grammys[[#This Row],[date]] &gt;= DATE(2022,2,1),"Grammys",TRUE,"Grammys TRA")</f>
        <v>Grammys TRA</v>
      </c>
      <c r="I216">
        <f>_xlfn.XLOOKUP(Grammys[[#This Row],[date]],mobile_visits[date],mobile_visits[mobile_visitors],0)</f>
        <v>0</v>
      </c>
      <c r="O216" s="1">
        <v>44807</v>
      </c>
      <c r="P216">
        <v>9615</v>
      </c>
    </row>
    <row r="217" spans="1:16">
      <c r="A217" s="1">
        <v>42951</v>
      </c>
      <c r="B217">
        <v>5429</v>
      </c>
      <c r="C217">
        <v>9176</v>
      </c>
      <c r="D217">
        <v>5776</v>
      </c>
      <c r="E217">
        <v>3177</v>
      </c>
      <c r="F217">
        <v>97</v>
      </c>
      <c r="G217" t="s">
        <v>83</v>
      </c>
      <c r="H217" t="str" cm="1">
        <f t="array" ref="H217">_xlfn.IFS(Grammys[[#This Row],[date]] &gt;= DATE(2022,2,1),"Grammys",TRUE,"Grammys TRA")</f>
        <v>Grammys TRA</v>
      </c>
      <c r="I217">
        <f>_xlfn.XLOOKUP(Grammys[[#This Row],[date]],mobile_visits[date],mobile_visits[mobile_visitors],0)</f>
        <v>0</v>
      </c>
      <c r="O217" s="1">
        <v>44808</v>
      </c>
      <c r="P217">
        <v>12314</v>
      </c>
    </row>
    <row r="218" spans="1:16">
      <c r="A218" s="1">
        <v>42952</v>
      </c>
      <c r="B218">
        <v>5053</v>
      </c>
      <c r="C218">
        <v>8344</v>
      </c>
      <c r="D218">
        <v>5320</v>
      </c>
      <c r="E218">
        <v>2849</v>
      </c>
      <c r="F218">
        <v>87</v>
      </c>
      <c r="G218" t="s">
        <v>83</v>
      </c>
      <c r="H218" t="str" cm="1">
        <f t="array" ref="H218">_xlfn.IFS(Grammys[[#This Row],[date]] &gt;= DATE(2022,2,1),"Grammys",TRUE,"Grammys TRA")</f>
        <v>Grammys TRA</v>
      </c>
      <c r="I218">
        <f>_xlfn.XLOOKUP(Grammys[[#This Row],[date]],mobile_visits[date],mobile_visits[mobile_visitors],0)</f>
        <v>0</v>
      </c>
      <c r="O218" s="1">
        <v>44809</v>
      </c>
      <c r="P218">
        <v>10552</v>
      </c>
    </row>
    <row r="219" spans="1:16">
      <c r="A219" s="1">
        <v>42953</v>
      </c>
      <c r="B219">
        <v>5281</v>
      </c>
      <c r="C219">
        <v>8486</v>
      </c>
      <c r="D219">
        <v>5611</v>
      </c>
      <c r="E219">
        <v>2955</v>
      </c>
      <c r="F219">
        <v>86</v>
      </c>
      <c r="G219" t="s">
        <v>83</v>
      </c>
      <c r="H219" t="str" cm="1">
        <f t="array" ref="H219">_xlfn.IFS(Grammys[[#This Row],[date]] &gt;= DATE(2022,2,1),"Grammys",TRUE,"Grammys TRA")</f>
        <v>Grammys TRA</v>
      </c>
      <c r="I219">
        <f>_xlfn.XLOOKUP(Grammys[[#This Row],[date]],mobile_visits[date],mobile_visits[mobile_visitors],0)</f>
        <v>0</v>
      </c>
      <c r="O219" s="1">
        <v>44810</v>
      </c>
      <c r="P219">
        <v>7878</v>
      </c>
    </row>
    <row r="220" spans="1:16">
      <c r="A220" s="1">
        <v>42954</v>
      </c>
      <c r="B220">
        <v>5671</v>
      </c>
      <c r="C220">
        <v>9509</v>
      </c>
      <c r="D220">
        <v>6047</v>
      </c>
      <c r="E220">
        <v>3366</v>
      </c>
      <c r="F220">
        <v>86</v>
      </c>
      <c r="G220" t="s">
        <v>83</v>
      </c>
      <c r="H220" t="str" cm="1">
        <f t="array" ref="H220">_xlfn.IFS(Grammys[[#This Row],[date]] &gt;= DATE(2022,2,1),"Grammys",TRUE,"Grammys TRA")</f>
        <v>Grammys TRA</v>
      </c>
      <c r="I220">
        <f>_xlfn.XLOOKUP(Grammys[[#This Row],[date]],mobile_visits[date],mobile_visits[mobile_visitors],0)</f>
        <v>0</v>
      </c>
      <c r="O220" s="1">
        <v>44811</v>
      </c>
      <c r="P220">
        <v>8822</v>
      </c>
    </row>
    <row r="221" spans="1:16">
      <c r="A221" s="1">
        <v>42955</v>
      </c>
      <c r="B221">
        <v>5832</v>
      </c>
      <c r="C221">
        <v>9782</v>
      </c>
      <c r="D221">
        <v>6230</v>
      </c>
      <c r="E221">
        <v>3380</v>
      </c>
      <c r="F221">
        <v>90</v>
      </c>
      <c r="G221" t="s">
        <v>83</v>
      </c>
      <c r="H221" t="str" cm="1">
        <f t="array" ref="H221">_xlfn.IFS(Grammys[[#This Row],[date]] &gt;= DATE(2022,2,1),"Grammys",TRUE,"Grammys TRA")</f>
        <v>Grammys TRA</v>
      </c>
      <c r="I221">
        <f>_xlfn.XLOOKUP(Grammys[[#This Row],[date]],mobile_visits[date],mobile_visits[mobile_visitors],0)</f>
        <v>0</v>
      </c>
      <c r="O221" s="1">
        <v>44812</v>
      </c>
      <c r="P221">
        <v>8182</v>
      </c>
    </row>
    <row r="222" spans="1:16">
      <c r="A222" s="1">
        <v>42956</v>
      </c>
      <c r="B222">
        <v>5987</v>
      </c>
      <c r="C222">
        <v>9949</v>
      </c>
      <c r="D222">
        <v>6384</v>
      </c>
      <c r="E222">
        <v>3464</v>
      </c>
      <c r="F222">
        <v>95</v>
      </c>
      <c r="G222" t="s">
        <v>83</v>
      </c>
      <c r="H222" t="str" cm="1">
        <f t="array" ref="H222">_xlfn.IFS(Grammys[[#This Row],[date]] &gt;= DATE(2022,2,1),"Grammys",TRUE,"Grammys TRA")</f>
        <v>Grammys TRA</v>
      </c>
      <c r="I222">
        <f>_xlfn.XLOOKUP(Grammys[[#This Row],[date]],mobile_visits[date],mobile_visits[mobile_visitors],0)</f>
        <v>0</v>
      </c>
      <c r="O222" s="1">
        <v>44813</v>
      </c>
      <c r="P222">
        <v>8529</v>
      </c>
    </row>
    <row r="223" spans="1:16">
      <c r="A223" s="1">
        <v>42957</v>
      </c>
      <c r="B223">
        <v>5720</v>
      </c>
      <c r="C223">
        <v>9061</v>
      </c>
      <c r="D223">
        <v>6109</v>
      </c>
      <c r="E223">
        <v>3566</v>
      </c>
      <c r="F223">
        <v>77</v>
      </c>
      <c r="G223" t="s">
        <v>83</v>
      </c>
      <c r="H223" t="str" cm="1">
        <f t="array" ref="H223">_xlfn.IFS(Grammys[[#This Row],[date]] &gt;= DATE(2022,2,1),"Grammys",TRUE,"Grammys TRA")</f>
        <v>Grammys TRA</v>
      </c>
      <c r="I223">
        <f>_xlfn.XLOOKUP(Grammys[[#This Row],[date]],mobile_visits[date],mobile_visits[mobile_visitors],0)</f>
        <v>0</v>
      </c>
      <c r="O223" s="1">
        <v>44814</v>
      </c>
      <c r="P223">
        <v>9648</v>
      </c>
    </row>
    <row r="224" spans="1:16">
      <c r="A224" s="1">
        <v>42958</v>
      </c>
      <c r="B224">
        <v>5245</v>
      </c>
      <c r="C224">
        <v>8404</v>
      </c>
      <c r="D224">
        <v>5533</v>
      </c>
      <c r="E224">
        <v>3107</v>
      </c>
      <c r="F224">
        <v>81</v>
      </c>
      <c r="G224" t="s">
        <v>83</v>
      </c>
      <c r="H224" t="str" cm="1">
        <f t="array" ref="H224">_xlfn.IFS(Grammys[[#This Row],[date]] &gt;= DATE(2022,2,1),"Grammys",TRUE,"Grammys TRA")</f>
        <v>Grammys TRA</v>
      </c>
      <c r="I224">
        <f>_xlfn.XLOOKUP(Grammys[[#This Row],[date]],mobile_visits[date],mobile_visits[mobile_visitors],0)</f>
        <v>0</v>
      </c>
      <c r="O224" s="1">
        <v>44815</v>
      </c>
      <c r="P224">
        <v>8152</v>
      </c>
    </row>
    <row r="225" spans="1:16">
      <c r="A225" s="1">
        <v>42959</v>
      </c>
      <c r="B225">
        <v>4619</v>
      </c>
      <c r="C225">
        <v>7360</v>
      </c>
      <c r="D225">
        <v>4860</v>
      </c>
      <c r="E225">
        <v>2761</v>
      </c>
      <c r="F225">
        <v>69</v>
      </c>
      <c r="G225" t="s">
        <v>83</v>
      </c>
      <c r="H225" t="str" cm="1">
        <f t="array" ref="H225">_xlfn.IFS(Grammys[[#This Row],[date]] &gt;= DATE(2022,2,1),"Grammys",TRUE,"Grammys TRA")</f>
        <v>Grammys TRA</v>
      </c>
      <c r="I225">
        <f>_xlfn.XLOOKUP(Grammys[[#This Row],[date]],mobile_visits[date],mobile_visits[mobile_visitors],0)</f>
        <v>0</v>
      </c>
      <c r="O225" s="1">
        <v>44816</v>
      </c>
      <c r="P225">
        <v>9604</v>
      </c>
    </row>
    <row r="226" spans="1:16">
      <c r="A226" s="1">
        <v>42960</v>
      </c>
      <c r="B226">
        <v>4727</v>
      </c>
      <c r="C226">
        <v>7524</v>
      </c>
      <c r="D226">
        <v>4972</v>
      </c>
      <c r="E226">
        <v>2825</v>
      </c>
      <c r="F226">
        <v>74</v>
      </c>
      <c r="G226" t="s">
        <v>83</v>
      </c>
      <c r="H226" t="str" cm="1">
        <f t="array" ref="H226">_xlfn.IFS(Grammys[[#This Row],[date]] &gt;= DATE(2022,2,1),"Grammys",TRUE,"Grammys TRA")</f>
        <v>Grammys TRA</v>
      </c>
      <c r="I226">
        <f>_xlfn.XLOOKUP(Grammys[[#This Row],[date]],mobile_visits[date],mobile_visits[mobile_visitors],0)</f>
        <v>0</v>
      </c>
      <c r="O226" s="1">
        <v>44817</v>
      </c>
      <c r="P226">
        <v>10922</v>
      </c>
    </row>
    <row r="227" spans="1:16">
      <c r="A227" s="1">
        <v>42961</v>
      </c>
      <c r="B227">
        <v>5412</v>
      </c>
      <c r="C227">
        <v>8659</v>
      </c>
      <c r="D227">
        <v>5704</v>
      </c>
      <c r="E227">
        <v>3145</v>
      </c>
      <c r="F227">
        <v>85</v>
      </c>
      <c r="G227" t="s">
        <v>83</v>
      </c>
      <c r="H227" t="str" cm="1">
        <f t="array" ref="H227">_xlfn.IFS(Grammys[[#This Row],[date]] &gt;= DATE(2022,2,1),"Grammys",TRUE,"Grammys TRA")</f>
        <v>Grammys TRA</v>
      </c>
      <c r="I227">
        <f>_xlfn.XLOOKUP(Grammys[[#This Row],[date]],mobile_visits[date],mobile_visits[mobile_visitors],0)</f>
        <v>0</v>
      </c>
      <c r="O227" s="1">
        <v>44818</v>
      </c>
      <c r="P227">
        <v>8701</v>
      </c>
    </row>
    <row r="228" spans="1:16">
      <c r="A228" s="1">
        <v>42962</v>
      </c>
      <c r="B228">
        <v>6186</v>
      </c>
      <c r="C228">
        <v>9708</v>
      </c>
      <c r="D228">
        <v>6495</v>
      </c>
      <c r="E228">
        <v>3927</v>
      </c>
      <c r="F228">
        <v>75</v>
      </c>
      <c r="G228" t="s">
        <v>83</v>
      </c>
      <c r="H228" t="str" cm="1">
        <f t="array" ref="H228">_xlfn.IFS(Grammys[[#This Row],[date]] &gt;= DATE(2022,2,1),"Grammys",TRUE,"Grammys TRA")</f>
        <v>Grammys TRA</v>
      </c>
      <c r="I228">
        <f>_xlfn.XLOOKUP(Grammys[[#This Row],[date]],mobile_visits[date],mobile_visits[mobile_visitors],0)</f>
        <v>0</v>
      </c>
      <c r="O228" s="1">
        <v>44819</v>
      </c>
      <c r="P228">
        <v>9365</v>
      </c>
    </row>
    <row r="229" spans="1:16">
      <c r="A229" s="1">
        <v>42963</v>
      </c>
      <c r="B229">
        <v>5455</v>
      </c>
      <c r="C229">
        <v>8786</v>
      </c>
      <c r="D229">
        <v>5764</v>
      </c>
      <c r="E229">
        <v>3250</v>
      </c>
      <c r="F229">
        <v>79</v>
      </c>
      <c r="G229" t="s">
        <v>83</v>
      </c>
      <c r="H229" t="str" cm="1">
        <f t="array" ref="H229">_xlfn.IFS(Grammys[[#This Row],[date]] &gt;= DATE(2022,2,1),"Grammys",TRUE,"Grammys TRA")</f>
        <v>Grammys TRA</v>
      </c>
      <c r="I229">
        <f>_xlfn.XLOOKUP(Grammys[[#This Row],[date]],mobile_visits[date],mobile_visits[mobile_visitors],0)</f>
        <v>0</v>
      </c>
      <c r="O229" s="1">
        <v>44820</v>
      </c>
      <c r="P229">
        <v>9416</v>
      </c>
    </row>
    <row r="230" spans="1:16">
      <c r="A230" s="1">
        <v>42964</v>
      </c>
      <c r="B230">
        <v>5718</v>
      </c>
      <c r="C230">
        <v>9480</v>
      </c>
      <c r="D230">
        <v>6084</v>
      </c>
      <c r="E230">
        <v>3487</v>
      </c>
      <c r="F230">
        <v>82</v>
      </c>
      <c r="G230" t="s">
        <v>83</v>
      </c>
      <c r="H230" t="str" cm="1">
        <f t="array" ref="H230">_xlfn.IFS(Grammys[[#This Row],[date]] &gt;= DATE(2022,2,1),"Grammys",TRUE,"Grammys TRA")</f>
        <v>Grammys TRA</v>
      </c>
      <c r="I230">
        <f>_xlfn.XLOOKUP(Grammys[[#This Row],[date]],mobile_visits[date],mobile_visits[mobile_visitors],0)</f>
        <v>0</v>
      </c>
      <c r="O230" s="1">
        <v>44821</v>
      </c>
      <c r="P230">
        <v>9792</v>
      </c>
    </row>
    <row r="231" spans="1:16">
      <c r="A231" s="1">
        <v>42965</v>
      </c>
      <c r="B231">
        <v>6087</v>
      </c>
      <c r="C231">
        <v>9980</v>
      </c>
      <c r="D231">
        <v>6405</v>
      </c>
      <c r="E231">
        <v>3551</v>
      </c>
      <c r="F231">
        <v>83</v>
      </c>
      <c r="G231" t="s">
        <v>83</v>
      </c>
      <c r="H231" t="str" cm="1">
        <f t="array" ref="H231">_xlfn.IFS(Grammys[[#This Row],[date]] &gt;= DATE(2022,2,1),"Grammys",TRUE,"Grammys TRA")</f>
        <v>Grammys TRA</v>
      </c>
      <c r="I231">
        <f>_xlfn.XLOOKUP(Grammys[[#This Row],[date]],mobile_visits[date],mobile_visits[mobile_visitors],0)</f>
        <v>0</v>
      </c>
      <c r="O231" s="1">
        <v>44822</v>
      </c>
      <c r="P231">
        <v>9434</v>
      </c>
    </row>
    <row r="232" spans="1:16">
      <c r="A232" s="1">
        <v>42966</v>
      </c>
      <c r="B232">
        <v>5568</v>
      </c>
      <c r="C232">
        <v>9131</v>
      </c>
      <c r="D232">
        <v>5898</v>
      </c>
      <c r="E232">
        <v>3159</v>
      </c>
      <c r="F232">
        <v>87</v>
      </c>
      <c r="G232" t="s">
        <v>83</v>
      </c>
      <c r="H232" t="str" cm="1">
        <f t="array" ref="H232">_xlfn.IFS(Grammys[[#This Row],[date]] &gt;= DATE(2022,2,1),"Grammys",TRUE,"Grammys TRA")</f>
        <v>Grammys TRA</v>
      </c>
      <c r="I232">
        <f>_xlfn.XLOOKUP(Grammys[[#This Row],[date]],mobile_visits[date],mobile_visits[mobile_visitors],0)</f>
        <v>0</v>
      </c>
      <c r="O232" s="1">
        <v>44823</v>
      </c>
      <c r="P232">
        <v>10224</v>
      </c>
    </row>
    <row r="233" spans="1:16">
      <c r="A233" s="1">
        <v>42967</v>
      </c>
      <c r="B233">
        <v>4899</v>
      </c>
      <c r="C233">
        <v>8030</v>
      </c>
      <c r="D233">
        <v>5152</v>
      </c>
      <c r="E233">
        <v>2872</v>
      </c>
      <c r="F233">
        <v>81</v>
      </c>
      <c r="G233" t="s">
        <v>83</v>
      </c>
      <c r="H233" t="str" cm="1">
        <f t="array" ref="H233">_xlfn.IFS(Grammys[[#This Row],[date]] &gt;= DATE(2022,2,1),"Grammys",TRUE,"Grammys TRA")</f>
        <v>Grammys TRA</v>
      </c>
      <c r="I233">
        <f>_xlfn.XLOOKUP(Grammys[[#This Row],[date]],mobile_visits[date],mobile_visits[mobile_visitors],0)</f>
        <v>0</v>
      </c>
      <c r="O233" s="1">
        <v>44824</v>
      </c>
      <c r="P233">
        <v>20136</v>
      </c>
    </row>
    <row r="234" spans="1:16">
      <c r="A234" s="1">
        <v>42968</v>
      </c>
      <c r="B234">
        <v>4888</v>
      </c>
      <c r="C234">
        <v>8049</v>
      </c>
      <c r="D234">
        <v>5141</v>
      </c>
      <c r="E234">
        <v>2874</v>
      </c>
      <c r="F234">
        <v>91</v>
      </c>
      <c r="G234" t="s">
        <v>83</v>
      </c>
      <c r="H234" t="str" cm="1">
        <f t="array" ref="H234">_xlfn.IFS(Grammys[[#This Row],[date]] &gt;= DATE(2022,2,1),"Grammys",TRUE,"Grammys TRA")</f>
        <v>Grammys TRA</v>
      </c>
      <c r="I234">
        <f>_xlfn.XLOOKUP(Grammys[[#This Row],[date]],mobile_visits[date],mobile_visits[mobile_visitors],0)</f>
        <v>0</v>
      </c>
      <c r="O234" s="1">
        <v>44825</v>
      </c>
      <c r="P234">
        <v>15984</v>
      </c>
    </row>
    <row r="235" spans="1:16">
      <c r="A235" s="1">
        <v>42969</v>
      </c>
      <c r="B235">
        <v>5395</v>
      </c>
      <c r="C235">
        <v>8969</v>
      </c>
      <c r="D235">
        <v>5719</v>
      </c>
      <c r="E235">
        <v>3253</v>
      </c>
      <c r="F235">
        <v>83</v>
      </c>
      <c r="G235" t="s">
        <v>83</v>
      </c>
      <c r="H235" t="str" cm="1">
        <f t="array" ref="H235">_xlfn.IFS(Grammys[[#This Row],[date]] &gt;= DATE(2022,2,1),"Grammys",TRUE,"Grammys TRA")</f>
        <v>Grammys TRA</v>
      </c>
      <c r="I235">
        <f>_xlfn.XLOOKUP(Grammys[[#This Row],[date]],mobile_visits[date],mobile_visits[mobile_visitors],0)</f>
        <v>0</v>
      </c>
      <c r="O235" s="1">
        <v>44826</v>
      </c>
      <c r="P235">
        <v>11225</v>
      </c>
    </row>
    <row r="236" spans="1:16">
      <c r="A236" s="1">
        <v>42970</v>
      </c>
      <c r="B236">
        <v>5723</v>
      </c>
      <c r="C236">
        <v>9378</v>
      </c>
      <c r="D236">
        <v>6079</v>
      </c>
      <c r="E236">
        <v>3397</v>
      </c>
      <c r="F236">
        <v>76</v>
      </c>
      <c r="G236" t="s">
        <v>83</v>
      </c>
      <c r="H236" t="str" cm="1">
        <f t="array" ref="H236">_xlfn.IFS(Grammys[[#This Row],[date]] &gt;= DATE(2022,2,1),"Grammys",TRUE,"Grammys TRA")</f>
        <v>Grammys TRA</v>
      </c>
      <c r="I236">
        <f>_xlfn.XLOOKUP(Grammys[[#This Row],[date]],mobile_visits[date],mobile_visits[mobile_visitors],0)</f>
        <v>0</v>
      </c>
      <c r="O236" s="1">
        <v>44827</v>
      </c>
      <c r="P236">
        <v>10328</v>
      </c>
    </row>
    <row r="237" spans="1:16">
      <c r="A237" s="1">
        <v>42971</v>
      </c>
      <c r="B237">
        <v>7602</v>
      </c>
      <c r="C237">
        <v>11502</v>
      </c>
      <c r="D237">
        <v>8051</v>
      </c>
      <c r="E237">
        <v>4367</v>
      </c>
      <c r="F237">
        <v>67</v>
      </c>
      <c r="G237" t="s">
        <v>83</v>
      </c>
      <c r="H237" t="str" cm="1">
        <f t="array" ref="H237">_xlfn.IFS(Grammys[[#This Row],[date]] &gt;= DATE(2022,2,1),"Grammys",TRUE,"Grammys TRA")</f>
        <v>Grammys TRA</v>
      </c>
      <c r="I237">
        <f>_xlfn.XLOOKUP(Grammys[[#This Row],[date]],mobile_visits[date],mobile_visits[mobile_visitors],0)</f>
        <v>0</v>
      </c>
      <c r="O237" s="1">
        <v>44828</v>
      </c>
      <c r="P237">
        <v>14799</v>
      </c>
    </row>
    <row r="238" spans="1:16">
      <c r="A238" s="1">
        <v>42972</v>
      </c>
      <c r="B238">
        <v>5282</v>
      </c>
      <c r="C238">
        <v>8318</v>
      </c>
      <c r="D238">
        <v>5537</v>
      </c>
      <c r="E238">
        <v>3250</v>
      </c>
      <c r="F238">
        <v>83</v>
      </c>
      <c r="G238" t="s">
        <v>83</v>
      </c>
      <c r="H238" t="str" cm="1">
        <f t="array" ref="H238">_xlfn.IFS(Grammys[[#This Row],[date]] &gt;= DATE(2022,2,1),"Grammys",TRUE,"Grammys TRA")</f>
        <v>Grammys TRA</v>
      </c>
      <c r="I238">
        <f>_xlfn.XLOOKUP(Grammys[[#This Row],[date]],mobile_visits[date],mobile_visits[mobile_visitors],0)</f>
        <v>0</v>
      </c>
      <c r="O238" s="1">
        <v>44829</v>
      </c>
      <c r="P238">
        <v>17766</v>
      </c>
    </row>
    <row r="239" spans="1:16">
      <c r="A239" s="1">
        <v>42973</v>
      </c>
      <c r="B239">
        <v>4382</v>
      </c>
      <c r="C239">
        <v>7030</v>
      </c>
      <c r="D239">
        <v>4586</v>
      </c>
      <c r="E239">
        <v>2666</v>
      </c>
      <c r="F239">
        <v>87</v>
      </c>
      <c r="G239" t="s">
        <v>83</v>
      </c>
      <c r="H239" t="str" cm="1">
        <f t="array" ref="H239">_xlfn.IFS(Grammys[[#This Row],[date]] &gt;= DATE(2022,2,1),"Grammys",TRUE,"Grammys TRA")</f>
        <v>Grammys TRA</v>
      </c>
      <c r="I239">
        <f>_xlfn.XLOOKUP(Grammys[[#This Row],[date]],mobile_visits[date],mobile_visits[mobile_visitors],0)</f>
        <v>0</v>
      </c>
      <c r="O239" s="1">
        <v>44830</v>
      </c>
      <c r="P239">
        <v>16404</v>
      </c>
    </row>
    <row r="240" spans="1:16">
      <c r="A240" s="1">
        <v>42974</v>
      </c>
      <c r="B240">
        <v>5706</v>
      </c>
      <c r="C240">
        <v>8975</v>
      </c>
      <c r="D240">
        <v>6006</v>
      </c>
      <c r="E240">
        <v>3355</v>
      </c>
      <c r="F240">
        <v>81</v>
      </c>
      <c r="G240" t="s">
        <v>83</v>
      </c>
      <c r="H240" t="str" cm="1">
        <f t="array" ref="H240">_xlfn.IFS(Grammys[[#This Row],[date]] &gt;= DATE(2022,2,1),"Grammys",TRUE,"Grammys TRA")</f>
        <v>Grammys TRA</v>
      </c>
      <c r="I240">
        <f>_xlfn.XLOOKUP(Grammys[[#This Row],[date]],mobile_visits[date],mobile_visits[mobile_visitors],0)</f>
        <v>0</v>
      </c>
      <c r="O240" s="1">
        <v>44831</v>
      </c>
      <c r="P240">
        <v>13765</v>
      </c>
    </row>
    <row r="241" spans="1:16">
      <c r="A241" s="1">
        <v>42975</v>
      </c>
      <c r="B241">
        <v>6778</v>
      </c>
      <c r="C241">
        <v>11016</v>
      </c>
      <c r="D241">
        <v>7183</v>
      </c>
      <c r="E241">
        <v>4012</v>
      </c>
      <c r="F241">
        <v>80</v>
      </c>
      <c r="G241" t="s">
        <v>83</v>
      </c>
      <c r="H241" t="str" cm="1">
        <f t="array" ref="H241">_xlfn.IFS(Grammys[[#This Row],[date]] &gt;= DATE(2022,2,1),"Grammys",TRUE,"Grammys TRA")</f>
        <v>Grammys TRA</v>
      </c>
      <c r="I241">
        <f>_xlfn.XLOOKUP(Grammys[[#This Row],[date]],mobile_visits[date],mobile_visits[mobile_visitors],0)</f>
        <v>0</v>
      </c>
      <c r="O241" s="1">
        <v>44832</v>
      </c>
      <c r="P241">
        <v>11078</v>
      </c>
    </row>
    <row r="242" spans="1:16">
      <c r="A242" s="1">
        <v>42976</v>
      </c>
      <c r="B242">
        <v>6446</v>
      </c>
      <c r="C242">
        <v>10640</v>
      </c>
      <c r="D242">
        <v>6870</v>
      </c>
      <c r="E242">
        <v>3787</v>
      </c>
      <c r="F242">
        <v>84</v>
      </c>
      <c r="G242" t="s">
        <v>83</v>
      </c>
      <c r="H242" t="str" cm="1">
        <f t="array" ref="H242">_xlfn.IFS(Grammys[[#This Row],[date]] &gt;= DATE(2022,2,1),"Grammys",TRUE,"Grammys TRA")</f>
        <v>Grammys TRA</v>
      </c>
      <c r="I242">
        <f>_xlfn.XLOOKUP(Grammys[[#This Row],[date]],mobile_visits[date],mobile_visits[mobile_visitors],0)</f>
        <v>0</v>
      </c>
      <c r="O242" s="1">
        <v>44833</v>
      </c>
      <c r="P242">
        <v>10707</v>
      </c>
    </row>
    <row r="243" spans="1:16">
      <c r="A243" s="1">
        <v>42977</v>
      </c>
      <c r="B243">
        <v>8170</v>
      </c>
      <c r="C243">
        <v>12859</v>
      </c>
      <c r="D243">
        <v>8490</v>
      </c>
      <c r="E243">
        <v>4752</v>
      </c>
      <c r="F243">
        <v>87</v>
      </c>
      <c r="G243" t="s">
        <v>83</v>
      </c>
      <c r="H243" t="str" cm="1">
        <f t="array" ref="H243">_xlfn.IFS(Grammys[[#This Row],[date]] &gt;= DATE(2022,2,1),"Grammys",TRUE,"Grammys TRA")</f>
        <v>Grammys TRA</v>
      </c>
      <c r="I243">
        <f>_xlfn.XLOOKUP(Grammys[[#This Row],[date]],mobile_visits[date],mobile_visits[mobile_visitors],0)</f>
        <v>0</v>
      </c>
      <c r="O243" s="1">
        <v>44834</v>
      </c>
      <c r="P243">
        <v>9724</v>
      </c>
    </row>
    <row r="244" spans="1:16">
      <c r="A244" s="1">
        <v>42978</v>
      </c>
      <c r="B244">
        <v>14405</v>
      </c>
      <c r="C244">
        <v>23969</v>
      </c>
      <c r="D244">
        <v>16607</v>
      </c>
      <c r="E244">
        <v>5056</v>
      </c>
      <c r="F244">
        <v>81</v>
      </c>
      <c r="G244" t="s">
        <v>83</v>
      </c>
      <c r="H244" t="str" cm="1">
        <f t="array" ref="H244">_xlfn.IFS(Grammys[[#This Row],[date]] &gt;= DATE(2022,2,1),"Grammys",TRUE,"Grammys TRA")</f>
        <v>Grammys TRA</v>
      </c>
      <c r="I244">
        <f>_xlfn.XLOOKUP(Grammys[[#This Row],[date]],mobile_visits[date],mobile_visits[mobile_visitors],0)</f>
        <v>0</v>
      </c>
      <c r="O244" s="1">
        <v>44835</v>
      </c>
      <c r="P244">
        <v>10555</v>
      </c>
    </row>
    <row r="245" spans="1:16">
      <c r="A245" s="1">
        <v>42979</v>
      </c>
      <c r="B245">
        <v>7778</v>
      </c>
      <c r="C245">
        <v>12236</v>
      </c>
      <c r="D245">
        <v>8290</v>
      </c>
      <c r="E245">
        <v>3807</v>
      </c>
      <c r="F245">
        <v>89</v>
      </c>
      <c r="G245" t="s">
        <v>83</v>
      </c>
      <c r="H245" t="str" cm="1">
        <f t="array" ref="H245">_xlfn.IFS(Grammys[[#This Row],[date]] &gt;= DATE(2022,2,1),"Grammys",TRUE,"Grammys TRA")</f>
        <v>Grammys TRA</v>
      </c>
      <c r="I245">
        <f>_xlfn.XLOOKUP(Grammys[[#This Row],[date]],mobile_visits[date],mobile_visits[mobile_visitors],0)</f>
        <v>0</v>
      </c>
      <c r="O245" s="1">
        <v>44836</v>
      </c>
      <c r="P245">
        <v>12155</v>
      </c>
    </row>
    <row r="246" spans="1:16">
      <c r="A246" s="1">
        <v>42980</v>
      </c>
      <c r="B246">
        <v>9566</v>
      </c>
      <c r="C246">
        <v>14989</v>
      </c>
      <c r="D246">
        <v>10327</v>
      </c>
      <c r="E246">
        <v>4489</v>
      </c>
      <c r="F246">
        <v>101</v>
      </c>
      <c r="G246" t="s">
        <v>83</v>
      </c>
      <c r="H246" t="str" cm="1">
        <f t="array" ref="H246">_xlfn.IFS(Grammys[[#This Row],[date]] &gt;= DATE(2022,2,1),"Grammys",TRUE,"Grammys TRA")</f>
        <v>Grammys TRA</v>
      </c>
      <c r="I246">
        <f>_xlfn.XLOOKUP(Grammys[[#This Row],[date]],mobile_visits[date],mobile_visits[mobile_visitors],0)</f>
        <v>0</v>
      </c>
      <c r="O246" s="1">
        <v>44837</v>
      </c>
      <c r="P246">
        <v>9310</v>
      </c>
    </row>
    <row r="247" spans="1:16">
      <c r="A247" s="1">
        <v>42981</v>
      </c>
      <c r="B247">
        <v>6866</v>
      </c>
      <c r="C247">
        <v>10915</v>
      </c>
      <c r="D247">
        <v>7273</v>
      </c>
      <c r="E247">
        <v>3964</v>
      </c>
      <c r="F247">
        <v>76</v>
      </c>
      <c r="G247" t="s">
        <v>83</v>
      </c>
      <c r="H247" t="str" cm="1">
        <f t="array" ref="H247">_xlfn.IFS(Grammys[[#This Row],[date]] &gt;= DATE(2022,2,1),"Grammys",TRUE,"Grammys TRA")</f>
        <v>Grammys TRA</v>
      </c>
      <c r="I247">
        <f>_xlfn.XLOOKUP(Grammys[[#This Row],[date]],mobile_visits[date],mobile_visits[mobile_visitors],0)</f>
        <v>0</v>
      </c>
      <c r="O247" s="1">
        <v>44838</v>
      </c>
      <c r="P247">
        <v>10402</v>
      </c>
    </row>
    <row r="248" spans="1:16">
      <c r="A248" s="1">
        <v>42982</v>
      </c>
      <c r="B248">
        <v>6103</v>
      </c>
      <c r="C248">
        <v>10127</v>
      </c>
      <c r="D248">
        <v>6529</v>
      </c>
      <c r="E248">
        <v>3482</v>
      </c>
      <c r="F248">
        <v>83</v>
      </c>
      <c r="G248" t="s">
        <v>83</v>
      </c>
      <c r="H248" t="str" cm="1">
        <f t="array" ref="H248">_xlfn.IFS(Grammys[[#This Row],[date]] &gt;= DATE(2022,2,1),"Grammys",TRUE,"Grammys TRA")</f>
        <v>Grammys TRA</v>
      </c>
      <c r="I248">
        <f>_xlfn.XLOOKUP(Grammys[[#This Row],[date]],mobile_visits[date],mobile_visits[mobile_visitors],0)</f>
        <v>0</v>
      </c>
      <c r="O248" s="1">
        <v>44839</v>
      </c>
      <c r="P248">
        <v>10434</v>
      </c>
    </row>
    <row r="249" spans="1:16">
      <c r="A249" s="1">
        <v>42983</v>
      </c>
      <c r="B249">
        <v>5872</v>
      </c>
      <c r="C249">
        <v>9460</v>
      </c>
      <c r="D249">
        <v>6193</v>
      </c>
      <c r="E249">
        <v>3506</v>
      </c>
      <c r="F249">
        <v>89</v>
      </c>
      <c r="G249" t="s">
        <v>83</v>
      </c>
      <c r="H249" t="str" cm="1">
        <f t="array" ref="H249">_xlfn.IFS(Grammys[[#This Row],[date]] &gt;= DATE(2022,2,1),"Grammys",TRUE,"Grammys TRA")</f>
        <v>Grammys TRA</v>
      </c>
      <c r="I249">
        <f>_xlfn.XLOOKUP(Grammys[[#This Row],[date]],mobile_visits[date],mobile_visits[mobile_visitors],0)</f>
        <v>0</v>
      </c>
      <c r="O249" s="1">
        <v>44840</v>
      </c>
      <c r="P249">
        <v>17845</v>
      </c>
    </row>
    <row r="250" spans="1:16">
      <c r="A250" s="1">
        <v>42984</v>
      </c>
      <c r="B250">
        <v>6691</v>
      </c>
      <c r="C250">
        <v>10706</v>
      </c>
      <c r="D250">
        <v>7050</v>
      </c>
      <c r="E250">
        <v>3772</v>
      </c>
      <c r="F250">
        <v>90</v>
      </c>
      <c r="G250" t="s">
        <v>83</v>
      </c>
      <c r="H250" t="str" cm="1">
        <f t="array" ref="H250">_xlfn.IFS(Grammys[[#This Row],[date]] &gt;= DATE(2022,2,1),"Grammys",TRUE,"Grammys TRA")</f>
        <v>Grammys TRA</v>
      </c>
      <c r="I250">
        <f>_xlfn.XLOOKUP(Grammys[[#This Row],[date]],mobile_visits[date],mobile_visits[mobile_visitors],0)</f>
        <v>0</v>
      </c>
      <c r="O250" s="1">
        <v>44841</v>
      </c>
      <c r="P250">
        <v>14651</v>
      </c>
    </row>
    <row r="251" spans="1:16">
      <c r="A251" s="1">
        <v>42985</v>
      </c>
      <c r="B251">
        <v>6152</v>
      </c>
      <c r="C251">
        <v>10516</v>
      </c>
      <c r="D251">
        <v>6529</v>
      </c>
      <c r="E251">
        <v>3719</v>
      </c>
      <c r="F251">
        <v>96</v>
      </c>
      <c r="G251" t="s">
        <v>83</v>
      </c>
      <c r="H251" t="str" cm="1">
        <f t="array" ref="H251">_xlfn.IFS(Grammys[[#This Row],[date]] &gt;= DATE(2022,2,1),"Grammys",TRUE,"Grammys TRA")</f>
        <v>Grammys TRA</v>
      </c>
      <c r="I251">
        <f>_xlfn.XLOOKUP(Grammys[[#This Row],[date]],mobile_visits[date],mobile_visits[mobile_visitors],0)</f>
        <v>0</v>
      </c>
      <c r="O251" s="1">
        <v>44842</v>
      </c>
      <c r="P251">
        <v>14275</v>
      </c>
    </row>
    <row r="252" spans="1:16">
      <c r="A252" s="1">
        <v>42986</v>
      </c>
      <c r="B252">
        <v>5709</v>
      </c>
      <c r="C252">
        <v>9391</v>
      </c>
      <c r="D252">
        <v>5984</v>
      </c>
      <c r="E252">
        <v>3453</v>
      </c>
      <c r="F252">
        <v>88</v>
      </c>
      <c r="G252" t="s">
        <v>83</v>
      </c>
      <c r="H252" t="str" cm="1">
        <f t="array" ref="H252">_xlfn.IFS(Grammys[[#This Row],[date]] &gt;= DATE(2022,2,1),"Grammys",TRUE,"Grammys TRA")</f>
        <v>Grammys TRA</v>
      </c>
      <c r="I252">
        <f>_xlfn.XLOOKUP(Grammys[[#This Row],[date]],mobile_visits[date],mobile_visits[mobile_visitors],0)</f>
        <v>0</v>
      </c>
      <c r="O252" s="1">
        <v>44843</v>
      </c>
      <c r="P252">
        <v>14935</v>
      </c>
    </row>
    <row r="253" spans="1:16">
      <c r="A253" s="1">
        <v>42987</v>
      </c>
      <c r="B253">
        <v>5336</v>
      </c>
      <c r="C253">
        <v>8745</v>
      </c>
      <c r="D253">
        <v>5682</v>
      </c>
      <c r="E253">
        <v>3173</v>
      </c>
      <c r="F253">
        <v>87</v>
      </c>
      <c r="G253" t="s">
        <v>83</v>
      </c>
      <c r="H253" t="str" cm="1">
        <f t="array" ref="H253">_xlfn.IFS(Grammys[[#This Row],[date]] &gt;= DATE(2022,2,1),"Grammys",TRUE,"Grammys TRA")</f>
        <v>Grammys TRA</v>
      </c>
      <c r="I253">
        <f>_xlfn.XLOOKUP(Grammys[[#This Row],[date]],mobile_visits[date],mobile_visits[mobile_visitors],0)</f>
        <v>0</v>
      </c>
      <c r="O253" s="1">
        <v>44844</v>
      </c>
      <c r="P253">
        <v>14169</v>
      </c>
    </row>
    <row r="254" spans="1:16">
      <c r="A254" s="1">
        <v>42988</v>
      </c>
      <c r="B254">
        <v>5072</v>
      </c>
      <c r="C254">
        <v>8731</v>
      </c>
      <c r="D254">
        <v>5363</v>
      </c>
      <c r="E254">
        <v>3004</v>
      </c>
      <c r="F254">
        <v>94</v>
      </c>
      <c r="G254" t="s">
        <v>83</v>
      </c>
      <c r="H254" t="str" cm="1">
        <f t="array" ref="H254">_xlfn.IFS(Grammys[[#This Row],[date]] &gt;= DATE(2022,2,1),"Grammys",TRUE,"Grammys TRA")</f>
        <v>Grammys TRA</v>
      </c>
      <c r="I254">
        <f>_xlfn.XLOOKUP(Grammys[[#This Row],[date]],mobile_visits[date],mobile_visits[mobile_visitors],0)</f>
        <v>0</v>
      </c>
      <c r="O254" s="1">
        <v>44845</v>
      </c>
      <c r="P254">
        <v>27234</v>
      </c>
    </row>
    <row r="255" spans="1:16">
      <c r="A255" s="1">
        <v>42989</v>
      </c>
      <c r="B255">
        <v>5659</v>
      </c>
      <c r="C255">
        <v>9635</v>
      </c>
      <c r="D255">
        <v>5974</v>
      </c>
      <c r="E255">
        <v>3425</v>
      </c>
      <c r="F255">
        <v>97</v>
      </c>
      <c r="G255" t="s">
        <v>83</v>
      </c>
      <c r="H255" t="str" cm="1">
        <f t="array" ref="H255">_xlfn.IFS(Grammys[[#This Row],[date]] &gt;= DATE(2022,2,1),"Grammys",TRUE,"Grammys TRA")</f>
        <v>Grammys TRA</v>
      </c>
      <c r="I255">
        <f>_xlfn.XLOOKUP(Grammys[[#This Row],[date]],mobile_visits[date],mobile_visits[mobile_visitors],0)</f>
        <v>0</v>
      </c>
      <c r="O255" s="1">
        <v>44846</v>
      </c>
      <c r="P255">
        <v>18076</v>
      </c>
    </row>
    <row r="256" spans="1:16">
      <c r="A256" s="1">
        <v>42990</v>
      </c>
      <c r="B256">
        <v>8168</v>
      </c>
      <c r="C256">
        <v>12415</v>
      </c>
      <c r="D256">
        <v>8574</v>
      </c>
      <c r="E256">
        <v>4649</v>
      </c>
      <c r="F256">
        <v>76</v>
      </c>
      <c r="G256" t="s">
        <v>83</v>
      </c>
      <c r="H256" t="str" cm="1">
        <f t="array" ref="H256">_xlfn.IFS(Grammys[[#This Row],[date]] &gt;= DATE(2022,2,1),"Grammys",TRUE,"Grammys TRA")</f>
        <v>Grammys TRA</v>
      </c>
      <c r="I256">
        <f>_xlfn.XLOOKUP(Grammys[[#This Row],[date]],mobile_visits[date],mobile_visits[mobile_visitors],0)</f>
        <v>0</v>
      </c>
      <c r="O256" s="1">
        <v>44847</v>
      </c>
      <c r="P256">
        <v>42179</v>
      </c>
    </row>
    <row r="257" spans="1:16">
      <c r="A257" s="1">
        <v>42991</v>
      </c>
      <c r="B257">
        <v>11927</v>
      </c>
      <c r="C257">
        <v>17765</v>
      </c>
      <c r="D257">
        <v>13596</v>
      </c>
      <c r="E257">
        <v>5696</v>
      </c>
      <c r="F257">
        <v>71</v>
      </c>
      <c r="G257" t="s">
        <v>83</v>
      </c>
      <c r="H257" t="str" cm="1">
        <f t="array" ref="H257">_xlfn.IFS(Grammys[[#This Row],[date]] &gt;= DATE(2022,2,1),"Grammys",TRUE,"Grammys TRA")</f>
        <v>Grammys TRA</v>
      </c>
      <c r="I257">
        <f>_xlfn.XLOOKUP(Grammys[[#This Row],[date]],mobile_visits[date],mobile_visits[mobile_visitors],0)</f>
        <v>0</v>
      </c>
      <c r="O257" s="1">
        <v>44848</v>
      </c>
      <c r="P257">
        <v>40045</v>
      </c>
    </row>
    <row r="258" spans="1:16">
      <c r="A258" s="1">
        <v>42992</v>
      </c>
      <c r="B258">
        <v>9411</v>
      </c>
      <c r="C258">
        <v>14138</v>
      </c>
      <c r="D258">
        <v>10376</v>
      </c>
      <c r="E258">
        <v>4925</v>
      </c>
      <c r="F258">
        <v>72</v>
      </c>
      <c r="G258" t="s">
        <v>83</v>
      </c>
      <c r="H258" t="str" cm="1">
        <f t="array" ref="H258">_xlfn.IFS(Grammys[[#This Row],[date]] &gt;= DATE(2022,2,1),"Grammys",TRUE,"Grammys TRA")</f>
        <v>Grammys TRA</v>
      </c>
      <c r="I258">
        <f>_xlfn.XLOOKUP(Grammys[[#This Row],[date]],mobile_visits[date],mobile_visits[mobile_visitors],0)</f>
        <v>0</v>
      </c>
      <c r="O258" s="1">
        <v>44849</v>
      </c>
      <c r="P258">
        <v>19155</v>
      </c>
    </row>
    <row r="259" spans="1:16">
      <c r="A259" s="1">
        <v>42993</v>
      </c>
      <c r="B259">
        <v>7285</v>
      </c>
      <c r="C259">
        <v>11905</v>
      </c>
      <c r="D259">
        <v>7861</v>
      </c>
      <c r="E259">
        <v>4238</v>
      </c>
      <c r="F259">
        <v>84</v>
      </c>
      <c r="G259" t="s">
        <v>83</v>
      </c>
      <c r="H259" t="str" cm="1">
        <f t="array" ref="H259">_xlfn.IFS(Grammys[[#This Row],[date]] &gt;= DATE(2022,2,1),"Grammys",TRUE,"Grammys TRA")</f>
        <v>Grammys TRA</v>
      </c>
      <c r="I259">
        <f>_xlfn.XLOOKUP(Grammys[[#This Row],[date]],mobile_visits[date],mobile_visits[mobile_visitors],0)</f>
        <v>0</v>
      </c>
      <c r="O259" s="1">
        <v>44850</v>
      </c>
      <c r="P259">
        <v>14896</v>
      </c>
    </row>
    <row r="260" spans="1:16">
      <c r="A260" s="1">
        <v>42994</v>
      </c>
      <c r="B260">
        <v>6909</v>
      </c>
      <c r="C260">
        <v>11067</v>
      </c>
      <c r="D260">
        <v>7454</v>
      </c>
      <c r="E260">
        <v>3800</v>
      </c>
      <c r="F260">
        <v>77</v>
      </c>
      <c r="G260" t="s">
        <v>83</v>
      </c>
      <c r="H260" t="str" cm="1">
        <f t="array" ref="H260">_xlfn.IFS(Grammys[[#This Row],[date]] &gt;= DATE(2022,2,1),"Grammys",TRUE,"Grammys TRA")</f>
        <v>Grammys TRA</v>
      </c>
      <c r="I260">
        <f>_xlfn.XLOOKUP(Grammys[[#This Row],[date]],mobile_visits[date],mobile_visits[mobile_visitors],0)</f>
        <v>0</v>
      </c>
      <c r="O260" s="1">
        <v>44851</v>
      </c>
      <c r="P260">
        <v>15400</v>
      </c>
    </row>
    <row r="261" spans="1:16">
      <c r="A261" s="1">
        <v>42995</v>
      </c>
      <c r="B261">
        <v>8802</v>
      </c>
      <c r="C261">
        <v>14027</v>
      </c>
      <c r="D261">
        <v>9378</v>
      </c>
      <c r="E261">
        <v>4935</v>
      </c>
      <c r="F261">
        <v>77</v>
      </c>
      <c r="G261" t="s">
        <v>83</v>
      </c>
      <c r="H261" t="str" cm="1">
        <f t="array" ref="H261">_xlfn.IFS(Grammys[[#This Row],[date]] &gt;= DATE(2022,2,1),"Grammys",TRUE,"Grammys TRA")</f>
        <v>Grammys TRA</v>
      </c>
      <c r="I261">
        <f>_xlfn.XLOOKUP(Grammys[[#This Row],[date]],mobile_visits[date],mobile_visits[mobile_visitors],0)</f>
        <v>0</v>
      </c>
      <c r="O261" s="1">
        <v>44852</v>
      </c>
      <c r="P261">
        <v>14205</v>
      </c>
    </row>
    <row r="262" spans="1:16">
      <c r="A262" s="1">
        <v>42996</v>
      </c>
      <c r="B262">
        <v>9052</v>
      </c>
      <c r="C262">
        <v>14818</v>
      </c>
      <c r="D262">
        <v>9587</v>
      </c>
      <c r="E262">
        <v>5133</v>
      </c>
      <c r="F262">
        <v>82</v>
      </c>
      <c r="G262" t="s">
        <v>83</v>
      </c>
      <c r="H262" t="str" cm="1">
        <f t="array" ref="H262">_xlfn.IFS(Grammys[[#This Row],[date]] &gt;= DATE(2022,2,1),"Grammys",TRUE,"Grammys TRA")</f>
        <v>Grammys TRA</v>
      </c>
      <c r="I262">
        <f>_xlfn.XLOOKUP(Grammys[[#This Row],[date]],mobile_visits[date],mobile_visits[mobile_visitors],0)</f>
        <v>0</v>
      </c>
      <c r="O262" s="1">
        <v>44853</v>
      </c>
      <c r="P262">
        <v>13357</v>
      </c>
    </row>
    <row r="263" spans="1:16">
      <c r="A263" s="1">
        <v>42997</v>
      </c>
      <c r="B263">
        <v>9180</v>
      </c>
      <c r="C263">
        <v>16371</v>
      </c>
      <c r="D263">
        <v>9803</v>
      </c>
      <c r="E263">
        <v>5451</v>
      </c>
      <c r="F263">
        <v>83</v>
      </c>
      <c r="G263" t="s">
        <v>83</v>
      </c>
      <c r="H263" t="str" cm="1">
        <f t="array" ref="H263">_xlfn.IFS(Grammys[[#This Row],[date]] &gt;= DATE(2022,2,1),"Grammys",TRUE,"Grammys TRA")</f>
        <v>Grammys TRA</v>
      </c>
      <c r="I263">
        <f>_xlfn.XLOOKUP(Grammys[[#This Row],[date]],mobile_visits[date],mobile_visits[mobile_visitors],0)</f>
        <v>0</v>
      </c>
      <c r="O263" s="1">
        <v>44854</v>
      </c>
      <c r="P263">
        <v>12704</v>
      </c>
    </row>
    <row r="264" spans="1:16">
      <c r="A264" s="1">
        <v>42998</v>
      </c>
      <c r="B264">
        <v>7399</v>
      </c>
      <c r="C264">
        <v>12125</v>
      </c>
      <c r="D264">
        <v>7840</v>
      </c>
      <c r="E264">
        <v>4342</v>
      </c>
      <c r="F264">
        <v>84</v>
      </c>
      <c r="G264" t="s">
        <v>83</v>
      </c>
      <c r="H264" t="str" cm="1">
        <f t="array" ref="H264">_xlfn.IFS(Grammys[[#This Row],[date]] &gt;= DATE(2022,2,1),"Grammys",TRUE,"Grammys TRA")</f>
        <v>Grammys TRA</v>
      </c>
      <c r="I264">
        <f>_xlfn.XLOOKUP(Grammys[[#This Row],[date]],mobile_visits[date],mobile_visits[mobile_visitors],0)</f>
        <v>0</v>
      </c>
      <c r="O264" s="1">
        <v>44855</v>
      </c>
      <c r="P264">
        <v>13614</v>
      </c>
    </row>
    <row r="265" spans="1:16">
      <c r="A265" s="1">
        <v>42999</v>
      </c>
      <c r="B265">
        <v>11407</v>
      </c>
      <c r="C265">
        <v>18665</v>
      </c>
      <c r="D265">
        <v>13165</v>
      </c>
      <c r="E265">
        <v>6009</v>
      </c>
      <c r="F265">
        <v>98</v>
      </c>
      <c r="G265" t="s">
        <v>83</v>
      </c>
      <c r="H265" t="str" cm="1">
        <f t="array" ref="H265">_xlfn.IFS(Grammys[[#This Row],[date]] &gt;= DATE(2022,2,1),"Grammys",TRUE,"Grammys TRA")</f>
        <v>Grammys TRA</v>
      </c>
      <c r="I265">
        <f>_xlfn.XLOOKUP(Grammys[[#This Row],[date]],mobile_visits[date],mobile_visits[mobile_visitors],0)</f>
        <v>0</v>
      </c>
      <c r="O265" s="1">
        <v>44856</v>
      </c>
      <c r="P265">
        <v>14062</v>
      </c>
    </row>
    <row r="266" spans="1:16">
      <c r="A266" s="1">
        <v>43000</v>
      </c>
      <c r="B266">
        <v>6924</v>
      </c>
      <c r="C266">
        <v>15042</v>
      </c>
      <c r="D266">
        <v>7387</v>
      </c>
      <c r="E266">
        <v>2739</v>
      </c>
      <c r="F266">
        <v>79</v>
      </c>
      <c r="G266" t="s">
        <v>83</v>
      </c>
      <c r="H266" t="str" cm="1">
        <f t="array" ref="H266">_xlfn.IFS(Grammys[[#This Row],[date]] &gt;= DATE(2022,2,1),"Grammys",TRUE,"Grammys TRA")</f>
        <v>Grammys TRA</v>
      </c>
      <c r="I266">
        <f>_xlfn.XLOOKUP(Grammys[[#This Row],[date]],mobile_visits[date],mobile_visits[mobile_visitors],0)</f>
        <v>0</v>
      </c>
      <c r="O266" s="1">
        <v>44857</v>
      </c>
      <c r="P266">
        <v>15449</v>
      </c>
    </row>
    <row r="267" spans="1:16">
      <c r="A267" s="1">
        <v>43001</v>
      </c>
      <c r="B267">
        <v>5928</v>
      </c>
      <c r="C267">
        <v>12882</v>
      </c>
      <c r="D267">
        <v>6266</v>
      </c>
      <c r="E267">
        <v>2328</v>
      </c>
      <c r="F267">
        <v>84</v>
      </c>
      <c r="G267" t="s">
        <v>83</v>
      </c>
      <c r="H267" t="str" cm="1">
        <f t="array" ref="H267">_xlfn.IFS(Grammys[[#This Row],[date]] &gt;= DATE(2022,2,1),"Grammys",TRUE,"Grammys TRA")</f>
        <v>Grammys TRA</v>
      </c>
      <c r="I267">
        <f>_xlfn.XLOOKUP(Grammys[[#This Row],[date]],mobile_visits[date],mobile_visits[mobile_visitors],0)</f>
        <v>0</v>
      </c>
      <c r="O267" s="1">
        <v>44858</v>
      </c>
      <c r="P267">
        <v>12948</v>
      </c>
    </row>
    <row r="268" spans="1:16">
      <c r="A268" s="1">
        <v>43002</v>
      </c>
      <c r="B268">
        <v>6314</v>
      </c>
      <c r="C268">
        <v>14187</v>
      </c>
      <c r="D268">
        <v>6671</v>
      </c>
      <c r="E268">
        <v>2139</v>
      </c>
      <c r="F268">
        <v>82</v>
      </c>
      <c r="G268" t="s">
        <v>83</v>
      </c>
      <c r="H268" t="str" cm="1">
        <f t="array" ref="H268">_xlfn.IFS(Grammys[[#This Row],[date]] &gt;= DATE(2022,2,1),"Grammys",TRUE,"Grammys TRA")</f>
        <v>Grammys TRA</v>
      </c>
      <c r="I268">
        <f>_xlfn.XLOOKUP(Grammys[[#This Row],[date]],mobile_visits[date],mobile_visits[mobile_visitors],0)</f>
        <v>0</v>
      </c>
      <c r="O268" s="1">
        <v>44859</v>
      </c>
      <c r="P268">
        <v>13150</v>
      </c>
    </row>
    <row r="269" spans="1:16">
      <c r="A269" s="1">
        <v>43003</v>
      </c>
      <c r="B269">
        <v>8801</v>
      </c>
      <c r="C269">
        <v>19678</v>
      </c>
      <c r="D269">
        <v>9717</v>
      </c>
      <c r="E269">
        <v>2513</v>
      </c>
      <c r="F269">
        <v>84</v>
      </c>
      <c r="G269" t="s">
        <v>83</v>
      </c>
      <c r="H269" t="str" cm="1">
        <f t="array" ref="H269">_xlfn.IFS(Grammys[[#This Row],[date]] &gt;= DATE(2022,2,1),"Grammys",TRUE,"Grammys TRA")</f>
        <v>Grammys TRA</v>
      </c>
      <c r="I269">
        <f>_xlfn.XLOOKUP(Grammys[[#This Row],[date]],mobile_visits[date],mobile_visits[mobile_visitors],0)</f>
        <v>0</v>
      </c>
      <c r="O269" s="1">
        <v>44860</v>
      </c>
      <c r="P269">
        <v>12604</v>
      </c>
    </row>
    <row r="270" spans="1:16">
      <c r="A270" s="1">
        <v>43004</v>
      </c>
      <c r="B270">
        <v>10965</v>
      </c>
      <c r="C270">
        <v>25433</v>
      </c>
      <c r="D270">
        <v>11990</v>
      </c>
      <c r="E270">
        <v>3303</v>
      </c>
      <c r="F270">
        <v>91</v>
      </c>
      <c r="G270" t="s">
        <v>83</v>
      </c>
      <c r="H270" t="str" cm="1">
        <f t="array" ref="H270">_xlfn.IFS(Grammys[[#This Row],[date]] &gt;= DATE(2022,2,1),"Grammys",TRUE,"Grammys TRA")</f>
        <v>Grammys TRA</v>
      </c>
      <c r="I270">
        <f>_xlfn.XLOOKUP(Grammys[[#This Row],[date]],mobile_visits[date],mobile_visits[mobile_visitors],0)</f>
        <v>0</v>
      </c>
      <c r="O270" s="1">
        <v>44861</v>
      </c>
      <c r="P270">
        <v>13231</v>
      </c>
    </row>
    <row r="271" spans="1:16">
      <c r="A271" s="1">
        <v>43005</v>
      </c>
      <c r="B271">
        <v>9788</v>
      </c>
      <c r="C271">
        <v>22289</v>
      </c>
      <c r="D271">
        <v>10700</v>
      </c>
      <c r="E271">
        <v>2883</v>
      </c>
      <c r="F271">
        <v>81</v>
      </c>
      <c r="G271" t="s">
        <v>83</v>
      </c>
      <c r="H271" t="str" cm="1">
        <f t="array" ref="H271">_xlfn.IFS(Grammys[[#This Row],[date]] &gt;= DATE(2022,2,1),"Grammys",TRUE,"Grammys TRA")</f>
        <v>Grammys TRA</v>
      </c>
      <c r="I271">
        <f>_xlfn.XLOOKUP(Grammys[[#This Row],[date]],mobile_visits[date],mobile_visits[mobile_visitors],0)</f>
        <v>0</v>
      </c>
      <c r="O271" s="1">
        <v>44862</v>
      </c>
      <c r="P271">
        <v>11091</v>
      </c>
    </row>
    <row r="272" spans="1:16">
      <c r="A272" s="1">
        <v>43006</v>
      </c>
      <c r="B272">
        <v>9407</v>
      </c>
      <c r="C272">
        <v>21335</v>
      </c>
      <c r="D272">
        <v>10009</v>
      </c>
      <c r="E272">
        <v>2708</v>
      </c>
      <c r="F272">
        <v>82</v>
      </c>
      <c r="G272" t="s">
        <v>83</v>
      </c>
      <c r="H272" t="str" cm="1">
        <f t="array" ref="H272">_xlfn.IFS(Grammys[[#This Row],[date]] &gt;= DATE(2022,2,1),"Grammys",TRUE,"Grammys TRA")</f>
        <v>Grammys TRA</v>
      </c>
      <c r="I272">
        <f>_xlfn.XLOOKUP(Grammys[[#This Row],[date]],mobile_visits[date],mobile_visits[mobile_visitors],0)</f>
        <v>0</v>
      </c>
      <c r="O272" s="1">
        <v>44863</v>
      </c>
      <c r="P272">
        <v>10246</v>
      </c>
    </row>
    <row r="273" spans="1:16">
      <c r="A273" s="1">
        <v>43007</v>
      </c>
      <c r="B273">
        <v>7889</v>
      </c>
      <c r="C273">
        <v>17578</v>
      </c>
      <c r="D273">
        <v>8401</v>
      </c>
      <c r="E273">
        <v>2584</v>
      </c>
      <c r="F273">
        <v>89</v>
      </c>
      <c r="G273" t="s">
        <v>83</v>
      </c>
      <c r="H273" t="str" cm="1">
        <f t="array" ref="H273">_xlfn.IFS(Grammys[[#This Row],[date]] &gt;= DATE(2022,2,1),"Grammys",TRUE,"Grammys TRA")</f>
        <v>Grammys TRA</v>
      </c>
      <c r="I273">
        <f>_xlfn.XLOOKUP(Grammys[[#This Row],[date]],mobile_visits[date],mobile_visits[mobile_visitors],0)</f>
        <v>0</v>
      </c>
      <c r="O273" s="1">
        <v>44864</v>
      </c>
      <c r="P273">
        <v>9248</v>
      </c>
    </row>
    <row r="274" spans="1:16">
      <c r="A274" s="1">
        <v>43008</v>
      </c>
      <c r="B274">
        <v>8455</v>
      </c>
      <c r="C274">
        <v>19058</v>
      </c>
      <c r="D274">
        <v>8988</v>
      </c>
      <c r="E274">
        <v>2439</v>
      </c>
      <c r="F274">
        <v>86</v>
      </c>
      <c r="G274" t="s">
        <v>83</v>
      </c>
      <c r="H274" t="str" cm="1">
        <f t="array" ref="H274">_xlfn.IFS(Grammys[[#This Row],[date]] &gt;= DATE(2022,2,1),"Grammys",TRUE,"Grammys TRA")</f>
        <v>Grammys TRA</v>
      </c>
      <c r="I274">
        <f>_xlfn.XLOOKUP(Grammys[[#This Row],[date]],mobile_visits[date],mobile_visits[mobile_visitors],0)</f>
        <v>0</v>
      </c>
      <c r="O274" s="1">
        <v>44865</v>
      </c>
      <c r="P274">
        <v>8802</v>
      </c>
    </row>
    <row r="275" spans="1:16">
      <c r="A275" s="1">
        <v>43009</v>
      </c>
      <c r="B275">
        <v>7768</v>
      </c>
      <c r="C275">
        <v>16586</v>
      </c>
      <c r="D275">
        <v>8196</v>
      </c>
      <c r="E275">
        <v>3270</v>
      </c>
      <c r="F275">
        <v>82</v>
      </c>
      <c r="G275" t="s">
        <v>83</v>
      </c>
      <c r="H275" t="str" cm="1">
        <f t="array" ref="H275">_xlfn.IFS(Grammys[[#This Row],[date]] &gt;= DATE(2022,2,1),"Grammys",TRUE,"Grammys TRA")</f>
        <v>Grammys TRA</v>
      </c>
      <c r="I275">
        <f>_xlfn.XLOOKUP(Grammys[[#This Row],[date]],mobile_visits[date],mobile_visits[mobile_visitors],0)</f>
        <v>0</v>
      </c>
      <c r="O275" s="1">
        <v>44866</v>
      </c>
      <c r="P275">
        <v>11610</v>
      </c>
    </row>
    <row r="276" spans="1:16">
      <c r="A276" s="1">
        <v>43010</v>
      </c>
      <c r="B276">
        <v>8447</v>
      </c>
      <c r="C276">
        <v>18685</v>
      </c>
      <c r="D276">
        <v>8908</v>
      </c>
      <c r="E276">
        <v>3067</v>
      </c>
      <c r="F276">
        <v>81</v>
      </c>
      <c r="G276" t="s">
        <v>83</v>
      </c>
      <c r="H276" t="str" cm="1">
        <f t="array" ref="H276">_xlfn.IFS(Grammys[[#This Row],[date]] &gt;= DATE(2022,2,1),"Grammys",TRUE,"Grammys TRA")</f>
        <v>Grammys TRA</v>
      </c>
      <c r="I276">
        <f>_xlfn.XLOOKUP(Grammys[[#This Row],[date]],mobile_visits[date],mobile_visits[mobile_visitors],0)</f>
        <v>0</v>
      </c>
      <c r="O276" s="1">
        <v>44867</v>
      </c>
      <c r="P276">
        <v>12274</v>
      </c>
    </row>
    <row r="277" spans="1:16">
      <c r="A277" s="1">
        <v>43011</v>
      </c>
      <c r="B277">
        <v>24449</v>
      </c>
      <c r="C277">
        <v>60005</v>
      </c>
      <c r="D277">
        <v>26587</v>
      </c>
      <c r="E277">
        <v>3558</v>
      </c>
      <c r="F277">
        <v>77</v>
      </c>
      <c r="G277" t="s">
        <v>83</v>
      </c>
      <c r="H277" t="str" cm="1">
        <f t="array" ref="H277">_xlfn.IFS(Grammys[[#This Row],[date]] &gt;= DATE(2022,2,1),"Grammys",TRUE,"Grammys TRA")</f>
        <v>Grammys TRA</v>
      </c>
      <c r="I277">
        <f>_xlfn.XLOOKUP(Grammys[[#This Row],[date]],mobile_visits[date],mobile_visits[mobile_visitors],0)</f>
        <v>0</v>
      </c>
      <c r="O277" s="1">
        <v>44868</v>
      </c>
      <c r="P277">
        <v>10907</v>
      </c>
    </row>
    <row r="278" spans="1:16">
      <c r="A278" s="1">
        <v>43012</v>
      </c>
      <c r="B278">
        <v>66639</v>
      </c>
      <c r="C278">
        <v>159403</v>
      </c>
      <c r="D278">
        <v>71386</v>
      </c>
      <c r="E278">
        <v>6175</v>
      </c>
      <c r="F278">
        <v>70</v>
      </c>
      <c r="G278" t="s">
        <v>83</v>
      </c>
      <c r="H278" t="str" cm="1">
        <f t="array" ref="H278">_xlfn.IFS(Grammys[[#This Row],[date]] &gt;= DATE(2022,2,1),"Grammys",TRUE,"Grammys TRA")</f>
        <v>Grammys TRA</v>
      </c>
      <c r="I278">
        <f>_xlfn.XLOOKUP(Grammys[[#This Row],[date]],mobile_visits[date],mobile_visits[mobile_visitors],0)</f>
        <v>0</v>
      </c>
      <c r="O278" s="1">
        <v>44869</v>
      </c>
      <c r="P278">
        <v>15681</v>
      </c>
    </row>
    <row r="279" spans="1:16">
      <c r="A279" s="1">
        <v>43013</v>
      </c>
      <c r="B279">
        <v>18708</v>
      </c>
      <c r="C279">
        <v>28073</v>
      </c>
      <c r="D279">
        <v>19550</v>
      </c>
      <c r="E279">
        <v>9734</v>
      </c>
      <c r="F279">
        <v>72</v>
      </c>
      <c r="G279" t="s">
        <v>83</v>
      </c>
      <c r="H279" t="str" cm="1">
        <f t="array" ref="H279">_xlfn.IFS(Grammys[[#This Row],[date]] &gt;= DATE(2022,2,1),"Grammys",TRUE,"Grammys TRA")</f>
        <v>Grammys TRA</v>
      </c>
      <c r="I279">
        <f>_xlfn.XLOOKUP(Grammys[[#This Row],[date]],mobile_visits[date],mobile_visits[mobile_visitors],0)</f>
        <v>0</v>
      </c>
      <c r="O279" s="1">
        <v>44870</v>
      </c>
      <c r="P279">
        <v>16239</v>
      </c>
    </row>
    <row r="280" spans="1:16">
      <c r="A280" s="1">
        <v>43014</v>
      </c>
      <c r="B280">
        <v>11225</v>
      </c>
      <c r="C280">
        <v>17398</v>
      </c>
      <c r="D280">
        <v>11956</v>
      </c>
      <c r="E280">
        <v>6328</v>
      </c>
      <c r="F280">
        <v>75</v>
      </c>
      <c r="G280" t="s">
        <v>83</v>
      </c>
      <c r="H280" t="str" cm="1">
        <f t="array" ref="H280">_xlfn.IFS(Grammys[[#This Row],[date]] &gt;= DATE(2022,2,1),"Grammys",TRUE,"Grammys TRA")</f>
        <v>Grammys TRA</v>
      </c>
      <c r="I280">
        <f>_xlfn.XLOOKUP(Grammys[[#This Row],[date]],mobile_visits[date],mobile_visits[mobile_visitors],0)</f>
        <v>0</v>
      </c>
      <c r="O280" s="1">
        <v>44871</v>
      </c>
      <c r="P280">
        <v>11938</v>
      </c>
    </row>
    <row r="281" spans="1:16">
      <c r="A281" s="1">
        <v>43015</v>
      </c>
      <c r="B281">
        <v>11678</v>
      </c>
      <c r="C281">
        <v>19278</v>
      </c>
      <c r="D281">
        <v>12488</v>
      </c>
      <c r="E281">
        <v>6241</v>
      </c>
      <c r="F281">
        <v>80</v>
      </c>
      <c r="G281" t="s">
        <v>83</v>
      </c>
      <c r="H281" t="str" cm="1">
        <f t="array" ref="H281">_xlfn.IFS(Grammys[[#This Row],[date]] &gt;= DATE(2022,2,1),"Grammys",TRUE,"Grammys TRA")</f>
        <v>Grammys TRA</v>
      </c>
      <c r="I281">
        <f>_xlfn.XLOOKUP(Grammys[[#This Row],[date]],mobile_visits[date],mobile_visits[mobile_visitors],0)</f>
        <v>0</v>
      </c>
      <c r="O281" s="1">
        <v>44872</v>
      </c>
      <c r="P281">
        <v>9322</v>
      </c>
    </row>
    <row r="282" spans="1:16">
      <c r="A282" s="1">
        <v>43016</v>
      </c>
      <c r="B282">
        <v>11632</v>
      </c>
      <c r="C282">
        <v>18643</v>
      </c>
      <c r="D282">
        <v>12397</v>
      </c>
      <c r="E282">
        <v>6411</v>
      </c>
      <c r="F282">
        <v>79</v>
      </c>
      <c r="G282" t="s">
        <v>83</v>
      </c>
      <c r="H282" t="str" cm="1">
        <f t="array" ref="H282">_xlfn.IFS(Grammys[[#This Row],[date]] &gt;= DATE(2022,2,1),"Grammys",TRUE,"Grammys TRA")</f>
        <v>Grammys TRA</v>
      </c>
      <c r="I282">
        <f>_xlfn.XLOOKUP(Grammys[[#This Row],[date]],mobile_visits[date],mobile_visits[mobile_visitors],0)</f>
        <v>0</v>
      </c>
      <c r="O282" s="1">
        <v>44873</v>
      </c>
      <c r="P282">
        <v>11597</v>
      </c>
    </row>
    <row r="283" spans="1:16">
      <c r="A283" s="1">
        <v>43017</v>
      </c>
      <c r="B283">
        <v>11285</v>
      </c>
      <c r="C283">
        <v>17693</v>
      </c>
      <c r="D283">
        <v>11810</v>
      </c>
      <c r="E283">
        <v>6396</v>
      </c>
      <c r="F283">
        <v>84</v>
      </c>
      <c r="G283" t="s">
        <v>83</v>
      </c>
      <c r="H283" t="str" cm="1">
        <f t="array" ref="H283">_xlfn.IFS(Grammys[[#This Row],[date]] &gt;= DATE(2022,2,1),"Grammys",TRUE,"Grammys TRA")</f>
        <v>Grammys TRA</v>
      </c>
      <c r="I283">
        <f>_xlfn.XLOOKUP(Grammys[[#This Row],[date]],mobile_visits[date],mobile_visits[mobile_visitors],0)</f>
        <v>0</v>
      </c>
      <c r="O283" s="1">
        <v>44874</v>
      </c>
      <c r="P283">
        <v>12722</v>
      </c>
    </row>
    <row r="284" spans="1:16">
      <c r="A284" s="1">
        <v>43018</v>
      </c>
      <c r="B284">
        <v>18833</v>
      </c>
      <c r="C284">
        <v>31075</v>
      </c>
      <c r="D284">
        <v>21732</v>
      </c>
      <c r="E284">
        <v>10210</v>
      </c>
      <c r="F284">
        <v>93</v>
      </c>
      <c r="G284" t="s">
        <v>83</v>
      </c>
      <c r="H284" t="str" cm="1">
        <f t="array" ref="H284">_xlfn.IFS(Grammys[[#This Row],[date]] &gt;= DATE(2022,2,1),"Grammys",TRUE,"Grammys TRA")</f>
        <v>Grammys TRA</v>
      </c>
      <c r="I284">
        <f>_xlfn.XLOOKUP(Grammys[[#This Row],[date]],mobile_visits[date],mobile_visits[mobile_visitors],0)</f>
        <v>0</v>
      </c>
      <c r="O284" s="1">
        <v>44875</v>
      </c>
      <c r="P284">
        <v>15013</v>
      </c>
    </row>
    <row r="285" spans="1:16">
      <c r="A285" s="1">
        <v>43019</v>
      </c>
      <c r="B285">
        <v>19938</v>
      </c>
      <c r="C285">
        <v>28488</v>
      </c>
      <c r="D285">
        <v>21118</v>
      </c>
      <c r="E285">
        <v>10648</v>
      </c>
      <c r="F285">
        <v>79</v>
      </c>
      <c r="G285" t="s">
        <v>83</v>
      </c>
      <c r="H285" t="str" cm="1">
        <f t="array" ref="H285">_xlfn.IFS(Grammys[[#This Row],[date]] &gt;= DATE(2022,2,1),"Grammys",TRUE,"Grammys TRA")</f>
        <v>Grammys TRA</v>
      </c>
      <c r="I285">
        <f>_xlfn.XLOOKUP(Grammys[[#This Row],[date]],mobile_visits[date],mobile_visits[mobile_visitors],0)</f>
        <v>0</v>
      </c>
      <c r="O285" s="1">
        <v>44876</v>
      </c>
      <c r="P285">
        <v>13750</v>
      </c>
    </row>
    <row r="286" spans="1:16">
      <c r="A286" s="1">
        <v>43020</v>
      </c>
      <c r="B286">
        <v>13867</v>
      </c>
      <c r="C286">
        <v>20706</v>
      </c>
      <c r="D286">
        <v>14557</v>
      </c>
      <c r="E286">
        <v>7889</v>
      </c>
      <c r="F286">
        <v>84</v>
      </c>
      <c r="G286" t="s">
        <v>83</v>
      </c>
      <c r="H286" t="str" cm="1">
        <f t="array" ref="H286">_xlfn.IFS(Grammys[[#This Row],[date]] &gt;= DATE(2022,2,1),"Grammys",TRUE,"Grammys TRA")</f>
        <v>Grammys TRA</v>
      </c>
      <c r="I286">
        <f>_xlfn.XLOOKUP(Grammys[[#This Row],[date]],mobile_visits[date],mobile_visits[mobile_visitors],0)</f>
        <v>0</v>
      </c>
      <c r="O286" s="1">
        <v>44877</v>
      </c>
      <c r="P286">
        <v>13294</v>
      </c>
    </row>
    <row r="287" spans="1:16">
      <c r="A287" s="1">
        <v>43021</v>
      </c>
      <c r="B287">
        <v>10560</v>
      </c>
      <c r="C287">
        <v>17176</v>
      </c>
      <c r="D287">
        <v>11429</v>
      </c>
      <c r="E287">
        <v>6120</v>
      </c>
      <c r="F287">
        <v>89</v>
      </c>
      <c r="G287" t="s">
        <v>83</v>
      </c>
      <c r="H287" t="str" cm="1">
        <f t="array" ref="H287">_xlfn.IFS(Grammys[[#This Row],[date]] &gt;= DATE(2022,2,1),"Grammys",TRUE,"Grammys TRA")</f>
        <v>Grammys TRA</v>
      </c>
      <c r="I287">
        <f>_xlfn.XLOOKUP(Grammys[[#This Row],[date]],mobile_visits[date],mobile_visits[mobile_visitors],0)</f>
        <v>0</v>
      </c>
      <c r="O287" s="1">
        <v>44878</v>
      </c>
      <c r="P287">
        <v>12952</v>
      </c>
    </row>
    <row r="288" spans="1:16">
      <c r="A288" s="1">
        <v>43022</v>
      </c>
      <c r="B288">
        <v>7963</v>
      </c>
      <c r="C288">
        <v>12832</v>
      </c>
      <c r="D288">
        <v>8544</v>
      </c>
      <c r="E288">
        <v>4772</v>
      </c>
      <c r="F288">
        <v>81</v>
      </c>
      <c r="G288" t="s">
        <v>83</v>
      </c>
      <c r="H288" t="str" cm="1">
        <f t="array" ref="H288">_xlfn.IFS(Grammys[[#This Row],[date]] &gt;= DATE(2022,2,1),"Grammys",TRUE,"Grammys TRA")</f>
        <v>Grammys TRA</v>
      </c>
      <c r="I288">
        <f>_xlfn.XLOOKUP(Grammys[[#This Row],[date]],mobile_visits[date],mobile_visits[mobile_visitors],0)</f>
        <v>0</v>
      </c>
      <c r="O288" s="1">
        <v>44879</v>
      </c>
      <c r="P288">
        <v>21007</v>
      </c>
    </row>
    <row r="289" spans="1:16">
      <c r="A289" s="1">
        <v>43023</v>
      </c>
      <c r="B289">
        <v>7745</v>
      </c>
      <c r="C289">
        <v>12935</v>
      </c>
      <c r="D289">
        <v>8294</v>
      </c>
      <c r="E289">
        <v>4681</v>
      </c>
      <c r="F289">
        <v>92</v>
      </c>
      <c r="G289" t="s">
        <v>83</v>
      </c>
      <c r="H289" t="str" cm="1">
        <f t="array" ref="H289">_xlfn.IFS(Grammys[[#This Row],[date]] &gt;= DATE(2022,2,1),"Grammys",TRUE,"Grammys TRA")</f>
        <v>Grammys TRA</v>
      </c>
      <c r="I289">
        <f>_xlfn.XLOOKUP(Grammys[[#This Row],[date]],mobile_visits[date],mobile_visits[mobile_visitors],0)</f>
        <v>0</v>
      </c>
      <c r="O289" s="1">
        <v>44880</v>
      </c>
      <c r="P289">
        <v>550739</v>
      </c>
    </row>
    <row r="290" spans="1:16">
      <c r="A290" s="1">
        <v>43024</v>
      </c>
      <c r="B290">
        <v>9728</v>
      </c>
      <c r="C290">
        <v>17110</v>
      </c>
      <c r="D290">
        <v>10348</v>
      </c>
      <c r="E290">
        <v>5606</v>
      </c>
      <c r="F290">
        <v>94</v>
      </c>
      <c r="G290" t="s">
        <v>83</v>
      </c>
      <c r="H290" t="str" cm="1">
        <f t="array" ref="H290">_xlfn.IFS(Grammys[[#This Row],[date]] &gt;= DATE(2022,2,1),"Grammys",TRUE,"Grammys TRA")</f>
        <v>Grammys TRA</v>
      </c>
      <c r="I290">
        <f>_xlfn.XLOOKUP(Grammys[[#This Row],[date]],mobile_visits[date],mobile_visits[mobile_visitors],0)</f>
        <v>0</v>
      </c>
      <c r="O290" s="1">
        <v>44881</v>
      </c>
      <c r="P290">
        <v>228369</v>
      </c>
    </row>
    <row r="291" spans="1:16">
      <c r="A291" s="1">
        <v>43025</v>
      </c>
      <c r="B291">
        <v>14227</v>
      </c>
      <c r="C291">
        <v>23347</v>
      </c>
      <c r="D291">
        <v>15085</v>
      </c>
      <c r="E291">
        <v>7012</v>
      </c>
      <c r="F291">
        <v>96</v>
      </c>
      <c r="G291" t="s">
        <v>83</v>
      </c>
      <c r="H291" t="str" cm="1">
        <f t="array" ref="H291">_xlfn.IFS(Grammys[[#This Row],[date]] &gt;= DATE(2022,2,1),"Grammys",TRUE,"Grammys TRA")</f>
        <v>Grammys TRA</v>
      </c>
      <c r="I291">
        <f>_xlfn.XLOOKUP(Grammys[[#This Row],[date]],mobile_visits[date],mobile_visits[mobile_visitors],0)</f>
        <v>0</v>
      </c>
      <c r="O291" s="1">
        <v>44882</v>
      </c>
      <c r="P291">
        <v>147980</v>
      </c>
    </row>
    <row r="292" spans="1:16">
      <c r="A292" s="1">
        <v>43026</v>
      </c>
      <c r="B292">
        <v>11958</v>
      </c>
      <c r="C292">
        <v>19512</v>
      </c>
      <c r="D292">
        <v>12498</v>
      </c>
      <c r="E292">
        <v>6267</v>
      </c>
      <c r="F292">
        <v>89</v>
      </c>
      <c r="G292" t="s">
        <v>83</v>
      </c>
      <c r="H292" t="str" cm="1">
        <f t="array" ref="H292">_xlfn.IFS(Grammys[[#This Row],[date]] &gt;= DATE(2022,2,1),"Grammys",TRUE,"Grammys TRA")</f>
        <v>Grammys TRA</v>
      </c>
      <c r="I292">
        <f>_xlfn.XLOOKUP(Grammys[[#This Row],[date]],mobile_visits[date],mobile_visits[mobile_visitors],0)</f>
        <v>0</v>
      </c>
      <c r="O292" s="1">
        <v>44883</v>
      </c>
      <c r="P292">
        <v>119867</v>
      </c>
    </row>
    <row r="293" spans="1:16">
      <c r="A293" s="1">
        <v>43027</v>
      </c>
      <c r="B293">
        <v>10365</v>
      </c>
      <c r="C293">
        <v>17425</v>
      </c>
      <c r="D293">
        <v>11061</v>
      </c>
      <c r="E293">
        <v>6002</v>
      </c>
      <c r="F293">
        <v>80</v>
      </c>
      <c r="G293" t="s">
        <v>83</v>
      </c>
      <c r="H293" t="str" cm="1">
        <f t="array" ref="H293">_xlfn.IFS(Grammys[[#This Row],[date]] &gt;= DATE(2022,2,1),"Grammys",TRUE,"Grammys TRA")</f>
        <v>Grammys TRA</v>
      </c>
      <c r="I293">
        <f>_xlfn.XLOOKUP(Grammys[[#This Row],[date]],mobile_visits[date],mobile_visits[mobile_visitors],0)</f>
        <v>0</v>
      </c>
      <c r="O293" s="1">
        <v>44884</v>
      </c>
      <c r="P293">
        <v>69168</v>
      </c>
    </row>
    <row r="294" spans="1:16">
      <c r="A294" s="1">
        <v>43028</v>
      </c>
      <c r="B294">
        <v>21571</v>
      </c>
      <c r="C294">
        <v>30482</v>
      </c>
      <c r="D294">
        <v>22605</v>
      </c>
      <c r="E294">
        <v>7494</v>
      </c>
      <c r="F294">
        <v>70</v>
      </c>
      <c r="G294" t="s">
        <v>83</v>
      </c>
      <c r="H294" t="str" cm="1">
        <f t="array" ref="H294">_xlfn.IFS(Grammys[[#This Row],[date]] &gt;= DATE(2022,2,1),"Grammys",TRUE,"Grammys TRA")</f>
        <v>Grammys TRA</v>
      </c>
      <c r="I294">
        <f>_xlfn.XLOOKUP(Grammys[[#This Row],[date]],mobile_visits[date],mobile_visits[mobile_visitors],0)</f>
        <v>0</v>
      </c>
      <c r="O294" s="1">
        <v>44885</v>
      </c>
      <c r="P294">
        <v>55455</v>
      </c>
    </row>
    <row r="295" spans="1:16">
      <c r="A295" s="1">
        <v>43029</v>
      </c>
      <c r="B295">
        <v>15468</v>
      </c>
      <c r="C295">
        <v>25629</v>
      </c>
      <c r="D295">
        <v>16531</v>
      </c>
      <c r="E295">
        <v>3938</v>
      </c>
      <c r="F295">
        <v>78</v>
      </c>
      <c r="G295" t="s">
        <v>83</v>
      </c>
      <c r="H295" t="str" cm="1">
        <f t="array" ref="H295">_xlfn.IFS(Grammys[[#This Row],[date]] &gt;= DATE(2022,2,1),"Grammys",TRUE,"Grammys TRA")</f>
        <v>Grammys TRA</v>
      </c>
      <c r="I295">
        <f>_xlfn.XLOOKUP(Grammys[[#This Row],[date]],mobile_visits[date],mobile_visits[mobile_visitors],0)</f>
        <v>0</v>
      </c>
      <c r="O295" s="1">
        <v>44886</v>
      </c>
      <c r="P295">
        <v>40944</v>
      </c>
    </row>
    <row r="296" spans="1:16">
      <c r="A296" s="1">
        <v>43030</v>
      </c>
      <c r="B296">
        <v>12146</v>
      </c>
      <c r="C296">
        <v>20556</v>
      </c>
      <c r="D296">
        <v>12851</v>
      </c>
      <c r="E296">
        <v>3808</v>
      </c>
      <c r="F296">
        <v>81</v>
      </c>
      <c r="G296" t="s">
        <v>83</v>
      </c>
      <c r="H296" t="str" cm="1">
        <f t="array" ref="H296">_xlfn.IFS(Grammys[[#This Row],[date]] &gt;= DATE(2022,2,1),"Grammys",TRUE,"Grammys TRA")</f>
        <v>Grammys TRA</v>
      </c>
      <c r="I296">
        <f>_xlfn.XLOOKUP(Grammys[[#This Row],[date]],mobile_visits[date],mobile_visits[mobile_visitors],0)</f>
        <v>0</v>
      </c>
      <c r="O296" s="1">
        <v>44887</v>
      </c>
      <c r="P296">
        <v>28165</v>
      </c>
    </row>
    <row r="297" spans="1:16">
      <c r="A297" s="1">
        <v>43031</v>
      </c>
      <c r="B297">
        <v>11156</v>
      </c>
      <c r="C297">
        <v>19346</v>
      </c>
      <c r="D297">
        <v>11927</v>
      </c>
      <c r="E297">
        <v>3914</v>
      </c>
      <c r="F297">
        <v>85</v>
      </c>
      <c r="G297" t="s">
        <v>83</v>
      </c>
      <c r="H297" t="str" cm="1">
        <f t="array" ref="H297">_xlfn.IFS(Grammys[[#This Row],[date]] &gt;= DATE(2022,2,1),"Grammys",TRUE,"Grammys TRA")</f>
        <v>Grammys TRA</v>
      </c>
      <c r="I297">
        <f>_xlfn.XLOOKUP(Grammys[[#This Row],[date]],mobile_visits[date],mobile_visits[mobile_visitors],0)</f>
        <v>0</v>
      </c>
      <c r="O297" s="1">
        <v>44888</v>
      </c>
      <c r="P297">
        <v>23489</v>
      </c>
    </row>
    <row r="298" spans="1:16">
      <c r="A298" s="1">
        <v>43032</v>
      </c>
      <c r="B298">
        <v>10320</v>
      </c>
      <c r="C298">
        <v>17702</v>
      </c>
      <c r="D298">
        <v>10962</v>
      </c>
      <c r="E298">
        <v>3838</v>
      </c>
      <c r="F298">
        <v>87</v>
      </c>
      <c r="G298" t="s">
        <v>83</v>
      </c>
      <c r="H298" t="str" cm="1">
        <f t="array" ref="H298">_xlfn.IFS(Grammys[[#This Row],[date]] &gt;= DATE(2022,2,1),"Grammys",TRUE,"Grammys TRA")</f>
        <v>Grammys TRA</v>
      </c>
      <c r="I298">
        <f>_xlfn.XLOOKUP(Grammys[[#This Row],[date]],mobile_visits[date],mobile_visits[mobile_visitors],0)</f>
        <v>0</v>
      </c>
      <c r="O298" s="1">
        <v>44889</v>
      </c>
      <c r="P298">
        <v>22061</v>
      </c>
    </row>
    <row r="299" spans="1:16">
      <c r="A299" s="1">
        <v>43033</v>
      </c>
      <c r="B299">
        <v>11122</v>
      </c>
      <c r="C299">
        <v>19449</v>
      </c>
      <c r="D299">
        <v>11764</v>
      </c>
      <c r="E299">
        <v>3834</v>
      </c>
      <c r="F299">
        <v>83</v>
      </c>
      <c r="G299" t="s">
        <v>83</v>
      </c>
      <c r="H299" t="str" cm="1">
        <f t="array" ref="H299">_xlfn.IFS(Grammys[[#This Row],[date]] &gt;= DATE(2022,2,1),"Grammys",TRUE,"Grammys TRA")</f>
        <v>Grammys TRA</v>
      </c>
      <c r="I299">
        <f>_xlfn.XLOOKUP(Grammys[[#This Row],[date]],mobile_visits[date],mobile_visits[mobile_visitors],0)</f>
        <v>0</v>
      </c>
      <c r="O299" s="1">
        <v>44890</v>
      </c>
      <c r="P299">
        <v>18639</v>
      </c>
    </row>
    <row r="300" spans="1:16">
      <c r="A300" s="1">
        <v>43034</v>
      </c>
      <c r="B300">
        <v>10887</v>
      </c>
      <c r="C300">
        <v>18188</v>
      </c>
      <c r="D300">
        <v>11510</v>
      </c>
      <c r="E300">
        <v>3494</v>
      </c>
      <c r="F300">
        <v>85</v>
      </c>
      <c r="G300" t="s">
        <v>83</v>
      </c>
      <c r="H300" t="str" cm="1">
        <f t="array" ref="H300">_xlfn.IFS(Grammys[[#This Row],[date]] &gt;= DATE(2022,2,1),"Grammys",TRUE,"Grammys TRA")</f>
        <v>Grammys TRA</v>
      </c>
      <c r="I300">
        <f>_xlfn.XLOOKUP(Grammys[[#This Row],[date]],mobile_visits[date],mobile_visits[mobile_visitors],0)</f>
        <v>0</v>
      </c>
      <c r="O300" s="1">
        <v>44891</v>
      </c>
      <c r="P300">
        <v>17591</v>
      </c>
    </row>
    <row r="301" spans="1:16">
      <c r="A301" s="1">
        <v>43035</v>
      </c>
      <c r="B301">
        <v>9273</v>
      </c>
      <c r="C301">
        <v>15493</v>
      </c>
      <c r="D301">
        <v>9850</v>
      </c>
      <c r="E301">
        <v>3356</v>
      </c>
      <c r="F301">
        <v>84</v>
      </c>
      <c r="G301" t="s">
        <v>83</v>
      </c>
      <c r="H301" t="str" cm="1">
        <f t="array" ref="H301">_xlfn.IFS(Grammys[[#This Row],[date]] &gt;= DATE(2022,2,1),"Grammys",TRUE,"Grammys TRA")</f>
        <v>Grammys TRA</v>
      </c>
      <c r="I301">
        <f>_xlfn.XLOOKUP(Grammys[[#This Row],[date]],mobile_visits[date],mobile_visits[mobile_visitors],0)</f>
        <v>0</v>
      </c>
      <c r="O301" s="1">
        <v>44892</v>
      </c>
      <c r="P301">
        <v>16694</v>
      </c>
    </row>
    <row r="302" spans="1:16">
      <c r="A302" s="1">
        <v>43036</v>
      </c>
      <c r="B302">
        <v>7669</v>
      </c>
      <c r="C302">
        <v>13627</v>
      </c>
      <c r="D302">
        <v>8149</v>
      </c>
      <c r="E302">
        <v>4522</v>
      </c>
      <c r="F302">
        <v>87</v>
      </c>
      <c r="G302" t="s">
        <v>83</v>
      </c>
      <c r="H302" t="str" cm="1">
        <f t="array" ref="H302">_xlfn.IFS(Grammys[[#This Row],[date]] &gt;= DATE(2022,2,1),"Grammys",TRUE,"Grammys TRA")</f>
        <v>Grammys TRA</v>
      </c>
      <c r="I302">
        <f>_xlfn.XLOOKUP(Grammys[[#This Row],[date]],mobile_visits[date],mobile_visits[mobile_visitors],0)</f>
        <v>0</v>
      </c>
      <c r="O302" s="1">
        <v>44893</v>
      </c>
      <c r="P302">
        <v>13610</v>
      </c>
    </row>
    <row r="303" spans="1:16">
      <c r="A303" s="1">
        <v>43037</v>
      </c>
      <c r="B303">
        <v>8507</v>
      </c>
      <c r="C303">
        <v>15074</v>
      </c>
      <c r="D303">
        <v>9065</v>
      </c>
      <c r="E303">
        <v>5012</v>
      </c>
      <c r="F303">
        <v>91</v>
      </c>
      <c r="G303" t="s">
        <v>83</v>
      </c>
      <c r="H303" t="str" cm="1">
        <f t="array" ref="H303">_xlfn.IFS(Grammys[[#This Row],[date]] &gt;= DATE(2022,2,1),"Grammys",TRUE,"Grammys TRA")</f>
        <v>Grammys TRA</v>
      </c>
      <c r="I303">
        <f>_xlfn.XLOOKUP(Grammys[[#This Row],[date]],mobile_visits[date],mobile_visits[mobile_visitors],0)</f>
        <v>0</v>
      </c>
      <c r="O303" s="1">
        <v>44894</v>
      </c>
      <c r="P303">
        <v>12966</v>
      </c>
    </row>
    <row r="304" spans="1:16">
      <c r="A304" s="1">
        <v>43038</v>
      </c>
      <c r="B304">
        <v>9801</v>
      </c>
      <c r="C304">
        <v>16841</v>
      </c>
      <c r="D304">
        <v>10331</v>
      </c>
      <c r="E304">
        <v>5687</v>
      </c>
      <c r="F304">
        <v>83</v>
      </c>
      <c r="G304" t="s">
        <v>83</v>
      </c>
      <c r="H304" t="str" cm="1">
        <f t="array" ref="H304">_xlfn.IFS(Grammys[[#This Row],[date]] &gt;= DATE(2022,2,1),"Grammys",TRUE,"Grammys TRA")</f>
        <v>Grammys TRA</v>
      </c>
      <c r="I304">
        <f>_xlfn.XLOOKUP(Grammys[[#This Row],[date]],mobile_visits[date],mobile_visits[mobile_visitors],0)</f>
        <v>0</v>
      </c>
      <c r="O304" s="1">
        <v>44895</v>
      </c>
      <c r="P304">
        <v>15082</v>
      </c>
    </row>
    <row r="305" spans="1:16">
      <c r="A305" s="1">
        <v>43039</v>
      </c>
      <c r="B305">
        <v>13702</v>
      </c>
      <c r="C305">
        <v>20442</v>
      </c>
      <c r="D305">
        <v>14434</v>
      </c>
      <c r="E305">
        <v>8629</v>
      </c>
      <c r="F305">
        <v>66</v>
      </c>
      <c r="G305" t="s">
        <v>83</v>
      </c>
      <c r="H305" t="str" cm="1">
        <f t="array" ref="H305">_xlfn.IFS(Grammys[[#This Row],[date]] &gt;= DATE(2022,2,1),"Grammys",TRUE,"Grammys TRA")</f>
        <v>Grammys TRA</v>
      </c>
      <c r="I305">
        <f>_xlfn.XLOOKUP(Grammys[[#This Row],[date]],mobile_visits[date],mobile_visits[mobile_visitors],0)</f>
        <v>0</v>
      </c>
      <c r="O305" s="1">
        <v>44896</v>
      </c>
      <c r="P305">
        <v>14070</v>
      </c>
    </row>
    <row r="306" spans="1:16">
      <c r="A306" s="1">
        <v>43040</v>
      </c>
      <c r="B306">
        <v>9577</v>
      </c>
      <c r="C306">
        <v>16012</v>
      </c>
      <c r="D306">
        <v>10136</v>
      </c>
      <c r="E306">
        <v>5959</v>
      </c>
      <c r="F306">
        <v>81</v>
      </c>
      <c r="G306" t="s">
        <v>83</v>
      </c>
      <c r="H306" t="str" cm="1">
        <f t="array" ref="H306">_xlfn.IFS(Grammys[[#This Row],[date]] &gt;= DATE(2022,2,1),"Grammys",TRUE,"Grammys TRA")</f>
        <v>Grammys TRA</v>
      </c>
      <c r="I306">
        <f>_xlfn.XLOOKUP(Grammys[[#This Row],[date]],mobile_visits[date],mobile_visits[mobile_visitors],0)</f>
        <v>0</v>
      </c>
      <c r="O306" s="1">
        <v>44897</v>
      </c>
      <c r="P306">
        <v>16404</v>
      </c>
    </row>
    <row r="307" spans="1:16">
      <c r="A307" s="1">
        <v>43041</v>
      </c>
      <c r="B307">
        <v>9264</v>
      </c>
      <c r="C307">
        <v>15316</v>
      </c>
      <c r="D307">
        <v>9775</v>
      </c>
      <c r="E307">
        <v>5620</v>
      </c>
      <c r="F307">
        <v>86</v>
      </c>
      <c r="G307" t="s">
        <v>83</v>
      </c>
      <c r="H307" t="str" cm="1">
        <f t="array" ref="H307">_xlfn.IFS(Grammys[[#This Row],[date]] &gt;= DATE(2022,2,1),"Grammys",TRUE,"Grammys TRA")</f>
        <v>Grammys TRA</v>
      </c>
      <c r="I307">
        <f>_xlfn.XLOOKUP(Grammys[[#This Row],[date]],mobile_visits[date],mobile_visits[mobile_visitors],0)</f>
        <v>0</v>
      </c>
      <c r="O307" s="1">
        <v>44898</v>
      </c>
      <c r="P307">
        <v>15255</v>
      </c>
    </row>
    <row r="308" spans="1:16">
      <c r="A308" s="1">
        <v>43042</v>
      </c>
      <c r="B308">
        <v>14951</v>
      </c>
      <c r="C308">
        <v>21692</v>
      </c>
      <c r="D308">
        <v>15654</v>
      </c>
      <c r="E308">
        <v>8720</v>
      </c>
      <c r="F308">
        <v>76</v>
      </c>
      <c r="G308" t="s">
        <v>83</v>
      </c>
      <c r="H308" t="str" cm="1">
        <f t="array" ref="H308">_xlfn.IFS(Grammys[[#This Row],[date]] &gt;= DATE(2022,2,1),"Grammys",TRUE,"Grammys TRA")</f>
        <v>Grammys TRA</v>
      </c>
      <c r="I308">
        <f>_xlfn.XLOOKUP(Grammys[[#This Row],[date]],mobile_visits[date],mobile_visits[mobile_visitors],0)</f>
        <v>0</v>
      </c>
      <c r="O308" s="1">
        <v>44899</v>
      </c>
      <c r="P308">
        <v>14872</v>
      </c>
    </row>
    <row r="309" spans="1:16">
      <c r="A309" s="1">
        <v>43043</v>
      </c>
      <c r="B309">
        <v>8603</v>
      </c>
      <c r="C309">
        <v>13874</v>
      </c>
      <c r="D309">
        <v>9067</v>
      </c>
      <c r="E309">
        <v>5077</v>
      </c>
      <c r="F309">
        <v>79</v>
      </c>
      <c r="G309" t="s">
        <v>83</v>
      </c>
      <c r="H309" t="str" cm="1">
        <f t="array" ref="H309">_xlfn.IFS(Grammys[[#This Row],[date]] &gt;= DATE(2022,2,1),"Grammys",TRUE,"Grammys TRA")</f>
        <v>Grammys TRA</v>
      </c>
      <c r="I309">
        <f>_xlfn.XLOOKUP(Grammys[[#This Row],[date]],mobile_visits[date],mobile_visits[mobile_visitors],0)</f>
        <v>0</v>
      </c>
      <c r="O309" s="1">
        <v>44900</v>
      </c>
      <c r="P309">
        <v>15098</v>
      </c>
    </row>
    <row r="310" spans="1:16">
      <c r="A310" s="1">
        <v>43044</v>
      </c>
      <c r="B310">
        <v>10050</v>
      </c>
      <c r="C310">
        <v>16605</v>
      </c>
      <c r="D310">
        <v>10761</v>
      </c>
      <c r="E310">
        <v>5763</v>
      </c>
      <c r="F310">
        <v>89</v>
      </c>
      <c r="G310" t="s">
        <v>83</v>
      </c>
      <c r="H310" t="str" cm="1">
        <f t="array" ref="H310">_xlfn.IFS(Grammys[[#This Row],[date]] &gt;= DATE(2022,2,1),"Grammys",TRUE,"Grammys TRA")</f>
        <v>Grammys TRA</v>
      </c>
      <c r="I310">
        <f>_xlfn.XLOOKUP(Grammys[[#This Row],[date]],mobile_visits[date],mobile_visits[mobile_visitors],0)</f>
        <v>0</v>
      </c>
      <c r="O310" s="1">
        <v>44901</v>
      </c>
      <c r="P310">
        <v>14280</v>
      </c>
    </row>
    <row r="311" spans="1:16">
      <c r="A311" s="1">
        <v>43045</v>
      </c>
      <c r="B311">
        <v>9826</v>
      </c>
      <c r="C311">
        <v>16315</v>
      </c>
      <c r="D311">
        <v>10258</v>
      </c>
      <c r="E311">
        <v>5856</v>
      </c>
      <c r="F311">
        <v>83</v>
      </c>
      <c r="G311" t="s">
        <v>83</v>
      </c>
      <c r="H311" t="str" cm="1">
        <f t="array" ref="H311">_xlfn.IFS(Grammys[[#This Row],[date]] &gt;= DATE(2022,2,1),"Grammys",TRUE,"Grammys TRA")</f>
        <v>Grammys TRA</v>
      </c>
      <c r="I311">
        <f>_xlfn.XLOOKUP(Grammys[[#This Row],[date]],mobile_visits[date],mobile_visits[mobile_visitors],0)</f>
        <v>0</v>
      </c>
      <c r="O311" s="1">
        <v>44902</v>
      </c>
      <c r="P311">
        <v>12162</v>
      </c>
    </row>
    <row r="312" spans="1:16">
      <c r="A312" s="1">
        <v>43046</v>
      </c>
      <c r="B312">
        <v>9852</v>
      </c>
      <c r="C312">
        <v>17199</v>
      </c>
      <c r="D312">
        <v>10464</v>
      </c>
      <c r="E312">
        <v>5877</v>
      </c>
      <c r="F312">
        <v>99</v>
      </c>
      <c r="G312" t="s">
        <v>83</v>
      </c>
      <c r="H312" t="str" cm="1">
        <f t="array" ref="H312">_xlfn.IFS(Grammys[[#This Row],[date]] &gt;= DATE(2022,2,1),"Grammys",TRUE,"Grammys TRA")</f>
        <v>Grammys TRA</v>
      </c>
      <c r="I312">
        <f>_xlfn.XLOOKUP(Grammys[[#This Row],[date]],mobile_visits[date],mobile_visits[mobile_visitors],0)</f>
        <v>0</v>
      </c>
      <c r="O312" s="1">
        <v>44903</v>
      </c>
      <c r="P312">
        <v>13295</v>
      </c>
    </row>
    <row r="313" spans="1:16">
      <c r="A313" s="1">
        <v>43047</v>
      </c>
      <c r="B313">
        <v>11223</v>
      </c>
      <c r="C313">
        <v>18215</v>
      </c>
      <c r="D313">
        <v>11982</v>
      </c>
      <c r="E313">
        <v>6788</v>
      </c>
      <c r="F313">
        <v>78</v>
      </c>
      <c r="G313" t="s">
        <v>83</v>
      </c>
      <c r="H313" t="str" cm="1">
        <f t="array" ref="H313">_xlfn.IFS(Grammys[[#This Row],[date]] &gt;= DATE(2022,2,1),"Grammys",TRUE,"Grammys TRA")</f>
        <v>Grammys TRA</v>
      </c>
      <c r="I313">
        <f>_xlfn.XLOOKUP(Grammys[[#This Row],[date]],mobile_visits[date],mobile_visits[mobile_visitors],0)</f>
        <v>0</v>
      </c>
      <c r="O313" s="1">
        <v>44904</v>
      </c>
      <c r="P313">
        <v>13171</v>
      </c>
    </row>
    <row r="314" spans="1:16">
      <c r="A314" s="1">
        <v>43048</v>
      </c>
      <c r="B314">
        <v>10185</v>
      </c>
      <c r="C314">
        <v>16576</v>
      </c>
      <c r="D314">
        <v>10741</v>
      </c>
      <c r="E314">
        <v>6183</v>
      </c>
      <c r="F314">
        <v>81</v>
      </c>
      <c r="G314" t="s">
        <v>83</v>
      </c>
      <c r="H314" t="str" cm="1">
        <f t="array" ref="H314">_xlfn.IFS(Grammys[[#This Row],[date]] &gt;= DATE(2022,2,1),"Grammys",TRUE,"Grammys TRA")</f>
        <v>Grammys TRA</v>
      </c>
      <c r="I314">
        <f>_xlfn.XLOOKUP(Grammys[[#This Row],[date]],mobile_visits[date],mobile_visits[mobile_visitors],0)</f>
        <v>0</v>
      </c>
      <c r="O314" s="1">
        <v>44905</v>
      </c>
      <c r="P314">
        <v>13681</v>
      </c>
    </row>
    <row r="315" spans="1:16">
      <c r="A315" s="1">
        <v>43049</v>
      </c>
      <c r="B315">
        <v>20194</v>
      </c>
      <c r="C315">
        <v>53728</v>
      </c>
      <c r="D315">
        <v>25540</v>
      </c>
      <c r="E315">
        <v>13039</v>
      </c>
      <c r="F315">
        <v>125</v>
      </c>
      <c r="G315" t="s">
        <v>83</v>
      </c>
      <c r="H315" t="str" cm="1">
        <f t="array" ref="H315">_xlfn.IFS(Grammys[[#This Row],[date]] &gt;= DATE(2022,2,1),"Grammys",TRUE,"Grammys TRA")</f>
        <v>Grammys TRA</v>
      </c>
      <c r="I315">
        <f>_xlfn.XLOOKUP(Grammys[[#This Row],[date]],mobile_visits[date],mobile_visits[mobile_visitors],0)</f>
        <v>0</v>
      </c>
      <c r="O315" s="1">
        <v>44906</v>
      </c>
      <c r="P315">
        <v>12380</v>
      </c>
    </row>
    <row r="316" spans="1:16">
      <c r="A316" s="1">
        <v>43050</v>
      </c>
      <c r="B316">
        <v>15318</v>
      </c>
      <c r="C316">
        <v>30605</v>
      </c>
      <c r="D316">
        <v>17480</v>
      </c>
      <c r="E316">
        <v>9772</v>
      </c>
      <c r="F316">
        <v>86</v>
      </c>
      <c r="G316" t="s">
        <v>83</v>
      </c>
      <c r="H316" t="str" cm="1">
        <f t="array" ref="H316">_xlfn.IFS(Grammys[[#This Row],[date]] &gt;= DATE(2022,2,1),"Grammys",TRUE,"Grammys TRA")</f>
        <v>Grammys TRA</v>
      </c>
      <c r="I316">
        <f>_xlfn.XLOOKUP(Grammys[[#This Row],[date]],mobile_visits[date],mobile_visits[mobile_visitors],0)</f>
        <v>0</v>
      </c>
      <c r="O316" s="1">
        <v>44907</v>
      </c>
      <c r="P316">
        <v>12124</v>
      </c>
    </row>
    <row r="317" spans="1:16">
      <c r="A317" s="1">
        <v>43051</v>
      </c>
      <c r="B317">
        <v>11899</v>
      </c>
      <c r="C317">
        <v>21547</v>
      </c>
      <c r="D317">
        <v>12730</v>
      </c>
      <c r="E317">
        <v>6927</v>
      </c>
      <c r="F317">
        <v>89</v>
      </c>
      <c r="G317" t="s">
        <v>83</v>
      </c>
      <c r="H317" t="str" cm="1">
        <f t="array" ref="H317">_xlfn.IFS(Grammys[[#This Row],[date]] &gt;= DATE(2022,2,1),"Grammys",TRUE,"Grammys TRA")</f>
        <v>Grammys TRA</v>
      </c>
      <c r="I317">
        <f>_xlfn.XLOOKUP(Grammys[[#This Row],[date]],mobile_visits[date],mobile_visits[mobile_visitors],0)</f>
        <v>0</v>
      </c>
      <c r="O317" s="1">
        <v>44908</v>
      </c>
      <c r="P317">
        <v>11919</v>
      </c>
    </row>
    <row r="318" spans="1:16">
      <c r="A318" s="1">
        <v>43052</v>
      </c>
      <c r="B318">
        <v>12323</v>
      </c>
      <c r="C318">
        <v>20598</v>
      </c>
      <c r="D318">
        <v>12971</v>
      </c>
      <c r="E318">
        <v>7145</v>
      </c>
      <c r="F318">
        <v>86</v>
      </c>
      <c r="G318" t="s">
        <v>83</v>
      </c>
      <c r="H318" t="str" cm="1">
        <f t="array" ref="H318">_xlfn.IFS(Grammys[[#This Row],[date]] &gt;= DATE(2022,2,1),"Grammys",TRUE,"Grammys TRA")</f>
        <v>Grammys TRA</v>
      </c>
      <c r="I318">
        <f>_xlfn.XLOOKUP(Grammys[[#This Row],[date]],mobile_visits[date],mobile_visits[mobile_visitors],0)</f>
        <v>0</v>
      </c>
      <c r="O318" s="1">
        <v>44909</v>
      </c>
      <c r="P318">
        <v>13610</v>
      </c>
    </row>
    <row r="319" spans="1:16">
      <c r="A319" s="1">
        <v>43053</v>
      </c>
      <c r="B319">
        <v>14072</v>
      </c>
      <c r="C319">
        <v>22197</v>
      </c>
      <c r="D319">
        <v>14916</v>
      </c>
      <c r="E319">
        <v>8339</v>
      </c>
      <c r="F319">
        <v>74</v>
      </c>
      <c r="G319" t="s">
        <v>83</v>
      </c>
      <c r="H319" t="str" cm="1">
        <f t="array" ref="H319">_xlfn.IFS(Grammys[[#This Row],[date]] &gt;= DATE(2022,2,1),"Grammys",TRUE,"Grammys TRA")</f>
        <v>Grammys TRA</v>
      </c>
      <c r="I319">
        <f>_xlfn.XLOOKUP(Grammys[[#This Row],[date]],mobile_visits[date],mobile_visits[mobile_visitors],0)</f>
        <v>0</v>
      </c>
      <c r="O319" s="1">
        <v>44910</v>
      </c>
      <c r="P319">
        <v>12841</v>
      </c>
    </row>
    <row r="320" spans="1:16">
      <c r="A320" s="1">
        <v>43054</v>
      </c>
      <c r="B320">
        <v>23359</v>
      </c>
      <c r="C320">
        <v>33055</v>
      </c>
      <c r="D320">
        <v>24581</v>
      </c>
      <c r="E320">
        <v>13237</v>
      </c>
      <c r="F320">
        <v>64</v>
      </c>
      <c r="G320" t="s">
        <v>83</v>
      </c>
      <c r="H320" t="str" cm="1">
        <f t="array" ref="H320">_xlfn.IFS(Grammys[[#This Row],[date]] &gt;= DATE(2022,2,1),"Grammys",TRUE,"Grammys TRA")</f>
        <v>Grammys TRA</v>
      </c>
      <c r="I320">
        <f>_xlfn.XLOOKUP(Grammys[[#This Row],[date]],mobile_visits[date],mobile_visits[mobile_visitors],0)</f>
        <v>0</v>
      </c>
      <c r="O320" s="1">
        <v>44911</v>
      </c>
      <c r="P320">
        <v>12311</v>
      </c>
    </row>
    <row r="321" spans="1:16">
      <c r="A321" s="1">
        <v>43055</v>
      </c>
      <c r="B321">
        <v>28059</v>
      </c>
      <c r="C321">
        <v>41746</v>
      </c>
      <c r="D321">
        <v>29447</v>
      </c>
      <c r="E321">
        <v>15145</v>
      </c>
      <c r="F321">
        <v>78</v>
      </c>
      <c r="G321" t="s">
        <v>83</v>
      </c>
      <c r="H321" t="str" cm="1">
        <f t="array" ref="H321">_xlfn.IFS(Grammys[[#This Row],[date]] &gt;= DATE(2022,2,1),"Grammys",TRUE,"Grammys TRA")</f>
        <v>Grammys TRA</v>
      </c>
      <c r="I321">
        <f>_xlfn.XLOOKUP(Grammys[[#This Row],[date]],mobile_visits[date],mobile_visits[mobile_visitors],0)</f>
        <v>0</v>
      </c>
      <c r="O321" s="1">
        <v>44912</v>
      </c>
      <c r="P321">
        <v>12843</v>
      </c>
    </row>
    <row r="322" spans="1:16">
      <c r="A322" s="1">
        <v>43056</v>
      </c>
      <c r="B322">
        <v>19892</v>
      </c>
      <c r="C322">
        <v>31248</v>
      </c>
      <c r="D322">
        <v>21184</v>
      </c>
      <c r="E322">
        <v>11190</v>
      </c>
      <c r="F322">
        <v>80</v>
      </c>
      <c r="G322" t="s">
        <v>83</v>
      </c>
      <c r="H322" t="str" cm="1">
        <f t="array" ref="H322">_xlfn.IFS(Grammys[[#This Row],[date]] &gt;= DATE(2022,2,1),"Grammys",TRUE,"Grammys TRA")</f>
        <v>Grammys TRA</v>
      </c>
      <c r="I322">
        <f>_xlfn.XLOOKUP(Grammys[[#This Row],[date]],mobile_visits[date],mobile_visits[mobile_visitors],0)</f>
        <v>0</v>
      </c>
      <c r="O322" s="1">
        <v>44913</v>
      </c>
      <c r="P322">
        <v>12762</v>
      </c>
    </row>
    <row r="323" spans="1:16">
      <c r="A323" s="1">
        <v>43057</v>
      </c>
      <c r="B323">
        <v>12230</v>
      </c>
      <c r="C323">
        <v>19518</v>
      </c>
      <c r="D323">
        <v>12918</v>
      </c>
      <c r="E323">
        <v>7134</v>
      </c>
      <c r="F323">
        <v>78</v>
      </c>
      <c r="G323" t="s">
        <v>83</v>
      </c>
      <c r="H323" t="str" cm="1">
        <f t="array" ref="H323">_xlfn.IFS(Grammys[[#This Row],[date]] &gt;= DATE(2022,2,1),"Grammys",TRUE,"Grammys TRA")</f>
        <v>Grammys TRA</v>
      </c>
      <c r="I323">
        <f>_xlfn.XLOOKUP(Grammys[[#This Row],[date]],mobile_visits[date],mobile_visits[mobile_visitors],0)</f>
        <v>0</v>
      </c>
      <c r="O323" s="1">
        <v>44914</v>
      </c>
      <c r="P323">
        <v>11460</v>
      </c>
    </row>
    <row r="324" spans="1:16">
      <c r="A324" s="1">
        <v>43058</v>
      </c>
      <c r="B324">
        <v>14662</v>
      </c>
      <c r="C324">
        <v>24267</v>
      </c>
      <c r="D324">
        <v>15558</v>
      </c>
      <c r="E324">
        <v>8783</v>
      </c>
      <c r="F324">
        <v>80</v>
      </c>
      <c r="G324" t="s">
        <v>83</v>
      </c>
      <c r="H324" t="str" cm="1">
        <f t="array" ref="H324">_xlfn.IFS(Grammys[[#This Row],[date]] &gt;= DATE(2022,2,1),"Grammys",TRUE,"Grammys TRA")</f>
        <v>Grammys TRA</v>
      </c>
      <c r="I324">
        <f>_xlfn.XLOOKUP(Grammys[[#This Row],[date]],mobile_visits[date],mobile_visits[mobile_visitors],0)</f>
        <v>0</v>
      </c>
      <c r="O324" s="1">
        <v>44915</v>
      </c>
      <c r="P324">
        <v>12291</v>
      </c>
    </row>
    <row r="325" spans="1:16">
      <c r="A325" s="1">
        <v>43059</v>
      </c>
      <c r="B325">
        <v>14931</v>
      </c>
      <c r="C325">
        <v>25053</v>
      </c>
      <c r="D325">
        <v>15967</v>
      </c>
      <c r="E325">
        <v>9094</v>
      </c>
      <c r="F325">
        <v>79</v>
      </c>
      <c r="G325" t="s">
        <v>83</v>
      </c>
      <c r="H325" t="str" cm="1">
        <f t="array" ref="H325">_xlfn.IFS(Grammys[[#This Row],[date]] &gt;= DATE(2022,2,1),"Grammys",TRUE,"Grammys TRA")</f>
        <v>Grammys TRA</v>
      </c>
      <c r="I325">
        <f>_xlfn.XLOOKUP(Grammys[[#This Row],[date]],mobile_visits[date],mobile_visits[mobile_visitors],0)</f>
        <v>0</v>
      </c>
      <c r="O325" s="1">
        <v>44916</v>
      </c>
      <c r="P325">
        <v>25316</v>
      </c>
    </row>
    <row r="326" spans="1:16">
      <c r="A326" s="1">
        <v>43060</v>
      </c>
      <c r="B326">
        <v>12791</v>
      </c>
      <c r="C326">
        <v>21783</v>
      </c>
      <c r="D326">
        <v>13754</v>
      </c>
      <c r="E326">
        <v>7734</v>
      </c>
      <c r="F326">
        <v>82</v>
      </c>
      <c r="G326" t="s">
        <v>83</v>
      </c>
      <c r="H326" t="str" cm="1">
        <f t="array" ref="H326">_xlfn.IFS(Grammys[[#This Row],[date]] &gt;= DATE(2022,2,1),"Grammys",TRUE,"Grammys TRA")</f>
        <v>Grammys TRA</v>
      </c>
      <c r="I326">
        <f>_xlfn.XLOOKUP(Grammys[[#This Row],[date]],mobile_visits[date],mobile_visits[mobile_visitors],0)</f>
        <v>0</v>
      </c>
      <c r="O326" s="1">
        <v>44917</v>
      </c>
      <c r="P326">
        <v>19208</v>
      </c>
    </row>
    <row r="327" spans="1:16">
      <c r="A327" s="1">
        <v>43061</v>
      </c>
      <c r="B327">
        <v>12236</v>
      </c>
      <c r="C327">
        <v>20360</v>
      </c>
      <c r="D327">
        <v>13002</v>
      </c>
      <c r="E327">
        <v>7301</v>
      </c>
      <c r="F327">
        <v>79</v>
      </c>
      <c r="G327" t="s">
        <v>83</v>
      </c>
      <c r="H327" t="str" cm="1">
        <f t="array" ref="H327">_xlfn.IFS(Grammys[[#This Row],[date]] &gt;= DATE(2022,2,1),"Grammys",TRUE,"Grammys TRA")</f>
        <v>Grammys TRA</v>
      </c>
      <c r="I327">
        <f>_xlfn.XLOOKUP(Grammys[[#This Row],[date]],mobile_visits[date],mobile_visits[mobile_visitors],0)</f>
        <v>0</v>
      </c>
      <c r="O327" s="1">
        <v>44918</v>
      </c>
      <c r="P327">
        <v>15919</v>
      </c>
    </row>
    <row r="328" spans="1:16">
      <c r="A328" s="1">
        <v>43062</v>
      </c>
      <c r="B328">
        <v>10864</v>
      </c>
      <c r="C328">
        <v>18114</v>
      </c>
      <c r="D328">
        <v>11592</v>
      </c>
      <c r="E328">
        <v>6672</v>
      </c>
      <c r="F328">
        <v>77</v>
      </c>
      <c r="G328" t="s">
        <v>83</v>
      </c>
      <c r="H328" t="str" cm="1">
        <f t="array" ref="H328">_xlfn.IFS(Grammys[[#This Row],[date]] &gt;= DATE(2022,2,1),"Grammys",TRUE,"Grammys TRA")</f>
        <v>Grammys TRA</v>
      </c>
      <c r="I328">
        <f>_xlfn.XLOOKUP(Grammys[[#This Row],[date]],mobile_visits[date],mobile_visits[mobile_visitors],0)</f>
        <v>0</v>
      </c>
      <c r="O328" s="1">
        <v>44919</v>
      </c>
      <c r="P328">
        <v>13140</v>
      </c>
    </row>
    <row r="329" spans="1:16">
      <c r="A329" s="1">
        <v>43063</v>
      </c>
      <c r="B329">
        <v>23292</v>
      </c>
      <c r="C329">
        <v>40067</v>
      </c>
      <c r="D329">
        <v>24849</v>
      </c>
      <c r="E329">
        <v>13981</v>
      </c>
      <c r="F329">
        <v>87</v>
      </c>
      <c r="G329" t="s">
        <v>83</v>
      </c>
      <c r="H329" t="str" cm="1">
        <f t="array" ref="H329">_xlfn.IFS(Grammys[[#This Row],[date]] &gt;= DATE(2022,2,1),"Grammys",TRUE,"Grammys TRA")</f>
        <v>Grammys TRA</v>
      </c>
      <c r="I329">
        <f>_xlfn.XLOOKUP(Grammys[[#This Row],[date]],mobile_visits[date],mobile_visits[mobile_visitors],0)</f>
        <v>0</v>
      </c>
      <c r="O329" s="1">
        <v>44920</v>
      </c>
      <c r="P329">
        <v>12408</v>
      </c>
    </row>
    <row r="330" spans="1:16">
      <c r="A330" s="1">
        <v>43064</v>
      </c>
      <c r="B330">
        <v>18064</v>
      </c>
      <c r="C330">
        <v>31300</v>
      </c>
      <c r="D330">
        <v>19562</v>
      </c>
      <c r="E330">
        <v>11352</v>
      </c>
      <c r="F330">
        <v>81</v>
      </c>
      <c r="G330" t="s">
        <v>83</v>
      </c>
      <c r="H330" t="str" cm="1">
        <f t="array" ref="H330">_xlfn.IFS(Grammys[[#This Row],[date]] &gt;= DATE(2022,2,1),"Grammys",TRUE,"Grammys TRA")</f>
        <v>Grammys TRA</v>
      </c>
      <c r="I330">
        <f>_xlfn.XLOOKUP(Grammys[[#This Row],[date]],mobile_visits[date],mobile_visits[mobile_visitors],0)</f>
        <v>0</v>
      </c>
      <c r="O330" s="1">
        <v>44921</v>
      </c>
      <c r="P330">
        <v>12416</v>
      </c>
    </row>
    <row r="331" spans="1:16">
      <c r="A331" s="1">
        <v>43065</v>
      </c>
      <c r="B331">
        <v>18299</v>
      </c>
      <c r="C331">
        <v>31854</v>
      </c>
      <c r="D331">
        <v>19972</v>
      </c>
      <c r="E331">
        <v>11526</v>
      </c>
      <c r="F331">
        <v>80</v>
      </c>
      <c r="G331" t="s">
        <v>83</v>
      </c>
      <c r="H331" t="str" cm="1">
        <f t="array" ref="H331">_xlfn.IFS(Grammys[[#This Row],[date]] &gt;= DATE(2022,2,1),"Grammys",TRUE,"Grammys TRA")</f>
        <v>Grammys TRA</v>
      </c>
      <c r="I331">
        <f>_xlfn.XLOOKUP(Grammys[[#This Row],[date]],mobile_visits[date],mobile_visits[mobile_visitors],0)</f>
        <v>0</v>
      </c>
      <c r="O331" s="1">
        <v>44922</v>
      </c>
      <c r="P331">
        <v>12283</v>
      </c>
    </row>
    <row r="332" spans="1:16">
      <c r="A332" s="1">
        <v>43066</v>
      </c>
      <c r="B332">
        <v>33554</v>
      </c>
      <c r="C332">
        <v>59979</v>
      </c>
      <c r="D332">
        <v>37230</v>
      </c>
      <c r="E332">
        <v>21251</v>
      </c>
      <c r="F332">
        <v>82</v>
      </c>
      <c r="G332" t="s">
        <v>83</v>
      </c>
      <c r="H332" t="str" cm="1">
        <f t="array" ref="H332">_xlfn.IFS(Grammys[[#This Row],[date]] &gt;= DATE(2022,2,1),"Grammys",TRUE,"Grammys TRA")</f>
        <v>Grammys TRA</v>
      </c>
      <c r="I332">
        <f>_xlfn.XLOOKUP(Grammys[[#This Row],[date]],mobile_visits[date],mobile_visits[mobile_visitors],0)</f>
        <v>0</v>
      </c>
      <c r="O332" s="1">
        <v>44923</v>
      </c>
      <c r="P332">
        <v>15716</v>
      </c>
    </row>
    <row r="333" spans="1:16">
      <c r="A333" s="1">
        <v>43067</v>
      </c>
      <c r="B333">
        <v>651685</v>
      </c>
      <c r="C333">
        <v>1356165</v>
      </c>
      <c r="D333">
        <v>736434</v>
      </c>
      <c r="E333">
        <v>393993</v>
      </c>
      <c r="F333">
        <v>103</v>
      </c>
      <c r="G333" t="s">
        <v>85</v>
      </c>
      <c r="H333" t="str" cm="1">
        <f t="array" ref="H333">_xlfn.IFS(Grammys[[#This Row],[date]] &gt;= DATE(2022,2,1),"Grammys",TRUE,"Grammys TRA")</f>
        <v>Grammys TRA</v>
      </c>
      <c r="I333">
        <f>_xlfn.XLOOKUP(Grammys[[#This Row],[date]],mobile_visits[date],mobile_visits[mobile_visitors],0)</f>
        <v>0</v>
      </c>
      <c r="O333" s="1">
        <v>44924</v>
      </c>
      <c r="P333">
        <v>15168</v>
      </c>
    </row>
    <row r="334" spans="1:16">
      <c r="A334" s="1">
        <v>43068</v>
      </c>
      <c r="B334">
        <v>151892</v>
      </c>
      <c r="C334">
        <v>291230</v>
      </c>
      <c r="D334">
        <v>166307</v>
      </c>
      <c r="E334">
        <v>77766</v>
      </c>
      <c r="F334">
        <v>94</v>
      </c>
      <c r="G334" t="s">
        <v>83</v>
      </c>
      <c r="H334" t="str" cm="1">
        <f t="array" ref="H334">_xlfn.IFS(Grammys[[#This Row],[date]] &gt;= DATE(2022,2,1),"Grammys",TRUE,"Grammys TRA")</f>
        <v>Grammys TRA</v>
      </c>
      <c r="I334">
        <f>_xlfn.XLOOKUP(Grammys[[#This Row],[date]],mobile_visits[date],mobile_visits[mobile_visitors],0)</f>
        <v>0</v>
      </c>
      <c r="O334" s="1">
        <v>44925</v>
      </c>
      <c r="P334">
        <v>14673</v>
      </c>
    </row>
    <row r="335" spans="1:16">
      <c r="A335" s="1">
        <v>43069</v>
      </c>
      <c r="B335">
        <v>69378</v>
      </c>
      <c r="C335">
        <v>130091</v>
      </c>
      <c r="D335">
        <v>75856</v>
      </c>
      <c r="E335">
        <v>35152</v>
      </c>
      <c r="F335">
        <v>95</v>
      </c>
      <c r="G335" t="s">
        <v>83</v>
      </c>
      <c r="H335" t="str" cm="1">
        <f t="array" ref="H335">_xlfn.IFS(Grammys[[#This Row],[date]] &gt;= DATE(2022,2,1),"Grammys",TRUE,"Grammys TRA")</f>
        <v>Grammys TRA</v>
      </c>
      <c r="I335">
        <f>_xlfn.XLOOKUP(Grammys[[#This Row],[date]],mobile_visits[date],mobile_visits[mobile_visitors],0)</f>
        <v>0</v>
      </c>
      <c r="O335" s="1">
        <v>44926</v>
      </c>
      <c r="P335">
        <v>22344</v>
      </c>
    </row>
    <row r="336" spans="1:16">
      <c r="A336" s="1">
        <v>43070</v>
      </c>
      <c r="B336">
        <v>43886</v>
      </c>
      <c r="C336">
        <v>81894</v>
      </c>
      <c r="D336">
        <v>47014</v>
      </c>
      <c r="E336">
        <v>23037</v>
      </c>
      <c r="F336">
        <v>92</v>
      </c>
      <c r="G336" t="s">
        <v>83</v>
      </c>
      <c r="H336" t="str" cm="1">
        <f t="array" ref="H336">_xlfn.IFS(Grammys[[#This Row],[date]] &gt;= DATE(2022,2,1),"Grammys",TRUE,"Grammys TRA")</f>
        <v>Grammys TRA</v>
      </c>
      <c r="I336">
        <f>_xlfn.XLOOKUP(Grammys[[#This Row],[date]],mobile_visits[date],mobile_visits[mobile_visitors],0)</f>
        <v>0</v>
      </c>
      <c r="O336" s="1">
        <v>44927</v>
      </c>
      <c r="P336">
        <v>18542</v>
      </c>
    </row>
    <row r="337" spans="1:16">
      <c r="A337" s="1">
        <v>43071</v>
      </c>
      <c r="B337">
        <v>33267</v>
      </c>
      <c r="C337">
        <v>64605</v>
      </c>
      <c r="D337">
        <v>36312</v>
      </c>
      <c r="E337">
        <v>17419</v>
      </c>
      <c r="F337">
        <v>94</v>
      </c>
      <c r="G337" t="s">
        <v>83</v>
      </c>
      <c r="H337" t="str" cm="1">
        <f t="array" ref="H337">_xlfn.IFS(Grammys[[#This Row],[date]] &gt;= DATE(2022,2,1),"Grammys",TRUE,"Grammys TRA")</f>
        <v>Grammys TRA</v>
      </c>
      <c r="I337">
        <f>_xlfn.XLOOKUP(Grammys[[#This Row],[date]],mobile_visits[date],mobile_visits[mobile_visitors],0)</f>
        <v>0</v>
      </c>
      <c r="O337" s="1">
        <v>44928</v>
      </c>
      <c r="P337">
        <v>16567</v>
      </c>
    </row>
    <row r="338" spans="1:16">
      <c r="A338" s="1">
        <v>43072</v>
      </c>
      <c r="B338">
        <v>30193</v>
      </c>
      <c r="C338">
        <v>57946</v>
      </c>
      <c r="D338">
        <v>32674</v>
      </c>
      <c r="E338">
        <v>15599</v>
      </c>
      <c r="F338">
        <v>97</v>
      </c>
      <c r="G338" t="s">
        <v>83</v>
      </c>
      <c r="H338" t="str" cm="1">
        <f t="array" ref="H338">_xlfn.IFS(Grammys[[#This Row],[date]] &gt;= DATE(2022,2,1),"Grammys",TRUE,"Grammys TRA")</f>
        <v>Grammys TRA</v>
      </c>
      <c r="I338">
        <f>_xlfn.XLOOKUP(Grammys[[#This Row],[date]],mobile_visits[date],mobile_visits[mobile_visitors],0)</f>
        <v>0</v>
      </c>
      <c r="O338" s="1">
        <v>44929</v>
      </c>
      <c r="P338">
        <v>16684</v>
      </c>
    </row>
    <row r="339" spans="1:16">
      <c r="A339" s="1">
        <v>43073</v>
      </c>
      <c r="B339">
        <v>32442</v>
      </c>
      <c r="C339">
        <v>57595</v>
      </c>
      <c r="D339">
        <v>34667</v>
      </c>
      <c r="E339">
        <v>16284</v>
      </c>
      <c r="F339">
        <v>95</v>
      </c>
      <c r="G339" t="s">
        <v>83</v>
      </c>
      <c r="H339" t="str" cm="1">
        <f t="array" ref="H339">_xlfn.IFS(Grammys[[#This Row],[date]] &gt;= DATE(2022,2,1),"Grammys",TRUE,"Grammys TRA")</f>
        <v>Grammys TRA</v>
      </c>
      <c r="I339">
        <f>_xlfn.XLOOKUP(Grammys[[#This Row],[date]],mobile_visits[date],mobile_visits[mobile_visitors],0)</f>
        <v>0</v>
      </c>
      <c r="O339" s="1">
        <v>44930</v>
      </c>
      <c r="P339">
        <v>19448</v>
      </c>
    </row>
    <row r="340" spans="1:16">
      <c r="A340" s="1">
        <v>43074</v>
      </c>
      <c r="B340">
        <v>28658</v>
      </c>
      <c r="C340">
        <v>54728</v>
      </c>
      <c r="D340">
        <v>30829</v>
      </c>
      <c r="E340">
        <v>14484</v>
      </c>
      <c r="F340">
        <v>104</v>
      </c>
      <c r="G340" t="s">
        <v>83</v>
      </c>
      <c r="H340" t="str" cm="1">
        <f t="array" ref="H340">_xlfn.IFS(Grammys[[#This Row],[date]] &gt;= DATE(2022,2,1),"Grammys",TRUE,"Grammys TRA")</f>
        <v>Grammys TRA</v>
      </c>
      <c r="I340">
        <f>_xlfn.XLOOKUP(Grammys[[#This Row],[date]],mobile_visits[date],mobile_visits[mobile_visitors],0)</f>
        <v>0</v>
      </c>
      <c r="O340" s="1">
        <v>44931</v>
      </c>
      <c r="P340">
        <v>27265</v>
      </c>
    </row>
    <row r="341" spans="1:16">
      <c r="A341" s="1">
        <v>43075</v>
      </c>
      <c r="B341">
        <v>23004</v>
      </c>
      <c r="C341">
        <v>44176</v>
      </c>
      <c r="D341">
        <v>24668</v>
      </c>
      <c r="E341">
        <v>12312</v>
      </c>
      <c r="F341">
        <v>99</v>
      </c>
      <c r="G341" t="s">
        <v>83</v>
      </c>
      <c r="H341" t="str" cm="1">
        <f t="array" ref="H341">_xlfn.IFS(Grammys[[#This Row],[date]] &gt;= DATE(2022,2,1),"Grammys",TRUE,"Grammys TRA")</f>
        <v>Grammys TRA</v>
      </c>
      <c r="I341">
        <f>_xlfn.XLOOKUP(Grammys[[#This Row],[date]],mobile_visits[date],mobile_visits[mobile_visitors],0)</f>
        <v>0</v>
      </c>
      <c r="O341" s="1">
        <v>44932</v>
      </c>
      <c r="P341">
        <v>19012</v>
      </c>
    </row>
    <row r="342" spans="1:16">
      <c r="A342" s="1">
        <v>43076</v>
      </c>
      <c r="B342">
        <v>19854</v>
      </c>
      <c r="C342">
        <v>38197</v>
      </c>
      <c r="D342">
        <v>21405</v>
      </c>
      <c r="E342">
        <v>10720</v>
      </c>
      <c r="F342">
        <v>101</v>
      </c>
      <c r="G342" t="s">
        <v>83</v>
      </c>
      <c r="H342" t="str" cm="1">
        <f t="array" ref="H342">_xlfn.IFS(Grammys[[#This Row],[date]] &gt;= DATE(2022,2,1),"Grammys",TRUE,"Grammys TRA")</f>
        <v>Grammys TRA</v>
      </c>
      <c r="I342">
        <f>_xlfn.XLOOKUP(Grammys[[#This Row],[date]],mobile_visits[date],mobile_visits[mobile_visitors],0)</f>
        <v>0</v>
      </c>
      <c r="O342" s="1">
        <v>44933</v>
      </c>
      <c r="P342">
        <v>18131</v>
      </c>
    </row>
    <row r="343" spans="1:16">
      <c r="A343" s="1">
        <v>43077</v>
      </c>
      <c r="B343">
        <v>18452</v>
      </c>
      <c r="C343">
        <v>35631</v>
      </c>
      <c r="D343">
        <v>19933</v>
      </c>
      <c r="E343">
        <v>9977</v>
      </c>
      <c r="F343">
        <v>94</v>
      </c>
      <c r="G343" t="s">
        <v>83</v>
      </c>
      <c r="H343" t="str" cm="1">
        <f t="array" ref="H343">_xlfn.IFS(Grammys[[#This Row],[date]] &gt;= DATE(2022,2,1),"Grammys",TRUE,"Grammys TRA")</f>
        <v>Grammys TRA</v>
      </c>
      <c r="I343">
        <f>_xlfn.XLOOKUP(Grammys[[#This Row],[date]],mobile_visits[date],mobile_visits[mobile_visitors],0)</f>
        <v>0</v>
      </c>
      <c r="O343" s="1">
        <v>44934</v>
      </c>
      <c r="P343">
        <v>18695</v>
      </c>
    </row>
    <row r="344" spans="1:16">
      <c r="A344" s="1">
        <v>43078</v>
      </c>
      <c r="B344">
        <v>17505</v>
      </c>
      <c r="C344">
        <v>32535</v>
      </c>
      <c r="D344">
        <v>18859</v>
      </c>
      <c r="E344">
        <v>9285</v>
      </c>
      <c r="F344">
        <v>91</v>
      </c>
      <c r="G344" t="s">
        <v>83</v>
      </c>
      <c r="H344" t="str" cm="1">
        <f t="array" ref="H344">_xlfn.IFS(Grammys[[#This Row],[date]] &gt;= DATE(2022,2,1),"Grammys",TRUE,"Grammys TRA")</f>
        <v>Grammys TRA</v>
      </c>
      <c r="I344">
        <f>_xlfn.XLOOKUP(Grammys[[#This Row],[date]],mobile_visits[date],mobile_visits[mobile_visitors],0)</f>
        <v>0</v>
      </c>
      <c r="O344" s="1">
        <v>44935</v>
      </c>
      <c r="P344">
        <v>15812</v>
      </c>
    </row>
    <row r="345" spans="1:16">
      <c r="A345" s="1">
        <v>43079</v>
      </c>
      <c r="B345">
        <v>17192</v>
      </c>
      <c r="C345">
        <v>31925</v>
      </c>
      <c r="D345">
        <v>18287</v>
      </c>
      <c r="E345">
        <v>9170</v>
      </c>
      <c r="F345">
        <v>95</v>
      </c>
      <c r="G345" t="s">
        <v>83</v>
      </c>
      <c r="H345" t="str" cm="1">
        <f t="array" ref="H345">_xlfn.IFS(Grammys[[#This Row],[date]] &gt;= DATE(2022,2,1),"Grammys",TRUE,"Grammys TRA")</f>
        <v>Grammys TRA</v>
      </c>
      <c r="I345">
        <f>_xlfn.XLOOKUP(Grammys[[#This Row],[date]],mobile_visits[date],mobile_visits[mobile_visitors],0)</f>
        <v>0</v>
      </c>
      <c r="O345" s="1">
        <v>44936</v>
      </c>
      <c r="P345">
        <v>19870</v>
      </c>
    </row>
    <row r="346" spans="1:16">
      <c r="A346" s="1">
        <v>43080</v>
      </c>
      <c r="B346">
        <v>20143</v>
      </c>
      <c r="C346">
        <v>38096</v>
      </c>
      <c r="D346">
        <v>21751</v>
      </c>
      <c r="E346">
        <v>10650</v>
      </c>
      <c r="F346">
        <v>90</v>
      </c>
      <c r="G346" t="s">
        <v>83</v>
      </c>
      <c r="H346" t="str" cm="1">
        <f t="array" ref="H346">_xlfn.IFS(Grammys[[#This Row],[date]] &gt;= DATE(2022,2,1),"Grammys",TRUE,"Grammys TRA")</f>
        <v>Grammys TRA</v>
      </c>
      <c r="I346">
        <f>_xlfn.XLOOKUP(Grammys[[#This Row],[date]],mobile_visits[date],mobile_visits[mobile_visitors],0)</f>
        <v>0</v>
      </c>
      <c r="O346" s="1">
        <v>44937</v>
      </c>
      <c r="P346">
        <v>22150</v>
      </c>
    </row>
    <row r="347" spans="1:16">
      <c r="A347" s="1">
        <v>43081</v>
      </c>
      <c r="B347">
        <v>19649</v>
      </c>
      <c r="C347">
        <v>35942</v>
      </c>
      <c r="D347">
        <v>21042</v>
      </c>
      <c r="E347">
        <v>10166</v>
      </c>
      <c r="F347">
        <v>94</v>
      </c>
      <c r="G347" t="s">
        <v>83</v>
      </c>
      <c r="H347" t="str" cm="1">
        <f t="array" ref="H347">_xlfn.IFS(Grammys[[#This Row],[date]] &gt;= DATE(2022,2,1),"Grammys",TRUE,"Grammys TRA")</f>
        <v>Grammys TRA</v>
      </c>
      <c r="I347">
        <f>_xlfn.XLOOKUP(Grammys[[#This Row],[date]],mobile_visits[date],mobile_visits[mobile_visitors],0)</f>
        <v>0</v>
      </c>
      <c r="O347" s="1">
        <v>44938</v>
      </c>
      <c r="P347">
        <v>19935</v>
      </c>
    </row>
    <row r="348" spans="1:16">
      <c r="A348" s="1">
        <v>43082</v>
      </c>
      <c r="B348">
        <v>20747</v>
      </c>
      <c r="C348">
        <v>38030</v>
      </c>
      <c r="D348">
        <v>22322</v>
      </c>
      <c r="E348">
        <v>10599</v>
      </c>
      <c r="F348">
        <v>104</v>
      </c>
      <c r="G348" t="s">
        <v>83</v>
      </c>
      <c r="H348" t="str" cm="1">
        <f t="array" ref="H348">_xlfn.IFS(Grammys[[#This Row],[date]] &gt;= DATE(2022,2,1),"Grammys",TRUE,"Grammys TRA")</f>
        <v>Grammys TRA</v>
      </c>
      <c r="I348">
        <f>_xlfn.XLOOKUP(Grammys[[#This Row],[date]],mobile_visits[date],mobile_visits[mobile_visitors],0)</f>
        <v>0</v>
      </c>
      <c r="O348" s="1">
        <v>44939</v>
      </c>
      <c r="P348">
        <v>18744</v>
      </c>
    </row>
    <row r="349" spans="1:16">
      <c r="A349" s="1">
        <v>43083</v>
      </c>
      <c r="B349">
        <v>17891</v>
      </c>
      <c r="C349">
        <v>31010</v>
      </c>
      <c r="D349">
        <v>19140</v>
      </c>
      <c r="E349">
        <v>9475</v>
      </c>
      <c r="F349">
        <v>90</v>
      </c>
      <c r="G349" t="s">
        <v>83</v>
      </c>
      <c r="H349" t="str" cm="1">
        <f t="array" ref="H349">_xlfn.IFS(Grammys[[#This Row],[date]] &gt;= DATE(2022,2,1),"Grammys",TRUE,"Grammys TRA")</f>
        <v>Grammys TRA</v>
      </c>
      <c r="I349">
        <f>_xlfn.XLOOKUP(Grammys[[#This Row],[date]],mobile_visits[date],mobile_visits[mobile_visitors],0)</f>
        <v>0</v>
      </c>
      <c r="O349" s="1">
        <v>44940</v>
      </c>
      <c r="P349">
        <v>19072</v>
      </c>
    </row>
    <row r="350" spans="1:16">
      <c r="A350" s="1">
        <v>43084</v>
      </c>
      <c r="B350">
        <v>18934</v>
      </c>
      <c r="C350">
        <v>31789</v>
      </c>
      <c r="D350">
        <v>20364</v>
      </c>
      <c r="E350">
        <v>9981</v>
      </c>
      <c r="F350">
        <v>87</v>
      </c>
      <c r="G350" t="s">
        <v>83</v>
      </c>
      <c r="H350" t="str" cm="1">
        <f t="array" ref="H350">_xlfn.IFS(Grammys[[#This Row],[date]] &gt;= DATE(2022,2,1),"Grammys",TRUE,"Grammys TRA")</f>
        <v>Grammys TRA</v>
      </c>
      <c r="I350">
        <f>_xlfn.XLOOKUP(Grammys[[#This Row],[date]],mobile_visits[date],mobile_visits[mobile_visitors],0)</f>
        <v>0</v>
      </c>
      <c r="O350" s="1">
        <v>44941</v>
      </c>
      <c r="P350">
        <v>20586</v>
      </c>
    </row>
    <row r="351" spans="1:16">
      <c r="A351" s="1">
        <v>43085</v>
      </c>
      <c r="B351">
        <v>17759</v>
      </c>
      <c r="C351">
        <v>29059</v>
      </c>
      <c r="D351">
        <v>19142</v>
      </c>
      <c r="E351">
        <v>9675</v>
      </c>
      <c r="F351">
        <v>86</v>
      </c>
      <c r="G351" t="s">
        <v>83</v>
      </c>
      <c r="H351" t="str" cm="1">
        <f t="array" ref="H351">_xlfn.IFS(Grammys[[#This Row],[date]] &gt;= DATE(2022,2,1),"Grammys",TRUE,"Grammys TRA")</f>
        <v>Grammys TRA</v>
      </c>
      <c r="I351">
        <f>_xlfn.XLOOKUP(Grammys[[#This Row],[date]],mobile_visits[date],mobile_visits[mobile_visitors],0)</f>
        <v>0</v>
      </c>
      <c r="O351" s="1">
        <v>44942</v>
      </c>
      <c r="P351">
        <v>18068</v>
      </c>
    </row>
    <row r="352" spans="1:16">
      <c r="A352" s="1">
        <v>43086</v>
      </c>
      <c r="B352">
        <v>19076</v>
      </c>
      <c r="C352">
        <v>31423</v>
      </c>
      <c r="D352">
        <v>20321</v>
      </c>
      <c r="E352">
        <v>11657</v>
      </c>
      <c r="F352">
        <v>77</v>
      </c>
      <c r="G352" t="s">
        <v>83</v>
      </c>
      <c r="H352" t="str" cm="1">
        <f t="array" ref="H352">_xlfn.IFS(Grammys[[#This Row],[date]] &gt;= DATE(2022,2,1),"Grammys",TRUE,"Grammys TRA")</f>
        <v>Grammys TRA</v>
      </c>
      <c r="I352">
        <f>_xlfn.XLOOKUP(Grammys[[#This Row],[date]],mobile_visits[date],mobile_visits[mobile_visitors],0)</f>
        <v>0</v>
      </c>
      <c r="O352" s="1">
        <v>44943</v>
      </c>
      <c r="P352">
        <v>13904</v>
      </c>
    </row>
    <row r="353" spans="1:16">
      <c r="A353" s="1">
        <v>43087</v>
      </c>
      <c r="B353">
        <v>15658</v>
      </c>
      <c r="C353">
        <v>27831</v>
      </c>
      <c r="D353">
        <v>16734</v>
      </c>
      <c r="E353">
        <v>8719</v>
      </c>
      <c r="F353">
        <v>91</v>
      </c>
      <c r="G353" t="s">
        <v>83</v>
      </c>
      <c r="H353" t="str" cm="1">
        <f t="array" ref="H353">_xlfn.IFS(Grammys[[#This Row],[date]] &gt;= DATE(2022,2,1),"Grammys",TRUE,"Grammys TRA")</f>
        <v>Grammys TRA</v>
      </c>
      <c r="I353">
        <f>_xlfn.XLOOKUP(Grammys[[#This Row],[date]],mobile_visits[date],mobile_visits[mobile_visitors],0)</f>
        <v>0</v>
      </c>
      <c r="O353" s="1">
        <v>44944</v>
      </c>
      <c r="P353">
        <v>16311</v>
      </c>
    </row>
    <row r="354" spans="1:16">
      <c r="A354" s="1">
        <v>43088</v>
      </c>
      <c r="B354">
        <v>16432</v>
      </c>
      <c r="C354">
        <v>40908</v>
      </c>
      <c r="D354">
        <v>17607</v>
      </c>
      <c r="E354">
        <v>7464</v>
      </c>
      <c r="F354">
        <v>102</v>
      </c>
      <c r="G354" t="s">
        <v>83</v>
      </c>
      <c r="H354" t="str" cm="1">
        <f t="array" ref="H354">_xlfn.IFS(Grammys[[#This Row],[date]] &gt;= DATE(2022,2,1),"Grammys",TRUE,"Grammys TRA")</f>
        <v>Grammys TRA</v>
      </c>
      <c r="I354">
        <f>_xlfn.XLOOKUP(Grammys[[#This Row],[date]],mobile_visits[date],mobile_visits[mobile_visitors],0)</f>
        <v>0</v>
      </c>
      <c r="O354" s="1">
        <v>44945</v>
      </c>
      <c r="P354">
        <v>18633</v>
      </c>
    </row>
    <row r="355" spans="1:16">
      <c r="A355" s="1">
        <v>43089</v>
      </c>
      <c r="B355">
        <v>14018</v>
      </c>
      <c r="C355">
        <v>35375</v>
      </c>
      <c r="D355">
        <v>15251</v>
      </c>
      <c r="E355">
        <v>6441</v>
      </c>
      <c r="F355">
        <v>109</v>
      </c>
      <c r="G355" t="s">
        <v>83</v>
      </c>
      <c r="H355" t="str" cm="1">
        <f t="array" ref="H355">_xlfn.IFS(Grammys[[#This Row],[date]] &gt;= DATE(2022,2,1),"Grammys",TRUE,"Grammys TRA")</f>
        <v>Grammys TRA</v>
      </c>
      <c r="I355">
        <f>_xlfn.XLOOKUP(Grammys[[#This Row],[date]],mobile_visits[date],mobile_visits[mobile_visitors],0)</f>
        <v>0</v>
      </c>
      <c r="O355" s="1">
        <v>44946</v>
      </c>
      <c r="P355">
        <v>17152</v>
      </c>
    </row>
    <row r="356" spans="1:16">
      <c r="A356" s="1">
        <v>43090</v>
      </c>
      <c r="B356">
        <v>14476</v>
      </c>
      <c r="C356">
        <v>37403</v>
      </c>
      <c r="D356">
        <v>15696</v>
      </c>
      <c r="E356">
        <v>6467</v>
      </c>
      <c r="F356">
        <v>112</v>
      </c>
      <c r="G356" t="s">
        <v>83</v>
      </c>
      <c r="H356" t="str" cm="1">
        <f t="array" ref="H356">_xlfn.IFS(Grammys[[#This Row],[date]] &gt;= DATE(2022,2,1),"Grammys",TRUE,"Grammys TRA")</f>
        <v>Grammys TRA</v>
      </c>
      <c r="I356">
        <f>_xlfn.XLOOKUP(Grammys[[#This Row],[date]],mobile_visits[date],mobile_visits[mobile_visitors],0)</f>
        <v>0</v>
      </c>
      <c r="O356" s="1">
        <v>44947</v>
      </c>
      <c r="P356">
        <v>19191</v>
      </c>
    </row>
    <row r="357" spans="1:16">
      <c r="A357" s="1">
        <v>43091</v>
      </c>
      <c r="B357">
        <v>12812</v>
      </c>
      <c r="C357">
        <v>33500</v>
      </c>
      <c r="D357">
        <v>13999</v>
      </c>
      <c r="E357">
        <v>5897</v>
      </c>
      <c r="F357">
        <v>101</v>
      </c>
      <c r="G357" t="s">
        <v>83</v>
      </c>
      <c r="H357" t="str" cm="1">
        <f t="array" ref="H357">_xlfn.IFS(Grammys[[#This Row],[date]] &gt;= DATE(2022,2,1),"Grammys",TRUE,"Grammys TRA")</f>
        <v>Grammys TRA</v>
      </c>
      <c r="I357">
        <f>_xlfn.XLOOKUP(Grammys[[#This Row],[date]],mobile_visits[date],mobile_visits[mobile_visitors],0)</f>
        <v>0</v>
      </c>
      <c r="O357" s="1">
        <v>44948</v>
      </c>
      <c r="P357">
        <v>32862</v>
      </c>
    </row>
    <row r="358" spans="1:16">
      <c r="A358" s="1">
        <v>43092</v>
      </c>
      <c r="B358">
        <v>13783</v>
      </c>
      <c r="C358">
        <v>34410</v>
      </c>
      <c r="D358">
        <v>14517</v>
      </c>
      <c r="E358">
        <v>5794</v>
      </c>
      <c r="F358">
        <v>98</v>
      </c>
      <c r="G358" t="s">
        <v>83</v>
      </c>
      <c r="H358" t="str" cm="1">
        <f t="array" ref="H358">_xlfn.IFS(Grammys[[#This Row],[date]] &gt;= DATE(2022,2,1),"Grammys",TRUE,"Grammys TRA")</f>
        <v>Grammys TRA</v>
      </c>
      <c r="I358">
        <f>_xlfn.XLOOKUP(Grammys[[#This Row],[date]],mobile_visits[date],mobile_visits[mobile_visitors],0)</f>
        <v>0</v>
      </c>
      <c r="O358" s="1">
        <v>44949</v>
      </c>
      <c r="P358">
        <v>22211</v>
      </c>
    </row>
    <row r="359" spans="1:16">
      <c r="A359" s="1">
        <v>43093</v>
      </c>
      <c r="B359">
        <v>13571</v>
      </c>
      <c r="C359">
        <v>33229</v>
      </c>
      <c r="D359">
        <v>14474</v>
      </c>
      <c r="E359">
        <v>5964</v>
      </c>
      <c r="F359">
        <v>92</v>
      </c>
      <c r="G359" t="s">
        <v>83</v>
      </c>
      <c r="H359" t="str" cm="1">
        <f t="array" ref="H359">_xlfn.IFS(Grammys[[#This Row],[date]] &gt;= DATE(2022,2,1),"Grammys",TRUE,"Grammys TRA")</f>
        <v>Grammys TRA</v>
      </c>
      <c r="I359">
        <f>_xlfn.XLOOKUP(Grammys[[#This Row],[date]],mobile_visits[date],mobile_visits[mobile_visitors],0)</f>
        <v>0</v>
      </c>
      <c r="O359" s="1">
        <v>44950</v>
      </c>
      <c r="P359">
        <v>29287</v>
      </c>
    </row>
    <row r="360" spans="1:16">
      <c r="A360" s="1">
        <v>43094</v>
      </c>
      <c r="B360">
        <v>10744</v>
      </c>
      <c r="C360">
        <v>27092</v>
      </c>
      <c r="D360">
        <v>11641</v>
      </c>
      <c r="E360">
        <v>5055</v>
      </c>
      <c r="F360">
        <v>97</v>
      </c>
      <c r="G360" t="s">
        <v>83</v>
      </c>
      <c r="H360" t="str" cm="1">
        <f t="array" ref="H360">_xlfn.IFS(Grammys[[#This Row],[date]] &gt;= DATE(2022,2,1),"Grammys",TRUE,"Grammys TRA")</f>
        <v>Grammys TRA</v>
      </c>
      <c r="I360">
        <f>_xlfn.XLOOKUP(Grammys[[#This Row],[date]],mobile_visits[date],mobile_visits[mobile_visitors],0)</f>
        <v>0</v>
      </c>
      <c r="O360" s="1">
        <v>44951</v>
      </c>
      <c r="P360">
        <v>37577</v>
      </c>
    </row>
    <row r="361" spans="1:16">
      <c r="A361" s="1">
        <v>43095</v>
      </c>
      <c r="B361">
        <v>13080</v>
      </c>
      <c r="C361">
        <v>33811</v>
      </c>
      <c r="D361">
        <v>14136</v>
      </c>
      <c r="E361">
        <v>6014</v>
      </c>
      <c r="F361">
        <v>106</v>
      </c>
      <c r="G361" t="s">
        <v>83</v>
      </c>
      <c r="H361" t="str" cm="1">
        <f t="array" ref="H361">_xlfn.IFS(Grammys[[#This Row],[date]] &gt;= DATE(2022,2,1),"Grammys",TRUE,"Grammys TRA")</f>
        <v>Grammys TRA</v>
      </c>
      <c r="I361">
        <f>_xlfn.XLOOKUP(Grammys[[#This Row],[date]],mobile_visits[date],mobile_visits[mobile_visitors],0)</f>
        <v>0</v>
      </c>
      <c r="O361" s="1">
        <v>44952</v>
      </c>
      <c r="P361">
        <v>34174</v>
      </c>
    </row>
    <row r="362" spans="1:16">
      <c r="A362" s="1">
        <v>43096</v>
      </c>
      <c r="B362">
        <v>17118</v>
      </c>
      <c r="C362">
        <v>42281</v>
      </c>
      <c r="D362">
        <v>18299</v>
      </c>
      <c r="E362">
        <v>6566</v>
      </c>
      <c r="F362">
        <v>105</v>
      </c>
      <c r="G362" t="s">
        <v>83</v>
      </c>
      <c r="H362" t="str" cm="1">
        <f t="array" ref="H362">_xlfn.IFS(Grammys[[#This Row],[date]] &gt;= DATE(2022,2,1),"Grammys",TRUE,"Grammys TRA")</f>
        <v>Grammys TRA</v>
      </c>
      <c r="I362">
        <f>_xlfn.XLOOKUP(Grammys[[#This Row],[date]],mobile_visits[date],mobile_visits[mobile_visitors],0)</f>
        <v>0</v>
      </c>
      <c r="O362" s="1">
        <v>44953</v>
      </c>
      <c r="P362">
        <v>33917</v>
      </c>
    </row>
    <row r="363" spans="1:16">
      <c r="A363" s="1">
        <v>43097</v>
      </c>
      <c r="B363">
        <v>19826</v>
      </c>
      <c r="C363">
        <v>47039</v>
      </c>
      <c r="D363">
        <v>21136</v>
      </c>
      <c r="E363">
        <v>7609</v>
      </c>
      <c r="F363">
        <v>110</v>
      </c>
      <c r="G363" t="s">
        <v>83</v>
      </c>
      <c r="H363" t="str" cm="1">
        <f t="array" ref="H363">_xlfn.IFS(Grammys[[#This Row],[date]] &gt;= DATE(2022,2,1),"Grammys",TRUE,"Grammys TRA")</f>
        <v>Grammys TRA</v>
      </c>
      <c r="I363">
        <f>_xlfn.XLOOKUP(Grammys[[#This Row],[date]],mobile_visits[date],mobile_visits[mobile_visitors],0)</f>
        <v>0</v>
      </c>
      <c r="O363" s="1">
        <v>44954</v>
      </c>
      <c r="P363">
        <v>34419</v>
      </c>
    </row>
    <row r="364" spans="1:16">
      <c r="A364" s="1">
        <v>43098</v>
      </c>
      <c r="B364">
        <v>15955</v>
      </c>
      <c r="C364">
        <v>41543</v>
      </c>
      <c r="D364">
        <v>17258</v>
      </c>
      <c r="E364">
        <v>6741</v>
      </c>
      <c r="F364">
        <v>106</v>
      </c>
      <c r="G364" t="s">
        <v>83</v>
      </c>
      <c r="H364" t="str" cm="1">
        <f t="array" ref="H364">_xlfn.IFS(Grammys[[#This Row],[date]] &gt;= DATE(2022,2,1),"Grammys",TRUE,"Grammys TRA")</f>
        <v>Grammys TRA</v>
      </c>
      <c r="I364">
        <f>_xlfn.XLOOKUP(Grammys[[#This Row],[date]],mobile_visits[date],mobile_visits[mobile_visitors],0)</f>
        <v>0</v>
      </c>
      <c r="O364" s="1">
        <v>44955</v>
      </c>
      <c r="P364">
        <v>62861</v>
      </c>
    </row>
    <row r="365" spans="1:16">
      <c r="A365" s="1">
        <v>43099</v>
      </c>
      <c r="B365">
        <v>18568</v>
      </c>
      <c r="C365">
        <v>50253</v>
      </c>
      <c r="D365">
        <v>20021</v>
      </c>
      <c r="E365">
        <v>7026</v>
      </c>
      <c r="F365">
        <v>102</v>
      </c>
      <c r="G365" t="s">
        <v>83</v>
      </c>
      <c r="H365" t="str" cm="1">
        <f t="array" ref="H365">_xlfn.IFS(Grammys[[#This Row],[date]] &gt;= DATE(2022,2,1),"Grammys",TRUE,"Grammys TRA")</f>
        <v>Grammys TRA</v>
      </c>
      <c r="I365">
        <f>_xlfn.XLOOKUP(Grammys[[#This Row],[date]],mobile_visits[date],mobile_visits[mobile_visitors],0)</f>
        <v>0</v>
      </c>
      <c r="O365" s="1">
        <v>44956</v>
      </c>
      <c r="P365">
        <v>47158</v>
      </c>
    </row>
    <row r="366" spans="1:16">
      <c r="A366" s="1">
        <v>43100</v>
      </c>
      <c r="B366">
        <v>45897</v>
      </c>
      <c r="C366">
        <v>121293</v>
      </c>
      <c r="D366">
        <v>48383</v>
      </c>
      <c r="E366">
        <v>14322</v>
      </c>
      <c r="F366">
        <v>69</v>
      </c>
      <c r="G366" t="s">
        <v>83</v>
      </c>
      <c r="H366" t="str" cm="1">
        <f t="array" ref="H366">_xlfn.IFS(Grammys[[#This Row],[date]] &gt;= DATE(2022,2,1),"Grammys",TRUE,"Grammys TRA")</f>
        <v>Grammys TRA</v>
      </c>
      <c r="I366">
        <f>_xlfn.XLOOKUP(Grammys[[#This Row],[date]],mobile_visits[date],mobile_visits[mobile_visitors],0)</f>
        <v>0</v>
      </c>
      <c r="O366" s="1">
        <v>44957</v>
      </c>
      <c r="P366">
        <v>45623</v>
      </c>
    </row>
    <row r="367" spans="1:16">
      <c r="A367" s="1">
        <v>43101</v>
      </c>
      <c r="B367">
        <v>17539</v>
      </c>
      <c r="C367">
        <v>46598</v>
      </c>
      <c r="D367">
        <v>19083</v>
      </c>
      <c r="E367">
        <v>7430</v>
      </c>
      <c r="F367">
        <v>100</v>
      </c>
      <c r="G367" t="s">
        <v>83</v>
      </c>
      <c r="H367" t="str" cm="1">
        <f t="array" ref="H367">_xlfn.IFS(Grammys[[#This Row],[date]] &gt;= DATE(2022,2,1),"Grammys",TRUE,"Grammys TRA")</f>
        <v>Grammys TRA</v>
      </c>
      <c r="I367">
        <f>_xlfn.XLOOKUP(Grammys[[#This Row],[date]],mobile_visits[date],mobile_visits[mobile_visitors],0)</f>
        <v>0</v>
      </c>
      <c r="O367" s="1">
        <v>44958</v>
      </c>
      <c r="P367">
        <v>57546</v>
      </c>
    </row>
    <row r="368" spans="1:16">
      <c r="A368" s="1">
        <v>43102</v>
      </c>
      <c r="B368">
        <v>19345</v>
      </c>
      <c r="C368">
        <v>50586</v>
      </c>
      <c r="D368">
        <v>20690</v>
      </c>
      <c r="E368">
        <v>8452</v>
      </c>
      <c r="F368">
        <v>106</v>
      </c>
      <c r="G368" t="s">
        <v>83</v>
      </c>
      <c r="H368" t="str" cm="1">
        <f t="array" ref="H368">_xlfn.IFS(Grammys[[#This Row],[date]] &gt;= DATE(2022,2,1),"Grammys",TRUE,"Grammys TRA")</f>
        <v>Grammys TRA</v>
      </c>
      <c r="I368">
        <f>_xlfn.XLOOKUP(Grammys[[#This Row],[date]],mobile_visits[date],mobile_visits[mobile_visitors],0)</f>
        <v>0</v>
      </c>
      <c r="O368" s="1">
        <v>44959</v>
      </c>
      <c r="P368">
        <v>66488</v>
      </c>
    </row>
    <row r="369" spans="1:16">
      <c r="A369" s="1">
        <v>43103</v>
      </c>
      <c r="B369">
        <v>17934</v>
      </c>
      <c r="C369">
        <v>49068</v>
      </c>
      <c r="D369">
        <v>19334</v>
      </c>
      <c r="E369">
        <v>7278</v>
      </c>
      <c r="F369">
        <v>117</v>
      </c>
      <c r="G369" t="s">
        <v>83</v>
      </c>
      <c r="H369" t="str" cm="1">
        <f t="array" ref="H369">_xlfn.IFS(Grammys[[#This Row],[date]] &gt;= DATE(2022,2,1),"Grammys",TRUE,"Grammys TRA")</f>
        <v>Grammys TRA</v>
      </c>
      <c r="I369">
        <f>_xlfn.XLOOKUP(Grammys[[#This Row],[date]],mobile_visits[date],mobile_visits[mobile_visitors],0)</f>
        <v>0</v>
      </c>
      <c r="O369" s="1">
        <v>44960</v>
      </c>
      <c r="P369">
        <v>93170</v>
      </c>
    </row>
    <row r="370" spans="1:16">
      <c r="A370" s="1">
        <v>43104</v>
      </c>
      <c r="B370">
        <v>25557</v>
      </c>
      <c r="C370">
        <v>66914</v>
      </c>
      <c r="D370">
        <v>27702</v>
      </c>
      <c r="E370">
        <v>10090</v>
      </c>
      <c r="F370">
        <v>109</v>
      </c>
      <c r="G370" t="s">
        <v>83</v>
      </c>
      <c r="H370" t="str" cm="1">
        <f t="array" ref="H370">_xlfn.IFS(Grammys[[#This Row],[date]] &gt;= DATE(2022,2,1),"Grammys",TRUE,"Grammys TRA")</f>
        <v>Grammys TRA</v>
      </c>
      <c r="I370">
        <f>_xlfn.XLOOKUP(Grammys[[#This Row],[date]],mobile_visits[date],mobile_visits[mobile_visitors],0)</f>
        <v>0</v>
      </c>
      <c r="O370" s="1">
        <v>44961</v>
      </c>
      <c r="P370">
        <v>164559</v>
      </c>
    </row>
    <row r="371" spans="1:16">
      <c r="A371" s="1">
        <v>43105</v>
      </c>
      <c r="B371">
        <v>22959</v>
      </c>
      <c r="C371">
        <v>58317</v>
      </c>
      <c r="D371">
        <v>24544</v>
      </c>
      <c r="E371">
        <v>9548</v>
      </c>
      <c r="F371">
        <v>112</v>
      </c>
      <c r="G371" t="s">
        <v>83</v>
      </c>
      <c r="H371" t="str" cm="1">
        <f t="array" ref="H371">_xlfn.IFS(Grammys[[#This Row],[date]] &gt;= DATE(2022,2,1),"Grammys",TRUE,"Grammys TRA")</f>
        <v>Grammys TRA</v>
      </c>
      <c r="I371">
        <f>_xlfn.XLOOKUP(Grammys[[#This Row],[date]],mobile_visits[date],mobile_visits[mobile_visitors],0)</f>
        <v>0</v>
      </c>
      <c r="O371" s="1">
        <v>44962</v>
      </c>
      <c r="P371">
        <v>2278580</v>
      </c>
    </row>
    <row r="372" spans="1:16">
      <c r="A372" s="1">
        <v>43106</v>
      </c>
      <c r="B372">
        <v>19641</v>
      </c>
      <c r="C372">
        <v>49765</v>
      </c>
      <c r="D372">
        <v>21145</v>
      </c>
      <c r="E372">
        <v>8634</v>
      </c>
      <c r="F372">
        <v>106</v>
      </c>
      <c r="G372" t="s">
        <v>83</v>
      </c>
      <c r="H372" t="str" cm="1">
        <f t="array" ref="H372">_xlfn.IFS(Grammys[[#This Row],[date]] &gt;= DATE(2022,2,1),"Grammys",TRUE,"Grammys TRA")</f>
        <v>Grammys TRA</v>
      </c>
      <c r="I372">
        <f>_xlfn.XLOOKUP(Grammys[[#This Row],[date]],mobile_visits[date],mobile_visits[mobile_visitors],0)</f>
        <v>0</v>
      </c>
      <c r="O372" s="1">
        <v>44963</v>
      </c>
      <c r="P372">
        <v>1093047</v>
      </c>
    </row>
    <row r="373" spans="1:16">
      <c r="A373" s="1">
        <v>43107</v>
      </c>
      <c r="B373">
        <v>30527</v>
      </c>
      <c r="C373">
        <v>76914</v>
      </c>
      <c r="D373">
        <v>32303</v>
      </c>
      <c r="E373">
        <v>12127</v>
      </c>
      <c r="F373">
        <v>106</v>
      </c>
      <c r="G373" t="s">
        <v>83</v>
      </c>
      <c r="H373" t="str" cm="1">
        <f t="array" ref="H373">_xlfn.IFS(Grammys[[#This Row],[date]] &gt;= DATE(2022,2,1),"Grammys",TRUE,"Grammys TRA")</f>
        <v>Grammys TRA</v>
      </c>
      <c r="I373">
        <f>_xlfn.XLOOKUP(Grammys[[#This Row],[date]],mobile_visits[date],mobile_visits[mobile_visitors],0)</f>
        <v>0</v>
      </c>
      <c r="O373" s="1">
        <v>44964</v>
      </c>
      <c r="P373">
        <v>276837</v>
      </c>
    </row>
    <row r="374" spans="1:16">
      <c r="A374" s="1">
        <v>43108</v>
      </c>
      <c r="B374">
        <v>28132</v>
      </c>
      <c r="C374">
        <v>75583</v>
      </c>
      <c r="D374">
        <v>30176</v>
      </c>
      <c r="E374">
        <v>11359</v>
      </c>
      <c r="F374">
        <v>113</v>
      </c>
      <c r="G374" t="s">
        <v>83</v>
      </c>
      <c r="H374" t="str" cm="1">
        <f t="array" ref="H374">_xlfn.IFS(Grammys[[#This Row],[date]] &gt;= DATE(2022,2,1),"Grammys",TRUE,"Grammys TRA")</f>
        <v>Grammys TRA</v>
      </c>
      <c r="I374">
        <f>_xlfn.XLOOKUP(Grammys[[#This Row],[date]],mobile_visits[date],mobile_visits[mobile_visitors],0)</f>
        <v>0</v>
      </c>
      <c r="O374" s="1">
        <v>44965</v>
      </c>
      <c r="P374">
        <v>158349</v>
      </c>
    </row>
    <row r="375" spans="1:16">
      <c r="A375" s="1">
        <v>43109</v>
      </c>
      <c r="B375">
        <v>24612</v>
      </c>
      <c r="C375">
        <v>67847</v>
      </c>
      <c r="D375">
        <v>26838</v>
      </c>
      <c r="E375">
        <v>10204</v>
      </c>
      <c r="F375">
        <v>115</v>
      </c>
      <c r="G375" t="s">
        <v>83</v>
      </c>
      <c r="H375" t="str" cm="1">
        <f t="array" ref="H375">_xlfn.IFS(Grammys[[#This Row],[date]] &gt;= DATE(2022,2,1),"Grammys",TRUE,"Grammys TRA")</f>
        <v>Grammys TRA</v>
      </c>
      <c r="I375">
        <f>_xlfn.XLOOKUP(Grammys[[#This Row],[date]],mobile_visits[date],mobile_visits[mobile_visitors],0)</f>
        <v>0</v>
      </c>
      <c r="O375" s="1">
        <v>44966</v>
      </c>
      <c r="P375">
        <v>112519</v>
      </c>
    </row>
    <row r="376" spans="1:16">
      <c r="A376" s="1">
        <v>43110</v>
      </c>
      <c r="B376">
        <v>29739</v>
      </c>
      <c r="C376">
        <v>74447</v>
      </c>
      <c r="D376">
        <v>32079</v>
      </c>
      <c r="E376">
        <v>12479</v>
      </c>
      <c r="F376">
        <v>113</v>
      </c>
      <c r="G376" t="s">
        <v>83</v>
      </c>
      <c r="H376" t="str" cm="1">
        <f t="array" ref="H376">_xlfn.IFS(Grammys[[#This Row],[date]] &gt;= DATE(2022,2,1),"Grammys",TRUE,"Grammys TRA")</f>
        <v>Grammys TRA</v>
      </c>
      <c r="I376">
        <f>_xlfn.XLOOKUP(Grammys[[#This Row],[date]],mobile_visits[date],mobile_visits[mobile_visitors],0)</f>
        <v>0</v>
      </c>
      <c r="O376" s="1">
        <v>44967</v>
      </c>
      <c r="P376">
        <v>94314</v>
      </c>
    </row>
    <row r="377" spans="1:16">
      <c r="A377" s="1">
        <v>43111</v>
      </c>
      <c r="B377">
        <v>30146</v>
      </c>
      <c r="C377">
        <v>72655</v>
      </c>
      <c r="D377">
        <v>32374</v>
      </c>
      <c r="E377">
        <v>12681</v>
      </c>
      <c r="F377">
        <v>108</v>
      </c>
      <c r="G377" t="s">
        <v>83</v>
      </c>
      <c r="H377" t="str" cm="1">
        <f t="array" ref="H377">_xlfn.IFS(Grammys[[#This Row],[date]] &gt;= DATE(2022,2,1),"Grammys",TRUE,"Grammys TRA")</f>
        <v>Grammys TRA</v>
      </c>
      <c r="I377">
        <f>_xlfn.XLOOKUP(Grammys[[#This Row],[date]],mobile_visits[date],mobile_visits[mobile_visitors],0)</f>
        <v>0</v>
      </c>
      <c r="O377" s="1">
        <v>44968</v>
      </c>
      <c r="P377">
        <v>99963</v>
      </c>
    </row>
    <row r="378" spans="1:16">
      <c r="A378" s="1">
        <v>43112</v>
      </c>
      <c r="B378">
        <v>23929</v>
      </c>
      <c r="C378">
        <v>59126</v>
      </c>
      <c r="D378">
        <v>25910</v>
      </c>
      <c r="E378">
        <v>10561</v>
      </c>
      <c r="F378">
        <v>112</v>
      </c>
      <c r="G378" t="s">
        <v>83</v>
      </c>
      <c r="H378" t="str" cm="1">
        <f t="array" ref="H378">_xlfn.IFS(Grammys[[#This Row],[date]] &gt;= DATE(2022,2,1),"Grammys",TRUE,"Grammys TRA")</f>
        <v>Grammys TRA</v>
      </c>
      <c r="I378">
        <f>_xlfn.XLOOKUP(Grammys[[#This Row],[date]],mobile_visits[date],mobile_visits[mobile_visitors],0)</f>
        <v>0</v>
      </c>
      <c r="O378" s="1">
        <v>44969</v>
      </c>
      <c r="P378">
        <v>105474</v>
      </c>
    </row>
    <row r="379" spans="1:16">
      <c r="A379" s="1">
        <v>43113</v>
      </c>
      <c r="B379">
        <v>22836</v>
      </c>
      <c r="C379">
        <v>56649</v>
      </c>
      <c r="D379">
        <v>24808</v>
      </c>
      <c r="E379">
        <v>9559</v>
      </c>
      <c r="F379">
        <v>107</v>
      </c>
      <c r="G379" t="s">
        <v>83</v>
      </c>
      <c r="H379" t="str" cm="1">
        <f t="array" ref="H379">_xlfn.IFS(Grammys[[#This Row],[date]] &gt;= DATE(2022,2,1),"Grammys",TRUE,"Grammys TRA")</f>
        <v>Grammys TRA</v>
      </c>
      <c r="I379">
        <f>_xlfn.XLOOKUP(Grammys[[#This Row],[date]],mobile_visits[date],mobile_visits[mobile_visitors],0)</f>
        <v>0</v>
      </c>
      <c r="O379" s="1">
        <v>44970</v>
      </c>
      <c r="P379">
        <v>58637</v>
      </c>
    </row>
    <row r="380" spans="1:16">
      <c r="A380" s="1">
        <v>43114</v>
      </c>
      <c r="B380">
        <v>25011</v>
      </c>
      <c r="C380">
        <v>60700</v>
      </c>
      <c r="D380">
        <v>27087</v>
      </c>
      <c r="E380">
        <v>10776</v>
      </c>
      <c r="F380">
        <v>106</v>
      </c>
      <c r="G380" t="s">
        <v>83</v>
      </c>
      <c r="H380" t="str" cm="1">
        <f t="array" ref="H380">_xlfn.IFS(Grammys[[#This Row],[date]] &gt;= DATE(2022,2,1),"Grammys",TRUE,"Grammys TRA")</f>
        <v>Grammys TRA</v>
      </c>
      <c r="I380">
        <f>_xlfn.XLOOKUP(Grammys[[#This Row],[date]],mobile_visits[date],mobile_visits[mobile_visitors],0)</f>
        <v>0</v>
      </c>
      <c r="O380" s="1">
        <v>44971</v>
      </c>
      <c r="P380">
        <v>40385</v>
      </c>
    </row>
    <row r="381" spans="1:16">
      <c r="A381" s="1">
        <v>43115</v>
      </c>
      <c r="B381">
        <v>23562</v>
      </c>
      <c r="C381">
        <v>58594</v>
      </c>
      <c r="D381">
        <v>25342</v>
      </c>
      <c r="E381">
        <v>9924</v>
      </c>
      <c r="F381">
        <v>114</v>
      </c>
      <c r="G381" t="s">
        <v>83</v>
      </c>
      <c r="H381" t="str" cm="1">
        <f t="array" ref="H381">_xlfn.IFS(Grammys[[#This Row],[date]] &gt;= DATE(2022,2,1),"Grammys",TRUE,"Grammys TRA")</f>
        <v>Grammys TRA</v>
      </c>
      <c r="I381">
        <f>_xlfn.XLOOKUP(Grammys[[#This Row],[date]],mobile_visits[date],mobile_visits[mobile_visitors],0)</f>
        <v>0</v>
      </c>
      <c r="O381" s="1">
        <v>44972</v>
      </c>
      <c r="P381">
        <v>33456</v>
      </c>
    </row>
    <row r="382" spans="1:16">
      <c r="A382" s="1">
        <v>43116</v>
      </c>
      <c r="B382">
        <v>27240</v>
      </c>
      <c r="C382">
        <v>68125</v>
      </c>
      <c r="D382">
        <v>29215</v>
      </c>
      <c r="E382">
        <v>11394</v>
      </c>
      <c r="F382">
        <v>113</v>
      </c>
      <c r="G382" t="s">
        <v>83</v>
      </c>
      <c r="H382" t="str" cm="1">
        <f t="array" ref="H382">_xlfn.IFS(Grammys[[#This Row],[date]] &gt;= DATE(2022,2,1),"Grammys",TRUE,"Grammys TRA")</f>
        <v>Grammys TRA</v>
      </c>
      <c r="I382">
        <f>_xlfn.XLOOKUP(Grammys[[#This Row],[date]],mobile_visits[date],mobile_visits[mobile_visitors],0)</f>
        <v>0</v>
      </c>
      <c r="O382" s="1">
        <v>44973</v>
      </c>
      <c r="P382">
        <v>30511</v>
      </c>
    </row>
    <row r="383" spans="1:16">
      <c r="A383" s="1">
        <v>43117</v>
      </c>
      <c r="B383">
        <v>34318</v>
      </c>
      <c r="C383">
        <v>94367</v>
      </c>
      <c r="D383">
        <v>38031</v>
      </c>
      <c r="E383">
        <v>13783</v>
      </c>
      <c r="F383">
        <v>118</v>
      </c>
      <c r="G383" t="s">
        <v>83</v>
      </c>
      <c r="H383" t="str" cm="1">
        <f t="array" ref="H383">_xlfn.IFS(Grammys[[#This Row],[date]] &gt;= DATE(2022,2,1),"Grammys",TRUE,"Grammys TRA")</f>
        <v>Grammys TRA</v>
      </c>
      <c r="I383">
        <f>_xlfn.XLOOKUP(Grammys[[#This Row],[date]],mobile_visits[date],mobile_visits[mobile_visitors],0)</f>
        <v>0</v>
      </c>
      <c r="O383" s="1">
        <v>44974</v>
      </c>
      <c r="P383">
        <v>30122</v>
      </c>
    </row>
    <row r="384" spans="1:16">
      <c r="A384" s="1">
        <v>43118</v>
      </c>
      <c r="B384">
        <v>28746</v>
      </c>
      <c r="C384">
        <v>71147</v>
      </c>
      <c r="D384">
        <v>31083</v>
      </c>
      <c r="E384">
        <v>12396</v>
      </c>
      <c r="F384">
        <v>114</v>
      </c>
      <c r="G384" t="s">
        <v>83</v>
      </c>
      <c r="H384" t="str" cm="1">
        <f t="array" ref="H384">_xlfn.IFS(Grammys[[#This Row],[date]] &gt;= DATE(2022,2,1),"Grammys",TRUE,"Grammys TRA")</f>
        <v>Grammys TRA</v>
      </c>
      <c r="I384">
        <f>_xlfn.XLOOKUP(Grammys[[#This Row],[date]],mobile_visits[date],mobile_visits[mobile_visitors],0)</f>
        <v>0</v>
      </c>
      <c r="O384" s="1">
        <v>44975</v>
      </c>
      <c r="P384">
        <v>29749</v>
      </c>
    </row>
    <row r="385" spans="1:16">
      <c r="A385" s="1">
        <v>43119</v>
      </c>
      <c r="B385">
        <v>27819</v>
      </c>
      <c r="C385">
        <v>68975</v>
      </c>
      <c r="D385">
        <v>29878</v>
      </c>
      <c r="E385">
        <v>11790</v>
      </c>
      <c r="F385">
        <v>112</v>
      </c>
      <c r="G385" t="s">
        <v>83</v>
      </c>
      <c r="H385" t="str" cm="1">
        <f t="array" ref="H385">_xlfn.IFS(Grammys[[#This Row],[date]] &gt;= DATE(2022,2,1),"Grammys",TRUE,"Grammys TRA")</f>
        <v>Grammys TRA</v>
      </c>
      <c r="I385">
        <f>_xlfn.XLOOKUP(Grammys[[#This Row],[date]],mobile_visits[date],mobile_visits[mobile_visitors],0)</f>
        <v>0</v>
      </c>
      <c r="O385" s="1">
        <v>44976</v>
      </c>
      <c r="P385">
        <v>27219</v>
      </c>
    </row>
    <row r="386" spans="1:16">
      <c r="A386" s="1">
        <v>43120</v>
      </c>
      <c r="B386">
        <v>27820</v>
      </c>
      <c r="C386">
        <v>68689</v>
      </c>
      <c r="D386">
        <v>30472</v>
      </c>
      <c r="E386">
        <v>12003</v>
      </c>
      <c r="F386">
        <v>106</v>
      </c>
      <c r="G386" t="s">
        <v>83</v>
      </c>
      <c r="H386" t="str" cm="1">
        <f t="array" ref="H386">_xlfn.IFS(Grammys[[#This Row],[date]] &gt;= DATE(2022,2,1),"Grammys",TRUE,"Grammys TRA")</f>
        <v>Grammys TRA</v>
      </c>
      <c r="I386">
        <f>_xlfn.XLOOKUP(Grammys[[#This Row],[date]],mobile_visits[date],mobile_visits[mobile_visitors],0)</f>
        <v>0</v>
      </c>
      <c r="O386" s="1">
        <v>44977</v>
      </c>
      <c r="P386">
        <v>21944</v>
      </c>
    </row>
    <row r="387" spans="1:16">
      <c r="A387" s="1">
        <v>43121</v>
      </c>
      <c r="B387">
        <v>43352</v>
      </c>
      <c r="C387">
        <v>105697</v>
      </c>
      <c r="D387">
        <v>46839</v>
      </c>
      <c r="E387">
        <v>18464</v>
      </c>
      <c r="F387">
        <v>108</v>
      </c>
      <c r="G387" t="s">
        <v>83</v>
      </c>
      <c r="H387" t="str" cm="1">
        <f t="array" ref="H387">_xlfn.IFS(Grammys[[#This Row],[date]] &gt;= DATE(2022,2,1),"Grammys",TRUE,"Grammys TRA")</f>
        <v>Grammys TRA</v>
      </c>
      <c r="I387">
        <f>_xlfn.XLOOKUP(Grammys[[#This Row],[date]],mobile_visits[date],mobile_visits[mobile_visitors],0)</f>
        <v>0</v>
      </c>
      <c r="O387" s="1">
        <v>44978</v>
      </c>
      <c r="P387">
        <v>19161</v>
      </c>
    </row>
    <row r="388" spans="1:16">
      <c r="A388" s="1">
        <v>43122</v>
      </c>
      <c r="B388">
        <v>49380</v>
      </c>
      <c r="C388">
        <v>120459</v>
      </c>
      <c r="D388">
        <v>53238</v>
      </c>
      <c r="E388">
        <v>22621</v>
      </c>
      <c r="F388">
        <v>108</v>
      </c>
      <c r="G388" t="s">
        <v>83</v>
      </c>
      <c r="H388" t="str" cm="1">
        <f t="array" ref="H388">_xlfn.IFS(Grammys[[#This Row],[date]] &gt;= DATE(2022,2,1),"Grammys",TRUE,"Grammys TRA")</f>
        <v>Grammys TRA</v>
      </c>
      <c r="I388">
        <f>_xlfn.XLOOKUP(Grammys[[#This Row],[date]],mobile_visits[date],mobile_visits[mobile_visitors],0)</f>
        <v>0</v>
      </c>
      <c r="O388" s="1">
        <v>44979</v>
      </c>
      <c r="P388">
        <v>17351</v>
      </c>
    </row>
    <row r="389" spans="1:16">
      <c r="A389" s="1">
        <v>43123</v>
      </c>
      <c r="B389">
        <v>68206</v>
      </c>
      <c r="C389">
        <v>166205</v>
      </c>
      <c r="D389">
        <v>74059</v>
      </c>
      <c r="E389">
        <v>29906</v>
      </c>
      <c r="F389">
        <v>108</v>
      </c>
      <c r="G389" t="s">
        <v>83</v>
      </c>
      <c r="H389" t="str" cm="1">
        <f t="array" ref="H389">_xlfn.IFS(Grammys[[#This Row],[date]] &gt;= DATE(2022,2,1),"Grammys",TRUE,"Grammys TRA")</f>
        <v>Grammys TRA</v>
      </c>
      <c r="I389">
        <f>_xlfn.XLOOKUP(Grammys[[#This Row],[date]],mobile_visits[date],mobile_visits[mobile_visitors],0)</f>
        <v>0</v>
      </c>
      <c r="O389" s="1">
        <v>44980</v>
      </c>
      <c r="P389">
        <v>17987</v>
      </c>
    </row>
    <row r="390" spans="1:16">
      <c r="A390" s="1">
        <v>43124</v>
      </c>
      <c r="B390">
        <v>68203</v>
      </c>
      <c r="C390">
        <v>125934</v>
      </c>
      <c r="D390">
        <v>74786</v>
      </c>
      <c r="E390">
        <v>36563</v>
      </c>
      <c r="F390">
        <v>98</v>
      </c>
      <c r="G390" t="s">
        <v>83</v>
      </c>
      <c r="H390" t="str" cm="1">
        <f t="array" ref="H390">_xlfn.IFS(Grammys[[#This Row],[date]] &gt;= DATE(2022,2,1),"Grammys",TRUE,"Grammys TRA")</f>
        <v>Grammys TRA</v>
      </c>
      <c r="I390">
        <f>_xlfn.XLOOKUP(Grammys[[#This Row],[date]],mobile_visits[date],mobile_visits[mobile_visitors],0)</f>
        <v>0</v>
      </c>
      <c r="O390" s="1">
        <v>44981</v>
      </c>
      <c r="P390">
        <v>18504</v>
      </c>
    </row>
    <row r="391" spans="1:16">
      <c r="A391" s="1">
        <v>43125</v>
      </c>
      <c r="B391">
        <v>108074</v>
      </c>
      <c r="C391">
        <v>188772</v>
      </c>
      <c r="D391">
        <v>113915</v>
      </c>
      <c r="E391">
        <v>59589</v>
      </c>
      <c r="F391">
        <v>91</v>
      </c>
      <c r="G391" t="s">
        <v>83</v>
      </c>
      <c r="H391" t="str" cm="1">
        <f t="array" ref="H391">_xlfn.IFS(Grammys[[#This Row],[date]] &gt;= DATE(2022,2,1),"Grammys",TRUE,"Grammys TRA")</f>
        <v>Grammys TRA</v>
      </c>
      <c r="I391">
        <f>_xlfn.XLOOKUP(Grammys[[#This Row],[date]],mobile_visits[date],mobile_visits[mobile_visitors],0)</f>
        <v>0</v>
      </c>
      <c r="O391" s="1">
        <v>44982</v>
      </c>
      <c r="P391">
        <v>19528</v>
      </c>
    </row>
    <row r="392" spans="1:16">
      <c r="A392" s="1">
        <v>43126</v>
      </c>
      <c r="B392">
        <v>148597</v>
      </c>
      <c r="C392">
        <v>263485</v>
      </c>
      <c r="D392">
        <v>162553</v>
      </c>
      <c r="E392">
        <v>83520</v>
      </c>
      <c r="F392">
        <v>90</v>
      </c>
      <c r="G392" t="s">
        <v>83</v>
      </c>
      <c r="H392" t="str" cm="1">
        <f t="array" ref="H392">_xlfn.IFS(Grammys[[#This Row],[date]] &gt;= DATE(2022,2,1),"Grammys",TRUE,"Grammys TRA")</f>
        <v>Grammys TRA</v>
      </c>
      <c r="I392">
        <f>_xlfn.XLOOKUP(Grammys[[#This Row],[date]],mobile_visits[date],mobile_visits[mobile_visitors],0)</f>
        <v>0</v>
      </c>
      <c r="O392" s="1">
        <v>44983</v>
      </c>
      <c r="P392">
        <v>16500</v>
      </c>
    </row>
    <row r="393" spans="1:16">
      <c r="A393" s="1">
        <v>43127</v>
      </c>
      <c r="B393">
        <v>218441</v>
      </c>
      <c r="C393">
        <v>400447</v>
      </c>
      <c r="D393">
        <v>239369</v>
      </c>
      <c r="E393">
        <v>115879</v>
      </c>
      <c r="F393">
        <v>93</v>
      </c>
      <c r="G393" t="s">
        <v>85</v>
      </c>
      <c r="H393" t="str" cm="1">
        <f t="array" ref="H393">_xlfn.IFS(Grammys[[#This Row],[date]] &gt;= DATE(2022,2,1),"Grammys",TRUE,"Grammys TRA")</f>
        <v>Grammys TRA</v>
      </c>
      <c r="I393">
        <f>_xlfn.XLOOKUP(Grammys[[#This Row],[date]],mobile_visits[date],mobile_visits[mobile_visitors],0)</f>
        <v>0</v>
      </c>
      <c r="O393" s="1">
        <v>44984</v>
      </c>
      <c r="P393">
        <v>13909</v>
      </c>
    </row>
    <row r="394" spans="1:16">
      <c r="A394" s="1">
        <v>43128</v>
      </c>
      <c r="B394">
        <v>1609729</v>
      </c>
      <c r="C394">
        <v>5446407</v>
      </c>
      <c r="D394">
        <v>1934941</v>
      </c>
      <c r="E394">
        <v>612022</v>
      </c>
      <c r="F394">
        <v>221</v>
      </c>
      <c r="G394" t="s">
        <v>83</v>
      </c>
      <c r="H394" t="str" cm="1">
        <f t="array" ref="H394">_xlfn.IFS(Grammys[[#This Row],[date]] &gt;= DATE(2022,2,1),"Grammys",TRUE,"Grammys TRA")</f>
        <v>Grammys TRA</v>
      </c>
      <c r="I394">
        <f>_xlfn.XLOOKUP(Grammys[[#This Row],[date]],mobile_visits[date],mobile_visits[mobile_visitors],0)</f>
        <v>0</v>
      </c>
      <c r="O394" s="1">
        <v>44985</v>
      </c>
      <c r="P394">
        <v>13000</v>
      </c>
    </row>
    <row r="395" spans="1:16">
      <c r="A395" s="1">
        <v>43129</v>
      </c>
      <c r="B395">
        <v>727530</v>
      </c>
      <c r="C395">
        <v>1841975</v>
      </c>
      <c r="D395">
        <v>810777</v>
      </c>
      <c r="E395">
        <v>314663</v>
      </c>
      <c r="F395">
        <v>152</v>
      </c>
      <c r="G395" t="s">
        <v>83</v>
      </c>
      <c r="H395" t="str" cm="1">
        <f t="array" ref="H395">_xlfn.IFS(Grammys[[#This Row],[date]] &gt;= DATE(2022,2,1),"Grammys",TRUE,"Grammys TRA")</f>
        <v>Grammys TRA</v>
      </c>
      <c r="I395">
        <f>_xlfn.XLOOKUP(Grammys[[#This Row],[date]],mobile_visits[date],mobile_visits[mobile_visitors],0)</f>
        <v>0</v>
      </c>
      <c r="O395" s="1">
        <v>44986</v>
      </c>
      <c r="P395">
        <v>13525</v>
      </c>
    </row>
    <row r="396" spans="1:16">
      <c r="A396" s="1">
        <v>43130</v>
      </c>
      <c r="B396">
        <v>192235</v>
      </c>
      <c r="C396">
        <v>454551</v>
      </c>
      <c r="D396">
        <v>210881</v>
      </c>
      <c r="E396">
        <v>88760</v>
      </c>
      <c r="F396">
        <v>152</v>
      </c>
      <c r="G396" t="s">
        <v>83</v>
      </c>
      <c r="H396" t="str" cm="1">
        <f t="array" ref="H396">_xlfn.IFS(Grammys[[#This Row],[date]] &gt;= DATE(2022,2,1),"Grammys",TRUE,"Grammys TRA")</f>
        <v>Grammys TRA</v>
      </c>
      <c r="I396">
        <f>_xlfn.XLOOKUP(Grammys[[#This Row],[date]],mobile_visits[date],mobile_visits[mobile_visitors],0)</f>
        <v>0</v>
      </c>
      <c r="O396" s="1">
        <v>44987</v>
      </c>
      <c r="P396">
        <v>13476</v>
      </c>
    </row>
    <row r="397" spans="1:16">
      <c r="A397" s="1">
        <v>43131</v>
      </c>
      <c r="B397">
        <v>97311</v>
      </c>
      <c r="C397">
        <v>221899</v>
      </c>
      <c r="D397">
        <v>105589</v>
      </c>
      <c r="E397">
        <v>46090</v>
      </c>
      <c r="F397">
        <v>150</v>
      </c>
      <c r="G397" t="s">
        <v>83</v>
      </c>
      <c r="H397" t="str" cm="1">
        <f t="array" ref="H397">_xlfn.IFS(Grammys[[#This Row],[date]] &gt;= DATE(2022,2,1),"Grammys",TRUE,"Grammys TRA")</f>
        <v>Grammys TRA</v>
      </c>
      <c r="I397">
        <f>_xlfn.XLOOKUP(Grammys[[#This Row],[date]],mobile_visits[date],mobile_visits[mobile_visitors],0)</f>
        <v>0</v>
      </c>
      <c r="O397" s="1">
        <v>44988</v>
      </c>
      <c r="P397">
        <v>14381</v>
      </c>
    </row>
    <row r="398" spans="1:16">
      <c r="A398" s="1">
        <v>43132</v>
      </c>
      <c r="B398">
        <v>71273</v>
      </c>
      <c r="C398">
        <v>154508</v>
      </c>
      <c r="D398">
        <v>76868</v>
      </c>
      <c r="E398">
        <v>35098</v>
      </c>
      <c r="F398">
        <v>137</v>
      </c>
      <c r="G398" t="s">
        <v>83</v>
      </c>
      <c r="H398" t="str" cm="1">
        <f t="array" ref="H398">_xlfn.IFS(Grammys[[#This Row],[date]] &gt;= DATE(2022,2,1),"Grammys",TRUE,"Grammys TRA")</f>
        <v>Grammys TRA</v>
      </c>
      <c r="I398">
        <f>_xlfn.XLOOKUP(Grammys[[#This Row],[date]],mobile_visits[date],mobile_visits[mobile_visitors],0)</f>
        <v>0</v>
      </c>
      <c r="O398" s="1">
        <v>44989</v>
      </c>
      <c r="P398">
        <v>13706</v>
      </c>
    </row>
    <row r="399" spans="1:16">
      <c r="A399" s="1">
        <v>43133</v>
      </c>
      <c r="B399">
        <v>57626</v>
      </c>
      <c r="C399">
        <v>121012</v>
      </c>
      <c r="D399">
        <v>62334</v>
      </c>
      <c r="E399">
        <v>29541</v>
      </c>
      <c r="F399">
        <v>129</v>
      </c>
      <c r="G399" t="s">
        <v>83</v>
      </c>
      <c r="H399" t="str" cm="1">
        <f t="array" ref="H399">_xlfn.IFS(Grammys[[#This Row],[date]] &gt;= DATE(2022,2,1),"Grammys",TRUE,"Grammys TRA")</f>
        <v>Grammys TRA</v>
      </c>
      <c r="I399">
        <f>_xlfn.XLOOKUP(Grammys[[#This Row],[date]],mobile_visits[date],mobile_visits[mobile_visitors],0)</f>
        <v>0</v>
      </c>
      <c r="O399" s="1">
        <v>44990</v>
      </c>
      <c r="P399">
        <v>14903</v>
      </c>
    </row>
    <row r="400" spans="1:16">
      <c r="A400" s="1">
        <v>43134</v>
      </c>
      <c r="B400">
        <v>49644</v>
      </c>
      <c r="C400">
        <v>102467</v>
      </c>
      <c r="D400">
        <v>53676</v>
      </c>
      <c r="E400">
        <v>25921</v>
      </c>
      <c r="F400">
        <v>132</v>
      </c>
      <c r="G400" t="s">
        <v>83</v>
      </c>
      <c r="H400" t="str" cm="1">
        <f t="array" ref="H400">_xlfn.IFS(Grammys[[#This Row],[date]] &gt;= DATE(2022,2,1),"Grammys",TRUE,"Grammys TRA")</f>
        <v>Grammys TRA</v>
      </c>
      <c r="I400">
        <f>_xlfn.XLOOKUP(Grammys[[#This Row],[date]],mobile_visits[date],mobile_visits[mobile_visitors],0)</f>
        <v>0</v>
      </c>
      <c r="O400" s="1">
        <v>44991</v>
      </c>
      <c r="P400">
        <v>11923</v>
      </c>
    </row>
    <row r="401" spans="1:16">
      <c r="A401" s="1">
        <v>43135</v>
      </c>
      <c r="B401">
        <v>42646</v>
      </c>
      <c r="C401">
        <v>83790</v>
      </c>
      <c r="D401">
        <v>46103</v>
      </c>
      <c r="E401">
        <v>22683</v>
      </c>
      <c r="F401">
        <v>123</v>
      </c>
      <c r="G401" t="s">
        <v>83</v>
      </c>
      <c r="H401" t="str" cm="1">
        <f t="array" ref="H401">_xlfn.IFS(Grammys[[#This Row],[date]] &gt;= DATE(2022,2,1),"Grammys",TRUE,"Grammys TRA")</f>
        <v>Grammys TRA</v>
      </c>
      <c r="I401">
        <f>_xlfn.XLOOKUP(Grammys[[#This Row],[date]],mobile_visits[date],mobile_visits[mobile_visitors],0)</f>
        <v>0</v>
      </c>
      <c r="O401" s="1">
        <v>44992</v>
      </c>
      <c r="P401">
        <v>11724</v>
      </c>
    </row>
    <row r="402" spans="1:16">
      <c r="A402" s="1">
        <v>43136</v>
      </c>
      <c r="B402">
        <v>33561</v>
      </c>
      <c r="C402">
        <v>65429</v>
      </c>
      <c r="D402">
        <v>35648</v>
      </c>
      <c r="E402">
        <v>18074</v>
      </c>
      <c r="F402">
        <v>127</v>
      </c>
      <c r="G402" t="s">
        <v>83</v>
      </c>
      <c r="H402" t="str" cm="1">
        <f t="array" ref="H402">_xlfn.IFS(Grammys[[#This Row],[date]] &gt;= DATE(2022,2,1),"Grammys",TRUE,"Grammys TRA")</f>
        <v>Grammys TRA</v>
      </c>
      <c r="I402">
        <f>_xlfn.XLOOKUP(Grammys[[#This Row],[date]],mobile_visits[date],mobile_visits[mobile_visitors],0)</f>
        <v>0</v>
      </c>
      <c r="O402" s="1">
        <v>44993</v>
      </c>
      <c r="P402">
        <v>12007</v>
      </c>
    </row>
    <row r="403" spans="1:16">
      <c r="A403" s="1">
        <v>43137</v>
      </c>
      <c r="B403">
        <v>29671</v>
      </c>
      <c r="C403">
        <v>58188</v>
      </c>
      <c r="D403">
        <v>31942</v>
      </c>
      <c r="E403">
        <v>16112</v>
      </c>
      <c r="F403">
        <v>128</v>
      </c>
      <c r="G403" t="s">
        <v>83</v>
      </c>
      <c r="H403" t="str" cm="1">
        <f t="array" ref="H403">_xlfn.IFS(Grammys[[#This Row],[date]] &gt;= DATE(2022,2,1),"Grammys",TRUE,"Grammys TRA")</f>
        <v>Grammys TRA</v>
      </c>
      <c r="I403">
        <f>_xlfn.XLOOKUP(Grammys[[#This Row],[date]],mobile_visits[date],mobile_visits[mobile_visitors],0)</f>
        <v>0</v>
      </c>
      <c r="O403" s="1">
        <v>44994</v>
      </c>
      <c r="P403">
        <v>9995</v>
      </c>
    </row>
    <row r="404" spans="1:16">
      <c r="A404" s="1">
        <v>43138</v>
      </c>
      <c r="B404">
        <v>26192</v>
      </c>
      <c r="C404">
        <v>51669</v>
      </c>
      <c r="D404">
        <v>28333</v>
      </c>
      <c r="E404">
        <v>14456</v>
      </c>
      <c r="F404">
        <v>127</v>
      </c>
      <c r="G404" t="s">
        <v>83</v>
      </c>
      <c r="H404" t="str" cm="1">
        <f t="array" ref="H404">_xlfn.IFS(Grammys[[#This Row],[date]] &gt;= DATE(2022,2,1),"Grammys",TRUE,"Grammys TRA")</f>
        <v>Grammys TRA</v>
      </c>
      <c r="I404">
        <f>_xlfn.XLOOKUP(Grammys[[#This Row],[date]],mobile_visits[date],mobile_visits[mobile_visitors],0)</f>
        <v>0</v>
      </c>
      <c r="O404" s="1">
        <v>44995</v>
      </c>
      <c r="P404">
        <v>13750</v>
      </c>
    </row>
    <row r="405" spans="1:16">
      <c r="A405" s="1">
        <v>43139</v>
      </c>
      <c r="B405">
        <v>24574</v>
      </c>
      <c r="C405">
        <v>45856</v>
      </c>
      <c r="D405">
        <v>26199</v>
      </c>
      <c r="E405">
        <v>13446</v>
      </c>
      <c r="F405">
        <v>120</v>
      </c>
      <c r="G405" t="s">
        <v>83</v>
      </c>
      <c r="H405" t="str" cm="1">
        <f t="array" ref="H405">_xlfn.IFS(Grammys[[#This Row],[date]] &gt;= DATE(2022,2,1),"Grammys",TRUE,"Grammys TRA")</f>
        <v>Grammys TRA</v>
      </c>
      <c r="I405">
        <f>_xlfn.XLOOKUP(Grammys[[#This Row],[date]],mobile_visits[date],mobile_visits[mobile_visitors],0)</f>
        <v>0</v>
      </c>
      <c r="O405" s="1">
        <v>44996</v>
      </c>
      <c r="P405">
        <v>14707</v>
      </c>
    </row>
    <row r="406" spans="1:16">
      <c r="A406" s="1">
        <v>43140</v>
      </c>
      <c r="B406">
        <v>22637</v>
      </c>
      <c r="C406">
        <v>41945</v>
      </c>
      <c r="D406">
        <v>24302</v>
      </c>
      <c r="E406">
        <v>12569</v>
      </c>
      <c r="F406">
        <v>114</v>
      </c>
      <c r="G406" t="s">
        <v>83</v>
      </c>
      <c r="H406" t="str" cm="1">
        <f t="array" ref="H406">_xlfn.IFS(Grammys[[#This Row],[date]] &gt;= DATE(2022,2,1),"Grammys",TRUE,"Grammys TRA")</f>
        <v>Grammys TRA</v>
      </c>
      <c r="I406">
        <f>_xlfn.XLOOKUP(Grammys[[#This Row],[date]],mobile_visits[date],mobile_visits[mobile_visitors],0)</f>
        <v>0</v>
      </c>
      <c r="O406" s="1">
        <v>44997</v>
      </c>
      <c r="P406">
        <v>30240</v>
      </c>
    </row>
    <row r="407" spans="1:16">
      <c r="A407" s="1">
        <v>43141</v>
      </c>
      <c r="B407">
        <v>20196</v>
      </c>
      <c r="C407">
        <v>37309</v>
      </c>
      <c r="D407">
        <v>21866</v>
      </c>
      <c r="E407">
        <v>11554</v>
      </c>
      <c r="F407">
        <v>113</v>
      </c>
      <c r="G407" t="s">
        <v>83</v>
      </c>
      <c r="H407" t="str" cm="1">
        <f t="array" ref="H407">_xlfn.IFS(Grammys[[#This Row],[date]] &gt;= DATE(2022,2,1),"Grammys",TRUE,"Grammys TRA")</f>
        <v>Grammys TRA</v>
      </c>
      <c r="I407">
        <f>_xlfn.XLOOKUP(Grammys[[#This Row],[date]],mobile_visits[date],mobile_visits[mobile_visitors],0)</f>
        <v>0</v>
      </c>
      <c r="O407" s="1">
        <v>44998</v>
      </c>
      <c r="P407">
        <v>27142</v>
      </c>
    </row>
    <row r="408" spans="1:16">
      <c r="A408" s="1">
        <v>43142</v>
      </c>
      <c r="B408">
        <v>20338</v>
      </c>
      <c r="C408">
        <v>37770</v>
      </c>
      <c r="D408">
        <v>21661</v>
      </c>
      <c r="E408">
        <v>11446</v>
      </c>
      <c r="F408">
        <v>110</v>
      </c>
      <c r="G408" t="s">
        <v>83</v>
      </c>
      <c r="H408" t="str" cm="1">
        <f t="array" ref="H408">_xlfn.IFS(Grammys[[#This Row],[date]] &gt;= DATE(2022,2,1),"Grammys",TRUE,"Grammys TRA")</f>
        <v>Grammys TRA</v>
      </c>
      <c r="I408">
        <f>_xlfn.XLOOKUP(Grammys[[#This Row],[date]],mobile_visits[date],mobile_visits[mobile_visitors],0)</f>
        <v>0</v>
      </c>
      <c r="O408" s="1">
        <v>44999</v>
      </c>
      <c r="P408">
        <v>14831</v>
      </c>
    </row>
    <row r="409" spans="1:16">
      <c r="A409" s="1">
        <v>43143</v>
      </c>
      <c r="B409">
        <v>18409</v>
      </c>
      <c r="C409">
        <v>32714</v>
      </c>
      <c r="D409">
        <v>19975</v>
      </c>
      <c r="E409">
        <v>10999</v>
      </c>
      <c r="F409">
        <v>103</v>
      </c>
      <c r="G409" t="s">
        <v>83</v>
      </c>
      <c r="H409" t="str" cm="1">
        <f t="array" ref="H409">_xlfn.IFS(Grammys[[#This Row],[date]] &gt;= DATE(2022,2,1),"Grammys",TRUE,"Grammys TRA")</f>
        <v>Grammys TRA</v>
      </c>
      <c r="I409">
        <f>_xlfn.XLOOKUP(Grammys[[#This Row],[date]],mobile_visits[date],mobile_visits[mobile_visitors],0)</f>
        <v>0</v>
      </c>
      <c r="O409" s="1">
        <v>45000</v>
      </c>
      <c r="P409">
        <v>11827</v>
      </c>
    </row>
    <row r="410" spans="1:16">
      <c r="A410" s="1">
        <v>43144</v>
      </c>
      <c r="B410">
        <v>19598</v>
      </c>
      <c r="C410">
        <v>31984</v>
      </c>
      <c r="D410">
        <v>20994</v>
      </c>
      <c r="E410">
        <v>11577</v>
      </c>
      <c r="F410">
        <v>99</v>
      </c>
      <c r="G410" t="s">
        <v>83</v>
      </c>
      <c r="H410" t="str" cm="1">
        <f t="array" ref="H410">_xlfn.IFS(Grammys[[#This Row],[date]] &gt;= DATE(2022,2,1),"Grammys",TRUE,"Grammys TRA")</f>
        <v>Grammys TRA</v>
      </c>
      <c r="I410">
        <f>_xlfn.XLOOKUP(Grammys[[#This Row],[date]],mobile_visits[date],mobile_visits[mobile_visitors],0)</f>
        <v>0</v>
      </c>
      <c r="O410" s="1">
        <v>45001</v>
      </c>
      <c r="P410">
        <v>12088</v>
      </c>
    </row>
    <row r="411" spans="1:16">
      <c r="A411" s="1">
        <v>43145</v>
      </c>
      <c r="B411">
        <v>18250</v>
      </c>
      <c r="C411">
        <v>28243</v>
      </c>
      <c r="D411">
        <v>19391</v>
      </c>
      <c r="E411">
        <v>11104</v>
      </c>
      <c r="F411">
        <v>87</v>
      </c>
      <c r="G411" t="s">
        <v>83</v>
      </c>
      <c r="H411" t="str" cm="1">
        <f t="array" ref="H411">_xlfn.IFS(Grammys[[#This Row],[date]] &gt;= DATE(2022,2,1),"Grammys",TRUE,"Grammys TRA")</f>
        <v>Grammys TRA</v>
      </c>
      <c r="I411">
        <f>_xlfn.XLOOKUP(Grammys[[#This Row],[date]],mobile_visits[date],mobile_visits[mobile_visitors],0)</f>
        <v>0</v>
      </c>
      <c r="O411" s="1">
        <v>45002</v>
      </c>
      <c r="P411">
        <v>12260</v>
      </c>
    </row>
    <row r="412" spans="1:16">
      <c r="A412" s="1">
        <v>43146</v>
      </c>
      <c r="B412">
        <v>16454</v>
      </c>
      <c r="C412">
        <v>26273</v>
      </c>
      <c r="D412">
        <v>17483</v>
      </c>
      <c r="E412">
        <v>10062</v>
      </c>
      <c r="F412">
        <v>89</v>
      </c>
      <c r="G412" t="s">
        <v>83</v>
      </c>
      <c r="H412" t="str" cm="1">
        <f t="array" ref="H412">_xlfn.IFS(Grammys[[#This Row],[date]] &gt;= DATE(2022,2,1),"Grammys",TRUE,"Grammys TRA")</f>
        <v>Grammys TRA</v>
      </c>
      <c r="I412">
        <f>_xlfn.XLOOKUP(Grammys[[#This Row],[date]],mobile_visits[date],mobile_visits[mobile_visitors],0)</f>
        <v>0</v>
      </c>
      <c r="O412" s="1">
        <v>45003</v>
      </c>
      <c r="P412">
        <v>21774</v>
      </c>
    </row>
    <row r="413" spans="1:16">
      <c r="A413" s="1">
        <v>43147</v>
      </c>
      <c r="B413">
        <v>15437</v>
      </c>
      <c r="C413">
        <v>24523</v>
      </c>
      <c r="D413">
        <v>16367</v>
      </c>
      <c r="E413">
        <v>9639</v>
      </c>
      <c r="F413">
        <v>85</v>
      </c>
      <c r="G413" t="s">
        <v>83</v>
      </c>
      <c r="H413" t="str" cm="1">
        <f t="array" ref="H413">_xlfn.IFS(Grammys[[#This Row],[date]] &gt;= DATE(2022,2,1),"Grammys",TRUE,"Grammys TRA")</f>
        <v>Grammys TRA</v>
      </c>
      <c r="I413">
        <f>_xlfn.XLOOKUP(Grammys[[#This Row],[date]],mobile_visits[date],mobile_visits[mobile_visitors],0)</f>
        <v>0</v>
      </c>
      <c r="O413" s="1">
        <v>45004</v>
      </c>
      <c r="P413">
        <v>15335</v>
      </c>
    </row>
    <row r="414" spans="1:16">
      <c r="A414" s="1">
        <v>43148</v>
      </c>
      <c r="B414">
        <v>14342</v>
      </c>
      <c r="C414">
        <v>22603</v>
      </c>
      <c r="D414">
        <v>15224</v>
      </c>
      <c r="E414">
        <v>8925</v>
      </c>
      <c r="F414">
        <v>81</v>
      </c>
      <c r="G414" t="s">
        <v>83</v>
      </c>
      <c r="H414" t="str" cm="1">
        <f t="array" ref="H414">_xlfn.IFS(Grammys[[#This Row],[date]] &gt;= DATE(2022,2,1),"Grammys",TRUE,"Grammys TRA")</f>
        <v>Grammys TRA</v>
      </c>
      <c r="I414">
        <f>_xlfn.XLOOKUP(Grammys[[#This Row],[date]],mobile_visits[date],mobile_visits[mobile_visitors],0)</f>
        <v>0</v>
      </c>
      <c r="O414" s="1">
        <v>45005</v>
      </c>
      <c r="P414">
        <v>13784</v>
      </c>
    </row>
    <row r="415" spans="1:16">
      <c r="A415" s="1">
        <v>43149</v>
      </c>
      <c r="B415">
        <v>13962</v>
      </c>
      <c r="C415">
        <v>22198</v>
      </c>
      <c r="D415">
        <v>14881</v>
      </c>
      <c r="E415">
        <v>8923</v>
      </c>
      <c r="F415">
        <v>81</v>
      </c>
      <c r="G415" t="s">
        <v>83</v>
      </c>
      <c r="H415" t="str" cm="1">
        <f t="array" ref="H415">_xlfn.IFS(Grammys[[#This Row],[date]] &gt;= DATE(2022,2,1),"Grammys",TRUE,"Grammys TRA")</f>
        <v>Grammys TRA</v>
      </c>
      <c r="I415">
        <f>_xlfn.XLOOKUP(Grammys[[#This Row],[date]],mobile_visits[date],mobile_visits[mobile_visitors],0)</f>
        <v>0</v>
      </c>
      <c r="O415" s="1">
        <v>45006</v>
      </c>
      <c r="P415">
        <v>11060</v>
      </c>
    </row>
    <row r="416" spans="1:16">
      <c r="A416" s="1">
        <v>43150</v>
      </c>
      <c r="B416">
        <v>14807</v>
      </c>
      <c r="C416">
        <v>23125</v>
      </c>
      <c r="D416">
        <v>15714</v>
      </c>
      <c r="E416">
        <v>9831</v>
      </c>
      <c r="F416">
        <v>78</v>
      </c>
      <c r="G416" t="s">
        <v>83</v>
      </c>
      <c r="H416" t="str" cm="1">
        <f t="array" ref="H416">_xlfn.IFS(Grammys[[#This Row],[date]] &gt;= DATE(2022,2,1),"Grammys",TRUE,"Grammys TRA")</f>
        <v>Grammys TRA</v>
      </c>
      <c r="I416">
        <f>_xlfn.XLOOKUP(Grammys[[#This Row],[date]],mobile_visits[date],mobile_visits[mobile_visitors],0)</f>
        <v>0</v>
      </c>
      <c r="O416" s="1">
        <v>45007</v>
      </c>
      <c r="P416">
        <v>10638</v>
      </c>
    </row>
    <row r="417" spans="1:16">
      <c r="A417" s="1">
        <v>43151</v>
      </c>
      <c r="B417">
        <v>14557</v>
      </c>
      <c r="C417">
        <v>22345</v>
      </c>
      <c r="D417">
        <v>15249</v>
      </c>
      <c r="E417">
        <v>9098</v>
      </c>
      <c r="F417">
        <v>81</v>
      </c>
      <c r="G417" t="s">
        <v>83</v>
      </c>
      <c r="H417" t="str" cm="1">
        <f t="array" ref="H417">_xlfn.IFS(Grammys[[#This Row],[date]] &gt;= DATE(2022,2,1),"Grammys",TRUE,"Grammys TRA")</f>
        <v>Grammys TRA</v>
      </c>
      <c r="I417">
        <f>_xlfn.XLOOKUP(Grammys[[#This Row],[date]],mobile_visits[date],mobile_visits[mobile_visitors],0)</f>
        <v>0</v>
      </c>
      <c r="O417" s="1">
        <v>45008</v>
      </c>
      <c r="P417">
        <v>9839</v>
      </c>
    </row>
    <row r="418" spans="1:16">
      <c r="A418" s="1">
        <v>43152</v>
      </c>
      <c r="B418">
        <v>15137</v>
      </c>
      <c r="C418">
        <v>24313</v>
      </c>
      <c r="D418">
        <v>16096</v>
      </c>
      <c r="E418">
        <v>9478</v>
      </c>
      <c r="F418">
        <v>89</v>
      </c>
      <c r="G418" t="s">
        <v>83</v>
      </c>
      <c r="H418" t="str" cm="1">
        <f t="array" ref="H418">_xlfn.IFS(Grammys[[#This Row],[date]] &gt;= DATE(2022,2,1),"Grammys",TRUE,"Grammys TRA")</f>
        <v>Grammys TRA</v>
      </c>
      <c r="I418">
        <f>_xlfn.XLOOKUP(Grammys[[#This Row],[date]],mobile_visits[date],mobile_visits[mobile_visitors],0)</f>
        <v>0</v>
      </c>
      <c r="O418" s="1">
        <v>45009</v>
      </c>
      <c r="P418">
        <v>14981</v>
      </c>
    </row>
    <row r="419" spans="1:16">
      <c r="A419" s="1">
        <v>43153</v>
      </c>
      <c r="B419">
        <v>18111</v>
      </c>
      <c r="C419">
        <v>27823</v>
      </c>
      <c r="D419">
        <v>19264</v>
      </c>
      <c r="E419">
        <v>10700</v>
      </c>
      <c r="F419">
        <v>86</v>
      </c>
      <c r="G419" t="s">
        <v>83</v>
      </c>
      <c r="H419" t="str" cm="1">
        <f t="array" ref="H419">_xlfn.IFS(Grammys[[#This Row],[date]] &gt;= DATE(2022,2,1),"Grammys",TRUE,"Grammys TRA")</f>
        <v>Grammys TRA</v>
      </c>
      <c r="I419">
        <f>_xlfn.XLOOKUP(Grammys[[#This Row],[date]],mobile_visits[date],mobile_visits[mobile_visitors],0)</f>
        <v>0</v>
      </c>
      <c r="O419" s="1">
        <v>45010</v>
      </c>
      <c r="P419">
        <v>13858</v>
      </c>
    </row>
    <row r="420" spans="1:16">
      <c r="A420" s="1">
        <v>43154</v>
      </c>
      <c r="B420">
        <v>14628</v>
      </c>
      <c r="C420">
        <v>23056</v>
      </c>
      <c r="D420">
        <v>15644</v>
      </c>
      <c r="E420">
        <v>9082</v>
      </c>
      <c r="F420">
        <v>86</v>
      </c>
      <c r="G420" t="s">
        <v>83</v>
      </c>
      <c r="H420" t="str" cm="1">
        <f t="array" ref="H420">_xlfn.IFS(Grammys[[#This Row],[date]] &gt;= DATE(2022,2,1),"Grammys",TRUE,"Grammys TRA")</f>
        <v>Grammys TRA</v>
      </c>
      <c r="I420">
        <f>_xlfn.XLOOKUP(Grammys[[#This Row],[date]],mobile_visits[date],mobile_visits[mobile_visitors],0)</f>
        <v>0</v>
      </c>
      <c r="O420" s="1">
        <v>45011</v>
      </c>
      <c r="P420">
        <v>12445</v>
      </c>
    </row>
    <row r="421" spans="1:16">
      <c r="A421" s="1">
        <v>43155</v>
      </c>
      <c r="B421">
        <v>14230</v>
      </c>
      <c r="C421">
        <v>21663</v>
      </c>
      <c r="D421">
        <v>15125</v>
      </c>
      <c r="E421">
        <v>8576</v>
      </c>
      <c r="F421">
        <v>80</v>
      </c>
      <c r="G421" t="s">
        <v>83</v>
      </c>
      <c r="H421" t="str" cm="1">
        <f t="array" ref="H421">_xlfn.IFS(Grammys[[#This Row],[date]] &gt;= DATE(2022,2,1),"Grammys",TRUE,"Grammys TRA")</f>
        <v>Grammys TRA</v>
      </c>
      <c r="I421">
        <f>_xlfn.XLOOKUP(Grammys[[#This Row],[date]],mobile_visits[date],mobile_visits[mobile_visitors],0)</f>
        <v>0</v>
      </c>
      <c r="O421" s="1">
        <v>45012</v>
      </c>
      <c r="P421">
        <v>12654</v>
      </c>
    </row>
    <row r="422" spans="1:16">
      <c r="A422" s="1">
        <v>43156</v>
      </c>
      <c r="B422">
        <v>15115</v>
      </c>
      <c r="C422">
        <v>23188</v>
      </c>
      <c r="D422">
        <v>16015</v>
      </c>
      <c r="E422">
        <v>9499</v>
      </c>
      <c r="F422">
        <v>77</v>
      </c>
      <c r="G422" t="s">
        <v>83</v>
      </c>
      <c r="H422" t="str" cm="1">
        <f t="array" ref="H422">_xlfn.IFS(Grammys[[#This Row],[date]] &gt;= DATE(2022,2,1),"Grammys",TRUE,"Grammys TRA")</f>
        <v>Grammys TRA</v>
      </c>
      <c r="I422">
        <f>_xlfn.XLOOKUP(Grammys[[#This Row],[date]],mobile_visits[date],mobile_visits[mobile_visitors],0)</f>
        <v>0</v>
      </c>
      <c r="O422" s="1">
        <v>45013</v>
      </c>
      <c r="P422">
        <v>9996</v>
      </c>
    </row>
    <row r="423" spans="1:16">
      <c r="A423" s="1">
        <v>43157</v>
      </c>
      <c r="B423">
        <v>15376</v>
      </c>
      <c r="C423">
        <v>23608</v>
      </c>
      <c r="D423">
        <v>16312</v>
      </c>
      <c r="E423">
        <v>9722</v>
      </c>
      <c r="F423">
        <v>82</v>
      </c>
      <c r="G423" t="s">
        <v>83</v>
      </c>
      <c r="H423" t="str" cm="1">
        <f t="array" ref="H423">_xlfn.IFS(Grammys[[#This Row],[date]] &gt;= DATE(2022,2,1),"Grammys",TRUE,"Grammys TRA")</f>
        <v>Grammys TRA</v>
      </c>
      <c r="I423">
        <f>_xlfn.XLOOKUP(Grammys[[#This Row],[date]],mobile_visits[date],mobile_visits[mobile_visitors],0)</f>
        <v>0</v>
      </c>
      <c r="O423" s="1">
        <v>45014</v>
      </c>
      <c r="P423">
        <v>12356</v>
      </c>
    </row>
    <row r="424" spans="1:16">
      <c r="A424" s="1">
        <v>43158</v>
      </c>
      <c r="B424">
        <v>14965</v>
      </c>
      <c r="C424">
        <v>23642</v>
      </c>
      <c r="D424">
        <v>15825</v>
      </c>
      <c r="E424">
        <v>9437</v>
      </c>
      <c r="F424">
        <v>83</v>
      </c>
      <c r="G424" t="s">
        <v>83</v>
      </c>
      <c r="H424" t="str" cm="1">
        <f t="array" ref="H424">_xlfn.IFS(Grammys[[#This Row],[date]] &gt;= DATE(2022,2,1),"Grammys",TRUE,"Grammys TRA")</f>
        <v>Grammys TRA</v>
      </c>
      <c r="I424">
        <f>_xlfn.XLOOKUP(Grammys[[#This Row],[date]],mobile_visits[date],mobile_visits[mobile_visitors],0)</f>
        <v>0</v>
      </c>
      <c r="O424" s="1">
        <v>45015</v>
      </c>
      <c r="P424">
        <v>10260</v>
      </c>
    </row>
    <row r="425" spans="1:16">
      <c r="A425" s="1">
        <v>43159</v>
      </c>
      <c r="B425">
        <v>14252</v>
      </c>
      <c r="C425">
        <v>22652</v>
      </c>
      <c r="D425">
        <v>15049</v>
      </c>
      <c r="E425">
        <v>8885</v>
      </c>
      <c r="F425">
        <v>86</v>
      </c>
      <c r="G425" t="s">
        <v>83</v>
      </c>
      <c r="H425" t="str" cm="1">
        <f t="array" ref="H425">_xlfn.IFS(Grammys[[#This Row],[date]] &gt;= DATE(2022,2,1),"Grammys",TRUE,"Grammys TRA")</f>
        <v>Grammys TRA</v>
      </c>
      <c r="I425">
        <f>_xlfn.XLOOKUP(Grammys[[#This Row],[date]],mobile_visits[date],mobile_visits[mobile_visitors],0)</f>
        <v>0</v>
      </c>
      <c r="O425" s="1">
        <v>45016</v>
      </c>
      <c r="P425">
        <v>12473</v>
      </c>
    </row>
    <row r="426" spans="1:16">
      <c r="A426" s="1">
        <v>43160</v>
      </c>
      <c r="B426">
        <v>14424</v>
      </c>
      <c r="C426">
        <v>22484</v>
      </c>
      <c r="D426">
        <v>15255</v>
      </c>
      <c r="E426">
        <v>9077</v>
      </c>
      <c r="F426">
        <v>83</v>
      </c>
      <c r="G426" t="s">
        <v>83</v>
      </c>
      <c r="H426" t="str" cm="1">
        <f t="array" ref="H426">_xlfn.IFS(Grammys[[#This Row],[date]] &gt;= DATE(2022,2,1),"Grammys",TRUE,"Grammys TRA")</f>
        <v>Grammys TRA</v>
      </c>
      <c r="I426">
        <f>_xlfn.XLOOKUP(Grammys[[#This Row],[date]],mobile_visits[date],mobile_visits[mobile_visitors],0)</f>
        <v>0</v>
      </c>
      <c r="O426" s="1">
        <v>45017</v>
      </c>
      <c r="P426">
        <v>11907</v>
      </c>
    </row>
    <row r="427" spans="1:16">
      <c r="A427" s="1">
        <v>43161</v>
      </c>
      <c r="B427">
        <v>14341</v>
      </c>
      <c r="C427">
        <v>21964</v>
      </c>
      <c r="D427">
        <v>15224</v>
      </c>
      <c r="E427">
        <v>9062</v>
      </c>
      <c r="F427">
        <v>77</v>
      </c>
      <c r="G427" t="s">
        <v>83</v>
      </c>
      <c r="H427" t="str" cm="1">
        <f t="array" ref="H427">_xlfn.IFS(Grammys[[#This Row],[date]] &gt;= DATE(2022,2,1),"Grammys",TRUE,"Grammys TRA")</f>
        <v>Grammys TRA</v>
      </c>
      <c r="I427">
        <f>_xlfn.XLOOKUP(Grammys[[#This Row],[date]],mobile_visits[date],mobile_visits[mobile_visitors],0)</f>
        <v>0</v>
      </c>
      <c r="O427" s="1">
        <v>45018</v>
      </c>
      <c r="P427">
        <v>13318</v>
      </c>
    </row>
    <row r="428" spans="1:16">
      <c r="A428" s="1">
        <v>43162</v>
      </c>
      <c r="B428">
        <v>13462</v>
      </c>
      <c r="C428">
        <v>20612</v>
      </c>
      <c r="D428">
        <v>14217</v>
      </c>
      <c r="E428">
        <v>8485</v>
      </c>
      <c r="F428">
        <v>74</v>
      </c>
      <c r="G428" t="s">
        <v>83</v>
      </c>
      <c r="H428" t="str" cm="1">
        <f t="array" ref="H428">_xlfn.IFS(Grammys[[#This Row],[date]] &gt;= DATE(2022,2,1),"Grammys",TRUE,"Grammys TRA")</f>
        <v>Grammys TRA</v>
      </c>
      <c r="I428">
        <f>_xlfn.XLOOKUP(Grammys[[#This Row],[date]],mobile_visits[date],mobile_visits[mobile_visitors],0)</f>
        <v>0</v>
      </c>
      <c r="O428" s="1">
        <v>45019</v>
      </c>
      <c r="P428">
        <v>11796</v>
      </c>
    </row>
    <row r="429" spans="1:16">
      <c r="A429" s="1">
        <v>43163</v>
      </c>
      <c r="B429">
        <v>20413</v>
      </c>
      <c r="C429">
        <v>30671</v>
      </c>
      <c r="D429">
        <v>21564</v>
      </c>
      <c r="E429">
        <v>13342</v>
      </c>
      <c r="F429">
        <v>70</v>
      </c>
      <c r="G429" t="s">
        <v>83</v>
      </c>
      <c r="H429" t="str" cm="1">
        <f t="array" ref="H429">_xlfn.IFS(Grammys[[#This Row],[date]] &gt;= DATE(2022,2,1),"Grammys",TRUE,"Grammys TRA")</f>
        <v>Grammys TRA</v>
      </c>
      <c r="I429">
        <f>_xlfn.XLOOKUP(Grammys[[#This Row],[date]],mobile_visits[date],mobile_visits[mobile_visitors],0)</f>
        <v>0</v>
      </c>
      <c r="O429" s="1">
        <v>45020</v>
      </c>
      <c r="P429">
        <v>11657</v>
      </c>
    </row>
    <row r="430" spans="1:16">
      <c r="A430" s="1">
        <v>43164</v>
      </c>
      <c r="B430">
        <v>17573</v>
      </c>
      <c r="C430">
        <v>27105</v>
      </c>
      <c r="D430">
        <v>18688</v>
      </c>
      <c r="E430">
        <v>11439</v>
      </c>
      <c r="F430">
        <v>75</v>
      </c>
      <c r="G430" t="s">
        <v>83</v>
      </c>
      <c r="H430" t="str" cm="1">
        <f t="array" ref="H430">_xlfn.IFS(Grammys[[#This Row],[date]] &gt;= DATE(2022,2,1),"Grammys",TRUE,"Grammys TRA")</f>
        <v>Grammys TRA</v>
      </c>
      <c r="I430">
        <f>_xlfn.XLOOKUP(Grammys[[#This Row],[date]],mobile_visits[date],mobile_visits[mobile_visitors],0)</f>
        <v>0</v>
      </c>
      <c r="O430" s="1">
        <v>45021</v>
      </c>
      <c r="P430">
        <v>10566</v>
      </c>
    </row>
    <row r="431" spans="1:16">
      <c r="A431" s="1">
        <v>43165</v>
      </c>
      <c r="B431">
        <v>15571</v>
      </c>
      <c r="C431">
        <v>23846</v>
      </c>
      <c r="D431">
        <v>16543</v>
      </c>
      <c r="E431">
        <v>9701</v>
      </c>
      <c r="F431">
        <v>78</v>
      </c>
      <c r="G431" t="s">
        <v>83</v>
      </c>
      <c r="H431" t="str" cm="1">
        <f t="array" ref="H431">_xlfn.IFS(Grammys[[#This Row],[date]] &gt;= DATE(2022,2,1),"Grammys",TRUE,"Grammys TRA")</f>
        <v>Grammys TRA</v>
      </c>
      <c r="I431">
        <f>_xlfn.XLOOKUP(Grammys[[#This Row],[date]],mobile_visits[date],mobile_visits[mobile_visitors],0)</f>
        <v>0</v>
      </c>
      <c r="O431" s="1">
        <v>45022</v>
      </c>
      <c r="P431">
        <v>11591</v>
      </c>
    </row>
    <row r="432" spans="1:16">
      <c r="A432" s="1">
        <v>43166</v>
      </c>
      <c r="B432">
        <v>13895</v>
      </c>
      <c r="C432">
        <v>21700</v>
      </c>
      <c r="D432">
        <v>14866</v>
      </c>
      <c r="E432">
        <v>8974</v>
      </c>
      <c r="F432">
        <v>78</v>
      </c>
      <c r="G432" t="s">
        <v>83</v>
      </c>
      <c r="H432" t="str" cm="1">
        <f t="array" ref="H432">_xlfn.IFS(Grammys[[#This Row],[date]] &gt;= DATE(2022,2,1),"Grammys",TRUE,"Grammys TRA")</f>
        <v>Grammys TRA</v>
      </c>
      <c r="I432">
        <f>_xlfn.XLOOKUP(Grammys[[#This Row],[date]],mobile_visits[date],mobile_visits[mobile_visitors],0)</f>
        <v>0</v>
      </c>
      <c r="O432" s="1">
        <v>45023</v>
      </c>
      <c r="P432">
        <v>11106</v>
      </c>
    </row>
    <row r="433" spans="1:16">
      <c r="A433" s="1">
        <v>43167</v>
      </c>
      <c r="B433">
        <v>18045</v>
      </c>
      <c r="C433">
        <v>36689</v>
      </c>
      <c r="D433">
        <v>19241</v>
      </c>
      <c r="E433">
        <v>7047</v>
      </c>
      <c r="F433">
        <v>83</v>
      </c>
      <c r="G433" t="s">
        <v>83</v>
      </c>
      <c r="H433" t="str" cm="1">
        <f t="array" ref="H433">_xlfn.IFS(Grammys[[#This Row],[date]] &gt;= DATE(2022,2,1),"Grammys",TRUE,"Grammys TRA")</f>
        <v>Grammys TRA</v>
      </c>
      <c r="I433">
        <f>_xlfn.XLOOKUP(Grammys[[#This Row],[date]],mobile_visits[date],mobile_visits[mobile_visitors],0)</f>
        <v>0</v>
      </c>
      <c r="O433" s="1">
        <v>45024</v>
      </c>
      <c r="P433">
        <v>13127</v>
      </c>
    </row>
    <row r="434" spans="1:16">
      <c r="A434" s="1">
        <v>43168</v>
      </c>
      <c r="B434">
        <v>16433</v>
      </c>
      <c r="C434">
        <v>32319</v>
      </c>
      <c r="D434">
        <v>17298</v>
      </c>
      <c r="E434">
        <v>7181</v>
      </c>
      <c r="F434">
        <v>78</v>
      </c>
      <c r="G434" t="s">
        <v>83</v>
      </c>
      <c r="H434" t="str" cm="1">
        <f t="array" ref="H434">_xlfn.IFS(Grammys[[#This Row],[date]] &gt;= DATE(2022,2,1),"Grammys",TRUE,"Grammys TRA")</f>
        <v>Grammys TRA</v>
      </c>
      <c r="I434">
        <f>_xlfn.XLOOKUP(Grammys[[#This Row],[date]],mobile_visits[date],mobile_visits[mobile_visitors],0)</f>
        <v>0</v>
      </c>
      <c r="O434" s="1">
        <v>45025</v>
      </c>
      <c r="P434">
        <v>28592</v>
      </c>
    </row>
    <row r="435" spans="1:16">
      <c r="A435" s="1">
        <v>43169</v>
      </c>
      <c r="B435">
        <v>13153</v>
      </c>
      <c r="C435">
        <v>19936</v>
      </c>
      <c r="D435">
        <v>13967</v>
      </c>
      <c r="E435">
        <v>8523</v>
      </c>
      <c r="F435">
        <v>76</v>
      </c>
      <c r="G435" t="s">
        <v>83</v>
      </c>
      <c r="H435" t="str" cm="1">
        <f t="array" ref="H435">_xlfn.IFS(Grammys[[#This Row],[date]] &gt;= DATE(2022,2,1),"Grammys",TRUE,"Grammys TRA")</f>
        <v>Grammys TRA</v>
      </c>
      <c r="I435">
        <f>_xlfn.XLOOKUP(Grammys[[#This Row],[date]],mobile_visits[date],mobile_visits[mobile_visitors],0)</f>
        <v>0</v>
      </c>
      <c r="O435" s="1">
        <v>45026</v>
      </c>
      <c r="P435">
        <v>16195</v>
      </c>
    </row>
    <row r="436" spans="1:16">
      <c r="A436" s="1">
        <v>43170</v>
      </c>
      <c r="B436">
        <v>13166</v>
      </c>
      <c r="C436">
        <v>20129</v>
      </c>
      <c r="D436">
        <v>13972</v>
      </c>
      <c r="E436">
        <v>8420</v>
      </c>
      <c r="F436">
        <v>77</v>
      </c>
      <c r="G436" t="s">
        <v>83</v>
      </c>
      <c r="H436" t="str" cm="1">
        <f t="array" ref="H436">_xlfn.IFS(Grammys[[#This Row],[date]] &gt;= DATE(2022,2,1),"Grammys",TRUE,"Grammys TRA")</f>
        <v>Grammys TRA</v>
      </c>
      <c r="I436">
        <f>_xlfn.XLOOKUP(Grammys[[#This Row],[date]],mobile_visits[date],mobile_visits[mobile_visitors],0)</f>
        <v>0</v>
      </c>
      <c r="O436" s="1">
        <v>45027</v>
      </c>
      <c r="P436">
        <v>10960</v>
      </c>
    </row>
    <row r="437" spans="1:16">
      <c r="A437" s="1">
        <v>43171</v>
      </c>
      <c r="B437">
        <v>14960</v>
      </c>
      <c r="C437">
        <v>22542</v>
      </c>
      <c r="D437">
        <v>15710</v>
      </c>
      <c r="E437">
        <v>9629</v>
      </c>
      <c r="F437">
        <v>76</v>
      </c>
      <c r="G437" t="s">
        <v>83</v>
      </c>
      <c r="H437" t="str" cm="1">
        <f t="array" ref="H437">_xlfn.IFS(Grammys[[#This Row],[date]] &gt;= DATE(2022,2,1),"Grammys",TRUE,"Grammys TRA")</f>
        <v>Grammys TRA</v>
      </c>
      <c r="I437">
        <f>_xlfn.XLOOKUP(Grammys[[#This Row],[date]],mobile_visits[date],mobile_visits[mobile_visitors],0)</f>
        <v>0</v>
      </c>
      <c r="O437" s="1">
        <v>45028</v>
      </c>
      <c r="P437">
        <v>9748</v>
      </c>
    </row>
    <row r="438" spans="1:16">
      <c r="A438" s="1">
        <v>43172</v>
      </c>
      <c r="B438">
        <v>12650</v>
      </c>
      <c r="C438">
        <v>18902</v>
      </c>
      <c r="D438">
        <v>13167</v>
      </c>
      <c r="E438">
        <v>7803</v>
      </c>
      <c r="F438">
        <v>81</v>
      </c>
      <c r="G438" t="s">
        <v>83</v>
      </c>
      <c r="H438" t="str" cm="1">
        <f t="array" ref="H438">_xlfn.IFS(Grammys[[#This Row],[date]] &gt;= DATE(2022,2,1),"Grammys",TRUE,"Grammys TRA")</f>
        <v>Grammys TRA</v>
      </c>
      <c r="I438">
        <f>_xlfn.XLOOKUP(Grammys[[#This Row],[date]],mobile_visits[date],mobile_visits[mobile_visitors],0)</f>
        <v>0</v>
      </c>
      <c r="O438" s="1">
        <v>45029</v>
      </c>
      <c r="P438">
        <v>10076</v>
      </c>
    </row>
    <row r="439" spans="1:16">
      <c r="A439" s="1">
        <v>43173</v>
      </c>
      <c r="B439">
        <v>12623</v>
      </c>
      <c r="C439">
        <v>18381</v>
      </c>
      <c r="D439">
        <v>13029</v>
      </c>
      <c r="E439">
        <v>7617</v>
      </c>
      <c r="F439">
        <v>80</v>
      </c>
      <c r="G439" t="s">
        <v>83</v>
      </c>
      <c r="H439" t="str" cm="1">
        <f t="array" ref="H439">_xlfn.IFS(Grammys[[#This Row],[date]] &gt;= DATE(2022,2,1),"Grammys",TRUE,"Grammys TRA")</f>
        <v>Grammys TRA</v>
      </c>
      <c r="I439">
        <f>_xlfn.XLOOKUP(Grammys[[#This Row],[date]],mobile_visits[date],mobile_visits[mobile_visitors],0)</f>
        <v>0</v>
      </c>
      <c r="O439" s="1">
        <v>45030</v>
      </c>
      <c r="P439">
        <v>11806</v>
      </c>
    </row>
    <row r="440" spans="1:16">
      <c r="A440" s="1">
        <v>43174</v>
      </c>
      <c r="B440">
        <v>11401</v>
      </c>
      <c r="C440">
        <v>16916</v>
      </c>
      <c r="D440">
        <v>11832</v>
      </c>
      <c r="E440">
        <v>6980</v>
      </c>
      <c r="F440">
        <v>77</v>
      </c>
      <c r="G440" t="s">
        <v>83</v>
      </c>
      <c r="H440" t="str" cm="1">
        <f t="array" ref="H440">_xlfn.IFS(Grammys[[#This Row],[date]] &gt;= DATE(2022,2,1),"Grammys",TRUE,"Grammys TRA")</f>
        <v>Grammys TRA</v>
      </c>
      <c r="I440">
        <f>_xlfn.XLOOKUP(Grammys[[#This Row],[date]],mobile_visits[date],mobile_visits[mobile_visitors],0)</f>
        <v>0</v>
      </c>
      <c r="O440" s="1">
        <v>45031</v>
      </c>
      <c r="P440">
        <v>11785</v>
      </c>
    </row>
    <row r="441" spans="1:16">
      <c r="A441" s="1">
        <v>43175</v>
      </c>
      <c r="B441">
        <v>11065</v>
      </c>
      <c r="C441">
        <v>15929</v>
      </c>
      <c r="D441">
        <v>11447</v>
      </c>
      <c r="E441">
        <v>6749</v>
      </c>
      <c r="F441">
        <v>72</v>
      </c>
      <c r="G441" t="s">
        <v>83</v>
      </c>
      <c r="H441" t="str" cm="1">
        <f t="array" ref="H441">_xlfn.IFS(Grammys[[#This Row],[date]] &gt;= DATE(2022,2,1),"Grammys",TRUE,"Grammys TRA")</f>
        <v>Grammys TRA</v>
      </c>
      <c r="I441">
        <f>_xlfn.XLOOKUP(Grammys[[#This Row],[date]],mobile_visits[date],mobile_visits[mobile_visitors],0)</f>
        <v>0</v>
      </c>
      <c r="O441" s="1">
        <v>45032</v>
      </c>
      <c r="P441">
        <v>12254</v>
      </c>
    </row>
    <row r="442" spans="1:16">
      <c r="A442" s="1">
        <v>43176</v>
      </c>
      <c r="B442">
        <v>10333</v>
      </c>
      <c r="C442">
        <v>14987</v>
      </c>
      <c r="D442">
        <v>10714</v>
      </c>
      <c r="E442">
        <v>6251</v>
      </c>
      <c r="F442">
        <v>77</v>
      </c>
      <c r="G442" t="s">
        <v>83</v>
      </c>
      <c r="H442" t="str" cm="1">
        <f t="array" ref="H442">_xlfn.IFS(Grammys[[#This Row],[date]] &gt;= DATE(2022,2,1),"Grammys",TRUE,"Grammys TRA")</f>
        <v>Grammys TRA</v>
      </c>
      <c r="I442">
        <f>_xlfn.XLOOKUP(Grammys[[#This Row],[date]],mobile_visits[date],mobile_visits[mobile_visitors],0)</f>
        <v>0</v>
      </c>
      <c r="O442" s="1">
        <v>45033</v>
      </c>
      <c r="P442">
        <v>11900</v>
      </c>
    </row>
    <row r="443" spans="1:16">
      <c r="A443" s="1">
        <v>43177</v>
      </c>
      <c r="B443">
        <v>12536</v>
      </c>
      <c r="C443">
        <v>17448</v>
      </c>
      <c r="D443">
        <v>12801</v>
      </c>
      <c r="E443">
        <v>7997</v>
      </c>
      <c r="F443">
        <v>70</v>
      </c>
      <c r="G443" t="s">
        <v>83</v>
      </c>
      <c r="H443" t="str" cm="1">
        <f t="array" ref="H443">_xlfn.IFS(Grammys[[#This Row],[date]] &gt;= DATE(2022,2,1),"Grammys",TRUE,"Grammys TRA")</f>
        <v>Grammys TRA</v>
      </c>
      <c r="I443">
        <f>_xlfn.XLOOKUP(Grammys[[#This Row],[date]],mobile_visits[date],mobile_visits[mobile_visitors],0)</f>
        <v>0</v>
      </c>
      <c r="O443" s="1">
        <v>45034</v>
      </c>
      <c r="P443">
        <v>9823</v>
      </c>
    </row>
    <row r="444" spans="1:16">
      <c r="A444" s="1">
        <v>43178</v>
      </c>
      <c r="B444">
        <v>12171</v>
      </c>
      <c r="C444">
        <v>17647</v>
      </c>
      <c r="D444">
        <v>12598</v>
      </c>
      <c r="E444">
        <v>7467</v>
      </c>
      <c r="F444">
        <v>76</v>
      </c>
      <c r="G444" t="s">
        <v>83</v>
      </c>
      <c r="H444" t="str" cm="1">
        <f t="array" ref="H444">_xlfn.IFS(Grammys[[#This Row],[date]] &gt;= DATE(2022,2,1),"Grammys",TRUE,"Grammys TRA")</f>
        <v>Grammys TRA</v>
      </c>
      <c r="I444">
        <f>_xlfn.XLOOKUP(Grammys[[#This Row],[date]],mobile_visits[date],mobile_visits[mobile_visitors],0)</f>
        <v>0</v>
      </c>
      <c r="O444" s="1">
        <v>45035</v>
      </c>
      <c r="P444">
        <v>11113</v>
      </c>
    </row>
    <row r="445" spans="1:16">
      <c r="A445" s="1">
        <v>43179</v>
      </c>
      <c r="B445">
        <v>11870</v>
      </c>
      <c r="C445">
        <v>17751</v>
      </c>
      <c r="D445">
        <v>12335</v>
      </c>
      <c r="E445">
        <v>7267</v>
      </c>
      <c r="F445">
        <v>86</v>
      </c>
      <c r="G445" t="s">
        <v>83</v>
      </c>
      <c r="H445" t="str" cm="1">
        <f t="array" ref="H445">_xlfn.IFS(Grammys[[#This Row],[date]] &gt;= DATE(2022,2,1),"Grammys",TRUE,"Grammys TRA")</f>
        <v>Grammys TRA</v>
      </c>
      <c r="I445">
        <f>_xlfn.XLOOKUP(Grammys[[#This Row],[date]],mobile_visits[date],mobile_visits[mobile_visitors],0)</f>
        <v>0</v>
      </c>
      <c r="O445" s="1">
        <v>45036</v>
      </c>
      <c r="P445">
        <v>12558</v>
      </c>
    </row>
    <row r="446" spans="1:16">
      <c r="A446" s="1">
        <v>43180</v>
      </c>
      <c r="B446">
        <v>11377</v>
      </c>
      <c r="C446">
        <v>16460</v>
      </c>
      <c r="D446">
        <v>11654</v>
      </c>
      <c r="E446">
        <v>6892</v>
      </c>
      <c r="F446">
        <v>79</v>
      </c>
      <c r="G446" t="s">
        <v>83</v>
      </c>
      <c r="H446" t="str" cm="1">
        <f t="array" ref="H446">_xlfn.IFS(Grammys[[#This Row],[date]] &gt;= DATE(2022,2,1),"Grammys",TRUE,"Grammys TRA")</f>
        <v>Grammys TRA</v>
      </c>
      <c r="I446">
        <f>_xlfn.XLOOKUP(Grammys[[#This Row],[date]],mobile_visits[date],mobile_visits[mobile_visitors],0)</f>
        <v>0</v>
      </c>
      <c r="O446" s="1">
        <v>45037</v>
      </c>
      <c r="P446">
        <v>12684</v>
      </c>
    </row>
    <row r="447" spans="1:16">
      <c r="A447" s="1">
        <v>43181</v>
      </c>
      <c r="B447">
        <v>11892</v>
      </c>
      <c r="C447">
        <v>17304</v>
      </c>
      <c r="D447">
        <v>12215</v>
      </c>
      <c r="E447">
        <v>7116</v>
      </c>
      <c r="F447">
        <v>84</v>
      </c>
      <c r="G447" t="s">
        <v>83</v>
      </c>
      <c r="H447" t="str" cm="1">
        <f t="array" ref="H447">_xlfn.IFS(Grammys[[#This Row],[date]] &gt;= DATE(2022,2,1),"Grammys",TRUE,"Grammys TRA")</f>
        <v>Grammys TRA</v>
      </c>
      <c r="I447">
        <f>_xlfn.XLOOKUP(Grammys[[#This Row],[date]],mobile_visits[date],mobile_visits[mobile_visitors],0)</f>
        <v>0</v>
      </c>
      <c r="O447" s="1">
        <v>45038</v>
      </c>
      <c r="P447">
        <v>12440</v>
      </c>
    </row>
    <row r="448" spans="1:16">
      <c r="A448" s="1">
        <v>43182</v>
      </c>
      <c r="B448">
        <v>10390</v>
      </c>
      <c r="C448">
        <v>15230</v>
      </c>
      <c r="D448">
        <v>10893</v>
      </c>
      <c r="E448">
        <v>6398</v>
      </c>
      <c r="F448">
        <v>79</v>
      </c>
      <c r="G448" t="s">
        <v>83</v>
      </c>
      <c r="H448" t="str" cm="1">
        <f t="array" ref="H448">_xlfn.IFS(Grammys[[#This Row],[date]] &gt;= DATE(2022,2,1),"Grammys",TRUE,"Grammys TRA")</f>
        <v>Grammys TRA</v>
      </c>
      <c r="I448">
        <f>_xlfn.XLOOKUP(Grammys[[#This Row],[date]],mobile_visits[date],mobile_visits[mobile_visitors],0)</f>
        <v>0</v>
      </c>
      <c r="O448" s="1">
        <v>45039</v>
      </c>
      <c r="P448">
        <v>13024</v>
      </c>
    </row>
    <row r="449" spans="1:16">
      <c r="A449" s="1">
        <v>43183</v>
      </c>
      <c r="B449">
        <v>13761</v>
      </c>
      <c r="C449">
        <v>18858</v>
      </c>
      <c r="D449">
        <v>14345</v>
      </c>
      <c r="E449">
        <v>7061</v>
      </c>
      <c r="F449">
        <v>67</v>
      </c>
      <c r="G449" t="s">
        <v>83</v>
      </c>
      <c r="H449" t="str" cm="1">
        <f t="array" ref="H449">_xlfn.IFS(Grammys[[#This Row],[date]] &gt;= DATE(2022,2,1),"Grammys",TRUE,"Grammys TRA")</f>
        <v>Grammys TRA</v>
      </c>
      <c r="I449">
        <f>_xlfn.XLOOKUP(Grammys[[#This Row],[date]],mobile_visits[date],mobile_visits[mobile_visitors],0)</f>
        <v>0</v>
      </c>
      <c r="O449" s="1">
        <v>45040</v>
      </c>
      <c r="P449">
        <v>12430</v>
      </c>
    </row>
    <row r="450" spans="1:16">
      <c r="A450" s="1">
        <v>43184</v>
      </c>
      <c r="B450">
        <v>11217</v>
      </c>
      <c r="C450">
        <v>16236</v>
      </c>
      <c r="D450">
        <v>11672</v>
      </c>
      <c r="E450">
        <v>6609</v>
      </c>
      <c r="F450">
        <v>76</v>
      </c>
      <c r="G450" t="s">
        <v>83</v>
      </c>
      <c r="H450" t="str" cm="1">
        <f t="array" ref="H450">_xlfn.IFS(Grammys[[#This Row],[date]] &gt;= DATE(2022,2,1),"Grammys",TRUE,"Grammys TRA")</f>
        <v>Grammys TRA</v>
      </c>
      <c r="I450">
        <f>_xlfn.XLOOKUP(Grammys[[#This Row],[date]],mobile_visits[date],mobile_visits[mobile_visitors],0)</f>
        <v>0</v>
      </c>
      <c r="O450" s="1">
        <v>45041</v>
      </c>
      <c r="P450">
        <v>10518</v>
      </c>
    </row>
    <row r="451" spans="1:16">
      <c r="A451" s="1">
        <v>43185</v>
      </c>
      <c r="B451">
        <v>11018</v>
      </c>
      <c r="C451">
        <v>16205</v>
      </c>
      <c r="D451">
        <v>11400</v>
      </c>
      <c r="E451">
        <v>6655</v>
      </c>
      <c r="F451">
        <v>84</v>
      </c>
      <c r="G451" t="s">
        <v>83</v>
      </c>
      <c r="H451" t="str" cm="1">
        <f t="array" ref="H451">_xlfn.IFS(Grammys[[#This Row],[date]] &gt;= DATE(2022,2,1),"Grammys",TRUE,"Grammys TRA")</f>
        <v>Grammys TRA</v>
      </c>
      <c r="I451">
        <f>_xlfn.XLOOKUP(Grammys[[#This Row],[date]],mobile_visits[date],mobile_visits[mobile_visitors],0)</f>
        <v>0</v>
      </c>
      <c r="O451" s="1">
        <v>45042</v>
      </c>
      <c r="P451">
        <v>8854</v>
      </c>
    </row>
    <row r="452" spans="1:16">
      <c r="A452" s="1">
        <v>43186</v>
      </c>
      <c r="B452">
        <v>11937</v>
      </c>
      <c r="C452">
        <v>17194</v>
      </c>
      <c r="D452">
        <v>12467</v>
      </c>
      <c r="E452">
        <v>7199</v>
      </c>
      <c r="F452">
        <v>74</v>
      </c>
      <c r="G452" t="s">
        <v>83</v>
      </c>
      <c r="H452" t="str" cm="1">
        <f t="array" ref="H452">_xlfn.IFS(Grammys[[#This Row],[date]] &gt;= DATE(2022,2,1),"Grammys",TRUE,"Grammys TRA")</f>
        <v>Grammys TRA</v>
      </c>
      <c r="I452">
        <f>_xlfn.XLOOKUP(Grammys[[#This Row],[date]],mobile_visits[date],mobile_visits[mobile_visitors],0)</f>
        <v>0</v>
      </c>
      <c r="O452" s="1">
        <v>45043</v>
      </c>
      <c r="P452">
        <v>7546</v>
      </c>
    </row>
    <row r="453" spans="1:16">
      <c r="A453" s="1">
        <v>43187</v>
      </c>
      <c r="B453">
        <v>11564</v>
      </c>
      <c r="C453">
        <v>16114</v>
      </c>
      <c r="D453">
        <v>11798</v>
      </c>
      <c r="E453">
        <v>6787</v>
      </c>
      <c r="F453">
        <v>72</v>
      </c>
      <c r="G453" t="s">
        <v>83</v>
      </c>
      <c r="H453" t="str" cm="1">
        <f t="array" ref="H453">_xlfn.IFS(Grammys[[#This Row],[date]] &gt;= DATE(2022,2,1),"Grammys",TRUE,"Grammys TRA")</f>
        <v>Grammys TRA</v>
      </c>
      <c r="I453">
        <f>_xlfn.XLOOKUP(Grammys[[#This Row],[date]],mobile_visits[date],mobile_visits[mobile_visitors],0)</f>
        <v>0</v>
      </c>
      <c r="O453" s="1">
        <v>45044</v>
      </c>
      <c r="P453">
        <v>8888</v>
      </c>
    </row>
    <row r="454" spans="1:16">
      <c r="A454" s="1">
        <v>43188</v>
      </c>
      <c r="B454">
        <v>10577</v>
      </c>
      <c r="C454">
        <v>15037</v>
      </c>
      <c r="D454">
        <v>11006</v>
      </c>
      <c r="E454">
        <v>6504</v>
      </c>
      <c r="F454">
        <v>78</v>
      </c>
      <c r="G454" t="s">
        <v>83</v>
      </c>
      <c r="H454" t="str" cm="1">
        <f t="array" ref="H454">_xlfn.IFS(Grammys[[#This Row],[date]] &gt;= DATE(2022,2,1),"Grammys",TRUE,"Grammys TRA")</f>
        <v>Grammys TRA</v>
      </c>
      <c r="I454">
        <f>_xlfn.XLOOKUP(Grammys[[#This Row],[date]],mobile_visits[date],mobile_visits[mobile_visitors],0)</f>
        <v>0</v>
      </c>
      <c r="O454" s="1">
        <v>45045</v>
      </c>
      <c r="P454">
        <v>9372</v>
      </c>
    </row>
    <row r="455" spans="1:16">
      <c r="A455" s="1">
        <v>43189</v>
      </c>
      <c r="B455">
        <v>14669</v>
      </c>
      <c r="C455">
        <v>19334</v>
      </c>
      <c r="D455">
        <v>15052</v>
      </c>
      <c r="E455">
        <v>7558</v>
      </c>
      <c r="F455">
        <v>74</v>
      </c>
      <c r="G455" t="s">
        <v>83</v>
      </c>
      <c r="H455" t="str" cm="1">
        <f t="array" ref="H455">_xlfn.IFS(Grammys[[#This Row],[date]] &gt;= DATE(2022,2,1),"Grammys",TRUE,"Grammys TRA")</f>
        <v>Grammys TRA</v>
      </c>
      <c r="I455">
        <f>_xlfn.XLOOKUP(Grammys[[#This Row],[date]],mobile_visits[date],mobile_visits[mobile_visitors],0)</f>
        <v>0</v>
      </c>
      <c r="O455" s="1">
        <v>45046</v>
      </c>
      <c r="P455">
        <v>10011</v>
      </c>
    </row>
    <row r="456" spans="1:16">
      <c r="A456" s="1">
        <v>43190</v>
      </c>
      <c r="B456">
        <v>12940</v>
      </c>
      <c r="C456">
        <v>17515</v>
      </c>
      <c r="D456">
        <v>13226</v>
      </c>
      <c r="E456">
        <v>7426</v>
      </c>
      <c r="F456">
        <v>68</v>
      </c>
      <c r="G456" t="s">
        <v>83</v>
      </c>
      <c r="H456" t="str" cm="1">
        <f t="array" ref="H456">_xlfn.IFS(Grammys[[#This Row],[date]] &gt;= DATE(2022,2,1),"Grammys",TRUE,"Grammys TRA")</f>
        <v>Grammys TRA</v>
      </c>
      <c r="I456">
        <f>_xlfn.XLOOKUP(Grammys[[#This Row],[date]],mobile_visits[date],mobile_visits[mobile_visitors],0)</f>
        <v>0</v>
      </c>
      <c r="O456" s="1">
        <v>45047</v>
      </c>
      <c r="P456">
        <v>11833</v>
      </c>
    </row>
    <row r="457" spans="1:16">
      <c r="A457" s="1">
        <v>43191</v>
      </c>
      <c r="B457">
        <v>10324</v>
      </c>
      <c r="C457">
        <v>14529</v>
      </c>
      <c r="D457">
        <v>10544</v>
      </c>
      <c r="E457">
        <v>6237</v>
      </c>
      <c r="F457">
        <v>75</v>
      </c>
      <c r="G457" t="s">
        <v>83</v>
      </c>
      <c r="H457" t="str" cm="1">
        <f t="array" ref="H457">_xlfn.IFS(Grammys[[#This Row],[date]] &gt;= DATE(2022,2,1),"Grammys",TRUE,"Grammys TRA")</f>
        <v>Grammys TRA</v>
      </c>
      <c r="I457">
        <f>_xlfn.XLOOKUP(Grammys[[#This Row],[date]],mobile_visits[date],mobile_visits[mobile_visitors],0)</f>
        <v>0</v>
      </c>
      <c r="O457" s="1">
        <v>45048</v>
      </c>
      <c r="P457">
        <v>13740</v>
      </c>
    </row>
    <row r="458" spans="1:16">
      <c r="A458" s="1">
        <v>43192</v>
      </c>
      <c r="B458">
        <v>10708</v>
      </c>
      <c r="C458">
        <v>15752</v>
      </c>
      <c r="D458">
        <v>11194</v>
      </c>
      <c r="E458">
        <v>6693</v>
      </c>
      <c r="F458">
        <v>78</v>
      </c>
      <c r="G458" t="s">
        <v>83</v>
      </c>
      <c r="H458" t="str" cm="1">
        <f t="array" ref="H458">_xlfn.IFS(Grammys[[#This Row],[date]] &gt;= DATE(2022,2,1),"Grammys",TRUE,"Grammys TRA")</f>
        <v>Grammys TRA</v>
      </c>
      <c r="I458">
        <f>_xlfn.XLOOKUP(Grammys[[#This Row],[date]],mobile_visits[date],mobile_visits[mobile_visitors],0)</f>
        <v>0</v>
      </c>
      <c r="O458" s="1">
        <v>45049</v>
      </c>
      <c r="P458">
        <v>10769</v>
      </c>
    </row>
    <row r="459" spans="1:16">
      <c r="A459" s="1">
        <v>43193</v>
      </c>
      <c r="B459">
        <v>11391</v>
      </c>
      <c r="C459">
        <v>16220</v>
      </c>
      <c r="D459">
        <v>11647</v>
      </c>
      <c r="E459">
        <v>6826</v>
      </c>
      <c r="F459">
        <v>71</v>
      </c>
      <c r="G459" t="s">
        <v>83</v>
      </c>
      <c r="H459" t="str" cm="1">
        <f t="array" ref="H459">_xlfn.IFS(Grammys[[#This Row],[date]] &gt;= DATE(2022,2,1),"Grammys",TRUE,"Grammys TRA")</f>
        <v>Grammys TRA</v>
      </c>
      <c r="I459">
        <f>_xlfn.XLOOKUP(Grammys[[#This Row],[date]],mobile_visits[date],mobile_visits[mobile_visitors],0)</f>
        <v>0</v>
      </c>
      <c r="O459" s="1">
        <v>45050</v>
      </c>
      <c r="P459">
        <v>10421</v>
      </c>
    </row>
    <row r="460" spans="1:16">
      <c r="A460" s="1">
        <v>43194</v>
      </c>
      <c r="B460">
        <v>10868</v>
      </c>
      <c r="C460">
        <v>15648</v>
      </c>
      <c r="D460">
        <v>11330</v>
      </c>
      <c r="E460">
        <v>6699</v>
      </c>
      <c r="F460">
        <v>74</v>
      </c>
      <c r="G460" t="s">
        <v>83</v>
      </c>
      <c r="H460" t="str" cm="1">
        <f t="array" ref="H460">_xlfn.IFS(Grammys[[#This Row],[date]] &gt;= DATE(2022,2,1),"Grammys",TRUE,"Grammys TRA")</f>
        <v>Grammys TRA</v>
      </c>
      <c r="I460">
        <f>_xlfn.XLOOKUP(Grammys[[#This Row],[date]],mobile_visits[date],mobile_visits[mobile_visitors],0)</f>
        <v>0</v>
      </c>
      <c r="O460" s="1">
        <v>45051</v>
      </c>
      <c r="P460">
        <v>8569</v>
      </c>
    </row>
    <row r="461" spans="1:16">
      <c r="A461" s="1">
        <v>43195</v>
      </c>
      <c r="B461">
        <v>12621</v>
      </c>
      <c r="C461">
        <v>17980</v>
      </c>
      <c r="D461">
        <v>13104</v>
      </c>
      <c r="E461">
        <v>8113</v>
      </c>
      <c r="F461">
        <v>69</v>
      </c>
      <c r="G461" t="s">
        <v>83</v>
      </c>
      <c r="H461" t="str" cm="1">
        <f t="array" ref="H461">_xlfn.IFS(Grammys[[#This Row],[date]] &gt;= DATE(2022,2,1),"Grammys",TRUE,"Grammys TRA")</f>
        <v>Grammys TRA</v>
      </c>
      <c r="I461">
        <f>_xlfn.XLOOKUP(Grammys[[#This Row],[date]],mobile_visits[date],mobile_visits[mobile_visitors],0)</f>
        <v>0</v>
      </c>
      <c r="O461" s="1">
        <v>45052</v>
      </c>
      <c r="P461">
        <v>9095</v>
      </c>
    </row>
    <row r="462" spans="1:16">
      <c r="A462" s="1">
        <v>43196</v>
      </c>
      <c r="B462">
        <v>14754</v>
      </c>
      <c r="C462">
        <v>19798</v>
      </c>
      <c r="D462">
        <v>15095</v>
      </c>
      <c r="E462">
        <v>7691</v>
      </c>
      <c r="F462">
        <v>71</v>
      </c>
      <c r="G462" t="s">
        <v>83</v>
      </c>
      <c r="H462" t="str" cm="1">
        <f t="array" ref="H462">_xlfn.IFS(Grammys[[#This Row],[date]] &gt;= DATE(2022,2,1),"Grammys",TRUE,"Grammys TRA")</f>
        <v>Grammys TRA</v>
      </c>
      <c r="I462">
        <f>_xlfn.XLOOKUP(Grammys[[#This Row],[date]],mobile_visits[date],mobile_visits[mobile_visitors],0)</f>
        <v>0</v>
      </c>
      <c r="O462" s="1">
        <v>45053</v>
      </c>
      <c r="P462">
        <v>9664</v>
      </c>
    </row>
    <row r="463" spans="1:16">
      <c r="A463" s="1">
        <v>43197</v>
      </c>
      <c r="B463">
        <v>13945</v>
      </c>
      <c r="C463">
        <v>18796</v>
      </c>
      <c r="D463">
        <v>14281</v>
      </c>
      <c r="E463">
        <v>7569</v>
      </c>
      <c r="F463">
        <v>70</v>
      </c>
      <c r="G463" t="s">
        <v>83</v>
      </c>
      <c r="H463" t="str" cm="1">
        <f t="array" ref="H463">_xlfn.IFS(Grammys[[#This Row],[date]] &gt;= DATE(2022,2,1),"Grammys",TRUE,"Grammys TRA")</f>
        <v>Grammys TRA</v>
      </c>
      <c r="I463">
        <f>_xlfn.XLOOKUP(Grammys[[#This Row],[date]],mobile_visits[date],mobile_visits[mobile_visitors],0)</f>
        <v>0</v>
      </c>
      <c r="O463" s="1">
        <v>45054</v>
      </c>
      <c r="P463">
        <v>18116</v>
      </c>
    </row>
    <row r="464" spans="1:16">
      <c r="A464" s="1">
        <v>43198</v>
      </c>
      <c r="B464">
        <v>12451</v>
      </c>
      <c r="C464">
        <v>17427</v>
      </c>
      <c r="D464">
        <v>12844</v>
      </c>
      <c r="E464">
        <v>7350</v>
      </c>
      <c r="F464">
        <v>71</v>
      </c>
      <c r="G464" t="s">
        <v>83</v>
      </c>
      <c r="H464" t="str" cm="1">
        <f t="array" ref="H464">_xlfn.IFS(Grammys[[#This Row],[date]] &gt;= DATE(2022,2,1),"Grammys",TRUE,"Grammys TRA")</f>
        <v>Grammys TRA</v>
      </c>
      <c r="I464">
        <f>_xlfn.XLOOKUP(Grammys[[#This Row],[date]],mobile_visits[date],mobile_visits[mobile_visitors],0)</f>
        <v>0</v>
      </c>
      <c r="O464" s="1">
        <v>45055</v>
      </c>
      <c r="P464">
        <v>15006</v>
      </c>
    </row>
    <row r="465" spans="1:16">
      <c r="A465" s="1">
        <v>43199</v>
      </c>
      <c r="B465">
        <v>13034</v>
      </c>
      <c r="C465">
        <v>19018</v>
      </c>
      <c r="D465">
        <v>13480</v>
      </c>
      <c r="E465">
        <v>7722</v>
      </c>
      <c r="F465">
        <v>74</v>
      </c>
      <c r="G465" t="s">
        <v>83</v>
      </c>
      <c r="H465" t="str" cm="1">
        <f t="array" ref="H465">_xlfn.IFS(Grammys[[#This Row],[date]] &gt;= DATE(2022,2,1),"Grammys",TRUE,"Grammys TRA")</f>
        <v>Grammys TRA</v>
      </c>
      <c r="I465">
        <f>_xlfn.XLOOKUP(Grammys[[#This Row],[date]],mobile_visits[date],mobile_visits[mobile_visitors],0)</f>
        <v>0</v>
      </c>
      <c r="O465" s="1">
        <v>45056</v>
      </c>
      <c r="P465">
        <v>19099</v>
      </c>
    </row>
    <row r="466" spans="1:16">
      <c r="A466" s="1">
        <v>43200</v>
      </c>
      <c r="B466">
        <v>24432</v>
      </c>
      <c r="C466">
        <v>35926</v>
      </c>
      <c r="D466">
        <v>25403</v>
      </c>
      <c r="E466">
        <v>13406</v>
      </c>
      <c r="F466">
        <v>81</v>
      </c>
      <c r="G466" t="s">
        <v>83</v>
      </c>
      <c r="H466" t="str" cm="1">
        <f t="array" ref="H466">_xlfn.IFS(Grammys[[#This Row],[date]] &gt;= DATE(2022,2,1),"Grammys",TRUE,"Grammys TRA")</f>
        <v>Grammys TRA</v>
      </c>
      <c r="I466">
        <f>_xlfn.XLOOKUP(Grammys[[#This Row],[date]],mobile_visits[date],mobile_visits[mobile_visitors],0)</f>
        <v>0</v>
      </c>
      <c r="O466" s="1">
        <v>45057</v>
      </c>
      <c r="P466">
        <v>14490</v>
      </c>
    </row>
    <row r="467" spans="1:16">
      <c r="A467" s="1">
        <v>43201</v>
      </c>
      <c r="B467">
        <v>22569</v>
      </c>
      <c r="C467">
        <v>33376</v>
      </c>
      <c r="D467">
        <v>23297</v>
      </c>
      <c r="E467">
        <v>11262</v>
      </c>
      <c r="F467">
        <v>80</v>
      </c>
      <c r="G467" t="s">
        <v>83</v>
      </c>
      <c r="H467" t="str" cm="1">
        <f t="array" ref="H467">_xlfn.IFS(Grammys[[#This Row],[date]] &gt;= DATE(2022,2,1),"Grammys",TRUE,"Grammys TRA")</f>
        <v>Grammys TRA</v>
      </c>
      <c r="I467">
        <f>_xlfn.XLOOKUP(Grammys[[#This Row],[date]],mobile_visits[date],mobile_visits[mobile_visitors],0)</f>
        <v>0</v>
      </c>
      <c r="O467" s="1">
        <v>45058</v>
      </c>
      <c r="P467">
        <v>12174</v>
      </c>
    </row>
    <row r="468" spans="1:16">
      <c r="A468" s="1">
        <v>43202</v>
      </c>
      <c r="B468">
        <v>16688</v>
      </c>
      <c r="C468">
        <v>24528</v>
      </c>
      <c r="D468">
        <v>17327</v>
      </c>
      <c r="E468">
        <v>9768</v>
      </c>
      <c r="F468">
        <v>75</v>
      </c>
      <c r="G468" t="s">
        <v>83</v>
      </c>
      <c r="H468" t="str" cm="1">
        <f t="array" ref="H468">_xlfn.IFS(Grammys[[#This Row],[date]] &gt;= DATE(2022,2,1),"Grammys",TRUE,"Grammys TRA")</f>
        <v>Grammys TRA</v>
      </c>
      <c r="I468">
        <f>_xlfn.XLOOKUP(Grammys[[#This Row],[date]],mobile_visits[date],mobile_visits[mobile_visitors],0)</f>
        <v>0</v>
      </c>
      <c r="O468" s="1">
        <v>45059</v>
      </c>
      <c r="P468">
        <v>11056</v>
      </c>
    </row>
    <row r="469" spans="1:16">
      <c r="A469" s="1">
        <v>43203</v>
      </c>
      <c r="B469">
        <v>13873</v>
      </c>
      <c r="C469">
        <v>20125</v>
      </c>
      <c r="D469">
        <v>14311</v>
      </c>
      <c r="E469">
        <v>7986</v>
      </c>
      <c r="F469">
        <v>75</v>
      </c>
      <c r="G469" t="s">
        <v>83</v>
      </c>
      <c r="H469" t="str" cm="1">
        <f t="array" ref="H469">_xlfn.IFS(Grammys[[#This Row],[date]] &gt;= DATE(2022,2,1),"Grammys",TRUE,"Grammys TRA")</f>
        <v>Grammys TRA</v>
      </c>
      <c r="I469">
        <f>_xlfn.XLOOKUP(Grammys[[#This Row],[date]],mobile_visits[date],mobile_visits[mobile_visitors],0)</f>
        <v>0</v>
      </c>
      <c r="O469" s="1">
        <v>45060</v>
      </c>
      <c r="P469">
        <v>14688</v>
      </c>
    </row>
    <row r="470" spans="1:16">
      <c r="A470" s="1">
        <v>43204</v>
      </c>
      <c r="B470">
        <v>13482</v>
      </c>
      <c r="C470">
        <v>18419</v>
      </c>
      <c r="D470">
        <v>13835</v>
      </c>
      <c r="E470">
        <v>7957</v>
      </c>
      <c r="F470">
        <v>65</v>
      </c>
      <c r="G470" t="s">
        <v>83</v>
      </c>
      <c r="H470" t="str" cm="1">
        <f t="array" ref="H470">_xlfn.IFS(Grammys[[#This Row],[date]] &gt;= DATE(2022,2,1),"Grammys",TRUE,"Grammys TRA")</f>
        <v>Grammys TRA</v>
      </c>
      <c r="I470">
        <f>_xlfn.XLOOKUP(Grammys[[#This Row],[date]],mobile_visits[date],mobile_visits[mobile_visitors],0)</f>
        <v>0</v>
      </c>
      <c r="O470" s="1">
        <v>45061</v>
      </c>
      <c r="P470">
        <v>11255</v>
      </c>
    </row>
    <row r="471" spans="1:16">
      <c r="A471" s="1">
        <v>43205</v>
      </c>
      <c r="B471">
        <v>16003</v>
      </c>
      <c r="C471">
        <v>22607</v>
      </c>
      <c r="D471">
        <v>16643</v>
      </c>
      <c r="E471">
        <v>9557</v>
      </c>
      <c r="F471">
        <v>67</v>
      </c>
      <c r="G471" t="s">
        <v>83</v>
      </c>
      <c r="H471" t="str" cm="1">
        <f t="array" ref="H471">_xlfn.IFS(Grammys[[#This Row],[date]] &gt;= DATE(2022,2,1),"Grammys",TRUE,"Grammys TRA")</f>
        <v>Grammys TRA</v>
      </c>
      <c r="I471">
        <f>_xlfn.XLOOKUP(Grammys[[#This Row],[date]],mobile_visits[date],mobile_visits[mobile_visitors],0)</f>
        <v>0</v>
      </c>
      <c r="O471" s="1">
        <v>45062</v>
      </c>
      <c r="P471">
        <v>8591</v>
      </c>
    </row>
    <row r="472" spans="1:16">
      <c r="A472" s="1">
        <v>43206</v>
      </c>
      <c r="B472">
        <v>15870</v>
      </c>
      <c r="C472">
        <v>22296</v>
      </c>
      <c r="D472">
        <v>16319</v>
      </c>
      <c r="E472">
        <v>9604</v>
      </c>
      <c r="F472">
        <v>71</v>
      </c>
      <c r="G472" t="s">
        <v>83</v>
      </c>
      <c r="H472" t="str" cm="1">
        <f t="array" ref="H472">_xlfn.IFS(Grammys[[#This Row],[date]] &gt;= DATE(2022,2,1),"Grammys",TRUE,"Grammys TRA")</f>
        <v>Grammys TRA</v>
      </c>
      <c r="I472">
        <f>_xlfn.XLOOKUP(Grammys[[#This Row],[date]],mobile_visits[date],mobile_visits[mobile_visitors],0)</f>
        <v>0</v>
      </c>
      <c r="O472" s="1">
        <v>45063</v>
      </c>
      <c r="P472">
        <v>9052</v>
      </c>
    </row>
    <row r="473" spans="1:16">
      <c r="A473" s="1">
        <v>43207</v>
      </c>
      <c r="B473">
        <v>15965</v>
      </c>
      <c r="C473">
        <v>21951</v>
      </c>
      <c r="D473">
        <v>16287</v>
      </c>
      <c r="E473">
        <v>9116</v>
      </c>
      <c r="F473">
        <v>72</v>
      </c>
      <c r="G473" t="s">
        <v>83</v>
      </c>
      <c r="H473" t="str" cm="1">
        <f t="array" ref="H473">_xlfn.IFS(Grammys[[#This Row],[date]] &gt;= DATE(2022,2,1),"Grammys",TRUE,"Grammys TRA")</f>
        <v>Grammys TRA</v>
      </c>
      <c r="I473">
        <f>_xlfn.XLOOKUP(Grammys[[#This Row],[date]],mobile_visits[date],mobile_visits[mobile_visitors],0)</f>
        <v>0</v>
      </c>
      <c r="O473" s="1">
        <v>45064</v>
      </c>
      <c r="P473">
        <v>8279</v>
      </c>
    </row>
    <row r="474" spans="1:16">
      <c r="A474" s="1">
        <v>43208</v>
      </c>
      <c r="B474">
        <v>29388</v>
      </c>
      <c r="C474">
        <v>42159</v>
      </c>
      <c r="D474">
        <v>30690</v>
      </c>
      <c r="E474">
        <v>14956</v>
      </c>
      <c r="F474">
        <v>97</v>
      </c>
      <c r="G474" t="s">
        <v>83</v>
      </c>
      <c r="H474" t="str" cm="1">
        <f t="array" ref="H474">_xlfn.IFS(Grammys[[#This Row],[date]] &gt;= DATE(2022,2,1),"Grammys",TRUE,"Grammys TRA")</f>
        <v>Grammys TRA</v>
      </c>
      <c r="I474">
        <f>_xlfn.XLOOKUP(Grammys[[#This Row],[date]],mobile_visits[date],mobile_visits[mobile_visitors],0)</f>
        <v>0</v>
      </c>
      <c r="O474" s="1">
        <v>45065</v>
      </c>
      <c r="P474">
        <v>12395</v>
      </c>
    </row>
    <row r="475" spans="1:16">
      <c r="A475" s="1">
        <v>43209</v>
      </c>
      <c r="B475">
        <v>19914</v>
      </c>
      <c r="C475">
        <v>27166</v>
      </c>
      <c r="D475">
        <v>20472</v>
      </c>
      <c r="E475">
        <v>12028</v>
      </c>
      <c r="F475">
        <v>69</v>
      </c>
      <c r="G475" t="s">
        <v>83</v>
      </c>
      <c r="H475" t="str" cm="1">
        <f t="array" ref="H475">_xlfn.IFS(Grammys[[#This Row],[date]] &gt;= DATE(2022,2,1),"Grammys",TRUE,"Grammys TRA")</f>
        <v>Grammys TRA</v>
      </c>
      <c r="I475">
        <f>_xlfn.XLOOKUP(Grammys[[#This Row],[date]],mobile_visits[date],mobile_visits[mobile_visitors],0)</f>
        <v>0</v>
      </c>
      <c r="O475" s="1">
        <v>45066</v>
      </c>
      <c r="P475">
        <v>13937</v>
      </c>
    </row>
    <row r="476" spans="1:16">
      <c r="A476" s="1">
        <v>43210</v>
      </c>
      <c r="B476">
        <v>19957</v>
      </c>
      <c r="C476">
        <v>26827</v>
      </c>
      <c r="D476">
        <v>21019</v>
      </c>
      <c r="E476">
        <v>11067</v>
      </c>
      <c r="F476">
        <v>61</v>
      </c>
      <c r="G476" t="s">
        <v>83</v>
      </c>
      <c r="H476" t="str" cm="1">
        <f t="array" ref="H476">_xlfn.IFS(Grammys[[#This Row],[date]] &gt;= DATE(2022,2,1),"Grammys",TRUE,"Grammys TRA")</f>
        <v>Grammys TRA</v>
      </c>
      <c r="I476">
        <f>_xlfn.XLOOKUP(Grammys[[#This Row],[date]],mobile_visits[date],mobile_visits[mobile_visitors],0)</f>
        <v>0</v>
      </c>
      <c r="O476" s="1">
        <v>45067</v>
      </c>
      <c r="P476">
        <v>12513</v>
      </c>
    </row>
    <row r="477" spans="1:16">
      <c r="A477" s="1">
        <v>43211</v>
      </c>
      <c r="B477">
        <v>20366</v>
      </c>
      <c r="C477">
        <v>26620</v>
      </c>
      <c r="D477">
        <v>21546</v>
      </c>
      <c r="E477">
        <v>10739</v>
      </c>
      <c r="F477">
        <v>55</v>
      </c>
      <c r="G477" t="s">
        <v>83</v>
      </c>
      <c r="H477" t="str" cm="1">
        <f t="array" ref="H477">_xlfn.IFS(Grammys[[#This Row],[date]] &gt;= DATE(2022,2,1),"Grammys",TRUE,"Grammys TRA")</f>
        <v>Grammys TRA</v>
      </c>
      <c r="I477">
        <f>_xlfn.XLOOKUP(Grammys[[#This Row],[date]],mobile_visits[date],mobile_visits[mobile_visitors],0)</f>
        <v>0</v>
      </c>
      <c r="O477" s="1">
        <v>45068</v>
      </c>
      <c r="P477">
        <v>11455</v>
      </c>
    </row>
    <row r="478" spans="1:16">
      <c r="A478" s="1">
        <v>43212</v>
      </c>
      <c r="B478">
        <v>17963</v>
      </c>
      <c r="C478">
        <v>23655</v>
      </c>
      <c r="D478">
        <v>18978</v>
      </c>
      <c r="E478">
        <v>9778</v>
      </c>
      <c r="F478">
        <v>58</v>
      </c>
      <c r="G478" t="s">
        <v>83</v>
      </c>
      <c r="H478" t="str" cm="1">
        <f t="array" ref="H478">_xlfn.IFS(Grammys[[#This Row],[date]] &gt;= DATE(2022,2,1),"Grammys",TRUE,"Grammys TRA")</f>
        <v>Grammys TRA</v>
      </c>
      <c r="I478">
        <f>_xlfn.XLOOKUP(Grammys[[#This Row],[date]],mobile_visits[date],mobile_visits[mobile_visitors],0)</f>
        <v>0</v>
      </c>
      <c r="O478" s="1">
        <v>45069</v>
      </c>
      <c r="P478">
        <v>11146</v>
      </c>
    </row>
    <row r="479" spans="1:16">
      <c r="A479" s="1">
        <v>43213</v>
      </c>
      <c r="B479">
        <v>17698</v>
      </c>
      <c r="C479">
        <v>24007</v>
      </c>
      <c r="D479">
        <v>18486</v>
      </c>
      <c r="E479">
        <v>9678</v>
      </c>
      <c r="F479">
        <v>62</v>
      </c>
      <c r="G479" t="s">
        <v>83</v>
      </c>
      <c r="H479" t="str" cm="1">
        <f t="array" ref="H479">_xlfn.IFS(Grammys[[#This Row],[date]] &gt;= DATE(2022,2,1),"Grammys",TRUE,"Grammys TRA")</f>
        <v>Grammys TRA</v>
      </c>
      <c r="I479">
        <f>_xlfn.XLOOKUP(Grammys[[#This Row],[date]],mobile_visits[date],mobile_visits[mobile_visitors],0)</f>
        <v>0</v>
      </c>
      <c r="O479" s="1">
        <v>45070</v>
      </c>
      <c r="P479">
        <v>13245</v>
      </c>
    </row>
    <row r="480" spans="1:16">
      <c r="A480" s="1">
        <v>43214</v>
      </c>
      <c r="B480">
        <v>16290</v>
      </c>
      <c r="C480">
        <v>22103</v>
      </c>
      <c r="D480">
        <v>17129</v>
      </c>
      <c r="E480">
        <v>9129</v>
      </c>
      <c r="F480">
        <v>72</v>
      </c>
      <c r="G480" t="s">
        <v>83</v>
      </c>
      <c r="H480" t="str" cm="1">
        <f t="array" ref="H480">_xlfn.IFS(Grammys[[#This Row],[date]] &gt;= DATE(2022,2,1),"Grammys",TRUE,"Grammys TRA")</f>
        <v>Grammys TRA</v>
      </c>
      <c r="I480">
        <f>_xlfn.XLOOKUP(Grammys[[#This Row],[date]],mobile_visits[date],mobile_visits[mobile_visitors],0)</f>
        <v>0</v>
      </c>
      <c r="O480" s="1">
        <v>45071</v>
      </c>
      <c r="P480">
        <v>15970</v>
      </c>
    </row>
    <row r="481" spans="1:16">
      <c r="A481" s="1">
        <v>43215</v>
      </c>
      <c r="B481">
        <v>15499</v>
      </c>
      <c r="C481">
        <v>21472</v>
      </c>
      <c r="D481">
        <v>16376</v>
      </c>
      <c r="E481">
        <v>8673</v>
      </c>
      <c r="F481">
        <v>70</v>
      </c>
      <c r="G481" t="s">
        <v>83</v>
      </c>
      <c r="H481" t="str" cm="1">
        <f t="array" ref="H481">_xlfn.IFS(Grammys[[#This Row],[date]] &gt;= DATE(2022,2,1),"Grammys",TRUE,"Grammys TRA")</f>
        <v>Grammys TRA</v>
      </c>
      <c r="I481">
        <f>_xlfn.XLOOKUP(Grammys[[#This Row],[date]],mobile_visits[date],mobile_visits[mobile_visitors],0)</f>
        <v>0</v>
      </c>
      <c r="O481" s="1">
        <v>45072</v>
      </c>
      <c r="P481">
        <v>12674</v>
      </c>
    </row>
    <row r="482" spans="1:16">
      <c r="A482" s="1">
        <v>43216</v>
      </c>
      <c r="B482">
        <v>16901</v>
      </c>
      <c r="C482">
        <v>22733</v>
      </c>
      <c r="D482">
        <v>17603</v>
      </c>
      <c r="E482">
        <v>9258</v>
      </c>
      <c r="F482">
        <v>70</v>
      </c>
      <c r="G482" t="s">
        <v>83</v>
      </c>
      <c r="H482" t="str" cm="1">
        <f t="array" ref="H482">_xlfn.IFS(Grammys[[#This Row],[date]] &gt;= DATE(2022,2,1),"Grammys",TRUE,"Grammys TRA")</f>
        <v>Grammys TRA</v>
      </c>
      <c r="I482">
        <f>_xlfn.XLOOKUP(Grammys[[#This Row],[date]],mobile_visits[date],mobile_visits[mobile_visitors],0)</f>
        <v>0</v>
      </c>
      <c r="O482" s="1">
        <v>45073</v>
      </c>
      <c r="P482">
        <v>11412</v>
      </c>
    </row>
    <row r="483" spans="1:16">
      <c r="A483" s="1">
        <v>43217</v>
      </c>
      <c r="B483">
        <v>15228</v>
      </c>
      <c r="C483">
        <v>20153</v>
      </c>
      <c r="D483">
        <v>15462</v>
      </c>
      <c r="E483">
        <v>8497</v>
      </c>
      <c r="F483">
        <v>66</v>
      </c>
      <c r="G483" t="s">
        <v>83</v>
      </c>
      <c r="H483" t="str" cm="1">
        <f t="array" ref="H483">_xlfn.IFS(Grammys[[#This Row],[date]] &gt;= DATE(2022,2,1),"Grammys",TRUE,"Grammys TRA")</f>
        <v>Grammys TRA</v>
      </c>
      <c r="I483">
        <f>_xlfn.XLOOKUP(Grammys[[#This Row],[date]],mobile_visits[date],mobile_visits[mobile_visitors],0)</f>
        <v>0</v>
      </c>
      <c r="O483" s="1">
        <v>45074</v>
      </c>
      <c r="P483">
        <v>11060</v>
      </c>
    </row>
    <row r="484" spans="1:16">
      <c r="A484" s="1">
        <v>43218</v>
      </c>
      <c r="B484">
        <v>15602</v>
      </c>
      <c r="C484">
        <v>20754</v>
      </c>
      <c r="D484">
        <v>16418</v>
      </c>
      <c r="E484">
        <v>8740</v>
      </c>
      <c r="F484">
        <v>61</v>
      </c>
      <c r="G484" t="s">
        <v>83</v>
      </c>
      <c r="H484" t="str" cm="1">
        <f t="array" ref="H484">_xlfn.IFS(Grammys[[#This Row],[date]] &gt;= DATE(2022,2,1),"Grammys",TRUE,"Grammys TRA")</f>
        <v>Grammys TRA</v>
      </c>
      <c r="I484">
        <f>_xlfn.XLOOKUP(Grammys[[#This Row],[date]],mobile_visits[date],mobile_visits[mobile_visitors],0)</f>
        <v>0</v>
      </c>
      <c r="O484" s="1">
        <v>45075</v>
      </c>
      <c r="P484">
        <v>16834</v>
      </c>
    </row>
    <row r="485" spans="1:16">
      <c r="A485" s="1">
        <v>43219</v>
      </c>
      <c r="B485">
        <v>15171</v>
      </c>
      <c r="C485">
        <v>19795</v>
      </c>
      <c r="D485">
        <v>15706</v>
      </c>
      <c r="E485">
        <v>7607</v>
      </c>
      <c r="F485">
        <v>61</v>
      </c>
      <c r="G485" t="s">
        <v>83</v>
      </c>
      <c r="H485" t="str" cm="1">
        <f t="array" ref="H485">_xlfn.IFS(Grammys[[#This Row],[date]] &gt;= DATE(2022,2,1),"Grammys",TRUE,"Grammys TRA")</f>
        <v>Grammys TRA</v>
      </c>
      <c r="I485">
        <f>_xlfn.XLOOKUP(Grammys[[#This Row],[date]],mobile_visits[date],mobile_visits[mobile_visitors],0)</f>
        <v>0</v>
      </c>
      <c r="O485" s="1">
        <v>45076</v>
      </c>
      <c r="P485">
        <v>10734</v>
      </c>
    </row>
    <row r="486" spans="1:16">
      <c r="A486" s="1">
        <v>43220</v>
      </c>
      <c r="B486">
        <v>19538</v>
      </c>
      <c r="C486">
        <v>25173</v>
      </c>
      <c r="D486">
        <v>20200</v>
      </c>
      <c r="E486">
        <v>9680</v>
      </c>
      <c r="F486">
        <v>67</v>
      </c>
      <c r="G486" t="s">
        <v>83</v>
      </c>
      <c r="H486" t="str" cm="1">
        <f t="array" ref="H486">_xlfn.IFS(Grammys[[#This Row],[date]] &gt;= DATE(2022,2,1),"Grammys",TRUE,"Grammys TRA")</f>
        <v>Grammys TRA</v>
      </c>
      <c r="I486">
        <f>_xlfn.XLOOKUP(Grammys[[#This Row],[date]],mobile_visits[date],mobile_visits[mobile_visitors],0)</f>
        <v>0</v>
      </c>
      <c r="O486" s="1">
        <v>45077</v>
      </c>
      <c r="P486">
        <v>22726</v>
      </c>
    </row>
    <row r="487" spans="1:16">
      <c r="A487" s="1">
        <v>43221</v>
      </c>
      <c r="B487">
        <v>14258</v>
      </c>
      <c r="C487">
        <v>19391</v>
      </c>
      <c r="D487">
        <v>14711</v>
      </c>
      <c r="E487">
        <v>8015</v>
      </c>
      <c r="F487">
        <v>71</v>
      </c>
      <c r="G487" t="s">
        <v>83</v>
      </c>
      <c r="H487" t="str" cm="1">
        <f t="array" ref="H487">_xlfn.IFS(Grammys[[#This Row],[date]] &gt;= DATE(2022,2,1),"Grammys",TRUE,"Grammys TRA")</f>
        <v>Grammys TRA</v>
      </c>
      <c r="I487">
        <f>_xlfn.XLOOKUP(Grammys[[#This Row],[date]],mobile_visits[date],mobile_visits[mobile_visitors],0)</f>
        <v>0</v>
      </c>
      <c r="O487" s="1">
        <v>45078</v>
      </c>
      <c r="P487">
        <v>11056</v>
      </c>
    </row>
    <row r="488" spans="1:16">
      <c r="A488" s="1">
        <v>43222</v>
      </c>
      <c r="B488">
        <v>14338</v>
      </c>
      <c r="C488">
        <v>19817</v>
      </c>
      <c r="D488">
        <v>14832</v>
      </c>
      <c r="E488">
        <v>7805</v>
      </c>
      <c r="F488">
        <v>79</v>
      </c>
      <c r="G488" t="s">
        <v>83</v>
      </c>
      <c r="H488" t="str" cm="1">
        <f t="array" ref="H488">_xlfn.IFS(Grammys[[#This Row],[date]] &gt;= DATE(2022,2,1),"Grammys",TRUE,"Grammys TRA")</f>
        <v>Grammys TRA</v>
      </c>
      <c r="I488">
        <f>_xlfn.XLOOKUP(Grammys[[#This Row],[date]],mobile_visits[date],mobile_visits[mobile_visitors],0)</f>
        <v>0</v>
      </c>
      <c r="O488" s="1">
        <v>45079</v>
      </c>
      <c r="P488">
        <v>8083</v>
      </c>
    </row>
    <row r="489" spans="1:16">
      <c r="A489" s="1">
        <v>43223</v>
      </c>
      <c r="B489">
        <v>14110</v>
      </c>
      <c r="C489">
        <v>18984</v>
      </c>
      <c r="D489">
        <v>14569</v>
      </c>
      <c r="E489">
        <v>7537</v>
      </c>
      <c r="F489">
        <v>71</v>
      </c>
      <c r="G489" t="s">
        <v>83</v>
      </c>
      <c r="H489" t="str" cm="1">
        <f t="array" ref="H489">_xlfn.IFS(Grammys[[#This Row],[date]] &gt;= DATE(2022,2,1),"Grammys",TRUE,"Grammys TRA")</f>
        <v>Grammys TRA</v>
      </c>
      <c r="I489">
        <f>_xlfn.XLOOKUP(Grammys[[#This Row],[date]],mobile_visits[date],mobile_visits[mobile_visitors],0)</f>
        <v>0</v>
      </c>
      <c r="O489" s="1">
        <v>45080</v>
      </c>
      <c r="P489">
        <v>10300</v>
      </c>
    </row>
    <row r="490" spans="1:16">
      <c r="A490" s="1">
        <v>43224</v>
      </c>
      <c r="B490">
        <v>11855</v>
      </c>
      <c r="C490">
        <v>15934</v>
      </c>
      <c r="D490">
        <v>12086</v>
      </c>
      <c r="E490">
        <v>6997</v>
      </c>
      <c r="F490">
        <v>72</v>
      </c>
      <c r="G490" t="s">
        <v>83</v>
      </c>
      <c r="H490" t="str" cm="1">
        <f t="array" ref="H490">_xlfn.IFS(Grammys[[#This Row],[date]] &gt;= DATE(2022,2,1),"Grammys",TRUE,"Grammys TRA")</f>
        <v>Grammys TRA</v>
      </c>
      <c r="I490">
        <f>_xlfn.XLOOKUP(Grammys[[#This Row],[date]],mobile_visits[date],mobile_visits[mobile_visitors],0)</f>
        <v>0</v>
      </c>
      <c r="O490" s="1">
        <v>45081</v>
      </c>
      <c r="P490">
        <v>7640</v>
      </c>
    </row>
    <row r="491" spans="1:16">
      <c r="A491" s="1">
        <v>43225</v>
      </c>
      <c r="B491">
        <v>9660</v>
      </c>
      <c r="C491">
        <v>13375</v>
      </c>
      <c r="D491">
        <v>9982</v>
      </c>
      <c r="E491">
        <v>5731</v>
      </c>
      <c r="F491">
        <v>69</v>
      </c>
      <c r="G491" t="s">
        <v>83</v>
      </c>
      <c r="H491" t="str" cm="1">
        <f t="array" ref="H491">_xlfn.IFS(Grammys[[#This Row],[date]] &gt;= DATE(2022,2,1),"Grammys",TRUE,"Grammys TRA")</f>
        <v>Grammys TRA</v>
      </c>
      <c r="I491">
        <f>_xlfn.XLOOKUP(Grammys[[#This Row],[date]],mobile_visits[date],mobile_visits[mobile_visitors],0)</f>
        <v>0</v>
      </c>
      <c r="O491" s="1">
        <v>45082</v>
      </c>
      <c r="P491">
        <v>11238</v>
      </c>
    </row>
    <row r="492" spans="1:16">
      <c r="A492" s="1">
        <v>43226</v>
      </c>
      <c r="B492">
        <v>9865</v>
      </c>
      <c r="C492">
        <v>13604</v>
      </c>
      <c r="D492">
        <v>10192</v>
      </c>
      <c r="E492">
        <v>5890</v>
      </c>
      <c r="F492">
        <v>78</v>
      </c>
      <c r="G492" t="s">
        <v>83</v>
      </c>
      <c r="H492" t="str" cm="1">
        <f t="array" ref="H492">_xlfn.IFS(Grammys[[#This Row],[date]] &gt;= DATE(2022,2,1),"Grammys",TRUE,"Grammys TRA")</f>
        <v>Grammys TRA</v>
      </c>
      <c r="I492">
        <f>_xlfn.XLOOKUP(Grammys[[#This Row],[date]],mobile_visits[date],mobile_visits[mobile_visitors],0)</f>
        <v>0</v>
      </c>
      <c r="O492" s="1">
        <v>45083</v>
      </c>
      <c r="P492">
        <v>9309</v>
      </c>
    </row>
    <row r="493" spans="1:16">
      <c r="A493" s="1">
        <v>43227</v>
      </c>
      <c r="B493">
        <v>15197</v>
      </c>
      <c r="C493">
        <v>20591</v>
      </c>
      <c r="D493">
        <v>15712</v>
      </c>
      <c r="E493">
        <v>7878</v>
      </c>
      <c r="F493">
        <v>79</v>
      </c>
      <c r="G493" t="s">
        <v>83</v>
      </c>
      <c r="H493" t="str" cm="1">
        <f t="array" ref="H493">_xlfn.IFS(Grammys[[#This Row],[date]] &gt;= DATE(2022,2,1),"Grammys",TRUE,"Grammys TRA")</f>
        <v>Grammys TRA</v>
      </c>
      <c r="I493">
        <f>_xlfn.XLOOKUP(Grammys[[#This Row],[date]],mobile_visits[date],mobile_visits[mobile_visitors],0)</f>
        <v>0</v>
      </c>
      <c r="O493" s="1">
        <v>45084</v>
      </c>
      <c r="P493">
        <v>9048</v>
      </c>
    </row>
    <row r="494" spans="1:16">
      <c r="A494" s="1">
        <v>43228</v>
      </c>
      <c r="B494">
        <v>13533</v>
      </c>
      <c r="C494">
        <v>18736</v>
      </c>
      <c r="D494">
        <v>14147</v>
      </c>
      <c r="E494">
        <v>7977</v>
      </c>
      <c r="F494">
        <v>79</v>
      </c>
      <c r="G494" t="s">
        <v>83</v>
      </c>
      <c r="H494" t="str" cm="1">
        <f t="array" ref="H494">_xlfn.IFS(Grammys[[#This Row],[date]] &gt;= DATE(2022,2,1),"Grammys",TRUE,"Grammys TRA")</f>
        <v>Grammys TRA</v>
      </c>
      <c r="I494">
        <f>_xlfn.XLOOKUP(Grammys[[#This Row],[date]],mobile_visits[date],mobile_visits[mobile_visitors],0)</f>
        <v>0</v>
      </c>
      <c r="O494" s="1">
        <v>45085</v>
      </c>
      <c r="P494">
        <v>9830</v>
      </c>
    </row>
    <row r="495" spans="1:16">
      <c r="A495" s="1">
        <v>43229</v>
      </c>
      <c r="B495">
        <v>15412</v>
      </c>
      <c r="C495">
        <v>20933</v>
      </c>
      <c r="D495">
        <v>15880</v>
      </c>
      <c r="E495">
        <v>7661</v>
      </c>
      <c r="F495">
        <v>74</v>
      </c>
      <c r="G495" t="s">
        <v>83</v>
      </c>
      <c r="H495" t="str" cm="1">
        <f t="array" ref="H495">_xlfn.IFS(Grammys[[#This Row],[date]] &gt;= DATE(2022,2,1),"Grammys",TRUE,"Grammys TRA")</f>
        <v>Grammys TRA</v>
      </c>
      <c r="I495">
        <f>_xlfn.XLOOKUP(Grammys[[#This Row],[date]],mobile_visits[date],mobile_visits[mobile_visitors],0)</f>
        <v>0</v>
      </c>
      <c r="O495" s="1">
        <v>45086</v>
      </c>
      <c r="P495">
        <v>10248</v>
      </c>
    </row>
    <row r="496" spans="1:16">
      <c r="A496" s="1">
        <v>43230</v>
      </c>
      <c r="B496">
        <v>16306</v>
      </c>
      <c r="C496">
        <v>21462</v>
      </c>
      <c r="D496">
        <v>16752</v>
      </c>
      <c r="E496">
        <v>9593</v>
      </c>
      <c r="F496">
        <v>66</v>
      </c>
      <c r="G496" t="s">
        <v>83</v>
      </c>
      <c r="H496" t="str" cm="1">
        <f t="array" ref="H496">_xlfn.IFS(Grammys[[#This Row],[date]] &gt;= DATE(2022,2,1),"Grammys",TRUE,"Grammys TRA")</f>
        <v>Grammys TRA</v>
      </c>
      <c r="I496">
        <f>_xlfn.XLOOKUP(Grammys[[#This Row],[date]],mobile_visits[date],mobile_visits[mobile_visitors],0)</f>
        <v>0</v>
      </c>
      <c r="O496" s="1">
        <v>45087</v>
      </c>
      <c r="P496">
        <v>10195</v>
      </c>
    </row>
    <row r="497" spans="1:16">
      <c r="A497" s="1">
        <v>43231</v>
      </c>
      <c r="B497">
        <v>38857</v>
      </c>
      <c r="C497">
        <v>52629</v>
      </c>
      <c r="D497">
        <v>42948</v>
      </c>
      <c r="E497">
        <v>26001</v>
      </c>
      <c r="F497">
        <v>54</v>
      </c>
      <c r="G497" t="s">
        <v>83</v>
      </c>
      <c r="H497" t="str" cm="1">
        <f t="array" ref="H497">_xlfn.IFS(Grammys[[#This Row],[date]] &gt;= DATE(2022,2,1),"Grammys",TRUE,"Grammys TRA")</f>
        <v>Grammys TRA</v>
      </c>
      <c r="I497">
        <f>_xlfn.XLOOKUP(Grammys[[#This Row],[date]],mobile_visits[date],mobile_visits[mobile_visitors],0)</f>
        <v>0</v>
      </c>
      <c r="O497" s="1">
        <v>45088</v>
      </c>
      <c r="P497">
        <v>8631</v>
      </c>
    </row>
    <row r="498" spans="1:16">
      <c r="A498" s="1">
        <v>43232</v>
      </c>
      <c r="B498">
        <v>14032</v>
      </c>
      <c r="C498">
        <v>18952</v>
      </c>
      <c r="D498">
        <v>14775</v>
      </c>
      <c r="E498">
        <v>8307</v>
      </c>
      <c r="F498">
        <v>64</v>
      </c>
      <c r="G498" t="s">
        <v>83</v>
      </c>
      <c r="H498" t="str" cm="1">
        <f t="array" ref="H498">_xlfn.IFS(Grammys[[#This Row],[date]] &gt;= DATE(2022,2,1),"Grammys",TRUE,"Grammys TRA")</f>
        <v>Grammys TRA</v>
      </c>
      <c r="I498">
        <f>_xlfn.XLOOKUP(Grammys[[#This Row],[date]],mobile_visits[date],mobile_visits[mobile_visitors],0)</f>
        <v>0</v>
      </c>
      <c r="O498" s="1">
        <v>45089</v>
      </c>
      <c r="P498">
        <v>9309</v>
      </c>
    </row>
    <row r="499" spans="1:16">
      <c r="A499" s="1">
        <v>43233</v>
      </c>
      <c r="B499">
        <v>11393</v>
      </c>
      <c r="C499">
        <v>15906</v>
      </c>
      <c r="D499">
        <v>11895</v>
      </c>
      <c r="E499">
        <v>6706</v>
      </c>
      <c r="F499">
        <v>75</v>
      </c>
      <c r="G499" t="s">
        <v>83</v>
      </c>
      <c r="H499" t="str" cm="1">
        <f t="array" ref="H499">_xlfn.IFS(Grammys[[#This Row],[date]] &gt;= DATE(2022,2,1),"Grammys",TRUE,"Grammys TRA")</f>
        <v>Grammys TRA</v>
      </c>
      <c r="I499">
        <f>_xlfn.XLOOKUP(Grammys[[#This Row],[date]],mobile_visits[date],mobile_visits[mobile_visitors],0)</f>
        <v>0</v>
      </c>
      <c r="O499" s="1">
        <v>45090</v>
      </c>
      <c r="P499">
        <v>17444</v>
      </c>
    </row>
    <row r="500" spans="1:16">
      <c r="A500" s="1">
        <v>43234</v>
      </c>
      <c r="B500">
        <v>13385</v>
      </c>
      <c r="C500">
        <v>18954</v>
      </c>
      <c r="D500">
        <v>13901</v>
      </c>
      <c r="E500">
        <v>7557</v>
      </c>
      <c r="F500">
        <v>78</v>
      </c>
      <c r="G500" t="s">
        <v>83</v>
      </c>
      <c r="H500" t="str" cm="1">
        <f t="array" ref="H500">_xlfn.IFS(Grammys[[#This Row],[date]] &gt;= DATE(2022,2,1),"Grammys",TRUE,"Grammys TRA")</f>
        <v>Grammys TRA</v>
      </c>
      <c r="I500">
        <f>_xlfn.XLOOKUP(Grammys[[#This Row],[date]],mobile_visits[date],mobile_visits[mobile_visitors],0)</f>
        <v>0</v>
      </c>
      <c r="O500" s="1">
        <v>45091</v>
      </c>
      <c r="P500">
        <v>14602</v>
      </c>
    </row>
    <row r="501" spans="1:16">
      <c r="A501" s="1">
        <v>43235</v>
      </c>
      <c r="B501">
        <v>19229</v>
      </c>
      <c r="C501">
        <v>30010</v>
      </c>
      <c r="D501">
        <v>19921</v>
      </c>
      <c r="E501">
        <v>8200</v>
      </c>
      <c r="F501">
        <v>411</v>
      </c>
      <c r="G501" t="s">
        <v>83</v>
      </c>
      <c r="H501" t="str" cm="1">
        <f t="array" ref="H501">_xlfn.IFS(Grammys[[#This Row],[date]] &gt;= DATE(2022,2,1),"Grammys",TRUE,"Grammys TRA")</f>
        <v>Grammys TRA</v>
      </c>
      <c r="I501">
        <f>_xlfn.XLOOKUP(Grammys[[#This Row],[date]],mobile_visits[date],mobile_visits[mobile_visitors],0)</f>
        <v>0</v>
      </c>
      <c r="O501" s="1">
        <v>45092</v>
      </c>
      <c r="P501">
        <v>11134</v>
      </c>
    </row>
    <row r="502" spans="1:16">
      <c r="A502" s="1">
        <v>43236</v>
      </c>
      <c r="B502">
        <v>15021</v>
      </c>
      <c r="C502">
        <v>21813</v>
      </c>
      <c r="D502">
        <v>15343</v>
      </c>
      <c r="E502">
        <v>7419</v>
      </c>
      <c r="F502">
        <v>313</v>
      </c>
      <c r="G502" t="s">
        <v>83</v>
      </c>
      <c r="H502" t="str" cm="1">
        <f t="array" ref="H502">_xlfn.IFS(Grammys[[#This Row],[date]] &gt;= DATE(2022,2,1),"Grammys",TRUE,"Grammys TRA")</f>
        <v>Grammys TRA</v>
      </c>
      <c r="I502">
        <f>_xlfn.XLOOKUP(Grammys[[#This Row],[date]],mobile_visits[date],mobile_visits[mobile_visitors],0)</f>
        <v>0</v>
      </c>
      <c r="O502" s="1">
        <v>45093</v>
      </c>
      <c r="P502">
        <v>12151</v>
      </c>
    </row>
    <row r="503" spans="1:16">
      <c r="A503" s="1">
        <v>43237</v>
      </c>
      <c r="B503">
        <v>14457</v>
      </c>
      <c r="C503">
        <v>20592</v>
      </c>
      <c r="D503">
        <v>14677</v>
      </c>
      <c r="E503">
        <v>7537</v>
      </c>
      <c r="F503">
        <v>291</v>
      </c>
      <c r="G503" t="s">
        <v>83</v>
      </c>
      <c r="H503" t="str" cm="1">
        <f t="array" ref="H503">_xlfn.IFS(Grammys[[#This Row],[date]] &gt;= DATE(2022,2,1),"Grammys",TRUE,"Grammys TRA")</f>
        <v>Grammys TRA</v>
      </c>
      <c r="I503">
        <f>_xlfn.XLOOKUP(Grammys[[#This Row],[date]],mobile_visits[date],mobile_visits[mobile_visitors],0)</f>
        <v>0</v>
      </c>
      <c r="O503" s="1">
        <v>45094</v>
      </c>
      <c r="P503">
        <v>12699</v>
      </c>
    </row>
    <row r="504" spans="1:16">
      <c r="A504" s="1">
        <v>43238</v>
      </c>
      <c r="B504">
        <v>13300</v>
      </c>
      <c r="C504">
        <v>18406</v>
      </c>
      <c r="D504">
        <v>13422</v>
      </c>
      <c r="E504">
        <v>7317</v>
      </c>
      <c r="F504">
        <v>253</v>
      </c>
      <c r="G504" t="s">
        <v>83</v>
      </c>
      <c r="H504" t="str" cm="1">
        <f t="array" ref="H504">_xlfn.IFS(Grammys[[#This Row],[date]] &gt;= DATE(2022,2,1),"Grammys",TRUE,"Grammys TRA")</f>
        <v>Grammys TRA</v>
      </c>
      <c r="I504">
        <f>_xlfn.XLOOKUP(Grammys[[#This Row],[date]],mobile_visits[date],mobile_visits[mobile_visitors],0)</f>
        <v>0</v>
      </c>
      <c r="O504" s="1">
        <v>45095</v>
      </c>
      <c r="P504">
        <v>13272</v>
      </c>
    </row>
    <row r="505" spans="1:16">
      <c r="A505" s="1">
        <v>43239</v>
      </c>
      <c r="B505">
        <v>13694</v>
      </c>
      <c r="C505">
        <v>17815</v>
      </c>
      <c r="D505">
        <v>13609</v>
      </c>
      <c r="E505">
        <v>6956</v>
      </c>
      <c r="F505">
        <v>223</v>
      </c>
      <c r="G505" t="s">
        <v>83</v>
      </c>
      <c r="H505" t="str" cm="1">
        <f t="array" ref="H505">_xlfn.IFS(Grammys[[#This Row],[date]] &gt;= DATE(2022,2,1),"Grammys",TRUE,"Grammys TRA")</f>
        <v>Grammys TRA</v>
      </c>
      <c r="I505">
        <f>_xlfn.XLOOKUP(Grammys[[#This Row],[date]],mobile_visits[date],mobile_visits[mobile_visitors],0)</f>
        <v>0</v>
      </c>
      <c r="O505" s="1">
        <v>45096</v>
      </c>
      <c r="P505">
        <v>8370</v>
      </c>
    </row>
    <row r="506" spans="1:16">
      <c r="A506" s="1">
        <v>43240</v>
      </c>
      <c r="B506">
        <v>13506</v>
      </c>
      <c r="C506">
        <v>18618</v>
      </c>
      <c r="D506">
        <v>13528</v>
      </c>
      <c r="E506">
        <v>7365</v>
      </c>
      <c r="F506">
        <v>247</v>
      </c>
      <c r="G506" t="s">
        <v>83</v>
      </c>
      <c r="H506" t="str" cm="1">
        <f t="array" ref="H506">_xlfn.IFS(Grammys[[#This Row],[date]] &gt;= DATE(2022,2,1),"Grammys",TRUE,"Grammys TRA")</f>
        <v>Grammys TRA</v>
      </c>
      <c r="I506">
        <f>_xlfn.XLOOKUP(Grammys[[#This Row],[date]],mobile_visits[date],mobile_visits[mobile_visitors],0)</f>
        <v>0</v>
      </c>
      <c r="O506" s="1">
        <v>45097</v>
      </c>
      <c r="P506">
        <v>9517</v>
      </c>
    </row>
    <row r="507" spans="1:16">
      <c r="A507" s="1">
        <v>43241</v>
      </c>
      <c r="B507">
        <v>13825</v>
      </c>
      <c r="C507">
        <v>19891</v>
      </c>
      <c r="D507">
        <v>13898</v>
      </c>
      <c r="E507">
        <v>7881</v>
      </c>
      <c r="F507">
        <v>268</v>
      </c>
      <c r="G507" t="s">
        <v>83</v>
      </c>
      <c r="H507" t="str" cm="1">
        <f t="array" ref="H507">_xlfn.IFS(Grammys[[#This Row],[date]] &gt;= DATE(2022,2,1),"Grammys",TRUE,"Grammys TRA")</f>
        <v>Grammys TRA</v>
      </c>
      <c r="I507">
        <f>_xlfn.XLOOKUP(Grammys[[#This Row],[date]],mobile_visits[date],mobile_visits[mobile_visitors],0)</f>
        <v>0</v>
      </c>
      <c r="O507" s="1">
        <v>45098</v>
      </c>
      <c r="P507">
        <v>9804</v>
      </c>
    </row>
    <row r="508" spans="1:16">
      <c r="A508" s="1">
        <v>43242</v>
      </c>
      <c r="B508">
        <v>13659</v>
      </c>
      <c r="C508">
        <v>19572</v>
      </c>
      <c r="D508">
        <v>13888</v>
      </c>
      <c r="E508">
        <v>7746</v>
      </c>
      <c r="F508">
        <v>267</v>
      </c>
      <c r="G508" t="s">
        <v>83</v>
      </c>
      <c r="H508" t="str" cm="1">
        <f t="array" ref="H508">_xlfn.IFS(Grammys[[#This Row],[date]] &gt;= DATE(2022,2,1),"Grammys",TRUE,"Grammys TRA")</f>
        <v>Grammys TRA</v>
      </c>
      <c r="I508">
        <f>_xlfn.XLOOKUP(Grammys[[#This Row],[date]],mobile_visits[date],mobile_visits[mobile_visitors],0)</f>
        <v>0</v>
      </c>
      <c r="O508" s="1">
        <v>45099</v>
      </c>
      <c r="P508">
        <v>9387</v>
      </c>
    </row>
    <row r="509" spans="1:16">
      <c r="A509" s="1">
        <v>43243</v>
      </c>
      <c r="B509">
        <v>12272</v>
      </c>
      <c r="C509">
        <v>17003</v>
      </c>
      <c r="D509">
        <v>12205</v>
      </c>
      <c r="E509">
        <v>6756</v>
      </c>
      <c r="F509">
        <v>259</v>
      </c>
      <c r="G509" t="s">
        <v>83</v>
      </c>
      <c r="H509" t="str" cm="1">
        <f t="array" ref="H509">_xlfn.IFS(Grammys[[#This Row],[date]] &gt;= DATE(2022,2,1),"Grammys",TRUE,"Grammys TRA")</f>
        <v>Grammys TRA</v>
      </c>
      <c r="I509">
        <f>_xlfn.XLOOKUP(Grammys[[#This Row],[date]],mobile_visits[date],mobile_visits[mobile_visitors],0)</f>
        <v>0</v>
      </c>
      <c r="O509" s="1">
        <v>45100</v>
      </c>
      <c r="P509">
        <v>11995</v>
      </c>
    </row>
    <row r="510" spans="1:16">
      <c r="A510" s="1">
        <v>43244</v>
      </c>
      <c r="B510">
        <v>11203</v>
      </c>
      <c r="C510">
        <v>15844</v>
      </c>
      <c r="D510">
        <v>11312</v>
      </c>
      <c r="E510">
        <v>6552</v>
      </c>
      <c r="F510">
        <v>274</v>
      </c>
      <c r="G510" t="s">
        <v>83</v>
      </c>
      <c r="H510" t="str" cm="1">
        <f t="array" ref="H510">_xlfn.IFS(Grammys[[#This Row],[date]] &gt;= DATE(2022,2,1),"Grammys",TRUE,"Grammys TRA")</f>
        <v>Grammys TRA</v>
      </c>
      <c r="I510">
        <f>_xlfn.XLOOKUP(Grammys[[#This Row],[date]],mobile_visits[date],mobile_visits[mobile_visitors],0)</f>
        <v>0</v>
      </c>
      <c r="O510" s="1">
        <v>45101</v>
      </c>
      <c r="P510">
        <v>11577</v>
      </c>
    </row>
    <row r="511" spans="1:16">
      <c r="A511" s="1">
        <v>43245</v>
      </c>
      <c r="B511">
        <v>10547</v>
      </c>
      <c r="C511">
        <v>14690</v>
      </c>
      <c r="D511">
        <v>10476</v>
      </c>
      <c r="E511">
        <v>6155</v>
      </c>
      <c r="F511">
        <v>278</v>
      </c>
      <c r="G511" t="s">
        <v>83</v>
      </c>
      <c r="H511" t="str" cm="1">
        <f t="array" ref="H511">_xlfn.IFS(Grammys[[#This Row],[date]] &gt;= DATE(2022,2,1),"Grammys",TRUE,"Grammys TRA")</f>
        <v>Grammys TRA</v>
      </c>
      <c r="I511">
        <f>_xlfn.XLOOKUP(Grammys[[#This Row],[date]],mobile_visits[date],mobile_visits[mobile_visitors],0)</f>
        <v>0</v>
      </c>
      <c r="O511" s="1">
        <v>45102</v>
      </c>
      <c r="P511">
        <v>11369</v>
      </c>
    </row>
    <row r="512" spans="1:16">
      <c r="A512" s="1">
        <v>43246</v>
      </c>
      <c r="B512">
        <v>10256</v>
      </c>
      <c r="C512">
        <v>13473</v>
      </c>
      <c r="D512">
        <v>9966</v>
      </c>
      <c r="E512">
        <v>5729</v>
      </c>
      <c r="F512">
        <v>254</v>
      </c>
      <c r="G512" t="s">
        <v>83</v>
      </c>
      <c r="H512" t="str" cm="1">
        <f t="array" ref="H512">_xlfn.IFS(Grammys[[#This Row],[date]] &gt;= DATE(2022,2,1),"Grammys",TRUE,"Grammys TRA")</f>
        <v>Grammys TRA</v>
      </c>
      <c r="I512">
        <f>_xlfn.XLOOKUP(Grammys[[#This Row],[date]],mobile_visits[date],mobile_visits[mobile_visitors],0)</f>
        <v>0</v>
      </c>
      <c r="O512" s="1">
        <v>45103</v>
      </c>
      <c r="P512">
        <v>7327</v>
      </c>
    </row>
    <row r="513" spans="1:16">
      <c r="A513" s="1">
        <v>43247</v>
      </c>
      <c r="B513">
        <v>11040</v>
      </c>
      <c r="C513">
        <v>15344</v>
      </c>
      <c r="D513">
        <v>10927</v>
      </c>
      <c r="E513">
        <v>6230</v>
      </c>
      <c r="F513">
        <v>256</v>
      </c>
      <c r="G513" t="s">
        <v>83</v>
      </c>
      <c r="H513" t="str" cm="1">
        <f t="array" ref="H513">_xlfn.IFS(Grammys[[#This Row],[date]] &gt;= DATE(2022,2,1),"Grammys",TRUE,"Grammys TRA")</f>
        <v>Grammys TRA</v>
      </c>
      <c r="I513">
        <f>_xlfn.XLOOKUP(Grammys[[#This Row],[date]],mobile_visits[date],mobile_visits[mobile_visitors],0)</f>
        <v>0</v>
      </c>
      <c r="O513" s="1">
        <v>45104</v>
      </c>
      <c r="P513">
        <v>9491</v>
      </c>
    </row>
    <row r="514" spans="1:16">
      <c r="A514" s="1">
        <v>43248</v>
      </c>
      <c r="B514">
        <v>10719</v>
      </c>
      <c r="C514">
        <v>15365</v>
      </c>
      <c r="D514">
        <v>10822</v>
      </c>
      <c r="E514">
        <v>6315</v>
      </c>
      <c r="F514">
        <v>288</v>
      </c>
      <c r="G514" t="s">
        <v>83</v>
      </c>
      <c r="H514" t="str" cm="1">
        <f t="array" ref="H514">_xlfn.IFS(Grammys[[#This Row],[date]] &gt;= DATE(2022,2,1),"Grammys",TRUE,"Grammys TRA")</f>
        <v>Grammys TRA</v>
      </c>
      <c r="I514">
        <f>_xlfn.XLOOKUP(Grammys[[#This Row],[date]],mobile_visits[date],mobile_visits[mobile_visitors],0)</f>
        <v>0</v>
      </c>
      <c r="O514" s="1">
        <v>45105</v>
      </c>
      <c r="P514">
        <v>9856</v>
      </c>
    </row>
    <row r="515" spans="1:16">
      <c r="A515" s="1">
        <v>43249</v>
      </c>
      <c r="B515">
        <v>11735</v>
      </c>
      <c r="C515">
        <v>17419</v>
      </c>
      <c r="D515">
        <v>11870</v>
      </c>
      <c r="E515">
        <v>6783</v>
      </c>
      <c r="F515">
        <v>297</v>
      </c>
      <c r="G515" t="s">
        <v>83</v>
      </c>
      <c r="H515" t="str" cm="1">
        <f t="array" ref="H515">_xlfn.IFS(Grammys[[#This Row],[date]] &gt;= DATE(2022,2,1),"Grammys",TRUE,"Grammys TRA")</f>
        <v>Grammys TRA</v>
      </c>
      <c r="I515">
        <f>_xlfn.XLOOKUP(Grammys[[#This Row],[date]],mobile_visits[date],mobile_visits[mobile_visitors],0)</f>
        <v>0</v>
      </c>
      <c r="O515" s="1">
        <v>45106</v>
      </c>
      <c r="P515">
        <v>12881</v>
      </c>
    </row>
    <row r="516" spans="1:16">
      <c r="A516" s="1">
        <v>43250</v>
      </c>
      <c r="B516">
        <v>14774</v>
      </c>
      <c r="C516">
        <v>20555</v>
      </c>
      <c r="D516">
        <v>14911</v>
      </c>
      <c r="E516">
        <v>7695</v>
      </c>
      <c r="F516">
        <v>274</v>
      </c>
      <c r="G516" t="s">
        <v>83</v>
      </c>
      <c r="H516" t="str" cm="1">
        <f t="array" ref="H516">_xlfn.IFS(Grammys[[#This Row],[date]] &gt;= DATE(2022,2,1),"Grammys",TRUE,"Grammys TRA")</f>
        <v>Grammys TRA</v>
      </c>
      <c r="I516">
        <f>_xlfn.XLOOKUP(Grammys[[#This Row],[date]],mobile_visits[date],mobile_visits[mobile_visitors],0)</f>
        <v>0</v>
      </c>
      <c r="O516" s="1">
        <v>45107</v>
      </c>
      <c r="P516">
        <v>14446</v>
      </c>
    </row>
    <row r="517" spans="1:16">
      <c r="A517" s="1">
        <v>43251</v>
      </c>
      <c r="B517">
        <v>13053</v>
      </c>
      <c r="C517">
        <v>17758</v>
      </c>
      <c r="D517">
        <v>13211</v>
      </c>
      <c r="E517">
        <v>6417</v>
      </c>
      <c r="F517">
        <v>242</v>
      </c>
      <c r="G517" t="s">
        <v>83</v>
      </c>
      <c r="H517" t="str" cm="1">
        <f t="array" ref="H517">_xlfn.IFS(Grammys[[#This Row],[date]] &gt;= DATE(2022,2,1),"Grammys",TRUE,"Grammys TRA")</f>
        <v>Grammys TRA</v>
      </c>
      <c r="I517">
        <f>_xlfn.XLOOKUP(Grammys[[#This Row],[date]],mobile_visits[date],mobile_visits[mobile_visitors],0)</f>
        <v>0</v>
      </c>
    </row>
    <row r="518" spans="1:16">
      <c r="A518" s="1">
        <v>43252</v>
      </c>
      <c r="B518">
        <v>11825</v>
      </c>
      <c r="C518">
        <v>16289</v>
      </c>
      <c r="D518">
        <v>11767</v>
      </c>
      <c r="E518">
        <v>6072</v>
      </c>
      <c r="F518">
        <v>265</v>
      </c>
      <c r="G518" t="s">
        <v>83</v>
      </c>
      <c r="H518" t="str" cm="1">
        <f t="array" ref="H518">_xlfn.IFS(Grammys[[#This Row],[date]] &gt;= DATE(2022,2,1),"Grammys",TRUE,"Grammys TRA")</f>
        <v>Grammys TRA</v>
      </c>
      <c r="I518">
        <f>_xlfn.XLOOKUP(Grammys[[#This Row],[date]],mobile_visits[date],mobile_visits[mobile_visitors],0)</f>
        <v>0</v>
      </c>
    </row>
    <row r="519" spans="1:16">
      <c r="A519" s="1">
        <v>43253</v>
      </c>
      <c r="B519">
        <v>9932</v>
      </c>
      <c r="C519">
        <v>13248</v>
      </c>
      <c r="D519">
        <v>9881</v>
      </c>
      <c r="E519">
        <v>5747</v>
      </c>
      <c r="F519">
        <v>213</v>
      </c>
      <c r="G519" t="s">
        <v>83</v>
      </c>
      <c r="H519" t="str" cm="1">
        <f t="array" ref="H519">_xlfn.IFS(Grammys[[#This Row],[date]] &gt;= DATE(2022,2,1),"Grammys",TRUE,"Grammys TRA")</f>
        <v>Grammys TRA</v>
      </c>
      <c r="I519">
        <f>_xlfn.XLOOKUP(Grammys[[#This Row],[date]],mobile_visits[date],mobile_visits[mobile_visitors],0)</f>
        <v>0</v>
      </c>
    </row>
    <row r="520" spans="1:16">
      <c r="A520" s="1">
        <v>43254</v>
      </c>
      <c r="B520">
        <v>9586</v>
      </c>
      <c r="C520">
        <v>13226</v>
      </c>
      <c r="D520">
        <v>9530</v>
      </c>
      <c r="E520">
        <v>5468</v>
      </c>
      <c r="F520">
        <v>254</v>
      </c>
      <c r="G520" t="s">
        <v>83</v>
      </c>
      <c r="H520" t="str" cm="1">
        <f t="array" ref="H520">_xlfn.IFS(Grammys[[#This Row],[date]] &gt;= DATE(2022,2,1),"Grammys",TRUE,"Grammys TRA")</f>
        <v>Grammys TRA</v>
      </c>
      <c r="I520">
        <f>_xlfn.XLOOKUP(Grammys[[#This Row],[date]],mobile_visits[date],mobile_visits[mobile_visitors],0)</f>
        <v>0</v>
      </c>
    </row>
    <row r="521" spans="1:16">
      <c r="A521" s="1">
        <v>43255</v>
      </c>
      <c r="B521">
        <v>10093</v>
      </c>
      <c r="C521">
        <v>14899</v>
      </c>
      <c r="D521">
        <v>10245</v>
      </c>
      <c r="E521">
        <v>5846</v>
      </c>
      <c r="F521">
        <v>324</v>
      </c>
      <c r="G521" t="s">
        <v>83</v>
      </c>
      <c r="H521" t="str" cm="1">
        <f t="array" ref="H521">_xlfn.IFS(Grammys[[#This Row],[date]] &gt;= DATE(2022,2,1),"Grammys",TRUE,"Grammys TRA")</f>
        <v>Grammys TRA</v>
      </c>
      <c r="I521">
        <f>_xlfn.XLOOKUP(Grammys[[#This Row],[date]],mobile_visits[date],mobile_visits[mobile_visitors],0)</f>
        <v>0</v>
      </c>
    </row>
    <row r="522" spans="1:16">
      <c r="A522" s="1">
        <v>43256</v>
      </c>
      <c r="B522">
        <v>10463</v>
      </c>
      <c r="C522">
        <v>14842</v>
      </c>
      <c r="D522">
        <v>10405</v>
      </c>
      <c r="E522">
        <v>5965</v>
      </c>
      <c r="F522">
        <v>279</v>
      </c>
      <c r="G522" t="s">
        <v>83</v>
      </c>
      <c r="H522" t="str" cm="1">
        <f t="array" ref="H522">_xlfn.IFS(Grammys[[#This Row],[date]] &gt;= DATE(2022,2,1),"Grammys",TRUE,"Grammys TRA")</f>
        <v>Grammys TRA</v>
      </c>
      <c r="I522">
        <f>_xlfn.XLOOKUP(Grammys[[#This Row],[date]],mobile_visits[date],mobile_visits[mobile_visitors],0)</f>
        <v>0</v>
      </c>
    </row>
    <row r="523" spans="1:16">
      <c r="A523" s="1">
        <v>43257</v>
      </c>
      <c r="B523">
        <v>11449</v>
      </c>
      <c r="C523">
        <v>15810</v>
      </c>
      <c r="D523">
        <v>11504</v>
      </c>
      <c r="E523">
        <v>6819</v>
      </c>
      <c r="F523">
        <v>237</v>
      </c>
      <c r="G523" t="s">
        <v>83</v>
      </c>
      <c r="H523" t="str" cm="1">
        <f t="array" ref="H523">_xlfn.IFS(Grammys[[#This Row],[date]] &gt;= DATE(2022,2,1),"Grammys",TRUE,"Grammys TRA")</f>
        <v>Grammys TRA</v>
      </c>
      <c r="I523">
        <f>_xlfn.XLOOKUP(Grammys[[#This Row],[date]],mobile_visits[date],mobile_visits[mobile_visitors],0)</f>
        <v>0</v>
      </c>
    </row>
    <row r="524" spans="1:16">
      <c r="A524" s="1">
        <v>43258</v>
      </c>
      <c r="B524">
        <v>10669</v>
      </c>
      <c r="C524">
        <v>15170</v>
      </c>
      <c r="D524">
        <v>10796</v>
      </c>
      <c r="E524">
        <v>6249</v>
      </c>
      <c r="F524">
        <v>255</v>
      </c>
      <c r="G524" t="s">
        <v>83</v>
      </c>
      <c r="H524" t="str" cm="1">
        <f t="array" ref="H524">_xlfn.IFS(Grammys[[#This Row],[date]] &gt;= DATE(2022,2,1),"Grammys",TRUE,"Grammys TRA")</f>
        <v>Grammys TRA</v>
      </c>
      <c r="I524">
        <f>_xlfn.XLOOKUP(Grammys[[#This Row],[date]],mobile_visits[date],mobile_visits[mobile_visitors],0)</f>
        <v>0</v>
      </c>
    </row>
    <row r="525" spans="1:16">
      <c r="A525" s="1">
        <v>43259</v>
      </c>
      <c r="B525">
        <v>10215</v>
      </c>
      <c r="C525">
        <v>14300</v>
      </c>
      <c r="D525">
        <v>10250</v>
      </c>
      <c r="E525">
        <v>5891</v>
      </c>
      <c r="F525">
        <v>267</v>
      </c>
      <c r="G525" t="s">
        <v>83</v>
      </c>
      <c r="H525" t="str" cm="1">
        <f t="array" ref="H525">_xlfn.IFS(Grammys[[#This Row],[date]] &gt;= DATE(2022,2,1),"Grammys",TRUE,"Grammys TRA")</f>
        <v>Grammys TRA</v>
      </c>
      <c r="I525">
        <f>_xlfn.XLOOKUP(Grammys[[#This Row],[date]],mobile_visits[date],mobile_visits[mobile_visitors],0)</f>
        <v>0</v>
      </c>
    </row>
    <row r="526" spans="1:16">
      <c r="A526" s="1">
        <v>43260</v>
      </c>
      <c r="B526">
        <v>21010</v>
      </c>
      <c r="C526">
        <v>27986</v>
      </c>
      <c r="D526">
        <v>21659</v>
      </c>
      <c r="E526">
        <v>8835</v>
      </c>
      <c r="F526">
        <v>279</v>
      </c>
      <c r="G526" t="s">
        <v>83</v>
      </c>
      <c r="H526" t="str" cm="1">
        <f t="array" ref="H526">_xlfn.IFS(Grammys[[#This Row],[date]] &gt;= DATE(2022,2,1),"Grammys",TRUE,"Grammys TRA")</f>
        <v>Grammys TRA</v>
      </c>
      <c r="I526">
        <f>_xlfn.XLOOKUP(Grammys[[#This Row],[date]],mobile_visits[date],mobile_visits[mobile_visitors],0)</f>
        <v>0</v>
      </c>
    </row>
    <row r="527" spans="1:16">
      <c r="A527" s="1">
        <v>43261</v>
      </c>
      <c r="B527">
        <v>14918</v>
      </c>
      <c r="C527">
        <v>20506</v>
      </c>
      <c r="D527">
        <v>15207</v>
      </c>
      <c r="E527">
        <v>7698</v>
      </c>
      <c r="F527">
        <v>306</v>
      </c>
      <c r="G527" t="s">
        <v>83</v>
      </c>
      <c r="H527" t="str" cm="1">
        <f t="array" ref="H527">_xlfn.IFS(Grammys[[#This Row],[date]] &gt;= DATE(2022,2,1),"Grammys",TRUE,"Grammys TRA")</f>
        <v>Grammys TRA</v>
      </c>
      <c r="I527">
        <f>_xlfn.XLOOKUP(Grammys[[#This Row],[date]],mobile_visits[date],mobile_visits[mobile_visitors],0)</f>
        <v>0</v>
      </c>
    </row>
    <row r="528" spans="1:16">
      <c r="A528" s="1">
        <v>43262</v>
      </c>
      <c r="B528">
        <v>22842</v>
      </c>
      <c r="C528">
        <v>30176</v>
      </c>
      <c r="D528">
        <v>23244</v>
      </c>
      <c r="E528">
        <v>9366</v>
      </c>
      <c r="F528">
        <v>264</v>
      </c>
      <c r="G528" t="s">
        <v>83</v>
      </c>
      <c r="H528" t="str" cm="1">
        <f t="array" ref="H528">_xlfn.IFS(Grammys[[#This Row],[date]] &gt;= DATE(2022,2,1),"Grammys",TRUE,"Grammys TRA")</f>
        <v>Grammys TRA</v>
      </c>
      <c r="I528">
        <f>_xlfn.XLOOKUP(Grammys[[#This Row],[date]],mobile_visits[date],mobile_visits[mobile_visitors],0)</f>
        <v>0</v>
      </c>
    </row>
    <row r="529" spans="1:9">
      <c r="A529" s="1">
        <v>43263</v>
      </c>
      <c r="B529">
        <v>21508</v>
      </c>
      <c r="C529">
        <v>28428</v>
      </c>
      <c r="D529">
        <v>21829</v>
      </c>
      <c r="E529">
        <v>8972</v>
      </c>
      <c r="F529">
        <v>303</v>
      </c>
      <c r="G529" t="s">
        <v>83</v>
      </c>
      <c r="H529" t="str" cm="1">
        <f t="array" ref="H529">_xlfn.IFS(Grammys[[#This Row],[date]] &gt;= DATE(2022,2,1),"Grammys",TRUE,"Grammys TRA")</f>
        <v>Grammys TRA</v>
      </c>
      <c r="I529">
        <f>_xlfn.XLOOKUP(Grammys[[#This Row],[date]],mobile_visits[date],mobile_visits[mobile_visitors],0)</f>
        <v>0</v>
      </c>
    </row>
    <row r="530" spans="1:9">
      <c r="A530" s="1">
        <v>43264</v>
      </c>
      <c r="B530">
        <v>12669</v>
      </c>
      <c r="C530">
        <v>17162</v>
      </c>
      <c r="D530">
        <v>12829</v>
      </c>
      <c r="E530">
        <v>6623</v>
      </c>
      <c r="F530">
        <v>264</v>
      </c>
      <c r="G530" t="s">
        <v>83</v>
      </c>
      <c r="H530" t="str" cm="1">
        <f t="array" ref="H530">_xlfn.IFS(Grammys[[#This Row],[date]] &gt;= DATE(2022,2,1),"Grammys",TRUE,"Grammys TRA")</f>
        <v>Grammys TRA</v>
      </c>
      <c r="I530">
        <f>_xlfn.XLOOKUP(Grammys[[#This Row],[date]],mobile_visits[date],mobile_visits[mobile_visitors],0)</f>
        <v>0</v>
      </c>
    </row>
    <row r="531" spans="1:9">
      <c r="A531" s="1">
        <v>43265</v>
      </c>
      <c r="B531">
        <v>11022</v>
      </c>
      <c r="C531">
        <v>15290</v>
      </c>
      <c r="D531">
        <v>11037</v>
      </c>
      <c r="E531">
        <v>6168</v>
      </c>
      <c r="F531">
        <v>274</v>
      </c>
      <c r="G531" t="s">
        <v>83</v>
      </c>
      <c r="H531" t="str" cm="1">
        <f t="array" ref="H531">_xlfn.IFS(Grammys[[#This Row],[date]] &gt;= DATE(2022,2,1),"Grammys",TRUE,"Grammys TRA")</f>
        <v>Grammys TRA</v>
      </c>
      <c r="I531">
        <f>_xlfn.XLOOKUP(Grammys[[#This Row],[date]],mobile_visits[date],mobile_visits[mobile_visitors],0)</f>
        <v>0</v>
      </c>
    </row>
    <row r="532" spans="1:9">
      <c r="A532" s="1">
        <v>43266</v>
      </c>
      <c r="B532">
        <v>10217</v>
      </c>
      <c r="C532">
        <v>14019</v>
      </c>
      <c r="D532">
        <v>10243</v>
      </c>
      <c r="E532">
        <v>5958</v>
      </c>
      <c r="F532">
        <v>250</v>
      </c>
      <c r="G532" t="s">
        <v>83</v>
      </c>
      <c r="H532" t="str" cm="1">
        <f t="array" ref="H532">_xlfn.IFS(Grammys[[#This Row],[date]] &gt;= DATE(2022,2,1),"Grammys",TRUE,"Grammys TRA")</f>
        <v>Grammys TRA</v>
      </c>
      <c r="I532">
        <f>_xlfn.XLOOKUP(Grammys[[#This Row],[date]],mobile_visits[date],mobile_visits[mobile_visitors],0)</f>
        <v>0</v>
      </c>
    </row>
    <row r="533" spans="1:9">
      <c r="A533" s="1">
        <v>43267</v>
      </c>
      <c r="B533">
        <v>12887</v>
      </c>
      <c r="C533">
        <v>17017</v>
      </c>
      <c r="D533">
        <v>12796</v>
      </c>
      <c r="E533">
        <v>5879</v>
      </c>
      <c r="F533">
        <v>235</v>
      </c>
      <c r="G533" t="s">
        <v>83</v>
      </c>
      <c r="H533" t="str" cm="1">
        <f t="array" ref="H533">_xlfn.IFS(Grammys[[#This Row],[date]] &gt;= DATE(2022,2,1),"Grammys",TRUE,"Grammys TRA")</f>
        <v>Grammys TRA</v>
      </c>
      <c r="I533">
        <f>_xlfn.XLOOKUP(Grammys[[#This Row],[date]],mobile_visits[date],mobile_visits[mobile_visitors],0)</f>
        <v>0</v>
      </c>
    </row>
    <row r="534" spans="1:9">
      <c r="A534" s="1">
        <v>43268</v>
      </c>
      <c r="B534">
        <v>16016</v>
      </c>
      <c r="C534">
        <v>22000</v>
      </c>
      <c r="D534">
        <v>16169</v>
      </c>
      <c r="E534">
        <v>6785</v>
      </c>
      <c r="F534">
        <v>226</v>
      </c>
      <c r="G534" t="s">
        <v>83</v>
      </c>
      <c r="H534" t="str" cm="1">
        <f t="array" ref="H534">_xlfn.IFS(Grammys[[#This Row],[date]] &gt;= DATE(2022,2,1),"Grammys",TRUE,"Grammys TRA")</f>
        <v>Grammys TRA</v>
      </c>
      <c r="I534">
        <f>_xlfn.XLOOKUP(Grammys[[#This Row],[date]],mobile_visits[date],mobile_visits[mobile_visitors],0)</f>
        <v>0</v>
      </c>
    </row>
    <row r="535" spans="1:9">
      <c r="A535" s="1">
        <v>43269</v>
      </c>
      <c r="B535">
        <v>11613</v>
      </c>
      <c r="C535">
        <v>16463</v>
      </c>
      <c r="D535">
        <v>11690</v>
      </c>
      <c r="E535">
        <v>6368</v>
      </c>
      <c r="F535">
        <v>283</v>
      </c>
      <c r="G535" t="s">
        <v>83</v>
      </c>
      <c r="H535" t="str" cm="1">
        <f t="array" ref="H535">_xlfn.IFS(Grammys[[#This Row],[date]] &gt;= DATE(2022,2,1),"Grammys",TRUE,"Grammys TRA")</f>
        <v>Grammys TRA</v>
      </c>
      <c r="I535">
        <f>_xlfn.XLOOKUP(Grammys[[#This Row],[date]],mobile_visits[date],mobile_visits[mobile_visitors],0)</f>
        <v>0</v>
      </c>
    </row>
    <row r="536" spans="1:9">
      <c r="A536" s="1">
        <v>43270</v>
      </c>
      <c r="B536">
        <v>6673</v>
      </c>
      <c r="C536">
        <v>9858</v>
      </c>
      <c r="D536">
        <v>6680</v>
      </c>
      <c r="E536">
        <v>3683</v>
      </c>
      <c r="F536">
        <v>276</v>
      </c>
      <c r="G536" t="s">
        <v>83</v>
      </c>
      <c r="H536" t="str" cm="1">
        <f t="array" ref="H536">_xlfn.IFS(Grammys[[#This Row],[date]] &gt;= DATE(2022,2,1),"Grammys",TRUE,"Grammys TRA")</f>
        <v>Grammys TRA</v>
      </c>
      <c r="I536">
        <f>_xlfn.XLOOKUP(Grammys[[#This Row],[date]],mobile_visits[date],mobile_visits[mobile_visitors],0)</f>
        <v>0</v>
      </c>
    </row>
    <row r="537" spans="1:9">
      <c r="A537" s="1">
        <v>43271</v>
      </c>
      <c r="B537">
        <v>8828</v>
      </c>
      <c r="C537">
        <v>13029</v>
      </c>
      <c r="D537">
        <v>8899</v>
      </c>
      <c r="E537">
        <v>4739</v>
      </c>
      <c r="F537">
        <v>265</v>
      </c>
      <c r="G537" t="s">
        <v>83</v>
      </c>
      <c r="H537" t="str" cm="1">
        <f t="array" ref="H537">_xlfn.IFS(Grammys[[#This Row],[date]] &gt;= DATE(2022,2,1),"Grammys",TRUE,"Grammys TRA")</f>
        <v>Grammys TRA</v>
      </c>
      <c r="I537">
        <f>_xlfn.XLOOKUP(Grammys[[#This Row],[date]],mobile_visits[date],mobile_visits[mobile_visitors],0)</f>
        <v>0</v>
      </c>
    </row>
    <row r="538" spans="1:9">
      <c r="A538" s="1">
        <v>43272</v>
      </c>
      <c r="B538">
        <v>15204</v>
      </c>
      <c r="C538">
        <v>20501</v>
      </c>
      <c r="D538">
        <v>15259</v>
      </c>
      <c r="E538">
        <v>6945</v>
      </c>
      <c r="F538">
        <v>212</v>
      </c>
      <c r="G538" t="s">
        <v>83</v>
      </c>
      <c r="H538" t="str" cm="1">
        <f t="array" ref="H538">_xlfn.IFS(Grammys[[#This Row],[date]] &gt;= DATE(2022,2,1),"Grammys",TRUE,"Grammys TRA")</f>
        <v>Grammys TRA</v>
      </c>
      <c r="I538">
        <f>_xlfn.XLOOKUP(Grammys[[#This Row],[date]],mobile_visits[date],mobile_visits[mobile_visitors],0)</f>
        <v>0</v>
      </c>
    </row>
    <row r="539" spans="1:9">
      <c r="A539" s="1">
        <v>43273</v>
      </c>
      <c r="B539">
        <v>10595</v>
      </c>
      <c r="C539">
        <v>14895</v>
      </c>
      <c r="D539">
        <v>10683</v>
      </c>
      <c r="E539">
        <v>5893</v>
      </c>
      <c r="F539">
        <v>255</v>
      </c>
      <c r="G539" t="s">
        <v>83</v>
      </c>
      <c r="H539" t="str" cm="1">
        <f t="array" ref="H539">_xlfn.IFS(Grammys[[#This Row],[date]] &gt;= DATE(2022,2,1),"Grammys",TRUE,"Grammys TRA")</f>
        <v>Grammys TRA</v>
      </c>
      <c r="I539">
        <f>_xlfn.XLOOKUP(Grammys[[#This Row],[date]],mobile_visits[date],mobile_visits[mobile_visitors],0)</f>
        <v>0</v>
      </c>
    </row>
    <row r="540" spans="1:9">
      <c r="A540" s="1">
        <v>43274</v>
      </c>
      <c r="B540">
        <v>9752</v>
      </c>
      <c r="C540">
        <v>13361</v>
      </c>
      <c r="D540">
        <v>9719</v>
      </c>
      <c r="E540">
        <v>5500</v>
      </c>
      <c r="F540">
        <v>257</v>
      </c>
      <c r="G540" t="s">
        <v>83</v>
      </c>
      <c r="H540" t="str" cm="1">
        <f t="array" ref="H540">_xlfn.IFS(Grammys[[#This Row],[date]] &gt;= DATE(2022,2,1),"Grammys",TRUE,"Grammys TRA")</f>
        <v>Grammys TRA</v>
      </c>
      <c r="I540">
        <f>_xlfn.XLOOKUP(Grammys[[#This Row],[date]],mobile_visits[date],mobile_visits[mobile_visitors],0)</f>
        <v>0</v>
      </c>
    </row>
    <row r="541" spans="1:9">
      <c r="A541" s="1">
        <v>43275</v>
      </c>
      <c r="B541">
        <v>9781</v>
      </c>
      <c r="C541">
        <v>13669</v>
      </c>
      <c r="D541">
        <v>9712</v>
      </c>
      <c r="E541">
        <v>5614</v>
      </c>
      <c r="F541">
        <v>272</v>
      </c>
      <c r="G541" t="s">
        <v>83</v>
      </c>
      <c r="H541" t="str" cm="1">
        <f t="array" ref="H541">_xlfn.IFS(Grammys[[#This Row],[date]] &gt;= DATE(2022,2,1),"Grammys",TRUE,"Grammys TRA")</f>
        <v>Grammys TRA</v>
      </c>
      <c r="I541">
        <f>_xlfn.XLOOKUP(Grammys[[#This Row],[date]],mobile_visits[date],mobile_visits[mobile_visitors],0)</f>
        <v>0</v>
      </c>
    </row>
    <row r="542" spans="1:9">
      <c r="A542" s="1">
        <v>43276</v>
      </c>
      <c r="B542">
        <v>10033</v>
      </c>
      <c r="C542">
        <v>14251</v>
      </c>
      <c r="D542">
        <v>9973</v>
      </c>
      <c r="E542">
        <v>5690</v>
      </c>
      <c r="F542">
        <v>266</v>
      </c>
      <c r="G542" t="s">
        <v>83</v>
      </c>
      <c r="H542" t="str" cm="1">
        <f t="array" ref="H542">_xlfn.IFS(Grammys[[#This Row],[date]] &gt;= DATE(2022,2,1),"Grammys",TRUE,"Grammys TRA")</f>
        <v>Grammys TRA</v>
      </c>
      <c r="I542">
        <f>_xlfn.XLOOKUP(Grammys[[#This Row],[date]],mobile_visits[date],mobile_visits[mobile_visitors],0)</f>
        <v>0</v>
      </c>
    </row>
    <row r="543" spans="1:9">
      <c r="A543" s="1">
        <v>43277</v>
      </c>
      <c r="B543">
        <v>10997</v>
      </c>
      <c r="C543">
        <v>15810</v>
      </c>
      <c r="D543">
        <v>11090</v>
      </c>
      <c r="E543">
        <v>6151</v>
      </c>
      <c r="F543">
        <v>275</v>
      </c>
      <c r="G543" t="s">
        <v>83</v>
      </c>
      <c r="H543" t="str" cm="1">
        <f t="array" ref="H543">_xlfn.IFS(Grammys[[#This Row],[date]] &gt;= DATE(2022,2,1),"Grammys",TRUE,"Grammys TRA")</f>
        <v>Grammys TRA</v>
      </c>
      <c r="I543">
        <f>_xlfn.XLOOKUP(Grammys[[#This Row],[date]],mobile_visits[date],mobile_visits[mobile_visitors],0)</f>
        <v>0</v>
      </c>
    </row>
    <row r="544" spans="1:9">
      <c r="A544" s="1">
        <v>43278</v>
      </c>
      <c r="B544">
        <v>10292</v>
      </c>
      <c r="C544">
        <v>14653</v>
      </c>
      <c r="D544">
        <v>10391</v>
      </c>
      <c r="E544">
        <v>5697</v>
      </c>
      <c r="F544">
        <v>277</v>
      </c>
      <c r="G544" t="s">
        <v>83</v>
      </c>
      <c r="H544" t="str" cm="1">
        <f t="array" ref="H544">_xlfn.IFS(Grammys[[#This Row],[date]] &gt;= DATE(2022,2,1),"Grammys",TRUE,"Grammys TRA")</f>
        <v>Grammys TRA</v>
      </c>
      <c r="I544">
        <f>_xlfn.XLOOKUP(Grammys[[#This Row],[date]],mobile_visits[date],mobile_visits[mobile_visitors],0)</f>
        <v>0</v>
      </c>
    </row>
    <row r="545" spans="1:9">
      <c r="A545" s="1">
        <v>43279</v>
      </c>
      <c r="B545">
        <v>10581</v>
      </c>
      <c r="C545">
        <v>14784</v>
      </c>
      <c r="D545">
        <v>10542</v>
      </c>
      <c r="E545">
        <v>6003</v>
      </c>
      <c r="F545">
        <v>287</v>
      </c>
      <c r="G545" t="s">
        <v>83</v>
      </c>
      <c r="H545" t="str" cm="1">
        <f t="array" ref="H545">_xlfn.IFS(Grammys[[#This Row],[date]] &gt;= DATE(2022,2,1),"Grammys",TRUE,"Grammys TRA")</f>
        <v>Grammys TRA</v>
      </c>
      <c r="I545">
        <f>_xlfn.XLOOKUP(Grammys[[#This Row],[date]],mobile_visits[date],mobile_visits[mobile_visitors],0)</f>
        <v>0</v>
      </c>
    </row>
    <row r="546" spans="1:9">
      <c r="A546" s="1">
        <v>43280</v>
      </c>
      <c r="B546">
        <v>10195</v>
      </c>
      <c r="C546">
        <v>14621</v>
      </c>
      <c r="D546">
        <v>10260</v>
      </c>
      <c r="E546">
        <v>5853</v>
      </c>
      <c r="F546">
        <v>300</v>
      </c>
      <c r="G546" t="s">
        <v>83</v>
      </c>
      <c r="H546" t="str" cm="1">
        <f t="array" ref="H546">_xlfn.IFS(Grammys[[#This Row],[date]] &gt;= DATE(2022,2,1),"Grammys",TRUE,"Grammys TRA")</f>
        <v>Grammys TRA</v>
      </c>
      <c r="I546">
        <f>_xlfn.XLOOKUP(Grammys[[#This Row],[date]],mobile_visits[date],mobile_visits[mobile_visitors],0)</f>
        <v>0</v>
      </c>
    </row>
    <row r="547" spans="1:9">
      <c r="A547" s="1">
        <v>43281</v>
      </c>
      <c r="B547">
        <v>11166</v>
      </c>
      <c r="C547">
        <v>14892</v>
      </c>
      <c r="D547">
        <v>11289</v>
      </c>
      <c r="E547">
        <v>5640</v>
      </c>
      <c r="F547">
        <v>226</v>
      </c>
      <c r="G547" t="s">
        <v>83</v>
      </c>
      <c r="H547" t="str" cm="1">
        <f t="array" ref="H547">_xlfn.IFS(Grammys[[#This Row],[date]] &gt;= DATE(2022,2,1),"Grammys",TRUE,"Grammys TRA")</f>
        <v>Grammys TRA</v>
      </c>
      <c r="I547">
        <f>_xlfn.XLOOKUP(Grammys[[#This Row],[date]],mobile_visits[date],mobile_visits[mobile_visitors],0)</f>
        <v>0</v>
      </c>
    </row>
    <row r="548" spans="1:9">
      <c r="A548" s="1">
        <v>43282</v>
      </c>
      <c r="B548">
        <v>67364</v>
      </c>
      <c r="C548">
        <v>91866</v>
      </c>
      <c r="D548">
        <v>70234</v>
      </c>
      <c r="E548">
        <v>10304</v>
      </c>
      <c r="F548">
        <v>213</v>
      </c>
      <c r="G548" t="s">
        <v>83</v>
      </c>
      <c r="H548" t="str" cm="1">
        <f t="array" ref="H548">_xlfn.IFS(Grammys[[#This Row],[date]] &gt;= DATE(2022,2,1),"Grammys",TRUE,"Grammys TRA")</f>
        <v>Grammys TRA</v>
      </c>
      <c r="I548">
        <f>_xlfn.XLOOKUP(Grammys[[#This Row],[date]],mobile_visits[date],mobile_visits[mobile_visitors],0)</f>
        <v>0</v>
      </c>
    </row>
    <row r="549" spans="1:9">
      <c r="A549" s="1">
        <v>43283</v>
      </c>
      <c r="B549">
        <v>49869</v>
      </c>
      <c r="C549">
        <v>69493</v>
      </c>
      <c r="D549">
        <v>51147</v>
      </c>
      <c r="E549">
        <v>11064</v>
      </c>
      <c r="F549">
        <v>246</v>
      </c>
      <c r="G549" t="s">
        <v>83</v>
      </c>
      <c r="H549" t="str" cm="1">
        <f t="array" ref="H549">_xlfn.IFS(Grammys[[#This Row],[date]] &gt;= DATE(2022,2,1),"Grammys",TRUE,"Grammys TRA")</f>
        <v>Grammys TRA</v>
      </c>
      <c r="I549">
        <f>_xlfn.XLOOKUP(Grammys[[#This Row],[date]],mobile_visits[date],mobile_visits[mobile_visitors],0)</f>
        <v>0</v>
      </c>
    </row>
    <row r="550" spans="1:9">
      <c r="A550" s="1">
        <v>43284</v>
      </c>
      <c r="B550">
        <v>20157</v>
      </c>
      <c r="C550">
        <v>28519</v>
      </c>
      <c r="D550">
        <v>20511</v>
      </c>
      <c r="E550">
        <v>7924</v>
      </c>
      <c r="F550">
        <v>311</v>
      </c>
      <c r="G550" t="s">
        <v>83</v>
      </c>
      <c r="H550" t="str" cm="1">
        <f t="array" ref="H550">_xlfn.IFS(Grammys[[#This Row],[date]] &gt;= DATE(2022,2,1),"Grammys",TRUE,"Grammys TRA")</f>
        <v>Grammys TRA</v>
      </c>
      <c r="I550">
        <f>_xlfn.XLOOKUP(Grammys[[#This Row],[date]],mobile_visits[date],mobile_visits[mobile_visitors],0)</f>
        <v>0</v>
      </c>
    </row>
    <row r="551" spans="1:9">
      <c r="A551" s="1">
        <v>43285</v>
      </c>
      <c r="B551">
        <v>16373</v>
      </c>
      <c r="C551">
        <v>23245</v>
      </c>
      <c r="D551">
        <v>16712</v>
      </c>
      <c r="E551">
        <v>6682</v>
      </c>
      <c r="F551">
        <v>278</v>
      </c>
      <c r="G551" t="s">
        <v>83</v>
      </c>
      <c r="H551" t="str" cm="1">
        <f t="array" ref="H551">_xlfn.IFS(Grammys[[#This Row],[date]] &gt;= DATE(2022,2,1),"Grammys",TRUE,"Grammys TRA")</f>
        <v>Grammys TRA</v>
      </c>
      <c r="I551">
        <f>_xlfn.XLOOKUP(Grammys[[#This Row],[date]],mobile_visits[date],mobile_visits[mobile_visitors],0)</f>
        <v>0</v>
      </c>
    </row>
    <row r="552" spans="1:9">
      <c r="A552" s="1">
        <v>43286</v>
      </c>
      <c r="B552">
        <v>30550</v>
      </c>
      <c r="C552">
        <v>46992</v>
      </c>
      <c r="D552">
        <v>30868</v>
      </c>
      <c r="E552">
        <v>10400</v>
      </c>
      <c r="F552">
        <v>285</v>
      </c>
      <c r="G552" t="s">
        <v>83</v>
      </c>
      <c r="H552" t="str" cm="1">
        <f t="array" ref="H552">_xlfn.IFS(Grammys[[#This Row],[date]] &gt;= DATE(2022,2,1),"Grammys",TRUE,"Grammys TRA")</f>
        <v>Grammys TRA</v>
      </c>
      <c r="I552">
        <f>_xlfn.XLOOKUP(Grammys[[#This Row],[date]],mobile_visits[date],mobile_visits[mobile_visitors],0)</f>
        <v>0</v>
      </c>
    </row>
    <row r="553" spans="1:9">
      <c r="A553" s="1">
        <v>43287</v>
      </c>
      <c r="B553">
        <v>30732</v>
      </c>
      <c r="C553">
        <v>46183</v>
      </c>
      <c r="D553">
        <v>32035</v>
      </c>
      <c r="E553">
        <v>10271</v>
      </c>
      <c r="F553">
        <v>280</v>
      </c>
      <c r="G553" t="s">
        <v>83</v>
      </c>
      <c r="H553" t="str" cm="1">
        <f t="array" ref="H553">_xlfn.IFS(Grammys[[#This Row],[date]] &gt;= DATE(2022,2,1),"Grammys",TRUE,"Grammys TRA")</f>
        <v>Grammys TRA</v>
      </c>
      <c r="I553">
        <f>_xlfn.XLOOKUP(Grammys[[#This Row],[date]],mobile_visits[date],mobile_visits[mobile_visitors],0)</f>
        <v>0</v>
      </c>
    </row>
    <row r="554" spans="1:9">
      <c r="A554" s="1">
        <v>43288</v>
      </c>
      <c r="B554">
        <v>16025</v>
      </c>
      <c r="C554">
        <v>22846</v>
      </c>
      <c r="D554">
        <v>16185</v>
      </c>
      <c r="E554">
        <v>6955</v>
      </c>
      <c r="F554">
        <v>298</v>
      </c>
      <c r="G554" t="s">
        <v>83</v>
      </c>
      <c r="H554" t="str" cm="1">
        <f t="array" ref="H554">_xlfn.IFS(Grammys[[#This Row],[date]] &gt;= DATE(2022,2,1),"Grammys",TRUE,"Grammys TRA")</f>
        <v>Grammys TRA</v>
      </c>
      <c r="I554">
        <f>_xlfn.XLOOKUP(Grammys[[#This Row],[date]],mobile_visits[date],mobile_visits[mobile_visitors],0)</f>
        <v>0</v>
      </c>
    </row>
    <row r="555" spans="1:9">
      <c r="A555" s="1">
        <v>43289</v>
      </c>
      <c r="B555">
        <v>25783</v>
      </c>
      <c r="C555">
        <v>35809</v>
      </c>
      <c r="D555">
        <v>26316</v>
      </c>
      <c r="E555">
        <v>9211</v>
      </c>
      <c r="F555">
        <v>265</v>
      </c>
      <c r="G555" t="s">
        <v>83</v>
      </c>
      <c r="H555" t="str" cm="1">
        <f t="array" ref="H555">_xlfn.IFS(Grammys[[#This Row],[date]] &gt;= DATE(2022,2,1),"Grammys",TRUE,"Grammys TRA")</f>
        <v>Grammys TRA</v>
      </c>
      <c r="I555">
        <f>_xlfn.XLOOKUP(Grammys[[#This Row],[date]],mobile_visits[date],mobile_visits[mobile_visitors],0)</f>
        <v>0</v>
      </c>
    </row>
    <row r="556" spans="1:9">
      <c r="A556" s="1">
        <v>43290</v>
      </c>
      <c r="B556">
        <v>23247</v>
      </c>
      <c r="C556">
        <v>34600</v>
      </c>
      <c r="D556">
        <v>24161</v>
      </c>
      <c r="E556">
        <v>9302</v>
      </c>
      <c r="F556">
        <v>355</v>
      </c>
      <c r="G556" t="s">
        <v>83</v>
      </c>
      <c r="H556" t="str" cm="1">
        <f t="array" ref="H556">_xlfn.IFS(Grammys[[#This Row],[date]] &gt;= DATE(2022,2,1),"Grammys",TRUE,"Grammys TRA")</f>
        <v>Grammys TRA</v>
      </c>
      <c r="I556">
        <f>_xlfn.XLOOKUP(Grammys[[#This Row],[date]],mobile_visits[date],mobile_visits[mobile_visitors],0)</f>
        <v>0</v>
      </c>
    </row>
    <row r="557" spans="1:9">
      <c r="A557" s="1">
        <v>43291</v>
      </c>
      <c r="B557">
        <v>16213</v>
      </c>
      <c r="C557">
        <v>23675</v>
      </c>
      <c r="D557">
        <v>16309</v>
      </c>
      <c r="E557">
        <v>7424</v>
      </c>
      <c r="F557">
        <v>320</v>
      </c>
      <c r="G557" t="s">
        <v>83</v>
      </c>
      <c r="H557" t="str" cm="1">
        <f t="array" ref="H557">_xlfn.IFS(Grammys[[#This Row],[date]] &gt;= DATE(2022,2,1),"Grammys",TRUE,"Grammys TRA")</f>
        <v>Grammys TRA</v>
      </c>
      <c r="I557">
        <f>_xlfn.XLOOKUP(Grammys[[#This Row],[date]],mobile_visits[date],mobile_visits[mobile_visitors],0)</f>
        <v>0</v>
      </c>
    </row>
    <row r="558" spans="1:9">
      <c r="A558" s="1">
        <v>43292</v>
      </c>
      <c r="B558">
        <v>13469</v>
      </c>
      <c r="C558">
        <v>19585</v>
      </c>
      <c r="D558">
        <v>13614</v>
      </c>
      <c r="E558">
        <v>6576</v>
      </c>
      <c r="F558">
        <v>318</v>
      </c>
      <c r="G558" t="s">
        <v>83</v>
      </c>
      <c r="H558" t="str" cm="1">
        <f t="array" ref="H558">_xlfn.IFS(Grammys[[#This Row],[date]] &gt;= DATE(2022,2,1),"Grammys",TRUE,"Grammys TRA")</f>
        <v>Grammys TRA</v>
      </c>
      <c r="I558">
        <f>_xlfn.XLOOKUP(Grammys[[#This Row],[date]],mobile_visits[date],mobile_visits[mobile_visitors],0)</f>
        <v>0</v>
      </c>
    </row>
    <row r="559" spans="1:9">
      <c r="A559" s="1">
        <v>43293</v>
      </c>
      <c r="B559">
        <v>13044</v>
      </c>
      <c r="C559">
        <v>18823</v>
      </c>
      <c r="D559">
        <v>13031</v>
      </c>
      <c r="E559">
        <v>6628</v>
      </c>
      <c r="F559">
        <v>319</v>
      </c>
      <c r="G559" t="s">
        <v>83</v>
      </c>
      <c r="H559" t="str" cm="1">
        <f t="array" ref="H559">_xlfn.IFS(Grammys[[#This Row],[date]] &gt;= DATE(2022,2,1),"Grammys",TRUE,"Grammys TRA")</f>
        <v>Grammys TRA</v>
      </c>
      <c r="I559">
        <f>_xlfn.XLOOKUP(Grammys[[#This Row],[date]],mobile_visits[date],mobile_visits[mobile_visitors],0)</f>
        <v>0</v>
      </c>
    </row>
    <row r="560" spans="1:9">
      <c r="A560" s="1">
        <v>43294</v>
      </c>
      <c r="B560">
        <v>12756</v>
      </c>
      <c r="C560">
        <v>18378</v>
      </c>
      <c r="D560">
        <v>12875</v>
      </c>
      <c r="E560">
        <v>6343</v>
      </c>
      <c r="F560">
        <v>312</v>
      </c>
      <c r="G560" t="s">
        <v>83</v>
      </c>
      <c r="H560" t="str" cm="1">
        <f t="array" ref="H560">_xlfn.IFS(Grammys[[#This Row],[date]] &gt;= DATE(2022,2,1),"Grammys",TRUE,"Grammys TRA")</f>
        <v>Grammys TRA</v>
      </c>
      <c r="I560">
        <f>_xlfn.XLOOKUP(Grammys[[#This Row],[date]],mobile_visits[date],mobile_visits[mobile_visitors],0)</f>
        <v>0</v>
      </c>
    </row>
    <row r="561" spans="1:9">
      <c r="A561" s="1">
        <v>43295</v>
      </c>
      <c r="B561">
        <v>12056</v>
      </c>
      <c r="C561">
        <v>17576</v>
      </c>
      <c r="D561">
        <v>12218</v>
      </c>
      <c r="E561">
        <v>6013</v>
      </c>
      <c r="F561">
        <v>296</v>
      </c>
      <c r="G561" t="s">
        <v>83</v>
      </c>
      <c r="H561" t="str" cm="1">
        <f t="array" ref="H561">_xlfn.IFS(Grammys[[#This Row],[date]] &gt;= DATE(2022,2,1),"Grammys",TRUE,"Grammys TRA")</f>
        <v>Grammys TRA</v>
      </c>
      <c r="I561">
        <f>_xlfn.XLOOKUP(Grammys[[#This Row],[date]],mobile_visits[date],mobile_visits[mobile_visitors],0)</f>
        <v>0</v>
      </c>
    </row>
    <row r="562" spans="1:9">
      <c r="A562" s="1">
        <v>43296</v>
      </c>
      <c r="B562">
        <v>10760</v>
      </c>
      <c r="C562">
        <v>15569</v>
      </c>
      <c r="D562">
        <v>10970</v>
      </c>
      <c r="E562">
        <v>5416</v>
      </c>
      <c r="F562">
        <v>330</v>
      </c>
      <c r="G562" t="s">
        <v>83</v>
      </c>
      <c r="H562" t="str" cm="1">
        <f t="array" ref="H562">_xlfn.IFS(Grammys[[#This Row],[date]] &gt;= DATE(2022,2,1),"Grammys",TRUE,"Grammys TRA")</f>
        <v>Grammys TRA</v>
      </c>
      <c r="I562">
        <f>_xlfn.XLOOKUP(Grammys[[#This Row],[date]],mobile_visits[date],mobile_visits[mobile_visitors],0)</f>
        <v>0</v>
      </c>
    </row>
    <row r="563" spans="1:9">
      <c r="A563" s="1">
        <v>43297</v>
      </c>
      <c r="B563">
        <v>15624</v>
      </c>
      <c r="C563">
        <v>22251</v>
      </c>
      <c r="D563">
        <v>16045</v>
      </c>
      <c r="E563">
        <v>6871</v>
      </c>
      <c r="F563">
        <v>330</v>
      </c>
      <c r="G563" t="s">
        <v>83</v>
      </c>
      <c r="H563" t="str" cm="1">
        <f t="array" ref="H563">_xlfn.IFS(Grammys[[#This Row],[date]] &gt;= DATE(2022,2,1),"Grammys",TRUE,"Grammys TRA")</f>
        <v>Grammys TRA</v>
      </c>
      <c r="I563">
        <f>_xlfn.XLOOKUP(Grammys[[#This Row],[date]],mobile_visits[date],mobile_visits[mobile_visitors],0)</f>
        <v>0</v>
      </c>
    </row>
    <row r="564" spans="1:9">
      <c r="A564" s="1">
        <v>43298</v>
      </c>
      <c r="B564">
        <v>16345</v>
      </c>
      <c r="C564">
        <v>23123</v>
      </c>
      <c r="D564">
        <v>16655</v>
      </c>
      <c r="E564">
        <v>7928</v>
      </c>
      <c r="F564">
        <v>264</v>
      </c>
      <c r="G564" t="s">
        <v>83</v>
      </c>
      <c r="H564" t="str" cm="1">
        <f t="array" ref="H564">_xlfn.IFS(Grammys[[#This Row],[date]] &gt;= DATE(2022,2,1),"Grammys",TRUE,"Grammys TRA")</f>
        <v>Grammys TRA</v>
      </c>
      <c r="I564">
        <f>_xlfn.XLOOKUP(Grammys[[#This Row],[date]],mobile_visits[date],mobile_visits[mobile_visitors],0)</f>
        <v>0</v>
      </c>
    </row>
    <row r="565" spans="1:9">
      <c r="A565" s="1">
        <v>43299</v>
      </c>
      <c r="B565">
        <v>15970</v>
      </c>
      <c r="C565">
        <v>21344</v>
      </c>
      <c r="D565">
        <v>16284</v>
      </c>
      <c r="E565">
        <v>9911</v>
      </c>
      <c r="F565">
        <v>231</v>
      </c>
      <c r="G565" t="s">
        <v>83</v>
      </c>
      <c r="H565" t="str" cm="1">
        <f t="array" ref="H565">_xlfn.IFS(Grammys[[#This Row],[date]] &gt;= DATE(2022,2,1),"Grammys",TRUE,"Grammys TRA")</f>
        <v>Grammys TRA</v>
      </c>
      <c r="I565">
        <f>_xlfn.XLOOKUP(Grammys[[#This Row],[date]],mobile_visits[date],mobile_visits[mobile_visitors],0)</f>
        <v>0</v>
      </c>
    </row>
    <row r="566" spans="1:9">
      <c r="A566" s="1">
        <v>43300</v>
      </c>
      <c r="B566">
        <v>9734</v>
      </c>
      <c r="C566">
        <v>14262</v>
      </c>
      <c r="D566">
        <v>9946</v>
      </c>
      <c r="E566">
        <v>5626</v>
      </c>
      <c r="F566">
        <v>287</v>
      </c>
      <c r="G566" t="s">
        <v>83</v>
      </c>
      <c r="H566" t="str" cm="1">
        <f t="array" ref="H566">_xlfn.IFS(Grammys[[#This Row],[date]] &gt;= DATE(2022,2,1),"Grammys",TRUE,"Grammys TRA")</f>
        <v>Grammys TRA</v>
      </c>
      <c r="I566">
        <f>_xlfn.XLOOKUP(Grammys[[#This Row],[date]],mobile_visits[date],mobile_visits[mobile_visitors],0)</f>
        <v>0</v>
      </c>
    </row>
    <row r="567" spans="1:9">
      <c r="A567" s="1">
        <v>43301</v>
      </c>
      <c r="B567">
        <v>9257</v>
      </c>
      <c r="C567">
        <v>13378</v>
      </c>
      <c r="D567">
        <v>9375</v>
      </c>
      <c r="E567">
        <v>5270</v>
      </c>
      <c r="F567">
        <v>258</v>
      </c>
      <c r="G567" t="s">
        <v>83</v>
      </c>
      <c r="H567" t="str" cm="1">
        <f t="array" ref="H567">_xlfn.IFS(Grammys[[#This Row],[date]] &gt;= DATE(2022,2,1),"Grammys",TRUE,"Grammys TRA")</f>
        <v>Grammys TRA</v>
      </c>
      <c r="I567">
        <f>_xlfn.XLOOKUP(Grammys[[#This Row],[date]],mobile_visits[date],mobile_visits[mobile_visitors],0)</f>
        <v>0</v>
      </c>
    </row>
    <row r="568" spans="1:9">
      <c r="A568" s="1">
        <v>43302</v>
      </c>
      <c r="B568">
        <v>9987</v>
      </c>
      <c r="C568">
        <v>14081</v>
      </c>
      <c r="D568">
        <v>9965</v>
      </c>
      <c r="E568">
        <v>5170</v>
      </c>
      <c r="F568">
        <v>279</v>
      </c>
      <c r="G568" t="s">
        <v>83</v>
      </c>
      <c r="H568" t="str" cm="1">
        <f t="array" ref="H568">_xlfn.IFS(Grammys[[#This Row],[date]] &gt;= DATE(2022,2,1),"Grammys",TRUE,"Grammys TRA")</f>
        <v>Grammys TRA</v>
      </c>
      <c r="I568">
        <f>_xlfn.XLOOKUP(Grammys[[#This Row],[date]],mobile_visits[date],mobile_visits[mobile_visitors],0)</f>
        <v>0</v>
      </c>
    </row>
    <row r="569" spans="1:9">
      <c r="A569" s="1">
        <v>43303</v>
      </c>
      <c r="B569">
        <v>14751</v>
      </c>
      <c r="C569">
        <v>22115</v>
      </c>
      <c r="D569">
        <v>15158</v>
      </c>
      <c r="E569">
        <v>7232</v>
      </c>
      <c r="F569">
        <v>266</v>
      </c>
      <c r="G569" t="s">
        <v>83</v>
      </c>
      <c r="H569" t="str" cm="1">
        <f t="array" ref="H569">_xlfn.IFS(Grammys[[#This Row],[date]] &gt;= DATE(2022,2,1),"Grammys",TRUE,"Grammys TRA")</f>
        <v>Grammys TRA</v>
      </c>
      <c r="I569">
        <f>_xlfn.XLOOKUP(Grammys[[#This Row],[date]],mobile_visits[date],mobile_visits[mobile_visitors],0)</f>
        <v>0</v>
      </c>
    </row>
    <row r="570" spans="1:9">
      <c r="A570" s="1">
        <v>43304</v>
      </c>
      <c r="B570">
        <v>11891</v>
      </c>
      <c r="C570">
        <v>18826</v>
      </c>
      <c r="D570">
        <v>12264</v>
      </c>
      <c r="E570">
        <v>6064</v>
      </c>
      <c r="F570">
        <v>318</v>
      </c>
      <c r="G570" t="s">
        <v>83</v>
      </c>
      <c r="H570" t="str" cm="1">
        <f t="array" ref="H570">_xlfn.IFS(Grammys[[#This Row],[date]] &gt;= DATE(2022,2,1),"Grammys",TRUE,"Grammys TRA")</f>
        <v>Grammys TRA</v>
      </c>
      <c r="I570">
        <f>_xlfn.XLOOKUP(Grammys[[#This Row],[date]],mobile_visits[date],mobile_visits[mobile_visitors],0)</f>
        <v>0</v>
      </c>
    </row>
    <row r="571" spans="1:9">
      <c r="A571" s="1">
        <v>43305</v>
      </c>
      <c r="B571">
        <v>9892</v>
      </c>
      <c r="C571">
        <v>15171</v>
      </c>
      <c r="D571">
        <v>9910</v>
      </c>
      <c r="E571">
        <v>5237</v>
      </c>
      <c r="F571">
        <v>320</v>
      </c>
      <c r="G571" t="s">
        <v>83</v>
      </c>
      <c r="H571" t="str" cm="1">
        <f t="array" ref="H571">_xlfn.IFS(Grammys[[#This Row],[date]] &gt;= DATE(2022,2,1),"Grammys",TRUE,"Grammys TRA")</f>
        <v>Grammys TRA</v>
      </c>
      <c r="I571">
        <f>_xlfn.XLOOKUP(Grammys[[#This Row],[date]],mobile_visits[date],mobile_visits[mobile_visitors],0)</f>
        <v>0</v>
      </c>
    </row>
    <row r="572" spans="1:9">
      <c r="A572" s="1">
        <v>43306</v>
      </c>
      <c r="B572">
        <v>8862</v>
      </c>
      <c r="C572">
        <v>13174</v>
      </c>
      <c r="D572">
        <v>8920</v>
      </c>
      <c r="E572">
        <v>4972</v>
      </c>
      <c r="F572">
        <v>333</v>
      </c>
      <c r="G572" t="s">
        <v>83</v>
      </c>
      <c r="H572" t="str" cm="1">
        <f t="array" ref="H572">_xlfn.IFS(Grammys[[#This Row],[date]] &gt;= DATE(2022,2,1),"Grammys",TRUE,"Grammys TRA")</f>
        <v>Grammys TRA</v>
      </c>
      <c r="I572">
        <f>_xlfn.XLOOKUP(Grammys[[#This Row],[date]],mobile_visits[date],mobile_visits[mobile_visitors],0)</f>
        <v>0</v>
      </c>
    </row>
    <row r="573" spans="1:9">
      <c r="A573" s="1">
        <v>43307</v>
      </c>
      <c r="B573">
        <v>10174</v>
      </c>
      <c r="C573">
        <v>14910</v>
      </c>
      <c r="D573">
        <v>10313</v>
      </c>
      <c r="E573">
        <v>5358</v>
      </c>
      <c r="F573">
        <v>265</v>
      </c>
      <c r="G573" t="s">
        <v>83</v>
      </c>
      <c r="H573" t="str" cm="1">
        <f t="array" ref="H573">_xlfn.IFS(Grammys[[#This Row],[date]] &gt;= DATE(2022,2,1),"Grammys",TRUE,"Grammys TRA")</f>
        <v>Grammys TRA</v>
      </c>
      <c r="I573">
        <f>_xlfn.XLOOKUP(Grammys[[#This Row],[date]],mobile_visits[date],mobile_visits[mobile_visitors],0)</f>
        <v>0</v>
      </c>
    </row>
    <row r="574" spans="1:9">
      <c r="A574" s="1">
        <v>43308</v>
      </c>
      <c r="B574">
        <v>9225</v>
      </c>
      <c r="C574">
        <v>13393</v>
      </c>
      <c r="D574">
        <v>9374</v>
      </c>
      <c r="E574">
        <v>5077</v>
      </c>
      <c r="F574">
        <v>308</v>
      </c>
      <c r="G574" t="s">
        <v>83</v>
      </c>
      <c r="H574" t="str" cm="1">
        <f t="array" ref="H574">_xlfn.IFS(Grammys[[#This Row],[date]] &gt;= DATE(2022,2,1),"Grammys",TRUE,"Grammys TRA")</f>
        <v>Grammys TRA</v>
      </c>
      <c r="I574">
        <f>_xlfn.XLOOKUP(Grammys[[#This Row],[date]],mobile_visits[date],mobile_visits[mobile_visitors],0)</f>
        <v>0</v>
      </c>
    </row>
    <row r="575" spans="1:9">
      <c r="A575" s="1">
        <v>43309</v>
      </c>
      <c r="B575">
        <v>9197</v>
      </c>
      <c r="C575">
        <v>13075</v>
      </c>
      <c r="D575">
        <v>9385</v>
      </c>
      <c r="E575">
        <v>4804</v>
      </c>
      <c r="F575">
        <v>281</v>
      </c>
      <c r="G575" t="s">
        <v>83</v>
      </c>
      <c r="H575" t="str" cm="1">
        <f t="array" ref="H575">_xlfn.IFS(Grammys[[#This Row],[date]] &gt;= DATE(2022,2,1),"Grammys",TRUE,"Grammys TRA")</f>
        <v>Grammys TRA</v>
      </c>
      <c r="I575">
        <f>_xlfn.XLOOKUP(Grammys[[#This Row],[date]],mobile_visits[date],mobile_visits[mobile_visitors],0)</f>
        <v>0</v>
      </c>
    </row>
    <row r="576" spans="1:9">
      <c r="A576" s="1">
        <v>43310</v>
      </c>
      <c r="B576">
        <v>8828</v>
      </c>
      <c r="C576">
        <v>12721</v>
      </c>
      <c r="D576">
        <v>8845</v>
      </c>
      <c r="E576">
        <v>4700</v>
      </c>
      <c r="F576">
        <v>289</v>
      </c>
      <c r="G576" t="s">
        <v>83</v>
      </c>
      <c r="H576" t="str" cm="1">
        <f t="array" ref="H576">_xlfn.IFS(Grammys[[#This Row],[date]] &gt;= DATE(2022,2,1),"Grammys",TRUE,"Grammys TRA")</f>
        <v>Grammys TRA</v>
      </c>
      <c r="I576">
        <f>_xlfn.XLOOKUP(Grammys[[#This Row],[date]],mobile_visits[date],mobile_visits[mobile_visitors],0)</f>
        <v>0</v>
      </c>
    </row>
    <row r="577" spans="1:9">
      <c r="A577" s="1">
        <v>43311</v>
      </c>
      <c r="B577">
        <v>9379</v>
      </c>
      <c r="C577">
        <v>13757</v>
      </c>
      <c r="D577">
        <v>9448</v>
      </c>
      <c r="E577">
        <v>5095</v>
      </c>
      <c r="F577">
        <v>320</v>
      </c>
      <c r="G577" t="s">
        <v>83</v>
      </c>
      <c r="H577" t="str" cm="1">
        <f t="array" ref="H577">_xlfn.IFS(Grammys[[#This Row],[date]] &gt;= DATE(2022,2,1),"Grammys",TRUE,"Grammys TRA")</f>
        <v>Grammys TRA</v>
      </c>
      <c r="I577">
        <f>_xlfn.XLOOKUP(Grammys[[#This Row],[date]],mobile_visits[date],mobile_visits[mobile_visitors],0)</f>
        <v>0</v>
      </c>
    </row>
    <row r="578" spans="1:9">
      <c r="A578" s="1">
        <v>43312</v>
      </c>
      <c r="B578">
        <v>11026</v>
      </c>
      <c r="C578">
        <v>15377</v>
      </c>
      <c r="D578">
        <v>11083</v>
      </c>
      <c r="E578">
        <v>5518</v>
      </c>
      <c r="F578">
        <v>297</v>
      </c>
      <c r="G578" t="s">
        <v>83</v>
      </c>
      <c r="H578" t="str" cm="1">
        <f t="array" ref="H578">_xlfn.IFS(Grammys[[#This Row],[date]] &gt;= DATE(2022,2,1),"Grammys",TRUE,"Grammys TRA")</f>
        <v>Grammys TRA</v>
      </c>
      <c r="I578">
        <f>_xlfn.XLOOKUP(Grammys[[#This Row],[date]],mobile_visits[date],mobile_visits[mobile_visitors],0)</f>
        <v>0</v>
      </c>
    </row>
    <row r="579" spans="1:9">
      <c r="A579" s="1">
        <v>43313</v>
      </c>
      <c r="B579">
        <v>10924</v>
      </c>
      <c r="C579">
        <v>14813</v>
      </c>
      <c r="D579">
        <v>11003</v>
      </c>
      <c r="E579">
        <v>5258</v>
      </c>
      <c r="F579">
        <v>295</v>
      </c>
      <c r="G579" t="s">
        <v>83</v>
      </c>
      <c r="H579" t="str" cm="1">
        <f t="array" ref="H579">_xlfn.IFS(Grammys[[#This Row],[date]] &gt;= DATE(2022,2,1),"Grammys",TRUE,"Grammys TRA")</f>
        <v>Grammys TRA</v>
      </c>
      <c r="I579">
        <f>_xlfn.XLOOKUP(Grammys[[#This Row],[date]],mobile_visits[date],mobile_visits[mobile_visitors],0)</f>
        <v>0</v>
      </c>
    </row>
    <row r="580" spans="1:9">
      <c r="A580" s="1">
        <v>43314</v>
      </c>
      <c r="B580">
        <v>9393</v>
      </c>
      <c r="C580">
        <v>13447</v>
      </c>
      <c r="D580">
        <v>9506</v>
      </c>
      <c r="E580">
        <v>4875</v>
      </c>
      <c r="F580">
        <v>298</v>
      </c>
      <c r="G580" t="s">
        <v>83</v>
      </c>
      <c r="H580" t="str" cm="1">
        <f t="array" ref="H580">_xlfn.IFS(Grammys[[#This Row],[date]] &gt;= DATE(2022,2,1),"Grammys",TRUE,"Grammys TRA")</f>
        <v>Grammys TRA</v>
      </c>
      <c r="I580">
        <f>_xlfn.XLOOKUP(Grammys[[#This Row],[date]],mobile_visits[date],mobile_visits[mobile_visitors],0)</f>
        <v>0</v>
      </c>
    </row>
    <row r="581" spans="1:9">
      <c r="A581" s="1">
        <v>43315</v>
      </c>
      <c r="B581">
        <v>8612</v>
      </c>
      <c r="C581">
        <v>12808</v>
      </c>
      <c r="D581">
        <v>8770</v>
      </c>
      <c r="E581">
        <v>4811</v>
      </c>
      <c r="F581">
        <v>301</v>
      </c>
      <c r="G581" t="s">
        <v>83</v>
      </c>
      <c r="H581" t="str" cm="1">
        <f t="array" ref="H581">_xlfn.IFS(Grammys[[#This Row],[date]] &gt;= DATE(2022,2,1),"Grammys",TRUE,"Grammys TRA")</f>
        <v>Grammys TRA</v>
      </c>
      <c r="I581">
        <f>_xlfn.XLOOKUP(Grammys[[#This Row],[date]],mobile_visits[date],mobile_visits[mobile_visitors],0)</f>
        <v>0</v>
      </c>
    </row>
    <row r="582" spans="1:9">
      <c r="A582" s="1">
        <v>43316</v>
      </c>
      <c r="B582">
        <v>8130</v>
      </c>
      <c r="C582">
        <v>11814</v>
      </c>
      <c r="D582">
        <v>8172</v>
      </c>
      <c r="E582">
        <v>4640</v>
      </c>
      <c r="F582">
        <v>255</v>
      </c>
      <c r="G582" t="s">
        <v>83</v>
      </c>
      <c r="H582" t="str" cm="1">
        <f t="array" ref="H582">_xlfn.IFS(Grammys[[#This Row],[date]] &gt;= DATE(2022,2,1),"Grammys",TRUE,"Grammys TRA")</f>
        <v>Grammys TRA</v>
      </c>
      <c r="I582">
        <f>_xlfn.XLOOKUP(Grammys[[#This Row],[date]],mobile_visits[date],mobile_visits[mobile_visitors],0)</f>
        <v>0</v>
      </c>
    </row>
    <row r="583" spans="1:9">
      <c r="A583" s="1">
        <v>43317</v>
      </c>
      <c r="B583">
        <v>9189</v>
      </c>
      <c r="C583">
        <v>12984</v>
      </c>
      <c r="D583">
        <v>9302</v>
      </c>
      <c r="E583">
        <v>4905</v>
      </c>
      <c r="F583">
        <v>271</v>
      </c>
      <c r="G583" t="s">
        <v>83</v>
      </c>
      <c r="H583" t="str" cm="1">
        <f t="array" ref="H583">_xlfn.IFS(Grammys[[#This Row],[date]] &gt;= DATE(2022,2,1),"Grammys",TRUE,"Grammys TRA")</f>
        <v>Grammys TRA</v>
      </c>
      <c r="I583">
        <f>_xlfn.XLOOKUP(Grammys[[#This Row],[date]],mobile_visits[date],mobile_visits[mobile_visitors],0)</f>
        <v>0</v>
      </c>
    </row>
    <row r="584" spans="1:9">
      <c r="A584" s="1">
        <v>43318</v>
      </c>
      <c r="B584">
        <v>8193</v>
      </c>
      <c r="C584">
        <v>11929</v>
      </c>
      <c r="D584">
        <v>8238</v>
      </c>
      <c r="E584">
        <v>4652</v>
      </c>
      <c r="F584">
        <v>310</v>
      </c>
      <c r="G584" t="s">
        <v>83</v>
      </c>
      <c r="H584" t="str" cm="1">
        <f t="array" ref="H584">_xlfn.IFS(Grammys[[#This Row],[date]] &gt;= DATE(2022,2,1),"Grammys",TRUE,"Grammys TRA")</f>
        <v>Grammys TRA</v>
      </c>
      <c r="I584">
        <f>_xlfn.XLOOKUP(Grammys[[#This Row],[date]],mobile_visits[date],mobile_visits[mobile_visitors],0)</f>
        <v>0</v>
      </c>
    </row>
    <row r="585" spans="1:9">
      <c r="A585" s="1">
        <v>43319</v>
      </c>
      <c r="B585">
        <v>8916</v>
      </c>
      <c r="C585">
        <v>12945</v>
      </c>
      <c r="D585">
        <v>9027</v>
      </c>
      <c r="E585">
        <v>4849</v>
      </c>
      <c r="F585">
        <v>293</v>
      </c>
      <c r="G585" t="s">
        <v>83</v>
      </c>
      <c r="H585" t="str" cm="1">
        <f t="array" ref="H585">_xlfn.IFS(Grammys[[#This Row],[date]] &gt;= DATE(2022,2,1),"Grammys",TRUE,"Grammys TRA")</f>
        <v>Grammys TRA</v>
      </c>
      <c r="I585">
        <f>_xlfn.XLOOKUP(Grammys[[#This Row],[date]],mobile_visits[date],mobile_visits[mobile_visitors],0)</f>
        <v>0</v>
      </c>
    </row>
    <row r="586" spans="1:9">
      <c r="A586" s="1">
        <v>43320</v>
      </c>
      <c r="B586">
        <v>9225</v>
      </c>
      <c r="C586">
        <v>13631</v>
      </c>
      <c r="D586">
        <v>9342</v>
      </c>
      <c r="E586">
        <v>5097</v>
      </c>
      <c r="F586">
        <v>330</v>
      </c>
      <c r="G586" t="s">
        <v>83</v>
      </c>
      <c r="H586" t="str" cm="1">
        <f t="array" ref="H586">_xlfn.IFS(Grammys[[#This Row],[date]] &gt;= DATE(2022,2,1),"Grammys",TRUE,"Grammys TRA")</f>
        <v>Grammys TRA</v>
      </c>
      <c r="I586">
        <f>_xlfn.XLOOKUP(Grammys[[#This Row],[date]],mobile_visits[date],mobile_visits[mobile_visitors],0)</f>
        <v>0</v>
      </c>
    </row>
    <row r="587" spans="1:9">
      <c r="A587" s="1">
        <v>43321</v>
      </c>
      <c r="B587">
        <v>24499</v>
      </c>
      <c r="C587">
        <v>31433</v>
      </c>
      <c r="D587">
        <v>25040</v>
      </c>
      <c r="E587">
        <v>10572</v>
      </c>
      <c r="F587">
        <v>225</v>
      </c>
      <c r="G587" t="s">
        <v>83</v>
      </c>
      <c r="H587" t="str" cm="1">
        <f t="array" ref="H587">_xlfn.IFS(Grammys[[#This Row],[date]] &gt;= DATE(2022,2,1),"Grammys",TRUE,"Grammys TRA")</f>
        <v>Grammys TRA</v>
      </c>
      <c r="I587">
        <f>_xlfn.XLOOKUP(Grammys[[#This Row],[date]],mobile_visits[date],mobile_visits[mobile_visitors],0)</f>
        <v>0</v>
      </c>
    </row>
    <row r="588" spans="1:9">
      <c r="A588" s="1">
        <v>43322</v>
      </c>
      <c r="B588">
        <v>16517</v>
      </c>
      <c r="C588">
        <v>22140</v>
      </c>
      <c r="D588">
        <v>16832</v>
      </c>
      <c r="E588">
        <v>7779</v>
      </c>
      <c r="F588">
        <v>282</v>
      </c>
      <c r="G588" t="s">
        <v>83</v>
      </c>
      <c r="H588" t="str" cm="1">
        <f t="array" ref="H588">_xlfn.IFS(Grammys[[#This Row],[date]] &gt;= DATE(2022,2,1),"Grammys",TRUE,"Grammys TRA")</f>
        <v>Grammys TRA</v>
      </c>
      <c r="I588">
        <f>_xlfn.XLOOKUP(Grammys[[#This Row],[date]],mobile_visits[date],mobile_visits[mobile_visitors],0)</f>
        <v>0</v>
      </c>
    </row>
    <row r="589" spans="1:9">
      <c r="A589" s="1">
        <v>43323</v>
      </c>
      <c r="B589">
        <v>11421</v>
      </c>
      <c r="C589">
        <v>16046</v>
      </c>
      <c r="D589">
        <v>11629</v>
      </c>
      <c r="E589">
        <v>5781</v>
      </c>
      <c r="F589">
        <v>286</v>
      </c>
      <c r="G589" t="s">
        <v>83</v>
      </c>
      <c r="H589" t="str" cm="1">
        <f t="array" ref="H589">_xlfn.IFS(Grammys[[#This Row],[date]] &gt;= DATE(2022,2,1),"Grammys",TRUE,"Grammys TRA")</f>
        <v>Grammys TRA</v>
      </c>
      <c r="I589">
        <f>_xlfn.XLOOKUP(Grammys[[#This Row],[date]],mobile_visits[date],mobile_visits[mobile_visitors],0)</f>
        <v>0</v>
      </c>
    </row>
    <row r="590" spans="1:9">
      <c r="A590" s="1">
        <v>43324</v>
      </c>
      <c r="B590">
        <v>10167</v>
      </c>
      <c r="C590">
        <v>14776</v>
      </c>
      <c r="D590">
        <v>10476</v>
      </c>
      <c r="E590">
        <v>5173</v>
      </c>
      <c r="F590">
        <v>283</v>
      </c>
      <c r="G590" t="s">
        <v>83</v>
      </c>
      <c r="H590" t="str" cm="1">
        <f t="array" ref="H590">_xlfn.IFS(Grammys[[#This Row],[date]] &gt;= DATE(2022,2,1),"Grammys",TRUE,"Grammys TRA")</f>
        <v>Grammys TRA</v>
      </c>
      <c r="I590">
        <f>_xlfn.XLOOKUP(Grammys[[#This Row],[date]],mobile_visits[date],mobile_visits[mobile_visitors],0)</f>
        <v>0</v>
      </c>
    </row>
    <row r="591" spans="1:9">
      <c r="A591" s="1">
        <v>43325</v>
      </c>
      <c r="B591">
        <v>10238</v>
      </c>
      <c r="C591">
        <v>15782</v>
      </c>
      <c r="D591">
        <v>10413</v>
      </c>
      <c r="E591">
        <v>5747</v>
      </c>
      <c r="F591">
        <v>348</v>
      </c>
      <c r="G591" t="s">
        <v>83</v>
      </c>
      <c r="H591" t="str" cm="1">
        <f t="array" ref="H591">_xlfn.IFS(Grammys[[#This Row],[date]] &gt;= DATE(2022,2,1),"Grammys",TRUE,"Grammys TRA")</f>
        <v>Grammys TRA</v>
      </c>
      <c r="I591">
        <f>_xlfn.XLOOKUP(Grammys[[#This Row],[date]],mobile_visits[date],mobile_visits[mobile_visitors],0)</f>
        <v>0</v>
      </c>
    </row>
    <row r="592" spans="1:9">
      <c r="A592" s="1">
        <v>43326</v>
      </c>
      <c r="B592">
        <v>10163</v>
      </c>
      <c r="C592">
        <v>15071</v>
      </c>
      <c r="D592">
        <v>10301</v>
      </c>
      <c r="E592">
        <v>5799</v>
      </c>
      <c r="F592">
        <v>292</v>
      </c>
      <c r="G592" t="s">
        <v>83</v>
      </c>
      <c r="H592" t="str" cm="1">
        <f t="array" ref="H592">_xlfn.IFS(Grammys[[#This Row],[date]] &gt;= DATE(2022,2,1),"Grammys",TRUE,"Grammys TRA")</f>
        <v>Grammys TRA</v>
      </c>
      <c r="I592">
        <f>_xlfn.XLOOKUP(Grammys[[#This Row],[date]],mobile_visits[date],mobile_visits[mobile_visitors],0)</f>
        <v>0</v>
      </c>
    </row>
    <row r="593" spans="1:9">
      <c r="A593" s="1">
        <v>43327</v>
      </c>
      <c r="B593">
        <v>9199</v>
      </c>
      <c r="C593">
        <v>13865</v>
      </c>
      <c r="D593">
        <v>9330</v>
      </c>
      <c r="E593">
        <v>5199</v>
      </c>
      <c r="F593">
        <v>291</v>
      </c>
      <c r="G593" t="s">
        <v>83</v>
      </c>
      <c r="H593" t="str" cm="1">
        <f t="array" ref="H593">_xlfn.IFS(Grammys[[#This Row],[date]] &gt;= DATE(2022,2,1),"Grammys",TRUE,"Grammys TRA")</f>
        <v>Grammys TRA</v>
      </c>
      <c r="I593">
        <f>_xlfn.XLOOKUP(Grammys[[#This Row],[date]],mobile_visits[date],mobile_visits[mobile_visitors],0)</f>
        <v>0</v>
      </c>
    </row>
    <row r="594" spans="1:9">
      <c r="A594" s="1">
        <v>43328</v>
      </c>
      <c r="B594">
        <v>15712</v>
      </c>
      <c r="C594">
        <v>23476</v>
      </c>
      <c r="D594">
        <v>16046</v>
      </c>
      <c r="E594">
        <v>9177</v>
      </c>
      <c r="F594">
        <v>247</v>
      </c>
      <c r="G594" t="s">
        <v>83</v>
      </c>
      <c r="H594" t="str" cm="1">
        <f t="array" ref="H594">_xlfn.IFS(Grammys[[#This Row],[date]] &gt;= DATE(2022,2,1),"Grammys",TRUE,"Grammys TRA")</f>
        <v>Grammys TRA</v>
      </c>
      <c r="I594">
        <f>_xlfn.XLOOKUP(Grammys[[#This Row],[date]],mobile_visits[date],mobile_visits[mobile_visitors],0)</f>
        <v>0</v>
      </c>
    </row>
    <row r="595" spans="1:9">
      <c r="A595" s="1">
        <v>43329</v>
      </c>
      <c r="B595">
        <v>11571</v>
      </c>
      <c r="C595">
        <v>17293</v>
      </c>
      <c r="D595">
        <v>11787</v>
      </c>
      <c r="E595">
        <v>6877</v>
      </c>
      <c r="F595">
        <v>256</v>
      </c>
      <c r="G595" t="s">
        <v>83</v>
      </c>
      <c r="H595" t="str" cm="1">
        <f t="array" ref="H595">_xlfn.IFS(Grammys[[#This Row],[date]] &gt;= DATE(2022,2,1),"Grammys",TRUE,"Grammys TRA")</f>
        <v>Grammys TRA</v>
      </c>
      <c r="I595">
        <f>_xlfn.XLOOKUP(Grammys[[#This Row],[date]],mobile_visits[date],mobile_visits[mobile_visitors],0)</f>
        <v>0</v>
      </c>
    </row>
    <row r="596" spans="1:9">
      <c r="A596" s="1">
        <v>43330</v>
      </c>
      <c r="B596">
        <v>9539</v>
      </c>
      <c r="C596">
        <v>14508</v>
      </c>
      <c r="D596">
        <v>9642</v>
      </c>
      <c r="E596">
        <v>5405</v>
      </c>
      <c r="F596">
        <v>284</v>
      </c>
      <c r="G596" t="s">
        <v>83</v>
      </c>
      <c r="H596" t="str" cm="1">
        <f t="array" ref="H596">_xlfn.IFS(Grammys[[#This Row],[date]] &gt;= DATE(2022,2,1),"Grammys",TRUE,"Grammys TRA")</f>
        <v>Grammys TRA</v>
      </c>
      <c r="I596">
        <f>_xlfn.XLOOKUP(Grammys[[#This Row],[date]],mobile_visits[date],mobile_visits[mobile_visitors],0)</f>
        <v>0</v>
      </c>
    </row>
    <row r="597" spans="1:9">
      <c r="A597" s="1">
        <v>43331</v>
      </c>
      <c r="B597">
        <v>8731</v>
      </c>
      <c r="C597">
        <v>13394</v>
      </c>
      <c r="D597">
        <v>8809</v>
      </c>
      <c r="E597">
        <v>4890</v>
      </c>
      <c r="F597">
        <v>288</v>
      </c>
      <c r="G597" t="s">
        <v>83</v>
      </c>
      <c r="H597" t="str" cm="1">
        <f t="array" ref="H597">_xlfn.IFS(Grammys[[#This Row],[date]] &gt;= DATE(2022,2,1),"Grammys",TRUE,"Grammys TRA")</f>
        <v>Grammys TRA</v>
      </c>
      <c r="I597">
        <f>_xlfn.XLOOKUP(Grammys[[#This Row],[date]],mobile_visits[date],mobile_visits[mobile_visitors],0)</f>
        <v>0</v>
      </c>
    </row>
    <row r="598" spans="1:9">
      <c r="A598" s="1">
        <v>43332</v>
      </c>
      <c r="B598">
        <v>9854</v>
      </c>
      <c r="C598">
        <v>15232</v>
      </c>
      <c r="D598">
        <v>9871</v>
      </c>
      <c r="E598">
        <v>5566</v>
      </c>
      <c r="F598">
        <v>300</v>
      </c>
      <c r="G598" t="s">
        <v>83</v>
      </c>
      <c r="H598" t="str" cm="1">
        <f t="array" ref="H598">_xlfn.IFS(Grammys[[#This Row],[date]] &gt;= DATE(2022,2,1),"Grammys",TRUE,"Grammys TRA")</f>
        <v>Grammys TRA</v>
      </c>
      <c r="I598">
        <f>_xlfn.XLOOKUP(Grammys[[#This Row],[date]],mobile_visits[date],mobile_visits[mobile_visitors],0)</f>
        <v>0</v>
      </c>
    </row>
    <row r="599" spans="1:9">
      <c r="A599" s="1">
        <v>43333</v>
      </c>
      <c r="B599">
        <v>11491</v>
      </c>
      <c r="C599">
        <v>17676</v>
      </c>
      <c r="D599">
        <v>11565</v>
      </c>
      <c r="E599">
        <v>6263</v>
      </c>
      <c r="F599">
        <v>299</v>
      </c>
      <c r="G599" t="s">
        <v>83</v>
      </c>
      <c r="H599" t="str" cm="1">
        <f t="array" ref="H599">_xlfn.IFS(Grammys[[#This Row],[date]] &gt;= DATE(2022,2,1),"Grammys",TRUE,"Grammys TRA")</f>
        <v>Grammys TRA</v>
      </c>
      <c r="I599">
        <f>_xlfn.XLOOKUP(Grammys[[#This Row],[date]],mobile_visits[date],mobile_visits[mobile_visitors],0)</f>
        <v>0</v>
      </c>
    </row>
    <row r="600" spans="1:9">
      <c r="A600" s="1">
        <v>43334</v>
      </c>
      <c r="B600">
        <v>9866</v>
      </c>
      <c r="C600">
        <v>14917</v>
      </c>
      <c r="D600">
        <v>10002</v>
      </c>
      <c r="E600">
        <v>5556</v>
      </c>
      <c r="F600">
        <v>319</v>
      </c>
      <c r="G600" t="s">
        <v>83</v>
      </c>
      <c r="H600" t="str" cm="1">
        <f t="array" ref="H600">_xlfn.IFS(Grammys[[#This Row],[date]] &gt;= DATE(2022,2,1),"Grammys",TRUE,"Grammys TRA")</f>
        <v>Grammys TRA</v>
      </c>
      <c r="I600">
        <f>_xlfn.XLOOKUP(Grammys[[#This Row],[date]],mobile_visits[date],mobile_visits[mobile_visitors],0)</f>
        <v>0</v>
      </c>
    </row>
    <row r="601" spans="1:9">
      <c r="A601" s="1">
        <v>43335</v>
      </c>
      <c r="B601">
        <v>9532</v>
      </c>
      <c r="C601">
        <v>14272</v>
      </c>
      <c r="D601">
        <v>9681</v>
      </c>
      <c r="E601">
        <v>5356</v>
      </c>
      <c r="F601">
        <v>269</v>
      </c>
      <c r="G601" t="s">
        <v>83</v>
      </c>
      <c r="H601" t="str" cm="1">
        <f t="array" ref="H601">_xlfn.IFS(Grammys[[#This Row],[date]] &gt;= DATE(2022,2,1),"Grammys",TRUE,"Grammys TRA")</f>
        <v>Grammys TRA</v>
      </c>
      <c r="I601">
        <f>_xlfn.XLOOKUP(Grammys[[#This Row],[date]],mobile_visits[date],mobile_visits[mobile_visitors],0)</f>
        <v>0</v>
      </c>
    </row>
    <row r="602" spans="1:9">
      <c r="A602" s="1">
        <v>43336</v>
      </c>
      <c r="B602">
        <v>12500</v>
      </c>
      <c r="C602">
        <v>18400</v>
      </c>
      <c r="D602">
        <v>12641</v>
      </c>
      <c r="E602">
        <v>6368</v>
      </c>
      <c r="F602">
        <v>247</v>
      </c>
      <c r="G602" t="s">
        <v>83</v>
      </c>
      <c r="H602" t="str" cm="1">
        <f t="array" ref="H602">_xlfn.IFS(Grammys[[#This Row],[date]] &gt;= DATE(2022,2,1),"Grammys",TRUE,"Grammys TRA")</f>
        <v>Grammys TRA</v>
      </c>
      <c r="I602">
        <f>_xlfn.XLOOKUP(Grammys[[#This Row],[date]],mobile_visits[date],mobile_visits[mobile_visitors],0)</f>
        <v>0</v>
      </c>
    </row>
    <row r="603" spans="1:9">
      <c r="A603" s="1">
        <v>43337</v>
      </c>
      <c r="B603">
        <v>10492</v>
      </c>
      <c r="C603">
        <v>16080</v>
      </c>
      <c r="D603">
        <v>10578</v>
      </c>
      <c r="E603">
        <v>5364</v>
      </c>
      <c r="F603">
        <v>281</v>
      </c>
      <c r="G603" t="s">
        <v>83</v>
      </c>
      <c r="H603" t="str" cm="1">
        <f t="array" ref="H603">_xlfn.IFS(Grammys[[#This Row],[date]] &gt;= DATE(2022,2,1),"Grammys",TRUE,"Grammys TRA")</f>
        <v>Grammys TRA</v>
      </c>
      <c r="I603">
        <f>_xlfn.XLOOKUP(Grammys[[#This Row],[date]],mobile_visits[date],mobile_visits[mobile_visitors],0)</f>
        <v>0</v>
      </c>
    </row>
    <row r="604" spans="1:9">
      <c r="A604" s="1">
        <v>43338</v>
      </c>
      <c r="B604">
        <v>10211</v>
      </c>
      <c r="C604">
        <v>15215</v>
      </c>
      <c r="D604">
        <v>10368</v>
      </c>
      <c r="E604">
        <v>5229</v>
      </c>
      <c r="F604">
        <v>255</v>
      </c>
      <c r="G604" t="s">
        <v>83</v>
      </c>
      <c r="H604" t="str" cm="1">
        <f t="array" ref="H604">_xlfn.IFS(Grammys[[#This Row],[date]] &gt;= DATE(2022,2,1),"Grammys",TRUE,"Grammys TRA")</f>
        <v>Grammys TRA</v>
      </c>
      <c r="I604">
        <f>_xlfn.XLOOKUP(Grammys[[#This Row],[date]],mobile_visits[date],mobile_visits[mobile_visitors],0)</f>
        <v>0</v>
      </c>
    </row>
    <row r="605" spans="1:9">
      <c r="A605" s="1">
        <v>43339</v>
      </c>
      <c r="B605">
        <v>9868</v>
      </c>
      <c r="C605">
        <v>15578</v>
      </c>
      <c r="D605">
        <v>10002</v>
      </c>
      <c r="E605">
        <v>5456</v>
      </c>
      <c r="F605">
        <v>296</v>
      </c>
      <c r="G605" t="s">
        <v>83</v>
      </c>
      <c r="H605" t="str" cm="1">
        <f t="array" ref="H605">_xlfn.IFS(Grammys[[#This Row],[date]] &gt;= DATE(2022,2,1),"Grammys",TRUE,"Grammys TRA")</f>
        <v>Grammys TRA</v>
      </c>
      <c r="I605">
        <f>_xlfn.XLOOKUP(Grammys[[#This Row],[date]],mobile_visits[date],mobile_visits[mobile_visitors],0)</f>
        <v>0</v>
      </c>
    </row>
    <row r="606" spans="1:9">
      <c r="A606" s="1">
        <v>43340</v>
      </c>
      <c r="B606">
        <v>11417</v>
      </c>
      <c r="C606">
        <v>17155</v>
      </c>
      <c r="D606">
        <v>11434</v>
      </c>
      <c r="E606">
        <v>6604</v>
      </c>
      <c r="F606">
        <v>264</v>
      </c>
      <c r="G606" t="s">
        <v>83</v>
      </c>
      <c r="H606" t="str" cm="1">
        <f t="array" ref="H606">_xlfn.IFS(Grammys[[#This Row],[date]] &gt;= DATE(2022,2,1),"Grammys",TRUE,"Grammys TRA")</f>
        <v>Grammys TRA</v>
      </c>
      <c r="I606">
        <f>_xlfn.XLOOKUP(Grammys[[#This Row],[date]],mobile_visits[date],mobile_visits[mobile_visitors],0)</f>
        <v>0</v>
      </c>
    </row>
    <row r="607" spans="1:9">
      <c r="A607" s="1">
        <v>43341</v>
      </c>
      <c r="B607">
        <v>9398</v>
      </c>
      <c r="C607">
        <v>14372</v>
      </c>
      <c r="D607">
        <v>9476</v>
      </c>
      <c r="E607">
        <v>5474</v>
      </c>
      <c r="F607">
        <v>275</v>
      </c>
      <c r="G607" t="s">
        <v>83</v>
      </c>
      <c r="H607" t="str" cm="1">
        <f t="array" ref="H607">_xlfn.IFS(Grammys[[#This Row],[date]] &gt;= DATE(2022,2,1),"Grammys",TRUE,"Grammys TRA")</f>
        <v>Grammys TRA</v>
      </c>
      <c r="I607">
        <f>_xlfn.XLOOKUP(Grammys[[#This Row],[date]],mobile_visits[date],mobile_visits[mobile_visitors],0)</f>
        <v>0</v>
      </c>
    </row>
    <row r="608" spans="1:9">
      <c r="A608" s="1">
        <v>43342</v>
      </c>
      <c r="B608">
        <v>8888</v>
      </c>
      <c r="C608">
        <v>13367</v>
      </c>
      <c r="D608">
        <v>8876</v>
      </c>
      <c r="E608">
        <v>5288</v>
      </c>
      <c r="F608">
        <v>280</v>
      </c>
      <c r="G608" t="s">
        <v>83</v>
      </c>
      <c r="H608" t="str" cm="1">
        <f t="array" ref="H608">_xlfn.IFS(Grammys[[#This Row],[date]] &gt;= DATE(2022,2,1),"Grammys",TRUE,"Grammys TRA")</f>
        <v>Grammys TRA</v>
      </c>
      <c r="I608">
        <f>_xlfn.XLOOKUP(Grammys[[#This Row],[date]],mobile_visits[date],mobile_visits[mobile_visitors],0)</f>
        <v>0</v>
      </c>
    </row>
    <row r="609" spans="1:9">
      <c r="A609" s="1">
        <v>43343</v>
      </c>
      <c r="B609">
        <v>10104</v>
      </c>
      <c r="C609">
        <v>15053</v>
      </c>
      <c r="D609">
        <v>10166</v>
      </c>
      <c r="E609">
        <v>6113</v>
      </c>
      <c r="F609">
        <v>233</v>
      </c>
      <c r="G609" t="s">
        <v>83</v>
      </c>
      <c r="H609" t="str" cm="1">
        <f t="array" ref="H609">_xlfn.IFS(Grammys[[#This Row],[date]] &gt;= DATE(2022,2,1),"Grammys",TRUE,"Grammys TRA")</f>
        <v>Grammys TRA</v>
      </c>
      <c r="I609">
        <f>_xlfn.XLOOKUP(Grammys[[#This Row],[date]],mobile_visits[date],mobile_visits[mobile_visitors],0)</f>
        <v>0</v>
      </c>
    </row>
    <row r="610" spans="1:9">
      <c r="A610" s="1">
        <v>43344</v>
      </c>
      <c r="B610">
        <v>8068</v>
      </c>
      <c r="C610">
        <v>12752</v>
      </c>
      <c r="D610">
        <v>8130</v>
      </c>
      <c r="E610">
        <v>4791</v>
      </c>
      <c r="F610">
        <v>276</v>
      </c>
      <c r="G610" t="s">
        <v>83</v>
      </c>
      <c r="H610" t="str" cm="1">
        <f t="array" ref="H610">_xlfn.IFS(Grammys[[#This Row],[date]] &gt;= DATE(2022,2,1),"Grammys",TRUE,"Grammys TRA")</f>
        <v>Grammys TRA</v>
      </c>
      <c r="I610">
        <f>_xlfn.XLOOKUP(Grammys[[#This Row],[date]],mobile_visits[date],mobile_visits[mobile_visitors],0)</f>
        <v>0</v>
      </c>
    </row>
    <row r="611" spans="1:9">
      <c r="A611" s="1">
        <v>43345</v>
      </c>
      <c r="B611">
        <v>8418</v>
      </c>
      <c r="C611">
        <v>13215</v>
      </c>
      <c r="D611">
        <v>8518</v>
      </c>
      <c r="E611">
        <v>4924</v>
      </c>
      <c r="F611">
        <v>267</v>
      </c>
      <c r="G611" t="s">
        <v>83</v>
      </c>
      <c r="H611" t="str" cm="1">
        <f t="array" ref="H611">_xlfn.IFS(Grammys[[#This Row],[date]] &gt;= DATE(2022,2,1),"Grammys",TRUE,"Grammys TRA")</f>
        <v>Grammys TRA</v>
      </c>
      <c r="I611">
        <f>_xlfn.XLOOKUP(Grammys[[#This Row],[date]],mobile_visits[date],mobile_visits[mobile_visitors],0)</f>
        <v>0</v>
      </c>
    </row>
    <row r="612" spans="1:9">
      <c r="A612" s="1">
        <v>43346</v>
      </c>
      <c r="B612">
        <v>8811</v>
      </c>
      <c r="C612">
        <v>13675</v>
      </c>
      <c r="D612">
        <v>8878</v>
      </c>
      <c r="E612">
        <v>5194</v>
      </c>
      <c r="F612">
        <v>253</v>
      </c>
      <c r="G612" t="s">
        <v>83</v>
      </c>
      <c r="H612" t="str" cm="1">
        <f t="array" ref="H612">_xlfn.IFS(Grammys[[#This Row],[date]] &gt;= DATE(2022,2,1),"Grammys",TRUE,"Grammys TRA")</f>
        <v>Grammys TRA</v>
      </c>
      <c r="I612">
        <f>_xlfn.XLOOKUP(Grammys[[#This Row],[date]],mobile_visits[date],mobile_visits[mobile_visitors],0)</f>
        <v>0</v>
      </c>
    </row>
    <row r="613" spans="1:9">
      <c r="A613" s="1">
        <v>43347</v>
      </c>
      <c r="B613">
        <v>9484</v>
      </c>
      <c r="C613">
        <v>14242</v>
      </c>
      <c r="D613">
        <v>9360</v>
      </c>
      <c r="E613">
        <v>5578</v>
      </c>
      <c r="F613">
        <v>278</v>
      </c>
      <c r="G613" t="s">
        <v>83</v>
      </c>
      <c r="H613" t="str" cm="1">
        <f t="array" ref="H613">_xlfn.IFS(Grammys[[#This Row],[date]] &gt;= DATE(2022,2,1),"Grammys",TRUE,"Grammys TRA")</f>
        <v>Grammys TRA</v>
      </c>
      <c r="I613">
        <f>_xlfn.XLOOKUP(Grammys[[#This Row],[date]],mobile_visits[date],mobile_visits[mobile_visitors],0)</f>
        <v>0</v>
      </c>
    </row>
    <row r="614" spans="1:9">
      <c r="A614" s="1">
        <v>43348</v>
      </c>
      <c r="B614">
        <v>9866</v>
      </c>
      <c r="C614">
        <v>14843</v>
      </c>
      <c r="D614">
        <v>9928</v>
      </c>
      <c r="E614">
        <v>6065</v>
      </c>
      <c r="F614">
        <v>249</v>
      </c>
      <c r="G614" t="s">
        <v>83</v>
      </c>
      <c r="H614" t="str" cm="1">
        <f t="array" ref="H614">_xlfn.IFS(Grammys[[#This Row],[date]] &gt;= DATE(2022,2,1),"Grammys",TRUE,"Grammys TRA")</f>
        <v>Grammys TRA</v>
      </c>
      <c r="I614">
        <f>_xlfn.XLOOKUP(Grammys[[#This Row],[date]],mobile_visits[date],mobile_visits[mobile_visitors],0)</f>
        <v>0</v>
      </c>
    </row>
    <row r="615" spans="1:9">
      <c r="A615" s="1">
        <v>43349</v>
      </c>
      <c r="B615">
        <v>9203</v>
      </c>
      <c r="C615">
        <v>14189</v>
      </c>
      <c r="D615">
        <v>9303</v>
      </c>
      <c r="E615">
        <v>5654</v>
      </c>
      <c r="F615">
        <v>255</v>
      </c>
      <c r="G615" t="s">
        <v>83</v>
      </c>
      <c r="H615" t="str" cm="1">
        <f t="array" ref="H615">_xlfn.IFS(Grammys[[#This Row],[date]] &gt;= DATE(2022,2,1),"Grammys",TRUE,"Grammys TRA")</f>
        <v>Grammys TRA</v>
      </c>
      <c r="I615">
        <f>_xlfn.XLOOKUP(Grammys[[#This Row],[date]],mobile_visits[date],mobile_visits[mobile_visitors],0)</f>
        <v>0</v>
      </c>
    </row>
    <row r="616" spans="1:9">
      <c r="A616" s="1">
        <v>43350</v>
      </c>
      <c r="B616">
        <v>9303</v>
      </c>
      <c r="C616">
        <v>14019</v>
      </c>
      <c r="D616">
        <v>9401</v>
      </c>
      <c r="E616">
        <v>5526</v>
      </c>
      <c r="F616">
        <v>256</v>
      </c>
      <c r="G616" t="s">
        <v>83</v>
      </c>
      <c r="H616" t="str" cm="1">
        <f t="array" ref="H616">_xlfn.IFS(Grammys[[#This Row],[date]] &gt;= DATE(2022,2,1),"Grammys",TRUE,"Grammys TRA")</f>
        <v>Grammys TRA</v>
      </c>
      <c r="I616">
        <f>_xlfn.XLOOKUP(Grammys[[#This Row],[date]],mobile_visits[date],mobile_visits[mobile_visitors],0)</f>
        <v>0</v>
      </c>
    </row>
    <row r="617" spans="1:9">
      <c r="A617" s="1">
        <v>43351</v>
      </c>
      <c r="B617">
        <v>8487</v>
      </c>
      <c r="C617">
        <v>12870</v>
      </c>
      <c r="D617">
        <v>8483</v>
      </c>
      <c r="E617">
        <v>4999</v>
      </c>
      <c r="F617">
        <v>243</v>
      </c>
      <c r="G617" t="s">
        <v>83</v>
      </c>
      <c r="H617" t="str" cm="1">
        <f t="array" ref="H617">_xlfn.IFS(Grammys[[#This Row],[date]] &gt;= DATE(2022,2,1),"Grammys",TRUE,"Grammys TRA")</f>
        <v>Grammys TRA</v>
      </c>
      <c r="I617">
        <f>_xlfn.XLOOKUP(Grammys[[#This Row],[date]],mobile_visits[date],mobile_visits[mobile_visitors],0)</f>
        <v>0</v>
      </c>
    </row>
    <row r="618" spans="1:9">
      <c r="A618" s="1">
        <v>43352</v>
      </c>
      <c r="B618">
        <v>8107</v>
      </c>
      <c r="C618">
        <v>12271</v>
      </c>
      <c r="D618">
        <v>8111</v>
      </c>
      <c r="E618">
        <v>4770</v>
      </c>
      <c r="F618">
        <v>295</v>
      </c>
      <c r="G618" t="s">
        <v>83</v>
      </c>
      <c r="H618" t="str" cm="1">
        <f t="array" ref="H618">_xlfn.IFS(Grammys[[#This Row],[date]] &gt;= DATE(2022,2,1),"Grammys",TRUE,"Grammys TRA")</f>
        <v>Grammys TRA</v>
      </c>
      <c r="I618">
        <f>_xlfn.XLOOKUP(Grammys[[#This Row],[date]],mobile_visits[date],mobile_visits[mobile_visitors],0)</f>
        <v>0</v>
      </c>
    </row>
    <row r="619" spans="1:9">
      <c r="A619" s="1">
        <v>43353</v>
      </c>
      <c r="B619">
        <v>9589</v>
      </c>
      <c r="C619">
        <v>14836</v>
      </c>
      <c r="D619">
        <v>9686</v>
      </c>
      <c r="E619">
        <v>5561</v>
      </c>
      <c r="F619">
        <v>256</v>
      </c>
      <c r="G619" t="s">
        <v>83</v>
      </c>
      <c r="H619" t="str" cm="1">
        <f t="array" ref="H619">_xlfn.IFS(Grammys[[#This Row],[date]] &gt;= DATE(2022,2,1),"Grammys",TRUE,"Grammys TRA")</f>
        <v>Grammys TRA</v>
      </c>
      <c r="I619">
        <f>_xlfn.XLOOKUP(Grammys[[#This Row],[date]],mobile_visits[date],mobile_visits[mobile_visitors],0)</f>
        <v>0</v>
      </c>
    </row>
    <row r="620" spans="1:9">
      <c r="A620" s="1">
        <v>43354</v>
      </c>
      <c r="B620">
        <v>11365</v>
      </c>
      <c r="C620">
        <v>18947</v>
      </c>
      <c r="D620">
        <v>11575</v>
      </c>
      <c r="E620">
        <v>6493</v>
      </c>
      <c r="F620">
        <v>312</v>
      </c>
      <c r="G620" t="s">
        <v>83</v>
      </c>
      <c r="H620" t="str" cm="1">
        <f t="array" ref="H620">_xlfn.IFS(Grammys[[#This Row],[date]] &gt;= DATE(2022,2,1),"Grammys",TRUE,"Grammys TRA")</f>
        <v>Grammys TRA</v>
      </c>
      <c r="I620">
        <f>_xlfn.XLOOKUP(Grammys[[#This Row],[date]],mobile_visits[date],mobile_visits[mobile_visitors],0)</f>
        <v>0</v>
      </c>
    </row>
    <row r="621" spans="1:9">
      <c r="A621" s="1">
        <v>43355</v>
      </c>
      <c r="B621">
        <v>34804</v>
      </c>
      <c r="C621">
        <v>45342</v>
      </c>
      <c r="D621">
        <v>35866</v>
      </c>
      <c r="E621">
        <v>14067</v>
      </c>
      <c r="F621">
        <v>234</v>
      </c>
      <c r="G621" t="s">
        <v>83</v>
      </c>
      <c r="H621" t="str" cm="1">
        <f t="array" ref="H621">_xlfn.IFS(Grammys[[#This Row],[date]] &gt;= DATE(2022,2,1),"Grammys",TRUE,"Grammys TRA")</f>
        <v>Grammys TRA</v>
      </c>
      <c r="I621">
        <f>_xlfn.XLOOKUP(Grammys[[#This Row],[date]],mobile_visits[date],mobile_visits[mobile_visitors],0)</f>
        <v>0</v>
      </c>
    </row>
    <row r="622" spans="1:9">
      <c r="A622" s="1">
        <v>43356</v>
      </c>
      <c r="B622">
        <v>38017</v>
      </c>
      <c r="C622">
        <v>51866</v>
      </c>
      <c r="D622">
        <v>39928</v>
      </c>
      <c r="E622">
        <v>17114</v>
      </c>
      <c r="F622">
        <v>269</v>
      </c>
      <c r="G622" t="s">
        <v>83</v>
      </c>
      <c r="H622" t="str" cm="1">
        <f t="array" ref="H622">_xlfn.IFS(Grammys[[#This Row],[date]] &gt;= DATE(2022,2,1),"Grammys",TRUE,"Grammys TRA")</f>
        <v>Grammys TRA</v>
      </c>
      <c r="I622">
        <f>_xlfn.XLOOKUP(Grammys[[#This Row],[date]],mobile_visits[date],mobile_visits[mobile_visitors],0)</f>
        <v>0</v>
      </c>
    </row>
    <row r="623" spans="1:9">
      <c r="A623" s="1">
        <v>43357</v>
      </c>
      <c r="B623">
        <v>22600</v>
      </c>
      <c r="C623">
        <v>32157</v>
      </c>
      <c r="D623">
        <v>23539</v>
      </c>
      <c r="E623">
        <v>11979</v>
      </c>
      <c r="F623">
        <v>300</v>
      </c>
      <c r="G623" t="s">
        <v>83</v>
      </c>
      <c r="H623" t="str" cm="1">
        <f t="array" ref="H623">_xlfn.IFS(Grammys[[#This Row],[date]] &gt;= DATE(2022,2,1),"Grammys",TRUE,"Grammys TRA")</f>
        <v>Grammys TRA</v>
      </c>
      <c r="I623">
        <f>_xlfn.XLOOKUP(Grammys[[#This Row],[date]],mobile_visits[date],mobile_visits[mobile_visitors],0)</f>
        <v>0</v>
      </c>
    </row>
    <row r="624" spans="1:9">
      <c r="A624" s="1">
        <v>43358</v>
      </c>
      <c r="B624">
        <v>17046</v>
      </c>
      <c r="C624">
        <v>24855</v>
      </c>
      <c r="D624">
        <v>17446</v>
      </c>
      <c r="E624">
        <v>9256</v>
      </c>
      <c r="F624">
        <v>264</v>
      </c>
      <c r="G624" t="s">
        <v>83</v>
      </c>
      <c r="H624" t="str" cm="1">
        <f t="array" ref="H624">_xlfn.IFS(Grammys[[#This Row],[date]] &gt;= DATE(2022,2,1),"Grammys",TRUE,"Grammys TRA")</f>
        <v>Grammys TRA</v>
      </c>
      <c r="I624">
        <f>_xlfn.XLOOKUP(Grammys[[#This Row],[date]],mobile_visits[date],mobile_visits[mobile_visitors],0)</f>
        <v>0</v>
      </c>
    </row>
    <row r="625" spans="1:9">
      <c r="A625" s="1">
        <v>43359</v>
      </c>
      <c r="B625">
        <v>10883</v>
      </c>
      <c r="C625">
        <v>16956</v>
      </c>
      <c r="D625">
        <v>11197</v>
      </c>
      <c r="E625">
        <v>6234</v>
      </c>
      <c r="F625">
        <v>335</v>
      </c>
      <c r="G625" t="s">
        <v>83</v>
      </c>
      <c r="H625" t="str" cm="1">
        <f t="array" ref="H625">_xlfn.IFS(Grammys[[#This Row],[date]] &gt;= DATE(2022,2,1),"Grammys",TRUE,"Grammys TRA")</f>
        <v>Grammys TRA</v>
      </c>
      <c r="I625">
        <f>_xlfn.XLOOKUP(Grammys[[#This Row],[date]],mobile_visits[date],mobile_visits[mobile_visitors],0)</f>
        <v>0</v>
      </c>
    </row>
    <row r="626" spans="1:9">
      <c r="A626" s="1">
        <v>43360</v>
      </c>
      <c r="B626">
        <v>11636</v>
      </c>
      <c r="C626">
        <v>18299</v>
      </c>
      <c r="D626">
        <v>11737</v>
      </c>
      <c r="E626">
        <v>6788</v>
      </c>
      <c r="F626">
        <v>296</v>
      </c>
      <c r="G626" t="s">
        <v>83</v>
      </c>
      <c r="H626" t="str" cm="1">
        <f t="array" ref="H626">_xlfn.IFS(Grammys[[#This Row],[date]] &gt;= DATE(2022,2,1),"Grammys",TRUE,"Grammys TRA")</f>
        <v>Grammys TRA</v>
      </c>
      <c r="I626">
        <f>_xlfn.XLOOKUP(Grammys[[#This Row],[date]],mobile_visits[date],mobile_visits[mobile_visitors],0)</f>
        <v>0</v>
      </c>
    </row>
    <row r="627" spans="1:9">
      <c r="A627" s="1">
        <v>43361</v>
      </c>
      <c r="B627">
        <v>12115</v>
      </c>
      <c r="C627">
        <v>18369</v>
      </c>
      <c r="D627">
        <v>12050</v>
      </c>
      <c r="E627">
        <v>6988</v>
      </c>
      <c r="F627">
        <v>288</v>
      </c>
      <c r="G627" t="s">
        <v>83</v>
      </c>
      <c r="H627" t="str" cm="1">
        <f t="array" ref="H627">_xlfn.IFS(Grammys[[#This Row],[date]] &gt;= DATE(2022,2,1),"Grammys",TRUE,"Grammys TRA")</f>
        <v>Grammys TRA</v>
      </c>
      <c r="I627">
        <f>_xlfn.XLOOKUP(Grammys[[#This Row],[date]],mobile_visits[date],mobile_visits[mobile_visitors],0)</f>
        <v>0</v>
      </c>
    </row>
    <row r="628" spans="1:9">
      <c r="A628" s="1">
        <v>43362</v>
      </c>
      <c r="B628">
        <v>12838</v>
      </c>
      <c r="C628">
        <v>19122</v>
      </c>
      <c r="D628">
        <v>12950</v>
      </c>
      <c r="E628">
        <v>6860</v>
      </c>
      <c r="F628">
        <v>313</v>
      </c>
      <c r="G628" t="s">
        <v>83</v>
      </c>
      <c r="H628" t="str" cm="1">
        <f t="array" ref="H628">_xlfn.IFS(Grammys[[#This Row],[date]] &gt;= DATE(2022,2,1),"Grammys",TRUE,"Grammys TRA")</f>
        <v>Grammys TRA</v>
      </c>
      <c r="I628">
        <f>_xlfn.XLOOKUP(Grammys[[#This Row],[date]],mobile_visits[date],mobile_visits[mobile_visitors],0)</f>
        <v>0</v>
      </c>
    </row>
    <row r="629" spans="1:9">
      <c r="A629" s="1">
        <v>43363</v>
      </c>
      <c r="B629">
        <v>13749</v>
      </c>
      <c r="C629">
        <v>22108</v>
      </c>
      <c r="D629">
        <v>14144</v>
      </c>
      <c r="E629">
        <v>7628</v>
      </c>
      <c r="F629">
        <v>268</v>
      </c>
      <c r="G629" t="s">
        <v>83</v>
      </c>
      <c r="H629" t="str" cm="1">
        <f t="array" ref="H629">_xlfn.IFS(Grammys[[#This Row],[date]] &gt;= DATE(2022,2,1),"Grammys",TRUE,"Grammys TRA")</f>
        <v>Grammys TRA</v>
      </c>
      <c r="I629">
        <f>_xlfn.XLOOKUP(Grammys[[#This Row],[date]],mobile_visits[date],mobile_visits[mobile_visitors],0)</f>
        <v>0</v>
      </c>
    </row>
    <row r="630" spans="1:9">
      <c r="A630" s="1">
        <v>43364</v>
      </c>
      <c r="B630">
        <v>11174</v>
      </c>
      <c r="C630">
        <v>17922</v>
      </c>
      <c r="D630">
        <v>11356</v>
      </c>
      <c r="E630">
        <v>6334</v>
      </c>
      <c r="F630">
        <v>277</v>
      </c>
      <c r="G630" t="s">
        <v>83</v>
      </c>
      <c r="H630" t="str" cm="1">
        <f t="array" ref="H630">_xlfn.IFS(Grammys[[#This Row],[date]] &gt;= DATE(2022,2,1),"Grammys",TRUE,"Grammys TRA")</f>
        <v>Grammys TRA</v>
      </c>
      <c r="I630">
        <f>_xlfn.XLOOKUP(Grammys[[#This Row],[date]],mobile_visits[date],mobile_visits[mobile_visitors],0)</f>
        <v>0</v>
      </c>
    </row>
    <row r="631" spans="1:9">
      <c r="A631" s="1">
        <v>43365</v>
      </c>
      <c r="B631">
        <v>9108</v>
      </c>
      <c r="C631">
        <v>14240</v>
      </c>
      <c r="D631">
        <v>9151</v>
      </c>
      <c r="E631">
        <v>5232</v>
      </c>
      <c r="F631">
        <v>290</v>
      </c>
      <c r="G631" t="s">
        <v>83</v>
      </c>
      <c r="H631" t="str" cm="1">
        <f t="array" ref="H631">_xlfn.IFS(Grammys[[#This Row],[date]] &gt;= DATE(2022,2,1),"Grammys",TRUE,"Grammys TRA")</f>
        <v>Grammys TRA</v>
      </c>
      <c r="I631">
        <f>_xlfn.XLOOKUP(Grammys[[#This Row],[date]],mobile_visits[date],mobile_visits[mobile_visitors],0)</f>
        <v>0</v>
      </c>
    </row>
    <row r="632" spans="1:9">
      <c r="A632" s="1">
        <v>43366</v>
      </c>
      <c r="B632">
        <v>9115</v>
      </c>
      <c r="C632">
        <v>13905</v>
      </c>
      <c r="D632">
        <v>9162</v>
      </c>
      <c r="E632">
        <v>5347</v>
      </c>
      <c r="F632">
        <v>290</v>
      </c>
      <c r="G632" t="s">
        <v>83</v>
      </c>
      <c r="H632" t="str" cm="1">
        <f t="array" ref="H632">_xlfn.IFS(Grammys[[#This Row],[date]] &gt;= DATE(2022,2,1),"Grammys",TRUE,"Grammys TRA")</f>
        <v>Grammys TRA</v>
      </c>
      <c r="I632">
        <f>_xlfn.XLOOKUP(Grammys[[#This Row],[date]],mobile_visits[date],mobile_visits[mobile_visitors],0)</f>
        <v>0</v>
      </c>
    </row>
    <row r="633" spans="1:9">
      <c r="A633" s="1">
        <v>43367</v>
      </c>
      <c r="B633">
        <v>10172</v>
      </c>
      <c r="C633">
        <v>15820</v>
      </c>
      <c r="D633">
        <v>10368</v>
      </c>
      <c r="E633">
        <v>5860</v>
      </c>
      <c r="F633">
        <v>275</v>
      </c>
      <c r="G633" t="s">
        <v>83</v>
      </c>
      <c r="H633" t="str" cm="1">
        <f t="array" ref="H633">_xlfn.IFS(Grammys[[#This Row],[date]] &gt;= DATE(2022,2,1),"Grammys",TRUE,"Grammys TRA")</f>
        <v>Grammys TRA</v>
      </c>
      <c r="I633">
        <f>_xlfn.XLOOKUP(Grammys[[#This Row],[date]],mobile_visits[date],mobile_visits[mobile_visitors],0)</f>
        <v>0</v>
      </c>
    </row>
    <row r="634" spans="1:9">
      <c r="A634" s="1">
        <v>43368</v>
      </c>
      <c r="B634">
        <v>10572</v>
      </c>
      <c r="C634">
        <v>16927</v>
      </c>
      <c r="D634">
        <v>10863</v>
      </c>
      <c r="E634">
        <v>6260</v>
      </c>
      <c r="F634">
        <v>278</v>
      </c>
      <c r="G634" t="s">
        <v>83</v>
      </c>
      <c r="H634" t="str" cm="1">
        <f t="array" ref="H634">_xlfn.IFS(Grammys[[#This Row],[date]] &gt;= DATE(2022,2,1),"Grammys",TRUE,"Grammys TRA")</f>
        <v>Grammys TRA</v>
      </c>
      <c r="I634">
        <f>_xlfn.XLOOKUP(Grammys[[#This Row],[date]],mobile_visits[date],mobile_visits[mobile_visitors],0)</f>
        <v>0</v>
      </c>
    </row>
    <row r="635" spans="1:9">
      <c r="A635" s="1">
        <v>43369</v>
      </c>
      <c r="B635">
        <v>11873</v>
      </c>
      <c r="C635">
        <v>18343</v>
      </c>
      <c r="D635">
        <v>11970</v>
      </c>
      <c r="E635">
        <v>6993</v>
      </c>
      <c r="F635">
        <v>290</v>
      </c>
      <c r="G635" t="s">
        <v>83</v>
      </c>
      <c r="H635" t="str" cm="1">
        <f t="array" ref="H635">_xlfn.IFS(Grammys[[#This Row],[date]] &gt;= DATE(2022,2,1),"Grammys",TRUE,"Grammys TRA")</f>
        <v>Grammys TRA</v>
      </c>
      <c r="I635">
        <f>_xlfn.XLOOKUP(Grammys[[#This Row],[date]],mobile_visits[date],mobile_visits[mobile_visitors],0)</f>
        <v>0</v>
      </c>
    </row>
    <row r="636" spans="1:9">
      <c r="A636" s="1">
        <v>43370</v>
      </c>
      <c r="B636">
        <v>12056</v>
      </c>
      <c r="C636">
        <v>18037</v>
      </c>
      <c r="D636">
        <v>12121</v>
      </c>
      <c r="E636">
        <v>7017</v>
      </c>
      <c r="F636">
        <v>277</v>
      </c>
      <c r="G636" t="s">
        <v>83</v>
      </c>
      <c r="H636" t="str" cm="1">
        <f t="array" ref="H636">_xlfn.IFS(Grammys[[#This Row],[date]] &gt;= DATE(2022,2,1),"Grammys",TRUE,"Grammys TRA")</f>
        <v>Grammys TRA</v>
      </c>
      <c r="I636">
        <f>_xlfn.XLOOKUP(Grammys[[#This Row],[date]],mobile_visits[date],mobile_visits[mobile_visitors],0)</f>
        <v>0</v>
      </c>
    </row>
    <row r="637" spans="1:9">
      <c r="A637" s="1">
        <v>43371</v>
      </c>
      <c r="B637">
        <v>10128</v>
      </c>
      <c r="C637">
        <v>15767</v>
      </c>
      <c r="D637">
        <v>10243</v>
      </c>
      <c r="E637">
        <v>6049</v>
      </c>
      <c r="F637">
        <v>303</v>
      </c>
      <c r="G637" t="s">
        <v>83</v>
      </c>
      <c r="H637" t="str" cm="1">
        <f t="array" ref="H637">_xlfn.IFS(Grammys[[#This Row],[date]] &gt;= DATE(2022,2,1),"Grammys",TRUE,"Grammys TRA")</f>
        <v>Grammys TRA</v>
      </c>
      <c r="I637">
        <f>_xlfn.XLOOKUP(Grammys[[#This Row],[date]],mobile_visits[date],mobile_visits[mobile_visitors],0)</f>
        <v>0</v>
      </c>
    </row>
    <row r="638" spans="1:9">
      <c r="A638" s="1">
        <v>43372</v>
      </c>
      <c r="B638">
        <v>9150</v>
      </c>
      <c r="C638">
        <v>14105</v>
      </c>
      <c r="D638">
        <v>9216</v>
      </c>
      <c r="E638">
        <v>5345</v>
      </c>
      <c r="F638">
        <v>272</v>
      </c>
      <c r="G638" t="s">
        <v>83</v>
      </c>
      <c r="H638" t="str" cm="1">
        <f t="array" ref="H638">_xlfn.IFS(Grammys[[#This Row],[date]] &gt;= DATE(2022,2,1),"Grammys",TRUE,"Grammys TRA")</f>
        <v>Grammys TRA</v>
      </c>
      <c r="I638">
        <f>_xlfn.XLOOKUP(Grammys[[#This Row],[date]],mobile_visits[date],mobile_visits[mobile_visitors],0)</f>
        <v>0</v>
      </c>
    </row>
    <row r="639" spans="1:9">
      <c r="A639" s="1">
        <v>43373</v>
      </c>
      <c r="B639">
        <v>9987</v>
      </c>
      <c r="C639">
        <v>15655</v>
      </c>
      <c r="D639">
        <v>10145</v>
      </c>
      <c r="E639">
        <v>5931</v>
      </c>
      <c r="F639">
        <v>282</v>
      </c>
      <c r="G639" t="s">
        <v>83</v>
      </c>
      <c r="H639" t="str" cm="1">
        <f t="array" ref="H639">_xlfn.IFS(Grammys[[#This Row],[date]] &gt;= DATE(2022,2,1),"Grammys",TRUE,"Grammys TRA")</f>
        <v>Grammys TRA</v>
      </c>
      <c r="I639">
        <f>_xlfn.XLOOKUP(Grammys[[#This Row],[date]],mobile_visits[date],mobile_visits[mobile_visitors],0)</f>
        <v>0</v>
      </c>
    </row>
    <row r="640" spans="1:9">
      <c r="A640" s="1">
        <v>43374</v>
      </c>
      <c r="B640">
        <v>10623</v>
      </c>
      <c r="C640">
        <v>16516</v>
      </c>
      <c r="D640">
        <v>10725</v>
      </c>
      <c r="E640">
        <v>6215</v>
      </c>
      <c r="F640">
        <v>264</v>
      </c>
      <c r="G640" t="s">
        <v>83</v>
      </c>
      <c r="H640" t="str" cm="1">
        <f t="array" ref="H640">_xlfn.IFS(Grammys[[#This Row],[date]] &gt;= DATE(2022,2,1),"Grammys",TRUE,"Grammys TRA")</f>
        <v>Grammys TRA</v>
      </c>
      <c r="I640">
        <f>_xlfn.XLOOKUP(Grammys[[#This Row],[date]],mobile_visits[date],mobile_visits[mobile_visitors],0)</f>
        <v>0</v>
      </c>
    </row>
    <row r="641" spans="1:9">
      <c r="A641" s="1">
        <v>43375</v>
      </c>
      <c r="B641">
        <v>11575</v>
      </c>
      <c r="C641">
        <v>17267</v>
      </c>
      <c r="D641">
        <v>11682</v>
      </c>
      <c r="E641">
        <v>6622</v>
      </c>
      <c r="F641">
        <v>286</v>
      </c>
      <c r="G641" t="s">
        <v>83</v>
      </c>
      <c r="H641" t="str" cm="1">
        <f t="array" ref="H641">_xlfn.IFS(Grammys[[#This Row],[date]] &gt;= DATE(2022,2,1),"Grammys",TRUE,"Grammys TRA")</f>
        <v>Grammys TRA</v>
      </c>
      <c r="I641">
        <f>_xlfn.XLOOKUP(Grammys[[#This Row],[date]],mobile_visits[date],mobile_visits[mobile_visitors],0)</f>
        <v>0</v>
      </c>
    </row>
    <row r="642" spans="1:9">
      <c r="A642" s="1">
        <v>43376</v>
      </c>
      <c r="B642">
        <v>11211</v>
      </c>
      <c r="C642">
        <v>16801</v>
      </c>
      <c r="D642">
        <v>11193</v>
      </c>
      <c r="E642">
        <v>6396</v>
      </c>
      <c r="F642">
        <v>262</v>
      </c>
      <c r="G642" t="s">
        <v>83</v>
      </c>
      <c r="H642" t="str" cm="1">
        <f t="array" ref="H642">_xlfn.IFS(Grammys[[#This Row],[date]] &gt;= DATE(2022,2,1),"Grammys",TRUE,"Grammys TRA")</f>
        <v>Grammys TRA</v>
      </c>
      <c r="I642">
        <f>_xlfn.XLOOKUP(Grammys[[#This Row],[date]],mobile_visits[date],mobile_visits[mobile_visitors],0)</f>
        <v>0</v>
      </c>
    </row>
    <row r="643" spans="1:9">
      <c r="A643" s="1">
        <v>43377</v>
      </c>
      <c r="B643">
        <v>11693</v>
      </c>
      <c r="C643">
        <v>16939</v>
      </c>
      <c r="D643">
        <v>11467</v>
      </c>
      <c r="E643">
        <v>6594</v>
      </c>
      <c r="F643">
        <v>259</v>
      </c>
      <c r="G643" t="s">
        <v>83</v>
      </c>
      <c r="H643" t="str" cm="1">
        <f t="array" ref="H643">_xlfn.IFS(Grammys[[#This Row],[date]] &gt;= DATE(2022,2,1),"Grammys",TRUE,"Grammys TRA")</f>
        <v>Grammys TRA</v>
      </c>
      <c r="I643">
        <f>_xlfn.XLOOKUP(Grammys[[#This Row],[date]],mobile_visits[date],mobile_visits[mobile_visitors],0)</f>
        <v>0</v>
      </c>
    </row>
    <row r="644" spans="1:9">
      <c r="A644" s="1">
        <v>43378</v>
      </c>
      <c r="B644">
        <v>11749</v>
      </c>
      <c r="C644">
        <v>18060</v>
      </c>
      <c r="D644">
        <v>11737</v>
      </c>
      <c r="E644">
        <v>6587</v>
      </c>
      <c r="F644">
        <v>255</v>
      </c>
      <c r="G644" t="s">
        <v>83</v>
      </c>
      <c r="H644" t="str" cm="1">
        <f t="array" ref="H644">_xlfn.IFS(Grammys[[#This Row],[date]] &gt;= DATE(2022,2,1),"Grammys",TRUE,"Grammys TRA")</f>
        <v>Grammys TRA</v>
      </c>
      <c r="I644">
        <f>_xlfn.XLOOKUP(Grammys[[#This Row],[date]],mobile_visits[date],mobile_visits[mobile_visitors],0)</f>
        <v>0</v>
      </c>
    </row>
    <row r="645" spans="1:9">
      <c r="A645" s="1">
        <v>43379</v>
      </c>
      <c r="B645">
        <v>9752</v>
      </c>
      <c r="C645">
        <v>14806</v>
      </c>
      <c r="D645">
        <v>9731</v>
      </c>
      <c r="E645">
        <v>5717</v>
      </c>
      <c r="F645">
        <v>284</v>
      </c>
      <c r="G645" t="s">
        <v>83</v>
      </c>
      <c r="H645" t="str" cm="1">
        <f t="array" ref="H645">_xlfn.IFS(Grammys[[#This Row],[date]] &gt;= DATE(2022,2,1),"Grammys",TRUE,"Grammys TRA")</f>
        <v>Grammys TRA</v>
      </c>
      <c r="I645">
        <f>_xlfn.XLOOKUP(Grammys[[#This Row],[date]],mobile_visits[date],mobile_visits[mobile_visitors],0)</f>
        <v>0</v>
      </c>
    </row>
    <row r="646" spans="1:9">
      <c r="A646" s="1">
        <v>43380</v>
      </c>
      <c r="B646">
        <v>9552</v>
      </c>
      <c r="C646">
        <v>14551</v>
      </c>
      <c r="D646">
        <v>9646</v>
      </c>
      <c r="E646">
        <v>5599</v>
      </c>
      <c r="F646">
        <v>271</v>
      </c>
      <c r="G646" t="s">
        <v>83</v>
      </c>
      <c r="H646" t="str" cm="1">
        <f t="array" ref="H646">_xlfn.IFS(Grammys[[#This Row],[date]] &gt;= DATE(2022,2,1),"Grammys",TRUE,"Grammys TRA")</f>
        <v>Grammys TRA</v>
      </c>
      <c r="I646">
        <f>_xlfn.XLOOKUP(Grammys[[#This Row],[date]],mobile_visits[date],mobile_visits[mobile_visitors],0)</f>
        <v>0</v>
      </c>
    </row>
    <row r="647" spans="1:9">
      <c r="A647" s="1">
        <v>43381</v>
      </c>
      <c r="B647">
        <v>12069</v>
      </c>
      <c r="C647">
        <v>17962</v>
      </c>
      <c r="D647">
        <v>12161</v>
      </c>
      <c r="E647">
        <v>6497</v>
      </c>
      <c r="F647">
        <v>253</v>
      </c>
      <c r="G647" t="s">
        <v>83</v>
      </c>
      <c r="H647" t="str" cm="1">
        <f t="array" ref="H647">_xlfn.IFS(Grammys[[#This Row],[date]] &gt;= DATE(2022,2,1),"Grammys",TRUE,"Grammys TRA")</f>
        <v>Grammys TRA</v>
      </c>
      <c r="I647">
        <f>_xlfn.XLOOKUP(Grammys[[#This Row],[date]],mobile_visits[date],mobile_visits[mobile_visitors],0)</f>
        <v>0</v>
      </c>
    </row>
    <row r="648" spans="1:9">
      <c r="A648" s="1">
        <v>43382</v>
      </c>
      <c r="B648">
        <v>14755</v>
      </c>
      <c r="C648">
        <v>22843</v>
      </c>
      <c r="D648">
        <v>14954</v>
      </c>
      <c r="E648">
        <v>7904</v>
      </c>
      <c r="F648">
        <v>326</v>
      </c>
      <c r="G648" t="s">
        <v>83</v>
      </c>
      <c r="H648" t="str" cm="1">
        <f t="array" ref="H648">_xlfn.IFS(Grammys[[#This Row],[date]] &gt;= DATE(2022,2,1),"Grammys",TRUE,"Grammys TRA")</f>
        <v>Grammys TRA</v>
      </c>
      <c r="I648">
        <f>_xlfn.XLOOKUP(Grammys[[#This Row],[date]],mobile_visits[date],mobile_visits[mobile_visitors],0)</f>
        <v>0</v>
      </c>
    </row>
    <row r="649" spans="1:9">
      <c r="A649" s="1">
        <v>43383</v>
      </c>
      <c r="B649">
        <v>14698</v>
      </c>
      <c r="C649">
        <v>22695</v>
      </c>
      <c r="D649">
        <v>14922</v>
      </c>
      <c r="E649">
        <v>7885</v>
      </c>
      <c r="F649">
        <v>292</v>
      </c>
      <c r="G649" t="s">
        <v>83</v>
      </c>
      <c r="H649" t="str" cm="1">
        <f t="array" ref="H649">_xlfn.IFS(Grammys[[#This Row],[date]] &gt;= DATE(2022,2,1),"Grammys",TRUE,"Grammys TRA")</f>
        <v>Grammys TRA</v>
      </c>
      <c r="I649">
        <f>_xlfn.XLOOKUP(Grammys[[#This Row],[date]],mobile_visits[date],mobile_visits[mobile_visitors],0)</f>
        <v>0</v>
      </c>
    </row>
    <row r="650" spans="1:9">
      <c r="A650" s="1">
        <v>43384</v>
      </c>
      <c r="B650">
        <v>17087</v>
      </c>
      <c r="C650">
        <v>24788</v>
      </c>
      <c r="D650">
        <v>17238</v>
      </c>
      <c r="E650">
        <v>9019</v>
      </c>
      <c r="F650">
        <v>265</v>
      </c>
      <c r="G650" t="s">
        <v>83</v>
      </c>
      <c r="H650" t="str" cm="1">
        <f t="array" ref="H650">_xlfn.IFS(Grammys[[#This Row],[date]] &gt;= DATE(2022,2,1),"Grammys",TRUE,"Grammys TRA")</f>
        <v>Grammys TRA</v>
      </c>
      <c r="I650">
        <f>_xlfn.XLOOKUP(Grammys[[#This Row],[date]],mobile_visits[date],mobile_visits[mobile_visitors],0)</f>
        <v>0</v>
      </c>
    </row>
    <row r="651" spans="1:9">
      <c r="A651" s="1">
        <v>43385</v>
      </c>
      <c r="B651">
        <v>13107</v>
      </c>
      <c r="C651">
        <v>19372</v>
      </c>
      <c r="D651">
        <v>13348</v>
      </c>
      <c r="E651">
        <v>7685</v>
      </c>
      <c r="F651">
        <v>282</v>
      </c>
      <c r="G651" t="s">
        <v>83</v>
      </c>
      <c r="H651" t="str" cm="1">
        <f t="array" ref="H651">_xlfn.IFS(Grammys[[#This Row],[date]] &gt;= DATE(2022,2,1),"Grammys",TRUE,"Grammys TRA")</f>
        <v>Grammys TRA</v>
      </c>
      <c r="I651">
        <f>_xlfn.XLOOKUP(Grammys[[#This Row],[date]],mobile_visits[date],mobile_visits[mobile_visitors],0)</f>
        <v>0</v>
      </c>
    </row>
    <row r="652" spans="1:9">
      <c r="A652" s="1">
        <v>43386</v>
      </c>
      <c r="B652">
        <v>9656</v>
      </c>
      <c r="C652">
        <v>15072</v>
      </c>
      <c r="D652">
        <v>9868</v>
      </c>
      <c r="E652">
        <v>5688</v>
      </c>
      <c r="F652">
        <v>276</v>
      </c>
      <c r="G652" t="s">
        <v>83</v>
      </c>
      <c r="H652" t="str" cm="1">
        <f t="array" ref="H652">_xlfn.IFS(Grammys[[#This Row],[date]] &gt;= DATE(2022,2,1),"Grammys",TRUE,"Grammys TRA")</f>
        <v>Grammys TRA</v>
      </c>
      <c r="I652">
        <f>_xlfn.XLOOKUP(Grammys[[#This Row],[date]],mobile_visits[date],mobile_visits[mobile_visitors],0)</f>
        <v>0</v>
      </c>
    </row>
    <row r="653" spans="1:9">
      <c r="A653" s="1">
        <v>43387</v>
      </c>
      <c r="B653">
        <v>9806</v>
      </c>
      <c r="C653">
        <v>15620</v>
      </c>
      <c r="D653">
        <v>11992</v>
      </c>
      <c r="E653">
        <v>7424</v>
      </c>
      <c r="F653">
        <v>18</v>
      </c>
      <c r="G653" t="s">
        <v>83</v>
      </c>
      <c r="H653" t="str" cm="1">
        <f t="array" ref="H653">_xlfn.IFS(Grammys[[#This Row],[date]] &gt;= DATE(2022,2,1),"Grammys",TRUE,"Grammys TRA")</f>
        <v>Grammys TRA</v>
      </c>
      <c r="I653">
        <f>_xlfn.XLOOKUP(Grammys[[#This Row],[date]],mobile_visits[date],mobile_visits[mobile_visitors],0)</f>
        <v>0</v>
      </c>
    </row>
    <row r="654" spans="1:9">
      <c r="A654" s="1">
        <v>43388</v>
      </c>
      <c r="B654">
        <v>11399</v>
      </c>
      <c r="C654">
        <v>18164</v>
      </c>
      <c r="D654">
        <v>14149</v>
      </c>
      <c r="E654">
        <v>8527</v>
      </c>
      <c r="F654">
        <v>18</v>
      </c>
      <c r="G654" t="s">
        <v>83</v>
      </c>
      <c r="H654" t="str" cm="1">
        <f t="array" ref="H654">_xlfn.IFS(Grammys[[#This Row],[date]] &gt;= DATE(2022,2,1),"Grammys",TRUE,"Grammys TRA")</f>
        <v>Grammys TRA</v>
      </c>
      <c r="I654">
        <f>_xlfn.XLOOKUP(Grammys[[#This Row],[date]],mobile_visits[date],mobile_visits[mobile_visitors],0)</f>
        <v>0</v>
      </c>
    </row>
    <row r="655" spans="1:9">
      <c r="A655" s="1">
        <v>43389</v>
      </c>
      <c r="B655">
        <v>11089</v>
      </c>
      <c r="C655">
        <v>17435</v>
      </c>
      <c r="D655">
        <v>13719</v>
      </c>
      <c r="E655">
        <v>8188</v>
      </c>
      <c r="F655">
        <v>18</v>
      </c>
      <c r="G655" t="s">
        <v>83</v>
      </c>
      <c r="H655" t="str" cm="1">
        <f t="array" ref="H655">_xlfn.IFS(Grammys[[#This Row],[date]] &gt;= DATE(2022,2,1),"Grammys",TRUE,"Grammys TRA")</f>
        <v>Grammys TRA</v>
      </c>
      <c r="I655">
        <f>_xlfn.XLOOKUP(Grammys[[#This Row],[date]],mobile_visits[date],mobile_visits[mobile_visitors],0)</f>
        <v>0</v>
      </c>
    </row>
    <row r="656" spans="1:9">
      <c r="A656" s="1">
        <v>43390</v>
      </c>
      <c r="B656">
        <v>14046</v>
      </c>
      <c r="C656">
        <v>24466</v>
      </c>
      <c r="D656">
        <v>17660</v>
      </c>
      <c r="E656">
        <v>9459</v>
      </c>
      <c r="F656">
        <v>21</v>
      </c>
      <c r="G656" t="s">
        <v>83</v>
      </c>
      <c r="H656" t="str" cm="1">
        <f t="array" ref="H656">_xlfn.IFS(Grammys[[#This Row],[date]] &gt;= DATE(2022,2,1),"Grammys",TRUE,"Grammys TRA")</f>
        <v>Grammys TRA</v>
      </c>
      <c r="I656">
        <f>_xlfn.XLOOKUP(Grammys[[#This Row],[date]],mobile_visits[date],mobile_visits[mobile_visitors],0)</f>
        <v>0</v>
      </c>
    </row>
    <row r="657" spans="1:9">
      <c r="A657" s="1">
        <v>43391</v>
      </c>
      <c r="B657">
        <v>15779</v>
      </c>
      <c r="C657">
        <v>27970</v>
      </c>
      <c r="D657">
        <v>19366</v>
      </c>
      <c r="E657">
        <v>10867</v>
      </c>
      <c r="F657">
        <v>20</v>
      </c>
      <c r="G657" t="s">
        <v>83</v>
      </c>
      <c r="H657" t="str" cm="1">
        <f t="array" ref="H657">_xlfn.IFS(Grammys[[#This Row],[date]] &gt;= DATE(2022,2,1),"Grammys",TRUE,"Grammys TRA")</f>
        <v>Grammys TRA</v>
      </c>
      <c r="I657">
        <f>_xlfn.XLOOKUP(Grammys[[#This Row],[date]],mobile_visits[date],mobile_visits[mobile_visitors],0)</f>
        <v>0</v>
      </c>
    </row>
    <row r="658" spans="1:9">
      <c r="A658" s="1">
        <v>43392</v>
      </c>
      <c r="B658">
        <v>14546</v>
      </c>
      <c r="C658">
        <v>25714</v>
      </c>
      <c r="D658">
        <v>17821</v>
      </c>
      <c r="E658">
        <v>9843</v>
      </c>
      <c r="F658">
        <v>21</v>
      </c>
      <c r="G658" t="s">
        <v>83</v>
      </c>
      <c r="H658" t="str" cm="1">
        <f t="array" ref="H658">_xlfn.IFS(Grammys[[#This Row],[date]] &gt;= DATE(2022,2,1),"Grammys",TRUE,"Grammys TRA")</f>
        <v>Grammys TRA</v>
      </c>
      <c r="I658">
        <f>_xlfn.XLOOKUP(Grammys[[#This Row],[date]],mobile_visits[date],mobile_visits[mobile_visitors],0)</f>
        <v>0</v>
      </c>
    </row>
    <row r="659" spans="1:9">
      <c r="A659" s="1">
        <v>43393</v>
      </c>
      <c r="B659">
        <v>12101</v>
      </c>
      <c r="C659">
        <v>21293</v>
      </c>
      <c r="D659">
        <v>14783</v>
      </c>
      <c r="E659">
        <v>8193</v>
      </c>
      <c r="F659">
        <v>21</v>
      </c>
      <c r="G659" t="s">
        <v>83</v>
      </c>
      <c r="H659" t="str" cm="1">
        <f t="array" ref="H659">_xlfn.IFS(Grammys[[#This Row],[date]] &gt;= DATE(2022,2,1),"Grammys",TRUE,"Grammys TRA")</f>
        <v>Grammys TRA</v>
      </c>
      <c r="I659">
        <f>_xlfn.XLOOKUP(Grammys[[#This Row],[date]],mobile_visits[date],mobile_visits[mobile_visitors],0)</f>
        <v>0</v>
      </c>
    </row>
    <row r="660" spans="1:9">
      <c r="A660" s="1">
        <v>43394</v>
      </c>
      <c r="B660">
        <v>12445</v>
      </c>
      <c r="C660">
        <v>20525</v>
      </c>
      <c r="D660">
        <v>12774</v>
      </c>
      <c r="E660">
        <v>6163</v>
      </c>
      <c r="F660">
        <v>259</v>
      </c>
      <c r="G660" t="s">
        <v>83</v>
      </c>
      <c r="H660" t="str" cm="1">
        <f t="array" ref="H660">_xlfn.IFS(Grammys[[#This Row],[date]] &gt;= DATE(2022,2,1),"Grammys",TRUE,"Grammys TRA")</f>
        <v>Grammys TRA</v>
      </c>
      <c r="I660">
        <f>_xlfn.XLOOKUP(Grammys[[#This Row],[date]],mobile_visits[date],mobile_visits[mobile_visitors],0)</f>
        <v>0</v>
      </c>
    </row>
    <row r="661" spans="1:9">
      <c r="A661" s="1">
        <v>43395</v>
      </c>
      <c r="B661">
        <v>15770</v>
      </c>
      <c r="C661">
        <v>24647</v>
      </c>
      <c r="D661">
        <v>18560</v>
      </c>
      <c r="E661">
        <v>9841</v>
      </c>
      <c r="F661">
        <v>20</v>
      </c>
      <c r="G661" t="s">
        <v>83</v>
      </c>
      <c r="H661" t="str" cm="1">
        <f t="array" ref="H661">_xlfn.IFS(Grammys[[#This Row],[date]] &gt;= DATE(2022,2,1),"Grammys",TRUE,"Grammys TRA")</f>
        <v>Grammys TRA</v>
      </c>
      <c r="I661">
        <f>_xlfn.XLOOKUP(Grammys[[#This Row],[date]],mobile_visits[date],mobile_visits[mobile_visitors],0)</f>
        <v>0</v>
      </c>
    </row>
    <row r="662" spans="1:9">
      <c r="A662" s="1">
        <v>43396</v>
      </c>
      <c r="B662">
        <v>13986</v>
      </c>
      <c r="C662">
        <v>23469</v>
      </c>
      <c r="D662">
        <v>17127</v>
      </c>
      <c r="E662">
        <v>9662</v>
      </c>
      <c r="F662">
        <v>20</v>
      </c>
      <c r="G662" t="s">
        <v>83</v>
      </c>
      <c r="H662" t="str" cm="1">
        <f t="array" ref="H662">_xlfn.IFS(Grammys[[#This Row],[date]] &gt;= DATE(2022,2,1),"Grammys",TRUE,"Grammys TRA")</f>
        <v>Grammys TRA</v>
      </c>
      <c r="I662">
        <f>_xlfn.XLOOKUP(Grammys[[#This Row],[date]],mobile_visits[date],mobile_visits[mobile_visitors],0)</f>
        <v>0</v>
      </c>
    </row>
    <row r="663" spans="1:9">
      <c r="A663" s="1">
        <v>43397</v>
      </c>
      <c r="B663">
        <v>13059</v>
      </c>
      <c r="C663">
        <v>21149</v>
      </c>
      <c r="D663">
        <v>15620</v>
      </c>
      <c r="E663">
        <v>9221</v>
      </c>
      <c r="F663">
        <v>19</v>
      </c>
      <c r="G663" t="s">
        <v>83</v>
      </c>
      <c r="H663" t="str" cm="1">
        <f t="array" ref="H663">_xlfn.IFS(Grammys[[#This Row],[date]] &gt;= DATE(2022,2,1),"Grammys",TRUE,"Grammys TRA")</f>
        <v>Grammys TRA</v>
      </c>
      <c r="I663">
        <f>_xlfn.XLOOKUP(Grammys[[#This Row],[date]],mobile_visits[date],mobile_visits[mobile_visitors],0)</f>
        <v>0</v>
      </c>
    </row>
    <row r="664" spans="1:9">
      <c r="A664" s="1">
        <v>43398</v>
      </c>
      <c r="B664">
        <v>12552</v>
      </c>
      <c r="C664">
        <v>20583</v>
      </c>
      <c r="D664">
        <v>15317</v>
      </c>
      <c r="E664">
        <v>9391</v>
      </c>
      <c r="F664">
        <v>17</v>
      </c>
      <c r="G664" t="s">
        <v>83</v>
      </c>
      <c r="H664" t="str" cm="1">
        <f t="array" ref="H664">_xlfn.IFS(Grammys[[#This Row],[date]] &gt;= DATE(2022,2,1),"Grammys",TRUE,"Grammys TRA")</f>
        <v>Grammys TRA</v>
      </c>
      <c r="I664">
        <f>_xlfn.XLOOKUP(Grammys[[#This Row],[date]],mobile_visits[date],mobile_visits[mobile_visitors],0)</f>
        <v>0</v>
      </c>
    </row>
    <row r="665" spans="1:9">
      <c r="A665" s="1">
        <v>43399</v>
      </c>
      <c r="B665">
        <v>12348</v>
      </c>
      <c r="C665">
        <v>19645</v>
      </c>
      <c r="D665">
        <v>14655</v>
      </c>
      <c r="E665">
        <v>8971</v>
      </c>
      <c r="F665">
        <v>17</v>
      </c>
      <c r="G665" t="s">
        <v>83</v>
      </c>
      <c r="H665" t="str" cm="1">
        <f t="array" ref="H665">_xlfn.IFS(Grammys[[#This Row],[date]] &gt;= DATE(2022,2,1),"Grammys",TRUE,"Grammys TRA")</f>
        <v>Grammys TRA</v>
      </c>
      <c r="I665">
        <f>_xlfn.XLOOKUP(Grammys[[#This Row],[date]],mobile_visits[date],mobile_visits[mobile_visitors],0)</f>
        <v>0</v>
      </c>
    </row>
    <row r="666" spans="1:9">
      <c r="A666" s="1">
        <v>43400</v>
      </c>
      <c r="B666">
        <v>10442</v>
      </c>
      <c r="C666">
        <v>16872</v>
      </c>
      <c r="D666">
        <v>12581</v>
      </c>
      <c r="E666">
        <v>7665</v>
      </c>
      <c r="F666">
        <v>18</v>
      </c>
      <c r="G666" t="s">
        <v>83</v>
      </c>
      <c r="H666" t="str" cm="1">
        <f t="array" ref="H666">_xlfn.IFS(Grammys[[#This Row],[date]] &gt;= DATE(2022,2,1),"Grammys",TRUE,"Grammys TRA")</f>
        <v>Grammys TRA</v>
      </c>
      <c r="I666">
        <f>_xlfn.XLOOKUP(Grammys[[#This Row],[date]],mobile_visits[date],mobile_visits[mobile_visitors],0)</f>
        <v>0</v>
      </c>
    </row>
    <row r="667" spans="1:9">
      <c r="A667" s="1">
        <v>43401</v>
      </c>
      <c r="B667">
        <v>9750</v>
      </c>
      <c r="C667">
        <v>15950</v>
      </c>
      <c r="D667">
        <v>12018</v>
      </c>
      <c r="E667">
        <v>7557</v>
      </c>
      <c r="F667">
        <v>17</v>
      </c>
      <c r="G667" t="s">
        <v>83</v>
      </c>
      <c r="H667" t="str" cm="1">
        <f t="array" ref="H667">_xlfn.IFS(Grammys[[#This Row],[date]] &gt;= DATE(2022,2,1),"Grammys",TRUE,"Grammys TRA")</f>
        <v>Grammys TRA</v>
      </c>
      <c r="I667">
        <f>_xlfn.XLOOKUP(Grammys[[#This Row],[date]],mobile_visits[date],mobile_visits[mobile_visitors],0)</f>
        <v>0</v>
      </c>
    </row>
    <row r="668" spans="1:9">
      <c r="A668" s="1">
        <v>43402</v>
      </c>
      <c r="B668">
        <v>12609</v>
      </c>
      <c r="C668">
        <v>20919</v>
      </c>
      <c r="D668">
        <v>15208</v>
      </c>
      <c r="E668">
        <v>8648</v>
      </c>
      <c r="F668">
        <v>19</v>
      </c>
      <c r="G668" t="s">
        <v>83</v>
      </c>
      <c r="H668" t="str" cm="1">
        <f t="array" ref="H668">_xlfn.IFS(Grammys[[#This Row],[date]] &gt;= DATE(2022,2,1),"Grammys",TRUE,"Grammys TRA")</f>
        <v>Grammys TRA</v>
      </c>
      <c r="I668">
        <f>_xlfn.XLOOKUP(Grammys[[#This Row],[date]],mobile_visits[date],mobile_visits[mobile_visitors],0)</f>
        <v>0</v>
      </c>
    </row>
    <row r="669" spans="1:9">
      <c r="A669" s="1">
        <v>43403</v>
      </c>
      <c r="B669">
        <v>12068</v>
      </c>
      <c r="C669">
        <v>19818</v>
      </c>
      <c r="D669">
        <v>14388</v>
      </c>
      <c r="E669">
        <v>8394</v>
      </c>
      <c r="F669">
        <v>19</v>
      </c>
      <c r="G669" t="s">
        <v>83</v>
      </c>
      <c r="H669" t="str" cm="1">
        <f t="array" ref="H669">_xlfn.IFS(Grammys[[#This Row],[date]] &gt;= DATE(2022,2,1),"Grammys",TRUE,"Grammys TRA")</f>
        <v>Grammys TRA</v>
      </c>
      <c r="I669">
        <f>_xlfn.XLOOKUP(Grammys[[#This Row],[date]],mobile_visits[date],mobile_visits[mobile_visitors],0)</f>
        <v>0</v>
      </c>
    </row>
    <row r="670" spans="1:9">
      <c r="A670" s="1">
        <v>43404</v>
      </c>
      <c r="B670">
        <v>12904</v>
      </c>
      <c r="C670">
        <v>20528</v>
      </c>
      <c r="D670">
        <v>15621</v>
      </c>
      <c r="E670">
        <v>8031</v>
      </c>
      <c r="F670">
        <v>19</v>
      </c>
      <c r="G670" t="s">
        <v>83</v>
      </c>
      <c r="H670" t="str" cm="1">
        <f t="array" ref="H670">_xlfn.IFS(Grammys[[#This Row],[date]] &gt;= DATE(2022,2,1),"Grammys",TRUE,"Grammys TRA")</f>
        <v>Grammys TRA</v>
      </c>
      <c r="I670">
        <f>_xlfn.XLOOKUP(Grammys[[#This Row],[date]],mobile_visits[date],mobile_visits[mobile_visitors],0)</f>
        <v>0</v>
      </c>
    </row>
    <row r="671" spans="1:9">
      <c r="A671" s="1">
        <v>43405</v>
      </c>
      <c r="B671">
        <v>11369</v>
      </c>
      <c r="C671">
        <v>17448</v>
      </c>
      <c r="D671">
        <v>13505</v>
      </c>
      <c r="E671">
        <v>8324</v>
      </c>
      <c r="F671">
        <v>16</v>
      </c>
      <c r="G671" t="s">
        <v>83</v>
      </c>
      <c r="H671" t="str" cm="1">
        <f t="array" ref="H671">_xlfn.IFS(Grammys[[#This Row],[date]] &gt;= DATE(2022,2,1),"Grammys",TRUE,"Grammys TRA")</f>
        <v>Grammys TRA</v>
      </c>
      <c r="I671">
        <f>_xlfn.XLOOKUP(Grammys[[#This Row],[date]],mobile_visits[date],mobile_visits[mobile_visitors],0)</f>
        <v>0</v>
      </c>
    </row>
    <row r="672" spans="1:9">
      <c r="A672" s="1">
        <v>43406</v>
      </c>
      <c r="B672">
        <v>10765</v>
      </c>
      <c r="C672">
        <v>16969</v>
      </c>
      <c r="D672">
        <v>12763</v>
      </c>
      <c r="E672">
        <v>8101</v>
      </c>
      <c r="F672">
        <v>17</v>
      </c>
      <c r="G672" t="s">
        <v>83</v>
      </c>
      <c r="H672" t="str" cm="1">
        <f t="array" ref="H672">_xlfn.IFS(Grammys[[#This Row],[date]] &gt;= DATE(2022,2,1),"Grammys",TRUE,"Grammys TRA")</f>
        <v>Grammys TRA</v>
      </c>
      <c r="I672">
        <f>_xlfn.XLOOKUP(Grammys[[#This Row],[date]],mobile_visits[date],mobile_visits[mobile_visitors],0)</f>
        <v>0</v>
      </c>
    </row>
    <row r="673" spans="1:9">
      <c r="A673" s="1">
        <v>43407</v>
      </c>
      <c r="B673">
        <v>9907</v>
      </c>
      <c r="C673">
        <v>15391</v>
      </c>
      <c r="D673">
        <v>11562</v>
      </c>
      <c r="E673">
        <v>7394</v>
      </c>
      <c r="F673">
        <v>18</v>
      </c>
      <c r="G673" t="s">
        <v>83</v>
      </c>
      <c r="H673" t="str" cm="1">
        <f t="array" ref="H673">_xlfn.IFS(Grammys[[#This Row],[date]] &gt;= DATE(2022,2,1),"Grammys",TRUE,"Grammys TRA")</f>
        <v>Grammys TRA</v>
      </c>
      <c r="I673">
        <f>_xlfn.XLOOKUP(Grammys[[#This Row],[date]],mobile_visits[date],mobile_visits[mobile_visitors],0)</f>
        <v>0</v>
      </c>
    </row>
    <row r="674" spans="1:9">
      <c r="A674" s="1">
        <v>43408</v>
      </c>
      <c r="B674">
        <v>10296</v>
      </c>
      <c r="C674">
        <v>16757</v>
      </c>
      <c r="D674">
        <v>12356</v>
      </c>
      <c r="E674">
        <v>7849</v>
      </c>
      <c r="F674">
        <v>18</v>
      </c>
      <c r="G674" t="s">
        <v>83</v>
      </c>
      <c r="H674" t="str" cm="1">
        <f t="array" ref="H674">_xlfn.IFS(Grammys[[#This Row],[date]] &gt;= DATE(2022,2,1),"Grammys",TRUE,"Grammys TRA")</f>
        <v>Grammys TRA</v>
      </c>
      <c r="I674">
        <f>_xlfn.XLOOKUP(Grammys[[#This Row],[date]],mobile_visits[date],mobile_visits[mobile_visitors],0)</f>
        <v>0</v>
      </c>
    </row>
    <row r="675" spans="1:9">
      <c r="A675" s="1">
        <v>43409</v>
      </c>
      <c r="B675">
        <v>10967</v>
      </c>
      <c r="C675">
        <v>16957</v>
      </c>
      <c r="D675">
        <v>11205</v>
      </c>
      <c r="E675">
        <v>6741</v>
      </c>
      <c r="F675">
        <v>73</v>
      </c>
      <c r="G675" t="s">
        <v>83</v>
      </c>
      <c r="H675" t="str" cm="1">
        <f t="array" ref="H675">_xlfn.IFS(Grammys[[#This Row],[date]] &gt;= DATE(2022,2,1),"Grammys",TRUE,"Grammys TRA")</f>
        <v>Grammys TRA</v>
      </c>
      <c r="I675">
        <f>_xlfn.XLOOKUP(Grammys[[#This Row],[date]],mobile_visits[date],mobile_visits[mobile_visitors],0)</f>
        <v>0</v>
      </c>
    </row>
    <row r="676" spans="1:9">
      <c r="A676" s="1">
        <v>43410</v>
      </c>
      <c r="B676">
        <v>10920</v>
      </c>
      <c r="C676">
        <v>17389</v>
      </c>
      <c r="D676">
        <v>11398</v>
      </c>
      <c r="E676">
        <v>6869</v>
      </c>
      <c r="F676">
        <v>72</v>
      </c>
      <c r="G676" t="s">
        <v>83</v>
      </c>
      <c r="H676" t="str" cm="1">
        <f t="array" ref="H676">_xlfn.IFS(Grammys[[#This Row],[date]] &gt;= DATE(2022,2,1),"Grammys",TRUE,"Grammys TRA")</f>
        <v>Grammys TRA</v>
      </c>
      <c r="I676">
        <f>_xlfn.XLOOKUP(Grammys[[#This Row],[date]],mobile_visits[date],mobile_visits[mobile_visitors],0)</f>
        <v>0</v>
      </c>
    </row>
    <row r="677" spans="1:9">
      <c r="A677" s="1">
        <v>43411</v>
      </c>
      <c r="B677">
        <v>10030</v>
      </c>
      <c r="C677">
        <v>15838</v>
      </c>
      <c r="D677">
        <v>10534</v>
      </c>
      <c r="E677">
        <v>6468</v>
      </c>
      <c r="F677">
        <v>72</v>
      </c>
      <c r="G677" t="s">
        <v>83</v>
      </c>
      <c r="H677" t="str" cm="1">
        <f t="array" ref="H677">_xlfn.IFS(Grammys[[#This Row],[date]] &gt;= DATE(2022,2,1),"Grammys",TRUE,"Grammys TRA")</f>
        <v>Grammys TRA</v>
      </c>
      <c r="I677">
        <f>_xlfn.XLOOKUP(Grammys[[#This Row],[date]],mobile_visits[date],mobile_visits[mobile_visitors],0)</f>
        <v>0</v>
      </c>
    </row>
    <row r="678" spans="1:9">
      <c r="A678" s="1">
        <v>43412</v>
      </c>
      <c r="B678">
        <v>10093</v>
      </c>
      <c r="C678">
        <v>15361</v>
      </c>
      <c r="D678">
        <v>10469</v>
      </c>
      <c r="E678">
        <v>6430</v>
      </c>
      <c r="F678">
        <v>65</v>
      </c>
      <c r="G678" t="s">
        <v>83</v>
      </c>
      <c r="H678" t="str" cm="1">
        <f t="array" ref="H678">_xlfn.IFS(Grammys[[#This Row],[date]] &gt;= DATE(2022,2,1),"Grammys",TRUE,"Grammys TRA")</f>
        <v>Grammys TRA</v>
      </c>
      <c r="I678">
        <f>_xlfn.XLOOKUP(Grammys[[#This Row],[date]],mobile_visits[date],mobile_visits[mobile_visitors],0)</f>
        <v>0</v>
      </c>
    </row>
    <row r="679" spans="1:9">
      <c r="A679" s="1">
        <v>43413</v>
      </c>
      <c r="B679">
        <v>10185</v>
      </c>
      <c r="C679">
        <v>15312</v>
      </c>
      <c r="D679">
        <v>10605</v>
      </c>
      <c r="E679">
        <v>6600</v>
      </c>
      <c r="F679">
        <v>68</v>
      </c>
      <c r="G679" t="s">
        <v>83</v>
      </c>
      <c r="H679" t="str" cm="1">
        <f t="array" ref="H679">_xlfn.IFS(Grammys[[#This Row],[date]] &gt;= DATE(2022,2,1),"Grammys",TRUE,"Grammys TRA")</f>
        <v>Grammys TRA</v>
      </c>
      <c r="I679">
        <f>_xlfn.XLOOKUP(Grammys[[#This Row],[date]],mobile_visits[date],mobile_visits[mobile_visitors],0)</f>
        <v>0</v>
      </c>
    </row>
    <row r="680" spans="1:9">
      <c r="A680" s="1">
        <v>43414</v>
      </c>
      <c r="B680">
        <v>9468</v>
      </c>
      <c r="C680">
        <v>14203</v>
      </c>
      <c r="D680">
        <v>9841</v>
      </c>
      <c r="E680">
        <v>5933</v>
      </c>
      <c r="F680">
        <v>64</v>
      </c>
      <c r="G680" t="s">
        <v>83</v>
      </c>
      <c r="H680" t="str" cm="1">
        <f t="array" ref="H680">_xlfn.IFS(Grammys[[#This Row],[date]] &gt;= DATE(2022,2,1),"Grammys",TRUE,"Grammys TRA")</f>
        <v>Grammys TRA</v>
      </c>
      <c r="I680">
        <f>_xlfn.XLOOKUP(Grammys[[#This Row],[date]],mobile_visits[date],mobile_visits[mobile_visitors],0)</f>
        <v>0</v>
      </c>
    </row>
    <row r="681" spans="1:9">
      <c r="A681" s="1">
        <v>43415</v>
      </c>
      <c r="B681">
        <v>9835</v>
      </c>
      <c r="C681">
        <v>15279</v>
      </c>
      <c r="D681">
        <v>10139</v>
      </c>
      <c r="E681">
        <v>6147</v>
      </c>
      <c r="F681">
        <v>72</v>
      </c>
      <c r="G681" t="s">
        <v>83</v>
      </c>
      <c r="H681" t="str" cm="1">
        <f t="array" ref="H681">_xlfn.IFS(Grammys[[#This Row],[date]] &gt;= DATE(2022,2,1),"Grammys",TRUE,"Grammys TRA")</f>
        <v>Grammys TRA</v>
      </c>
      <c r="I681">
        <f>_xlfn.XLOOKUP(Grammys[[#This Row],[date]],mobile_visits[date],mobile_visits[mobile_visitors],0)</f>
        <v>0</v>
      </c>
    </row>
    <row r="682" spans="1:9">
      <c r="A682" s="1">
        <v>43416</v>
      </c>
      <c r="B682">
        <v>10946</v>
      </c>
      <c r="C682">
        <v>16954</v>
      </c>
      <c r="D682">
        <v>11292</v>
      </c>
      <c r="E682">
        <v>6760</v>
      </c>
      <c r="F682">
        <v>72</v>
      </c>
      <c r="G682" t="s">
        <v>83</v>
      </c>
      <c r="H682" t="str" cm="1">
        <f t="array" ref="H682">_xlfn.IFS(Grammys[[#This Row],[date]] &gt;= DATE(2022,2,1),"Grammys",TRUE,"Grammys TRA")</f>
        <v>Grammys TRA</v>
      </c>
      <c r="I682">
        <f>_xlfn.XLOOKUP(Grammys[[#This Row],[date]],mobile_visits[date],mobile_visits[mobile_visitors],0)</f>
        <v>0</v>
      </c>
    </row>
    <row r="683" spans="1:9">
      <c r="A683" s="1">
        <v>43417</v>
      </c>
      <c r="B683">
        <v>11421</v>
      </c>
      <c r="C683">
        <v>17693</v>
      </c>
      <c r="D683">
        <v>11809</v>
      </c>
      <c r="E683">
        <v>6993</v>
      </c>
      <c r="F683">
        <v>73</v>
      </c>
      <c r="G683" t="s">
        <v>83</v>
      </c>
      <c r="H683" t="str" cm="1">
        <f t="array" ref="H683">_xlfn.IFS(Grammys[[#This Row],[date]] &gt;= DATE(2022,2,1),"Grammys",TRUE,"Grammys TRA")</f>
        <v>Grammys TRA</v>
      </c>
      <c r="I683">
        <f>_xlfn.XLOOKUP(Grammys[[#This Row],[date]],mobile_visits[date],mobile_visits[mobile_visitors],0)</f>
        <v>0</v>
      </c>
    </row>
    <row r="684" spans="1:9">
      <c r="A684" s="1">
        <v>43418</v>
      </c>
      <c r="B684">
        <v>13338</v>
      </c>
      <c r="C684">
        <v>20119</v>
      </c>
      <c r="D684">
        <v>13845</v>
      </c>
      <c r="E684">
        <v>8021</v>
      </c>
      <c r="F684">
        <v>72</v>
      </c>
      <c r="G684" t="s">
        <v>83</v>
      </c>
      <c r="H684" t="str" cm="1">
        <f t="array" ref="H684">_xlfn.IFS(Grammys[[#This Row],[date]] &gt;= DATE(2022,2,1),"Grammys",TRUE,"Grammys TRA")</f>
        <v>Grammys TRA</v>
      </c>
      <c r="I684">
        <f>_xlfn.XLOOKUP(Grammys[[#This Row],[date]],mobile_visits[date],mobile_visits[mobile_visitors],0)</f>
        <v>0</v>
      </c>
    </row>
    <row r="685" spans="1:9">
      <c r="A685" s="1">
        <v>43419</v>
      </c>
      <c r="B685">
        <v>23750</v>
      </c>
      <c r="C685">
        <v>34995</v>
      </c>
      <c r="D685">
        <v>24659</v>
      </c>
      <c r="E685">
        <v>13094</v>
      </c>
      <c r="F685">
        <v>70</v>
      </c>
      <c r="G685" t="s">
        <v>83</v>
      </c>
      <c r="H685" t="str" cm="1">
        <f t="array" ref="H685">_xlfn.IFS(Grammys[[#This Row],[date]] &gt;= DATE(2022,2,1),"Grammys",TRUE,"Grammys TRA")</f>
        <v>Grammys TRA</v>
      </c>
      <c r="I685">
        <f>_xlfn.XLOOKUP(Grammys[[#This Row],[date]],mobile_visits[date],mobile_visits[mobile_visitors],0)</f>
        <v>0</v>
      </c>
    </row>
    <row r="686" spans="1:9">
      <c r="A686" s="1">
        <v>43420</v>
      </c>
      <c r="B686">
        <v>19538</v>
      </c>
      <c r="C686">
        <v>29465</v>
      </c>
      <c r="D686">
        <v>20116</v>
      </c>
      <c r="E686">
        <v>10815</v>
      </c>
      <c r="F686">
        <v>69</v>
      </c>
      <c r="G686" t="s">
        <v>83</v>
      </c>
      <c r="H686" t="str" cm="1">
        <f t="array" ref="H686">_xlfn.IFS(Grammys[[#This Row],[date]] &gt;= DATE(2022,2,1),"Grammys",TRUE,"Grammys TRA")</f>
        <v>Grammys TRA</v>
      </c>
      <c r="I686">
        <f>_xlfn.XLOOKUP(Grammys[[#This Row],[date]],mobile_visits[date],mobile_visits[mobile_visitors],0)</f>
        <v>0</v>
      </c>
    </row>
    <row r="687" spans="1:9">
      <c r="A687" s="1">
        <v>43421</v>
      </c>
      <c r="B687">
        <v>12206</v>
      </c>
      <c r="C687">
        <v>18615</v>
      </c>
      <c r="D687">
        <v>12648</v>
      </c>
      <c r="E687">
        <v>7416</v>
      </c>
      <c r="F687">
        <v>68</v>
      </c>
      <c r="G687" t="s">
        <v>83</v>
      </c>
      <c r="H687" t="str" cm="1">
        <f t="array" ref="H687">_xlfn.IFS(Grammys[[#This Row],[date]] &gt;= DATE(2022,2,1),"Grammys",TRUE,"Grammys TRA")</f>
        <v>Grammys TRA</v>
      </c>
      <c r="I687">
        <f>_xlfn.XLOOKUP(Grammys[[#This Row],[date]],mobile_visits[date],mobile_visits[mobile_visitors],0)</f>
        <v>0</v>
      </c>
    </row>
    <row r="688" spans="1:9">
      <c r="A688" s="1">
        <v>43422</v>
      </c>
      <c r="B688">
        <v>11053</v>
      </c>
      <c r="C688">
        <v>16901</v>
      </c>
      <c r="D688">
        <v>11547</v>
      </c>
      <c r="E688">
        <v>6794</v>
      </c>
      <c r="F688">
        <v>70</v>
      </c>
      <c r="G688" t="s">
        <v>83</v>
      </c>
      <c r="H688" t="str" cm="1">
        <f t="array" ref="H688">_xlfn.IFS(Grammys[[#This Row],[date]] &gt;= DATE(2022,2,1),"Grammys",TRUE,"Grammys TRA")</f>
        <v>Grammys TRA</v>
      </c>
      <c r="I688">
        <f>_xlfn.XLOOKUP(Grammys[[#This Row],[date]],mobile_visits[date],mobile_visits[mobile_visitors],0)</f>
        <v>0</v>
      </c>
    </row>
    <row r="689" spans="1:9">
      <c r="A689" s="1">
        <v>43423</v>
      </c>
      <c r="B689">
        <v>10408</v>
      </c>
      <c r="C689">
        <v>16562</v>
      </c>
      <c r="D689">
        <v>10820</v>
      </c>
      <c r="E689">
        <v>6560</v>
      </c>
      <c r="F689">
        <v>75</v>
      </c>
      <c r="G689" t="s">
        <v>83</v>
      </c>
      <c r="H689" t="str" cm="1">
        <f t="array" ref="H689">_xlfn.IFS(Grammys[[#This Row],[date]] &gt;= DATE(2022,2,1),"Grammys",TRUE,"Grammys TRA")</f>
        <v>Grammys TRA</v>
      </c>
      <c r="I689">
        <f>_xlfn.XLOOKUP(Grammys[[#This Row],[date]],mobile_visits[date],mobile_visits[mobile_visitors],0)</f>
        <v>0</v>
      </c>
    </row>
    <row r="690" spans="1:9">
      <c r="A690" s="1">
        <v>43424</v>
      </c>
      <c r="B690">
        <v>12144</v>
      </c>
      <c r="C690">
        <v>18093</v>
      </c>
      <c r="D690">
        <v>12486</v>
      </c>
      <c r="E690">
        <v>7302</v>
      </c>
      <c r="F690">
        <v>66</v>
      </c>
      <c r="G690" t="s">
        <v>83</v>
      </c>
      <c r="H690" t="str" cm="1">
        <f t="array" ref="H690">_xlfn.IFS(Grammys[[#This Row],[date]] &gt;= DATE(2022,2,1),"Grammys",TRUE,"Grammys TRA")</f>
        <v>Grammys TRA</v>
      </c>
      <c r="I690">
        <f>_xlfn.XLOOKUP(Grammys[[#This Row],[date]],mobile_visits[date],mobile_visits[mobile_visitors],0)</f>
        <v>0</v>
      </c>
    </row>
    <row r="691" spans="1:9">
      <c r="A691" s="1">
        <v>43425</v>
      </c>
      <c r="B691">
        <v>9468</v>
      </c>
      <c r="C691">
        <v>14668</v>
      </c>
      <c r="D691">
        <v>9828</v>
      </c>
      <c r="E691">
        <v>5818</v>
      </c>
      <c r="F691">
        <v>73</v>
      </c>
      <c r="G691" t="s">
        <v>83</v>
      </c>
      <c r="H691" t="str" cm="1">
        <f t="array" ref="H691">_xlfn.IFS(Grammys[[#This Row],[date]] &gt;= DATE(2022,2,1),"Grammys",TRUE,"Grammys TRA")</f>
        <v>Grammys TRA</v>
      </c>
      <c r="I691">
        <f>_xlfn.XLOOKUP(Grammys[[#This Row],[date]],mobile_visits[date],mobile_visits[mobile_visitors],0)</f>
        <v>0</v>
      </c>
    </row>
    <row r="692" spans="1:9">
      <c r="A692" s="1">
        <v>43426</v>
      </c>
      <c r="B692">
        <v>8124</v>
      </c>
      <c r="C692">
        <v>12263</v>
      </c>
      <c r="D692">
        <v>8309</v>
      </c>
      <c r="E692">
        <v>5063</v>
      </c>
      <c r="F692">
        <v>70</v>
      </c>
      <c r="G692" t="s">
        <v>83</v>
      </c>
      <c r="H692" t="str" cm="1">
        <f t="array" ref="H692">_xlfn.IFS(Grammys[[#This Row],[date]] &gt;= DATE(2022,2,1),"Grammys",TRUE,"Grammys TRA")</f>
        <v>Grammys TRA</v>
      </c>
      <c r="I692">
        <f>_xlfn.XLOOKUP(Grammys[[#This Row],[date]],mobile_visits[date],mobile_visits[mobile_visitors],0)</f>
        <v>0</v>
      </c>
    </row>
    <row r="693" spans="1:9">
      <c r="A693" s="1">
        <v>43427</v>
      </c>
      <c r="B693">
        <v>7855</v>
      </c>
      <c r="C693">
        <v>12233</v>
      </c>
      <c r="D693">
        <v>8093</v>
      </c>
      <c r="E693">
        <v>4772</v>
      </c>
      <c r="F693">
        <v>74</v>
      </c>
      <c r="G693" t="s">
        <v>83</v>
      </c>
      <c r="H693" t="str" cm="1">
        <f t="array" ref="H693">_xlfn.IFS(Grammys[[#This Row],[date]] &gt;= DATE(2022,2,1),"Grammys",TRUE,"Grammys TRA")</f>
        <v>Grammys TRA</v>
      </c>
      <c r="I693">
        <f>_xlfn.XLOOKUP(Grammys[[#This Row],[date]],mobile_visits[date],mobile_visits[mobile_visitors],0)</f>
        <v>0</v>
      </c>
    </row>
    <row r="694" spans="1:9">
      <c r="A694" s="1">
        <v>43428</v>
      </c>
      <c r="B694">
        <v>8017</v>
      </c>
      <c r="C694">
        <v>12899</v>
      </c>
      <c r="D694">
        <v>8262</v>
      </c>
      <c r="E694">
        <v>4725</v>
      </c>
      <c r="F694">
        <v>79</v>
      </c>
      <c r="G694" t="s">
        <v>83</v>
      </c>
      <c r="H694" t="str" cm="1">
        <f t="array" ref="H694">_xlfn.IFS(Grammys[[#This Row],[date]] &gt;= DATE(2022,2,1),"Grammys",TRUE,"Grammys TRA")</f>
        <v>Grammys TRA</v>
      </c>
      <c r="I694">
        <f>_xlfn.XLOOKUP(Grammys[[#This Row],[date]],mobile_visits[date],mobile_visits[mobile_visitors],0)</f>
        <v>0</v>
      </c>
    </row>
    <row r="695" spans="1:9">
      <c r="A695" s="1">
        <v>43429</v>
      </c>
      <c r="B695">
        <v>9007</v>
      </c>
      <c r="C695">
        <v>14057</v>
      </c>
      <c r="D695">
        <v>9384</v>
      </c>
      <c r="E695">
        <v>5397</v>
      </c>
      <c r="F695">
        <v>79</v>
      </c>
      <c r="G695" t="s">
        <v>83</v>
      </c>
      <c r="H695" t="str" cm="1">
        <f t="array" ref="H695">_xlfn.IFS(Grammys[[#This Row],[date]] &gt;= DATE(2022,2,1),"Grammys",TRUE,"Grammys TRA")</f>
        <v>Grammys TRA</v>
      </c>
      <c r="I695">
        <f>_xlfn.XLOOKUP(Grammys[[#This Row],[date]],mobile_visits[date],mobile_visits[mobile_visitors],0)</f>
        <v>0</v>
      </c>
    </row>
    <row r="696" spans="1:9">
      <c r="A696" s="1">
        <v>43430</v>
      </c>
      <c r="B696">
        <v>11403</v>
      </c>
      <c r="C696">
        <v>17785</v>
      </c>
      <c r="D696">
        <v>11801</v>
      </c>
      <c r="E696">
        <v>6688</v>
      </c>
      <c r="F696">
        <v>82</v>
      </c>
      <c r="G696" t="s">
        <v>83</v>
      </c>
      <c r="H696" t="str" cm="1">
        <f t="array" ref="H696">_xlfn.IFS(Grammys[[#This Row],[date]] &gt;= DATE(2022,2,1),"Grammys",TRUE,"Grammys TRA")</f>
        <v>Grammys TRA</v>
      </c>
      <c r="I696">
        <f>_xlfn.XLOOKUP(Grammys[[#This Row],[date]],mobile_visits[date],mobile_visits[mobile_visitors],0)</f>
        <v>0</v>
      </c>
    </row>
    <row r="697" spans="1:9">
      <c r="A697" s="1">
        <v>43431</v>
      </c>
      <c r="B697">
        <v>10513</v>
      </c>
      <c r="C697">
        <v>17045</v>
      </c>
      <c r="D697">
        <v>11050</v>
      </c>
      <c r="E697">
        <v>6312</v>
      </c>
      <c r="F697">
        <v>84</v>
      </c>
      <c r="G697" t="s">
        <v>83</v>
      </c>
      <c r="H697" t="str" cm="1">
        <f t="array" ref="H697">_xlfn.IFS(Grammys[[#This Row],[date]] &gt;= DATE(2022,2,1),"Grammys",TRUE,"Grammys TRA")</f>
        <v>Grammys TRA</v>
      </c>
      <c r="I697">
        <f>_xlfn.XLOOKUP(Grammys[[#This Row],[date]],mobile_visits[date],mobile_visits[mobile_visitors],0)</f>
        <v>0</v>
      </c>
    </row>
    <row r="698" spans="1:9">
      <c r="A698" s="1">
        <v>43432</v>
      </c>
      <c r="B698">
        <v>11261</v>
      </c>
      <c r="C698">
        <v>18229</v>
      </c>
      <c r="D698">
        <v>11658</v>
      </c>
      <c r="E698">
        <v>6705</v>
      </c>
      <c r="F698">
        <v>85</v>
      </c>
      <c r="G698" t="s">
        <v>83</v>
      </c>
      <c r="H698" t="str" cm="1">
        <f t="array" ref="H698">_xlfn.IFS(Grammys[[#This Row],[date]] &gt;= DATE(2022,2,1),"Grammys",TRUE,"Grammys TRA")</f>
        <v>Grammys TRA</v>
      </c>
      <c r="I698">
        <f>_xlfn.XLOOKUP(Grammys[[#This Row],[date]],mobile_visits[date],mobile_visits[mobile_visitors],0)</f>
        <v>0</v>
      </c>
    </row>
    <row r="699" spans="1:9">
      <c r="A699" s="1">
        <v>43433</v>
      </c>
      <c r="B699">
        <v>14385</v>
      </c>
      <c r="C699">
        <v>22312</v>
      </c>
      <c r="D699">
        <v>15066</v>
      </c>
      <c r="E699">
        <v>8439</v>
      </c>
      <c r="F699">
        <v>72</v>
      </c>
      <c r="G699" t="s">
        <v>83</v>
      </c>
      <c r="H699" t="str" cm="1">
        <f t="array" ref="H699">_xlfn.IFS(Grammys[[#This Row],[date]] &gt;= DATE(2022,2,1),"Grammys",TRUE,"Grammys TRA")</f>
        <v>Grammys TRA</v>
      </c>
      <c r="I699">
        <f>_xlfn.XLOOKUP(Grammys[[#This Row],[date]],mobile_visits[date],mobile_visits[mobile_visitors],0)</f>
        <v>0</v>
      </c>
    </row>
    <row r="700" spans="1:9">
      <c r="A700" s="1">
        <v>43434</v>
      </c>
      <c r="B700">
        <v>17001</v>
      </c>
      <c r="C700">
        <v>24996</v>
      </c>
      <c r="D700">
        <v>17661</v>
      </c>
      <c r="E700">
        <v>9601</v>
      </c>
      <c r="F700">
        <v>68</v>
      </c>
      <c r="G700" t="s">
        <v>83</v>
      </c>
      <c r="H700" t="str" cm="1">
        <f t="array" ref="H700">_xlfn.IFS(Grammys[[#This Row],[date]] &gt;= DATE(2022,2,1),"Grammys",TRUE,"Grammys TRA")</f>
        <v>Grammys TRA</v>
      </c>
      <c r="I700">
        <f>_xlfn.XLOOKUP(Grammys[[#This Row],[date]],mobile_visits[date],mobile_visits[mobile_visitors],0)</f>
        <v>0</v>
      </c>
    </row>
    <row r="701" spans="1:9">
      <c r="A701" s="1">
        <v>43435</v>
      </c>
      <c r="B701">
        <v>12955</v>
      </c>
      <c r="C701">
        <v>19490</v>
      </c>
      <c r="D701">
        <v>13588</v>
      </c>
      <c r="E701">
        <v>8368</v>
      </c>
      <c r="F701">
        <v>65</v>
      </c>
      <c r="G701" t="s">
        <v>83</v>
      </c>
      <c r="H701" t="str" cm="1">
        <f t="array" ref="H701">_xlfn.IFS(Grammys[[#This Row],[date]] &gt;= DATE(2022,2,1),"Grammys",TRUE,"Grammys TRA")</f>
        <v>Grammys TRA</v>
      </c>
      <c r="I701">
        <f>_xlfn.XLOOKUP(Grammys[[#This Row],[date]],mobile_visits[date],mobile_visits[mobile_visitors],0)</f>
        <v>0</v>
      </c>
    </row>
    <row r="702" spans="1:9">
      <c r="A702" s="1">
        <v>43436</v>
      </c>
      <c r="B702">
        <v>16595</v>
      </c>
      <c r="C702">
        <v>24702</v>
      </c>
      <c r="D702">
        <v>17368</v>
      </c>
      <c r="E702">
        <v>10140</v>
      </c>
      <c r="F702">
        <v>67</v>
      </c>
      <c r="G702" t="s">
        <v>83</v>
      </c>
      <c r="H702" t="str" cm="1">
        <f t="array" ref="H702">_xlfn.IFS(Grammys[[#This Row],[date]] &gt;= DATE(2022,2,1),"Grammys",TRUE,"Grammys TRA")</f>
        <v>Grammys TRA</v>
      </c>
      <c r="I702">
        <f>_xlfn.XLOOKUP(Grammys[[#This Row],[date]],mobile_visits[date],mobile_visits[mobile_visitors],0)</f>
        <v>0</v>
      </c>
    </row>
    <row r="703" spans="1:9">
      <c r="A703" s="1">
        <v>43437</v>
      </c>
      <c r="B703">
        <v>16837</v>
      </c>
      <c r="C703">
        <v>27294</v>
      </c>
      <c r="D703">
        <v>17774</v>
      </c>
      <c r="E703">
        <v>10473</v>
      </c>
      <c r="F703">
        <v>80</v>
      </c>
      <c r="G703" t="s">
        <v>83</v>
      </c>
      <c r="H703" t="str" cm="1">
        <f t="array" ref="H703">_xlfn.IFS(Grammys[[#This Row],[date]] &gt;= DATE(2022,2,1),"Grammys",TRUE,"Grammys TRA")</f>
        <v>Grammys TRA</v>
      </c>
      <c r="I703">
        <f>_xlfn.XLOOKUP(Grammys[[#This Row],[date]],mobile_visits[date],mobile_visits[mobile_visitors],0)</f>
        <v>0</v>
      </c>
    </row>
    <row r="704" spans="1:9">
      <c r="A704" s="1">
        <v>43438</v>
      </c>
      <c r="B704">
        <v>16334</v>
      </c>
      <c r="C704">
        <v>27024</v>
      </c>
      <c r="D704">
        <v>17194</v>
      </c>
      <c r="E704">
        <v>10394</v>
      </c>
      <c r="F704">
        <v>76</v>
      </c>
      <c r="G704" t="s">
        <v>83</v>
      </c>
      <c r="H704" t="str" cm="1">
        <f t="array" ref="H704">_xlfn.IFS(Grammys[[#This Row],[date]] &gt;= DATE(2022,2,1),"Grammys",TRUE,"Grammys TRA")</f>
        <v>Grammys TRA</v>
      </c>
      <c r="I704">
        <f>_xlfn.XLOOKUP(Grammys[[#This Row],[date]],mobile_visits[date],mobile_visits[mobile_visitors],0)</f>
        <v>0</v>
      </c>
    </row>
    <row r="705" spans="1:9">
      <c r="A705" s="1">
        <v>43439</v>
      </c>
      <c r="B705">
        <v>19303</v>
      </c>
      <c r="C705">
        <v>33537</v>
      </c>
      <c r="D705">
        <v>20831</v>
      </c>
      <c r="E705">
        <v>12474</v>
      </c>
      <c r="F705">
        <v>76</v>
      </c>
      <c r="G705" t="s">
        <v>83</v>
      </c>
      <c r="H705" t="str" cm="1">
        <f t="array" ref="H705">_xlfn.IFS(Grammys[[#This Row],[date]] &gt;= DATE(2022,2,1),"Grammys",TRUE,"Grammys TRA")</f>
        <v>Grammys TRA</v>
      </c>
      <c r="I705">
        <f>_xlfn.XLOOKUP(Grammys[[#This Row],[date]],mobile_visits[date],mobile_visits[mobile_visitors],0)</f>
        <v>0</v>
      </c>
    </row>
    <row r="706" spans="1:9">
      <c r="A706" s="1">
        <v>43440</v>
      </c>
      <c r="B706">
        <v>35466</v>
      </c>
      <c r="C706">
        <v>62256</v>
      </c>
      <c r="D706">
        <v>38093</v>
      </c>
      <c r="E706">
        <v>20544</v>
      </c>
      <c r="F706">
        <v>70</v>
      </c>
      <c r="G706" t="s">
        <v>83</v>
      </c>
      <c r="H706" t="str" cm="1">
        <f t="array" ref="H706">_xlfn.IFS(Grammys[[#This Row],[date]] &gt;= DATE(2022,2,1),"Grammys",TRUE,"Grammys TRA")</f>
        <v>Grammys TRA</v>
      </c>
      <c r="I706">
        <f>_xlfn.XLOOKUP(Grammys[[#This Row],[date]],mobile_visits[date],mobile_visits[mobile_visitors],0)</f>
        <v>0</v>
      </c>
    </row>
    <row r="707" spans="1:9">
      <c r="A707" s="1">
        <v>43441</v>
      </c>
      <c r="B707">
        <v>818792</v>
      </c>
      <c r="C707">
        <v>1572079</v>
      </c>
      <c r="D707">
        <v>940177</v>
      </c>
      <c r="E707">
        <v>363567</v>
      </c>
      <c r="F707">
        <v>113</v>
      </c>
      <c r="G707" t="s">
        <v>85</v>
      </c>
      <c r="H707" t="str" cm="1">
        <f t="array" ref="H707">_xlfn.IFS(Grammys[[#This Row],[date]] &gt;= DATE(2022,2,1),"Grammys",TRUE,"Grammys TRA")</f>
        <v>Grammys TRA</v>
      </c>
      <c r="I707">
        <f>_xlfn.XLOOKUP(Grammys[[#This Row],[date]],mobile_visits[date],mobile_visits[mobile_visitors],0)</f>
        <v>0</v>
      </c>
    </row>
    <row r="708" spans="1:9">
      <c r="A708" s="1">
        <v>43442</v>
      </c>
      <c r="B708">
        <v>236576</v>
      </c>
      <c r="C708">
        <v>440312</v>
      </c>
      <c r="D708">
        <v>262488</v>
      </c>
      <c r="E708">
        <v>140825</v>
      </c>
      <c r="F708">
        <v>87</v>
      </c>
      <c r="G708" t="s">
        <v>83</v>
      </c>
      <c r="H708" t="str" cm="1">
        <f t="array" ref="H708">_xlfn.IFS(Grammys[[#This Row],[date]] &gt;= DATE(2022,2,1),"Grammys",TRUE,"Grammys TRA")</f>
        <v>Grammys TRA</v>
      </c>
      <c r="I708">
        <f>_xlfn.XLOOKUP(Grammys[[#This Row],[date]],mobile_visits[date],mobile_visits[mobile_visitors],0)</f>
        <v>0</v>
      </c>
    </row>
    <row r="709" spans="1:9">
      <c r="A709" s="1">
        <v>43443</v>
      </c>
      <c r="B709">
        <v>112219</v>
      </c>
      <c r="C709">
        <v>214665</v>
      </c>
      <c r="D709">
        <v>123438</v>
      </c>
      <c r="E709">
        <v>65423</v>
      </c>
      <c r="F709">
        <v>91</v>
      </c>
      <c r="G709" t="s">
        <v>83</v>
      </c>
      <c r="H709" t="str" cm="1">
        <f t="array" ref="H709">_xlfn.IFS(Grammys[[#This Row],[date]] &gt;= DATE(2022,2,1),"Grammys",TRUE,"Grammys TRA")</f>
        <v>Grammys TRA</v>
      </c>
      <c r="I709">
        <f>_xlfn.XLOOKUP(Grammys[[#This Row],[date]],mobile_visits[date],mobile_visits[mobile_visitors],0)</f>
        <v>0</v>
      </c>
    </row>
    <row r="710" spans="1:9">
      <c r="A710" s="1">
        <v>43444</v>
      </c>
      <c r="B710">
        <v>91037</v>
      </c>
      <c r="C710">
        <v>166528</v>
      </c>
      <c r="D710">
        <v>99749</v>
      </c>
      <c r="E710">
        <v>52887</v>
      </c>
      <c r="F710">
        <v>96</v>
      </c>
      <c r="G710" t="s">
        <v>83</v>
      </c>
      <c r="H710" t="str" cm="1">
        <f t="array" ref="H710">_xlfn.IFS(Grammys[[#This Row],[date]] &gt;= DATE(2022,2,1),"Grammys",TRUE,"Grammys TRA")</f>
        <v>Grammys TRA</v>
      </c>
      <c r="I710">
        <f>_xlfn.XLOOKUP(Grammys[[#This Row],[date]],mobile_visits[date],mobile_visits[mobile_visitors],0)</f>
        <v>0</v>
      </c>
    </row>
    <row r="711" spans="1:9">
      <c r="A711" s="1">
        <v>43445</v>
      </c>
      <c r="B711">
        <v>66312</v>
      </c>
      <c r="C711">
        <v>117292</v>
      </c>
      <c r="D711">
        <v>71977</v>
      </c>
      <c r="E711">
        <v>38213</v>
      </c>
      <c r="F711">
        <v>100</v>
      </c>
      <c r="G711" t="s">
        <v>83</v>
      </c>
      <c r="H711" t="str" cm="1">
        <f t="array" ref="H711">_xlfn.IFS(Grammys[[#This Row],[date]] &gt;= DATE(2022,2,1),"Grammys",TRUE,"Grammys TRA")</f>
        <v>Grammys TRA</v>
      </c>
      <c r="I711">
        <f>_xlfn.XLOOKUP(Grammys[[#This Row],[date]],mobile_visits[date],mobile_visits[mobile_visitors],0)</f>
        <v>0</v>
      </c>
    </row>
    <row r="712" spans="1:9">
      <c r="A712" s="1">
        <v>43446</v>
      </c>
      <c r="B712">
        <v>53198</v>
      </c>
      <c r="C712">
        <v>95091</v>
      </c>
      <c r="D712">
        <v>58518</v>
      </c>
      <c r="E712">
        <v>27399</v>
      </c>
      <c r="F712">
        <v>109</v>
      </c>
      <c r="G712" t="s">
        <v>83</v>
      </c>
      <c r="H712" t="str" cm="1">
        <f t="array" ref="H712">_xlfn.IFS(Grammys[[#This Row],[date]] &gt;= DATE(2022,2,1),"Grammys",TRUE,"Grammys TRA")</f>
        <v>Grammys TRA</v>
      </c>
      <c r="I712">
        <f>_xlfn.XLOOKUP(Grammys[[#This Row],[date]],mobile_visits[date],mobile_visits[mobile_visitors],0)</f>
        <v>0</v>
      </c>
    </row>
    <row r="713" spans="1:9">
      <c r="A713" s="1">
        <v>43447</v>
      </c>
      <c r="B713">
        <v>44162</v>
      </c>
      <c r="C713">
        <v>80658</v>
      </c>
      <c r="D713">
        <v>48118</v>
      </c>
      <c r="E713">
        <v>19065</v>
      </c>
      <c r="F713">
        <v>123</v>
      </c>
      <c r="G713" t="s">
        <v>83</v>
      </c>
      <c r="H713" t="str" cm="1">
        <f t="array" ref="H713">_xlfn.IFS(Grammys[[#This Row],[date]] &gt;= DATE(2022,2,1),"Grammys",TRUE,"Grammys TRA")</f>
        <v>Grammys TRA</v>
      </c>
      <c r="I713">
        <f>_xlfn.XLOOKUP(Grammys[[#This Row],[date]],mobile_visits[date],mobile_visits[mobile_visitors],0)</f>
        <v>0</v>
      </c>
    </row>
    <row r="714" spans="1:9">
      <c r="A714" s="1">
        <v>43448</v>
      </c>
      <c r="B714">
        <v>34731</v>
      </c>
      <c r="C714">
        <v>62964</v>
      </c>
      <c r="D714">
        <v>37956</v>
      </c>
      <c r="E714">
        <v>15718</v>
      </c>
      <c r="F714">
        <v>116</v>
      </c>
      <c r="G714" t="s">
        <v>83</v>
      </c>
      <c r="H714" t="str" cm="1">
        <f t="array" ref="H714">_xlfn.IFS(Grammys[[#This Row],[date]] &gt;= DATE(2022,2,1),"Grammys",TRUE,"Grammys TRA")</f>
        <v>Grammys TRA</v>
      </c>
      <c r="I714">
        <f>_xlfn.XLOOKUP(Grammys[[#This Row],[date]],mobile_visits[date],mobile_visits[mobile_visitors],0)</f>
        <v>0</v>
      </c>
    </row>
    <row r="715" spans="1:9">
      <c r="A715" s="1">
        <v>43449</v>
      </c>
      <c r="B715">
        <v>28664</v>
      </c>
      <c r="C715">
        <v>50486</v>
      </c>
      <c r="D715">
        <v>31083</v>
      </c>
      <c r="E715">
        <v>12987</v>
      </c>
      <c r="F715">
        <v>115</v>
      </c>
      <c r="G715" t="s">
        <v>83</v>
      </c>
      <c r="H715" t="str" cm="1">
        <f t="array" ref="H715">_xlfn.IFS(Grammys[[#This Row],[date]] &gt;= DATE(2022,2,1),"Grammys",TRUE,"Grammys TRA")</f>
        <v>Grammys TRA</v>
      </c>
      <c r="I715">
        <f>_xlfn.XLOOKUP(Grammys[[#This Row],[date]],mobile_visits[date],mobile_visits[mobile_visitors],0)</f>
        <v>0</v>
      </c>
    </row>
    <row r="716" spans="1:9">
      <c r="A716" s="1">
        <v>43450</v>
      </c>
      <c r="B716">
        <v>28095</v>
      </c>
      <c r="C716">
        <v>49743</v>
      </c>
      <c r="D716">
        <v>30334</v>
      </c>
      <c r="E716">
        <v>12695</v>
      </c>
      <c r="F716">
        <v>114</v>
      </c>
      <c r="G716" t="s">
        <v>83</v>
      </c>
      <c r="H716" t="str" cm="1">
        <f t="array" ref="H716">_xlfn.IFS(Grammys[[#This Row],[date]] &gt;= DATE(2022,2,1),"Grammys",TRUE,"Grammys TRA")</f>
        <v>Grammys TRA</v>
      </c>
      <c r="I716">
        <f>_xlfn.XLOOKUP(Grammys[[#This Row],[date]],mobile_visits[date],mobile_visits[mobile_visitors],0)</f>
        <v>0</v>
      </c>
    </row>
    <row r="717" spans="1:9">
      <c r="A717" s="1">
        <v>43451</v>
      </c>
      <c r="B717">
        <v>27811</v>
      </c>
      <c r="C717">
        <v>49407</v>
      </c>
      <c r="D717">
        <v>29959</v>
      </c>
      <c r="E717">
        <v>12511</v>
      </c>
      <c r="F717">
        <v>116</v>
      </c>
      <c r="G717" t="s">
        <v>83</v>
      </c>
      <c r="H717" t="str" cm="1">
        <f t="array" ref="H717">_xlfn.IFS(Grammys[[#This Row],[date]] &gt;= DATE(2022,2,1),"Grammys",TRUE,"Grammys TRA")</f>
        <v>Grammys TRA</v>
      </c>
      <c r="I717">
        <f>_xlfn.XLOOKUP(Grammys[[#This Row],[date]],mobile_visits[date],mobile_visits[mobile_visitors],0)</f>
        <v>0</v>
      </c>
    </row>
    <row r="718" spans="1:9">
      <c r="A718" s="1">
        <v>43452</v>
      </c>
      <c r="B718">
        <v>29905</v>
      </c>
      <c r="C718">
        <v>50588</v>
      </c>
      <c r="D718">
        <v>31823</v>
      </c>
      <c r="E718">
        <v>12494</v>
      </c>
      <c r="F718">
        <v>123</v>
      </c>
      <c r="G718" t="s">
        <v>83</v>
      </c>
      <c r="H718" t="str" cm="1">
        <f t="array" ref="H718">_xlfn.IFS(Grammys[[#This Row],[date]] &gt;= DATE(2022,2,1),"Grammys",TRUE,"Grammys TRA")</f>
        <v>Grammys TRA</v>
      </c>
      <c r="I718">
        <f>_xlfn.XLOOKUP(Grammys[[#This Row],[date]],mobile_visits[date],mobile_visits[mobile_visitors],0)</f>
        <v>0</v>
      </c>
    </row>
    <row r="719" spans="1:9">
      <c r="A719" s="1">
        <v>43453</v>
      </c>
      <c r="B719">
        <v>32623</v>
      </c>
      <c r="C719">
        <v>55388</v>
      </c>
      <c r="D719">
        <v>34998</v>
      </c>
      <c r="E719">
        <v>12803</v>
      </c>
      <c r="F719">
        <v>127</v>
      </c>
      <c r="G719" t="s">
        <v>83</v>
      </c>
      <c r="H719" t="str" cm="1">
        <f t="array" ref="H719">_xlfn.IFS(Grammys[[#This Row],[date]] &gt;= DATE(2022,2,1),"Grammys",TRUE,"Grammys TRA")</f>
        <v>Grammys TRA</v>
      </c>
      <c r="I719">
        <f>_xlfn.XLOOKUP(Grammys[[#This Row],[date]],mobile_visits[date],mobile_visits[mobile_visitors],0)</f>
        <v>0</v>
      </c>
    </row>
    <row r="720" spans="1:9">
      <c r="A720" s="1">
        <v>43454</v>
      </c>
      <c r="B720">
        <v>25702</v>
      </c>
      <c r="C720">
        <v>44186</v>
      </c>
      <c r="D720">
        <v>27304</v>
      </c>
      <c r="E720">
        <v>10827</v>
      </c>
      <c r="F720">
        <v>107</v>
      </c>
      <c r="G720" t="s">
        <v>83</v>
      </c>
      <c r="H720" t="str" cm="1">
        <f t="array" ref="H720">_xlfn.IFS(Grammys[[#This Row],[date]] &gt;= DATE(2022,2,1),"Grammys",TRUE,"Grammys TRA")</f>
        <v>Grammys TRA</v>
      </c>
      <c r="I720">
        <f>_xlfn.XLOOKUP(Grammys[[#This Row],[date]],mobile_visits[date],mobile_visits[mobile_visitors],0)</f>
        <v>0</v>
      </c>
    </row>
    <row r="721" spans="1:9">
      <c r="A721" s="1">
        <v>43455</v>
      </c>
      <c r="B721">
        <v>25186</v>
      </c>
      <c r="C721">
        <v>44597</v>
      </c>
      <c r="D721">
        <v>26204</v>
      </c>
      <c r="E721">
        <v>10807</v>
      </c>
      <c r="F721">
        <v>103</v>
      </c>
      <c r="G721" t="s">
        <v>83</v>
      </c>
      <c r="H721" t="str" cm="1">
        <f t="array" ref="H721">_xlfn.IFS(Grammys[[#This Row],[date]] &gt;= DATE(2022,2,1),"Grammys",TRUE,"Grammys TRA")</f>
        <v>Grammys TRA</v>
      </c>
      <c r="I721">
        <f>_xlfn.XLOOKUP(Grammys[[#This Row],[date]],mobile_visits[date],mobile_visits[mobile_visitors],0)</f>
        <v>0</v>
      </c>
    </row>
    <row r="722" spans="1:9">
      <c r="A722" s="1">
        <v>43456</v>
      </c>
      <c r="B722">
        <v>21301</v>
      </c>
      <c r="C722">
        <v>38493</v>
      </c>
      <c r="D722">
        <v>22834</v>
      </c>
      <c r="E722">
        <v>9751</v>
      </c>
      <c r="F722">
        <v>105</v>
      </c>
      <c r="G722" t="s">
        <v>83</v>
      </c>
      <c r="H722" t="str" cm="1">
        <f t="array" ref="H722">_xlfn.IFS(Grammys[[#This Row],[date]] &gt;= DATE(2022,2,1),"Grammys",TRUE,"Grammys TRA")</f>
        <v>Grammys TRA</v>
      </c>
      <c r="I722">
        <f>_xlfn.XLOOKUP(Grammys[[#This Row],[date]],mobile_visits[date],mobile_visits[mobile_visitors],0)</f>
        <v>0</v>
      </c>
    </row>
    <row r="723" spans="1:9">
      <c r="A723" s="1">
        <v>43457</v>
      </c>
      <c r="B723">
        <v>22409</v>
      </c>
      <c r="C723">
        <v>39980</v>
      </c>
      <c r="D723">
        <v>24140</v>
      </c>
      <c r="E723">
        <v>10726</v>
      </c>
      <c r="F723">
        <v>98</v>
      </c>
      <c r="G723" t="s">
        <v>83</v>
      </c>
      <c r="H723" t="str" cm="1">
        <f t="array" ref="H723">_xlfn.IFS(Grammys[[#This Row],[date]] &gt;= DATE(2022,2,1),"Grammys",TRUE,"Grammys TRA")</f>
        <v>Grammys TRA</v>
      </c>
      <c r="I723">
        <f>_xlfn.XLOOKUP(Grammys[[#This Row],[date]],mobile_visits[date],mobile_visits[mobile_visitors],0)</f>
        <v>0</v>
      </c>
    </row>
    <row r="724" spans="1:9">
      <c r="A724" s="1">
        <v>43458</v>
      </c>
      <c r="B724">
        <v>18133</v>
      </c>
      <c r="C724">
        <v>31711</v>
      </c>
      <c r="D724">
        <v>19176</v>
      </c>
      <c r="E724">
        <v>8492</v>
      </c>
      <c r="F724">
        <v>99</v>
      </c>
      <c r="G724" t="s">
        <v>83</v>
      </c>
      <c r="H724" t="str" cm="1">
        <f t="array" ref="H724">_xlfn.IFS(Grammys[[#This Row],[date]] &gt;= DATE(2022,2,1),"Grammys",TRUE,"Grammys TRA")</f>
        <v>Grammys TRA</v>
      </c>
      <c r="I724">
        <f>_xlfn.XLOOKUP(Grammys[[#This Row],[date]],mobile_visits[date],mobile_visits[mobile_visitors],0)</f>
        <v>0</v>
      </c>
    </row>
    <row r="725" spans="1:9">
      <c r="A725" s="1">
        <v>43459</v>
      </c>
      <c r="B725">
        <v>17230</v>
      </c>
      <c r="C725">
        <v>30036</v>
      </c>
      <c r="D725">
        <v>18289</v>
      </c>
      <c r="E725">
        <v>7795</v>
      </c>
      <c r="F725">
        <v>107</v>
      </c>
      <c r="G725" t="s">
        <v>83</v>
      </c>
      <c r="H725" t="str" cm="1">
        <f t="array" ref="H725">_xlfn.IFS(Grammys[[#This Row],[date]] &gt;= DATE(2022,2,1),"Grammys",TRUE,"Grammys TRA")</f>
        <v>Grammys TRA</v>
      </c>
      <c r="I725">
        <f>_xlfn.XLOOKUP(Grammys[[#This Row],[date]],mobile_visits[date],mobile_visits[mobile_visitors],0)</f>
        <v>0</v>
      </c>
    </row>
    <row r="726" spans="1:9">
      <c r="A726" s="1">
        <v>43460</v>
      </c>
      <c r="B726">
        <v>24720</v>
      </c>
      <c r="C726">
        <v>40634</v>
      </c>
      <c r="D726">
        <v>26178</v>
      </c>
      <c r="E726">
        <v>9652</v>
      </c>
      <c r="F726">
        <v>109</v>
      </c>
      <c r="G726" t="s">
        <v>83</v>
      </c>
      <c r="H726" t="str" cm="1">
        <f t="array" ref="H726">_xlfn.IFS(Grammys[[#This Row],[date]] &gt;= DATE(2022,2,1),"Grammys",TRUE,"Grammys TRA")</f>
        <v>Grammys TRA</v>
      </c>
      <c r="I726">
        <f>_xlfn.XLOOKUP(Grammys[[#This Row],[date]],mobile_visits[date],mobile_visits[mobile_visitors],0)</f>
        <v>0</v>
      </c>
    </row>
    <row r="727" spans="1:9">
      <c r="A727" s="1">
        <v>43461</v>
      </c>
      <c r="B727">
        <v>26447</v>
      </c>
      <c r="C727">
        <v>44501</v>
      </c>
      <c r="D727">
        <v>28228</v>
      </c>
      <c r="E727">
        <v>10611</v>
      </c>
      <c r="F727">
        <v>104</v>
      </c>
      <c r="G727" t="s">
        <v>83</v>
      </c>
      <c r="H727" t="str" cm="1">
        <f t="array" ref="H727">_xlfn.IFS(Grammys[[#This Row],[date]] &gt;= DATE(2022,2,1),"Grammys",TRUE,"Grammys TRA")</f>
        <v>Grammys TRA</v>
      </c>
      <c r="I727">
        <f>_xlfn.XLOOKUP(Grammys[[#This Row],[date]],mobile_visits[date],mobile_visits[mobile_visitors],0)</f>
        <v>0</v>
      </c>
    </row>
    <row r="728" spans="1:9">
      <c r="A728" s="1">
        <v>43462</v>
      </c>
      <c r="B728">
        <v>21935</v>
      </c>
      <c r="C728">
        <v>39348</v>
      </c>
      <c r="D728">
        <v>23355</v>
      </c>
      <c r="E728">
        <v>9410</v>
      </c>
      <c r="F728">
        <v>111</v>
      </c>
      <c r="G728" t="s">
        <v>83</v>
      </c>
      <c r="H728" t="str" cm="1">
        <f t="array" ref="H728">_xlfn.IFS(Grammys[[#This Row],[date]] &gt;= DATE(2022,2,1),"Grammys",TRUE,"Grammys TRA")</f>
        <v>Grammys TRA</v>
      </c>
      <c r="I728">
        <f>_xlfn.XLOOKUP(Grammys[[#This Row],[date]],mobile_visits[date],mobile_visits[mobile_visitors],0)</f>
        <v>0</v>
      </c>
    </row>
    <row r="729" spans="1:9">
      <c r="A729" s="1">
        <v>43463</v>
      </c>
      <c r="B729">
        <v>22570</v>
      </c>
      <c r="C729">
        <v>40028</v>
      </c>
      <c r="D729">
        <v>24247</v>
      </c>
      <c r="E729">
        <v>9277</v>
      </c>
      <c r="F729">
        <v>110</v>
      </c>
      <c r="G729" t="s">
        <v>83</v>
      </c>
      <c r="H729" t="str" cm="1">
        <f t="array" ref="H729">_xlfn.IFS(Grammys[[#This Row],[date]] &gt;= DATE(2022,2,1),"Grammys",TRUE,"Grammys TRA")</f>
        <v>Grammys TRA</v>
      </c>
      <c r="I729">
        <f>_xlfn.XLOOKUP(Grammys[[#This Row],[date]],mobile_visits[date],mobile_visits[mobile_visitors],0)</f>
        <v>0</v>
      </c>
    </row>
    <row r="730" spans="1:9">
      <c r="A730" s="1">
        <v>43464</v>
      </c>
      <c r="B730">
        <v>22830</v>
      </c>
      <c r="C730">
        <v>40143</v>
      </c>
      <c r="D730">
        <v>24225</v>
      </c>
      <c r="E730">
        <v>9741</v>
      </c>
      <c r="F730">
        <v>107</v>
      </c>
      <c r="G730" t="s">
        <v>83</v>
      </c>
      <c r="H730" t="str" cm="1">
        <f t="array" ref="H730">_xlfn.IFS(Grammys[[#This Row],[date]] &gt;= DATE(2022,2,1),"Grammys",TRUE,"Grammys TRA")</f>
        <v>Grammys TRA</v>
      </c>
      <c r="I730">
        <f>_xlfn.XLOOKUP(Grammys[[#This Row],[date]],mobile_visits[date],mobile_visits[mobile_visitors],0)</f>
        <v>0</v>
      </c>
    </row>
    <row r="731" spans="1:9">
      <c r="A731" s="1">
        <v>43465</v>
      </c>
      <c r="B731">
        <v>31358</v>
      </c>
      <c r="C731">
        <v>49465</v>
      </c>
      <c r="D731">
        <v>33002</v>
      </c>
      <c r="E731">
        <v>11766</v>
      </c>
      <c r="F731">
        <v>87</v>
      </c>
      <c r="G731" t="s">
        <v>83</v>
      </c>
      <c r="H731" t="str" cm="1">
        <f t="array" ref="H731">_xlfn.IFS(Grammys[[#This Row],[date]] &gt;= DATE(2022,2,1),"Grammys",TRUE,"Grammys TRA")</f>
        <v>Grammys TRA</v>
      </c>
      <c r="I731">
        <f>_xlfn.XLOOKUP(Grammys[[#This Row],[date]],mobile_visits[date],mobile_visits[mobile_visitors],0)</f>
        <v>0</v>
      </c>
    </row>
    <row r="732" spans="1:9">
      <c r="A732" s="1">
        <v>43466</v>
      </c>
      <c r="B732">
        <v>21417</v>
      </c>
      <c r="C732">
        <v>38124</v>
      </c>
      <c r="D732">
        <v>22787</v>
      </c>
      <c r="E732">
        <v>9724</v>
      </c>
      <c r="F732">
        <v>108</v>
      </c>
      <c r="G732" t="s">
        <v>83</v>
      </c>
      <c r="H732" t="str" cm="1">
        <f t="array" ref="H732">_xlfn.IFS(Grammys[[#This Row],[date]] &gt;= DATE(2022,2,1),"Grammys",TRUE,"Grammys TRA")</f>
        <v>Grammys TRA</v>
      </c>
      <c r="I732">
        <f>_xlfn.XLOOKUP(Grammys[[#This Row],[date]],mobile_visits[date],mobile_visits[mobile_visitors],0)</f>
        <v>0</v>
      </c>
    </row>
    <row r="733" spans="1:9">
      <c r="A733" s="1">
        <v>43467</v>
      </c>
      <c r="B733">
        <v>24533</v>
      </c>
      <c r="C733">
        <v>44342</v>
      </c>
      <c r="D733">
        <v>26414</v>
      </c>
      <c r="E733">
        <v>10402</v>
      </c>
      <c r="F733">
        <v>114</v>
      </c>
      <c r="G733" t="s">
        <v>83</v>
      </c>
      <c r="H733" t="str" cm="1">
        <f t="array" ref="H733">_xlfn.IFS(Grammys[[#This Row],[date]] &gt;= DATE(2022,2,1),"Grammys",TRUE,"Grammys TRA")</f>
        <v>Grammys TRA</v>
      </c>
      <c r="I733">
        <f>_xlfn.XLOOKUP(Grammys[[#This Row],[date]],mobile_visits[date],mobile_visits[mobile_visitors],0)</f>
        <v>0</v>
      </c>
    </row>
    <row r="734" spans="1:9">
      <c r="A734" s="1">
        <v>43468</v>
      </c>
      <c r="B734">
        <v>24163</v>
      </c>
      <c r="C734">
        <v>44051</v>
      </c>
      <c r="D734">
        <v>26006</v>
      </c>
      <c r="E734">
        <v>10426</v>
      </c>
      <c r="F734">
        <v>111</v>
      </c>
      <c r="G734" t="s">
        <v>83</v>
      </c>
      <c r="H734" t="str" cm="1">
        <f t="array" ref="H734">_xlfn.IFS(Grammys[[#This Row],[date]] &gt;= DATE(2022,2,1),"Grammys",TRUE,"Grammys TRA")</f>
        <v>Grammys TRA</v>
      </c>
      <c r="I734">
        <f>_xlfn.XLOOKUP(Grammys[[#This Row],[date]],mobile_visits[date],mobile_visits[mobile_visitors],0)</f>
        <v>0</v>
      </c>
    </row>
    <row r="735" spans="1:9">
      <c r="A735" s="1">
        <v>43469</v>
      </c>
      <c r="B735">
        <v>25232</v>
      </c>
      <c r="C735">
        <v>46178</v>
      </c>
      <c r="D735">
        <v>27086</v>
      </c>
      <c r="E735">
        <v>11060</v>
      </c>
      <c r="F735">
        <v>116</v>
      </c>
      <c r="G735" t="s">
        <v>83</v>
      </c>
      <c r="H735" t="str" cm="1">
        <f t="array" ref="H735">_xlfn.IFS(Grammys[[#This Row],[date]] &gt;= DATE(2022,2,1),"Grammys",TRUE,"Grammys TRA")</f>
        <v>Grammys TRA</v>
      </c>
      <c r="I735">
        <f>_xlfn.XLOOKUP(Grammys[[#This Row],[date]],mobile_visits[date],mobile_visits[mobile_visitors],0)</f>
        <v>0</v>
      </c>
    </row>
    <row r="736" spans="1:9">
      <c r="A736" s="1">
        <v>43470</v>
      </c>
      <c r="B736">
        <v>20213</v>
      </c>
      <c r="C736">
        <v>37101</v>
      </c>
      <c r="D736">
        <v>21798</v>
      </c>
      <c r="E736">
        <v>9472</v>
      </c>
      <c r="F736">
        <v>110</v>
      </c>
      <c r="G736" t="s">
        <v>83</v>
      </c>
      <c r="H736" t="str" cm="1">
        <f t="array" ref="H736">_xlfn.IFS(Grammys[[#This Row],[date]] &gt;= DATE(2022,2,1),"Grammys",TRUE,"Grammys TRA")</f>
        <v>Grammys TRA</v>
      </c>
      <c r="I736">
        <f>_xlfn.XLOOKUP(Grammys[[#This Row],[date]],mobile_visits[date],mobile_visits[mobile_visitors],0)</f>
        <v>0</v>
      </c>
    </row>
    <row r="737" spans="1:9">
      <c r="A737" s="1">
        <v>43471</v>
      </c>
      <c r="B737">
        <v>31493</v>
      </c>
      <c r="C737">
        <v>63585</v>
      </c>
      <c r="D737">
        <v>33980</v>
      </c>
      <c r="E737">
        <v>13453</v>
      </c>
      <c r="F737">
        <v>115</v>
      </c>
      <c r="G737" t="s">
        <v>83</v>
      </c>
      <c r="H737" t="str" cm="1">
        <f t="array" ref="H737">_xlfn.IFS(Grammys[[#This Row],[date]] &gt;= DATE(2022,2,1),"Grammys",TRUE,"Grammys TRA")</f>
        <v>Grammys TRA</v>
      </c>
      <c r="I737">
        <f>_xlfn.XLOOKUP(Grammys[[#This Row],[date]],mobile_visits[date],mobile_visits[mobile_visitors],0)</f>
        <v>0</v>
      </c>
    </row>
    <row r="738" spans="1:9">
      <c r="A738" s="1">
        <v>43472</v>
      </c>
      <c r="B738">
        <v>29682</v>
      </c>
      <c r="C738">
        <v>55397</v>
      </c>
      <c r="D738">
        <v>31450</v>
      </c>
      <c r="E738">
        <v>13857</v>
      </c>
      <c r="F738">
        <v>105</v>
      </c>
      <c r="G738" t="s">
        <v>83</v>
      </c>
      <c r="H738" t="str" cm="1">
        <f t="array" ref="H738">_xlfn.IFS(Grammys[[#This Row],[date]] &gt;= DATE(2022,2,1),"Grammys",TRUE,"Grammys TRA")</f>
        <v>Grammys TRA</v>
      </c>
      <c r="I738">
        <f>_xlfn.XLOOKUP(Grammys[[#This Row],[date]],mobile_visits[date],mobile_visits[mobile_visitors],0)</f>
        <v>0</v>
      </c>
    </row>
    <row r="739" spans="1:9">
      <c r="A739" s="1">
        <v>43473</v>
      </c>
      <c r="B739">
        <v>26337</v>
      </c>
      <c r="C739">
        <v>46816</v>
      </c>
      <c r="D739">
        <v>27975</v>
      </c>
      <c r="E739">
        <v>11895</v>
      </c>
      <c r="F739">
        <v>111</v>
      </c>
      <c r="G739" t="s">
        <v>83</v>
      </c>
      <c r="H739" t="str" cm="1">
        <f t="array" ref="H739">_xlfn.IFS(Grammys[[#This Row],[date]] &gt;= DATE(2022,2,1),"Grammys",TRUE,"Grammys TRA")</f>
        <v>Grammys TRA</v>
      </c>
      <c r="I739">
        <f>_xlfn.XLOOKUP(Grammys[[#This Row],[date]],mobile_visits[date],mobile_visits[mobile_visitors],0)</f>
        <v>0</v>
      </c>
    </row>
    <row r="740" spans="1:9">
      <c r="A740" s="1">
        <v>43474</v>
      </c>
      <c r="B740">
        <v>31050</v>
      </c>
      <c r="C740">
        <v>55619</v>
      </c>
      <c r="D740">
        <v>33313</v>
      </c>
      <c r="E740">
        <v>12763</v>
      </c>
      <c r="F740">
        <v>111</v>
      </c>
      <c r="G740" t="s">
        <v>83</v>
      </c>
      <c r="H740" t="str" cm="1">
        <f t="array" ref="H740">_xlfn.IFS(Grammys[[#This Row],[date]] &gt;= DATE(2022,2,1),"Grammys",TRUE,"Grammys TRA")</f>
        <v>Grammys TRA</v>
      </c>
      <c r="I740">
        <f>_xlfn.XLOOKUP(Grammys[[#This Row],[date]],mobile_visits[date],mobile_visits[mobile_visitors],0)</f>
        <v>0</v>
      </c>
    </row>
    <row r="741" spans="1:9">
      <c r="A741" s="1">
        <v>43475</v>
      </c>
      <c r="B741">
        <v>34999</v>
      </c>
      <c r="C741">
        <v>56375</v>
      </c>
      <c r="D741">
        <v>37426</v>
      </c>
      <c r="E741">
        <v>13665</v>
      </c>
      <c r="F741">
        <v>95</v>
      </c>
      <c r="G741" t="s">
        <v>83</v>
      </c>
      <c r="H741" t="str" cm="1">
        <f t="array" ref="H741">_xlfn.IFS(Grammys[[#This Row],[date]] &gt;= DATE(2022,2,1),"Grammys",TRUE,"Grammys TRA")</f>
        <v>Grammys TRA</v>
      </c>
      <c r="I741">
        <f>_xlfn.XLOOKUP(Grammys[[#This Row],[date]],mobile_visits[date],mobile_visits[mobile_visitors],0)</f>
        <v>0</v>
      </c>
    </row>
    <row r="742" spans="1:9">
      <c r="A742" s="1">
        <v>43476</v>
      </c>
      <c r="B742">
        <v>31253</v>
      </c>
      <c r="C742">
        <v>50135</v>
      </c>
      <c r="D742">
        <v>33438</v>
      </c>
      <c r="E742">
        <v>12814</v>
      </c>
      <c r="F742">
        <v>96</v>
      </c>
      <c r="G742" t="s">
        <v>83</v>
      </c>
      <c r="H742" t="str" cm="1">
        <f t="array" ref="H742">_xlfn.IFS(Grammys[[#This Row],[date]] &gt;= DATE(2022,2,1),"Grammys",TRUE,"Grammys TRA")</f>
        <v>Grammys TRA</v>
      </c>
      <c r="I742">
        <f>_xlfn.XLOOKUP(Grammys[[#This Row],[date]],mobile_visits[date],mobile_visits[mobile_visitors],0)</f>
        <v>0</v>
      </c>
    </row>
    <row r="743" spans="1:9">
      <c r="A743" s="1">
        <v>43477</v>
      </c>
      <c r="B743">
        <v>26998</v>
      </c>
      <c r="C743">
        <v>43730</v>
      </c>
      <c r="D743">
        <v>28595</v>
      </c>
      <c r="E743">
        <v>11218</v>
      </c>
      <c r="F743">
        <v>100</v>
      </c>
      <c r="G743" t="s">
        <v>83</v>
      </c>
      <c r="H743" t="str" cm="1">
        <f t="array" ref="H743">_xlfn.IFS(Grammys[[#This Row],[date]] &gt;= DATE(2022,2,1),"Grammys",TRUE,"Grammys TRA")</f>
        <v>Grammys TRA</v>
      </c>
      <c r="I743">
        <f>_xlfn.XLOOKUP(Grammys[[#This Row],[date]],mobile_visits[date],mobile_visits[mobile_visitors],0)</f>
        <v>0</v>
      </c>
    </row>
    <row r="744" spans="1:9">
      <c r="A744" s="1">
        <v>43478</v>
      </c>
      <c r="B744">
        <v>34839</v>
      </c>
      <c r="C744">
        <v>55601</v>
      </c>
      <c r="D744">
        <v>37569</v>
      </c>
      <c r="E744">
        <v>14006</v>
      </c>
      <c r="F744">
        <v>111</v>
      </c>
      <c r="G744" t="s">
        <v>83</v>
      </c>
      <c r="H744" t="str" cm="1">
        <f t="array" ref="H744">_xlfn.IFS(Grammys[[#This Row],[date]] &gt;= DATE(2022,2,1),"Grammys",TRUE,"Grammys TRA")</f>
        <v>Grammys TRA</v>
      </c>
      <c r="I744">
        <f>_xlfn.XLOOKUP(Grammys[[#This Row],[date]],mobile_visits[date],mobile_visits[mobile_visitors],0)</f>
        <v>0</v>
      </c>
    </row>
    <row r="745" spans="1:9">
      <c r="A745" s="1">
        <v>43479</v>
      </c>
      <c r="B745">
        <v>26990</v>
      </c>
      <c r="C745">
        <v>44739</v>
      </c>
      <c r="D745">
        <v>29045</v>
      </c>
      <c r="E745">
        <v>11822</v>
      </c>
      <c r="F745">
        <v>107</v>
      </c>
      <c r="G745" t="s">
        <v>83</v>
      </c>
      <c r="H745" t="str" cm="1">
        <f t="array" ref="H745">_xlfn.IFS(Grammys[[#This Row],[date]] &gt;= DATE(2022,2,1),"Grammys",TRUE,"Grammys TRA")</f>
        <v>Grammys TRA</v>
      </c>
      <c r="I745">
        <f>_xlfn.XLOOKUP(Grammys[[#This Row],[date]],mobile_visits[date],mobile_visits[mobile_visitors],0)</f>
        <v>0</v>
      </c>
    </row>
    <row r="746" spans="1:9">
      <c r="A746" s="1">
        <v>43480</v>
      </c>
      <c r="B746">
        <v>29177</v>
      </c>
      <c r="C746">
        <v>50994</v>
      </c>
      <c r="D746">
        <v>31692</v>
      </c>
      <c r="E746">
        <v>13010</v>
      </c>
      <c r="F746">
        <v>121</v>
      </c>
      <c r="G746" t="s">
        <v>83</v>
      </c>
      <c r="H746" t="str" cm="1">
        <f t="array" ref="H746">_xlfn.IFS(Grammys[[#This Row],[date]] &gt;= DATE(2022,2,1),"Grammys",TRUE,"Grammys TRA")</f>
        <v>Grammys TRA</v>
      </c>
      <c r="I746">
        <f>_xlfn.XLOOKUP(Grammys[[#This Row],[date]],mobile_visits[date],mobile_visits[mobile_visitors],0)</f>
        <v>0</v>
      </c>
    </row>
    <row r="747" spans="1:9">
      <c r="A747" s="1">
        <v>43481</v>
      </c>
      <c r="B747">
        <v>31616</v>
      </c>
      <c r="C747">
        <v>53170</v>
      </c>
      <c r="D747">
        <v>34107</v>
      </c>
      <c r="E747">
        <v>13817</v>
      </c>
      <c r="F747">
        <v>116</v>
      </c>
      <c r="G747" t="s">
        <v>83</v>
      </c>
      <c r="H747" t="str" cm="1">
        <f t="array" ref="H747">_xlfn.IFS(Grammys[[#This Row],[date]] &gt;= DATE(2022,2,1),"Grammys",TRUE,"Grammys TRA")</f>
        <v>Grammys TRA</v>
      </c>
      <c r="I747">
        <f>_xlfn.XLOOKUP(Grammys[[#This Row],[date]],mobile_visits[date],mobile_visits[mobile_visitors],0)</f>
        <v>0</v>
      </c>
    </row>
    <row r="748" spans="1:9">
      <c r="A748" s="1">
        <v>43482</v>
      </c>
      <c r="B748">
        <v>58691</v>
      </c>
      <c r="C748">
        <v>88536</v>
      </c>
      <c r="D748">
        <v>62756</v>
      </c>
      <c r="E748">
        <v>20785</v>
      </c>
      <c r="F748">
        <v>83</v>
      </c>
      <c r="G748" t="s">
        <v>83</v>
      </c>
      <c r="H748" t="str" cm="1">
        <f t="array" ref="H748">_xlfn.IFS(Grammys[[#This Row],[date]] &gt;= DATE(2022,2,1),"Grammys",TRUE,"Grammys TRA")</f>
        <v>Grammys TRA</v>
      </c>
      <c r="I748">
        <f>_xlfn.XLOOKUP(Grammys[[#This Row],[date]],mobile_visits[date],mobile_visits[mobile_visitors],0)</f>
        <v>0</v>
      </c>
    </row>
    <row r="749" spans="1:9">
      <c r="A749" s="1">
        <v>43483</v>
      </c>
      <c r="B749">
        <v>34227</v>
      </c>
      <c r="C749">
        <v>54681</v>
      </c>
      <c r="D749">
        <v>36723</v>
      </c>
      <c r="E749">
        <v>14943</v>
      </c>
      <c r="F749">
        <v>94</v>
      </c>
      <c r="G749" t="s">
        <v>83</v>
      </c>
      <c r="H749" t="str" cm="1">
        <f t="array" ref="H749">_xlfn.IFS(Grammys[[#This Row],[date]] &gt;= DATE(2022,2,1),"Grammys",TRUE,"Grammys TRA")</f>
        <v>Grammys TRA</v>
      </c>
      <c r="I749">
        <f>_xlfn.XLOOKUP(Grammys[[#This Row],[date]],mobile_visits[date],mobile_visits[mobile_visitors],0)</f>
        <v>0</v>
      </c>
    </row>
    <row r="750" spans="1:9">
      <c r="A750" s="1">
        <v>43484</v>
      </c>
      <c r="B750">
        <v>26904</v>
      </c>
      <c r="C750">
        <v>44504</v>
      </c>
      <c r="D750">
        <v>28843</v>
      </c>
      <c r="E750">
        <v>12299</v>
      </c>
      <c r="F750">
        <v>102</v>
      </c>
      <c r="G750" t="s">
        <v>83</v>
      </c>
      <c r="H750" t="str" cm="1">
        <f t="array" ref="H750">_xlfn.IFS(Grammys[[#This Row],[date]] &gt;= DATE(2022,2,1),"Grammys",TRUE,"Grammys TRA")</f>
        <v>Grammys TRA</v>
      </c>
      <c r="I750">
        <f>_xlfn.XLOOKUP(Grammys[[#This Row],[date]],mobile_visits[date],mobile_visits[mobile_visitors],0)</f>
        <v>0</v>
      </c>
    </row>
    <row r="751" spans="1:9">
      <c r="A751" s="1">
        <v>43485</v>
      </c>
      <c r="B751">
        <v>29118</v>
      </c>
      <c r="C751">
        <v>48212</v>
      </c>
      <c r="D751">
        <v>30951</v>
      </c>
      <c r="E751">
        <v>13288</v>
      </c>
      <c r="F751">
        <v>102</v>
      </c>
      <c r="G751" t="s">
        <v>83</v>
      </c>
      <c r="H751" t="str" cm="1">
        <f t="array" ref="H751">_xlfn.IFS(Grammys[[#This Row],[date]] &gt;= DATE(2022,2,1),"Grammys",TRUE,"Grammys TRA")</f>
        <v>Grammys TRA</v>
      </c>
      <c r="I751">
        <f>_xlfn.XLOOKUP(Grammys[[#This Row],[date]],mobile_visits[date],mobile_visits[mobile_visitors],0)</f>
        <v>0</v>
      </c>
    </row>
    <row r="752" spans="1:9">
      <c r="A752" s="1">
        <v>43486</v>
      </c>
      <c r="B752">
        <v>29985</v>
      </c>
      <c r="C752">
        <v>49574</v>
      </c>
      <c r="D752">
        <v>32036</v>
      </c>
      <c r="E752">
        <v>14055</v>
      </c>
      <c r="F752">
        <v>106</v>
      </c>
      <c r="G752" t="s">
        <v>83</v>
      </c>
      <c r="H752" t="str" cm="1">
        <f t="array" ref="H752">_xlfn.IFS(Grammys[[#This Row],[date]] &gt;= DATE(2022,2,1),"Grammys",TRUE,"Grammys TRA")</f>
        <v>Grammys TRA</v>
      </c>
      <c r="I752">
        <f>_xlfn.XLOOKUP(Grammys[[#This Row],[date]],mobile_visits[date],mobile_visits[mobile_visitors],0)</f>
        <v>0</v>
      </c>
    </row>
    <row r="753" spans="1:9">
      <c r="A753" s="1">
        <v>43487</v>
      </c>
      <c r="B753">
        <v>37440</v>
      </c>
      <c r="C753">
        <v>63960</v>
      </c>
      <c r="D753">
        <v>39698</v>
      </c>
      <c r="E753">
        <v>16221</v>
      </c>
      <c r="F753">
        <v>115</v>
      </c>
      <c r="G753" t="s">
        <v>83</v>
      </c>
      <c r="H753" t="str" cm="1">
        <f t="array" ref="H753">_xlfn.IFS(Grammys[[#This Row],[date]] &gt;= DATE(2022,2,1),"Grammys",TRUE,"Grammys TRA")</f>
        <v>Grammys TRA</v>
      </c>
      <c r="I753">
        <f>_xlfn.XLOOKUP(Grammys[[#This Row],[date]],mobile_visits[date],mobile_visits[mobile_visitors],0)</f>
        <v>0</v>
      </c>
    </row>
    <row r="754" spans="1:9">
      <c r="A754" s="1">
        <v>43488</v>
      </c>
      <c r="B754">
        <v>31014</v>
      </c>
      <c r="C754">
        <v>53285</v>
      </c>
      <c r="D754">
        <v>32866</v>
      </c>
      <c r="E754">
        <v>13962</v>
      </c>
      <c r="F754">
        <v>113</v>
      </c>
      <c r="G754" t="s">
        <v>83</v>
      </c>
      <c r="H754" t="str" cm="1">
        <f t="array" ref="H754">_xlfn.IFS(Grammys[[#This Row],[date]] &gt;= DATE(2022,2,1),"Grammys",TRUE,"Grammys TRA")</f>
        <v>Grammys TRA</v>
      </c>
      <c r="I754">
        <f>_xlfn.XLOOKUP(Grammys[[#This Row],[date]],mobile_visits[date],mobile_visits[mobile_visitors],0)</f>
        <v>0</v>
      </c>
    </row>
    <row r="755" spans="1:9">
      <c r="A755" s="1">
        <v>43489</v>
      </c>
      <c r="B755">
        <v>36353</v>
      </c>
      <c r="C755">
        <v>59189</v>
      </c>
      <c r="D755">
        <v>38524</v>
      </c>
      <c r="E755">
        <v>15587</v>
      </c>
      <c r="F755">
        <v>102</v>
      </c>
      <c r="G755" t="s">
        <v>83</v>
      </c>
      <c r="H755" t="str" cm="1">
        <f t="array" ref="H755">_xlfn.IFS(Grammys[[#This Row],[date]] &gt;= DATE(2022,2,1),"Grammys",TRUE,"Grammys TRA")</f>
        <v>Grammys TRA</v>
      </c>
      <c r="I755">
        <f>_xlfn.XLOOKUP(Grammys[[#This Row],[date]],mobile_visits[date],mobile_visits[mobile_visitors],0)</f>
        <v>0</v>
      </c>
    </row>
    <row r="756" spans="1:9">
      <c r="A756" s="1">
        <v>43490</v>
      </c>
      <c r="B756">
        <v>31596</v>
      </c>
      <c r="C756">
        <v>51309</v>
      </c>
      <c r="D756">
        <v>33667</v>
      </c>
      <c r="E756">
        <v>13727</v>
      </c>
      <c r="F756">
        <v>96</v>
      </c>
      <c r="G756" t="s">
        <v>83</v>
      </c>
      <c r="H756" t="str" cm="1">
        <f t="array" ref="H756">_xlfn.IFS(Grammys[[#This Row],[date]] &gt;= DATE(2022,2,1),"Grammys",TRUE,"Grammys TRA")</f>
        <v>Grammys TRA</v>
      </c>
      <c r="I756">
        <f>_xlfn.XLOOKUP(Grammys[[#This Row],[date]],mobile_visits[date],mobile_visits[mobile_visitors],0)</f>
        <v>0</v>
      </c>
    </row>
    <row r="757" spans="1:9">
      <c r="A757" s="1">
        <v>43491</v>
      </c>
      <c r="B757">
        <v>26408</v>
      </c>
      <c r="C757">
        <v>44203</v>
      </c>
      <c r="D757">
        <v>28040</v>
      </c>
      <c r="E757">
        <v>12041</v>
      </c>
      <c r="F757">
        <v>100</v>
      </c>
      <c r="G757" t="s">
        <v>83</v>
      </c>
      <c r="H757" t="str" cm="1">
        <f t="array" ref="H757">_xlfn.IFS(Grammys[[#This Row],[date]] &gt;= DATE(2022,2,1),"Grammys",TRUE,"Grammys TRA")</f>
        <v>Grammys TRA</v>
      </c>
      <c r="I757">
        <f>_xlfn.XLOOKUP(Grammys[[#This Row],[date]],mobile_visits[date],mobile_visits[mobile_visitors],0)</f>
        <v>0</v>
      </c>
    </row>
    <row r="758" spans="1:9">
      <c r="A758" s="1">
        <v>43492</v>
      </c>
      <c r="B758">
        <v>28425</v>
      </c>
      <c r="C758">
        <v>48697</v>
      </c>
      <c r="D758">
        <v>30381</v>
      </c>
      <c r="E758">
        <v>13547</v>
      </c>
      <c r="F758">
        <v>105</v>
      </c>
      <c r="G758" t="s">
        <v>83</v>
      </c>
      <c r="H758" t="str" cm="1">
        <f t="array" ref="H758">_xlfn.IFS(Grammys[[#This Row],[date]] &gt;= DATE(2022,2,1),"Grammys",TRUE,"Grammys TRA")</f>
        <v>Grammys TRA</v>
      </c>
      <c r="I758">
        <f>_xlfn.XLOOKUP(Grammys[[#This Row],[date]],mobile_visits[date],mobile_visits[mobile_visitors],0)</f>
        <v>0</v>
      </c>
    </row>
    <row r="759" spans="1:9">
      <c r="A759" s="1">
        <v>43493</v>
      </c>
      <c r="B759">
        <v>38114</v>
      </c>
      <c r="C759">
        <v>75119</v>
      </c>
      <c r="D759">
        <v>41251</v>
      </c>
      <c r="E759">
        <v>17392</v>
      </c>
      <c r="F759">
        <v>111</v>
      </c>
      <c r="G759" t="s">
        <v>83</v>
      </c>
      <c r="H759" t="str" cm="1">
        <f t="array" ref="H759">_xlfn.IFS(Grammys[[#This Row],[date]] &gt;= DATE(2022,2,1),"Grammys",TRUE,"Grammys TRA")</f>
        <v>Grammys TRA</v>
      </c>
      <c r="I759">
        <f>_xlfn.XLOOKUP(Grammys[[#This Row],[date]],mobile_visits[date],mobile_visits[mobile_visitors],0)</f>
        <v>0</v>
      </c>
    </row>
    <row r="760" spans="1:9">
      <c r="A760" s="1">
        <v>43494</v>
      </c>
      <c r="B760">
        <v>36275</v>
      </c>
      <c r="C760">
        <v>63300</v>
      </c>
      <c r="D760">
        <v>38824</v>
      </c>
      <c r="E760">
        <v>16815</v>
      </c>
      <c r="F760">
        <v>108</v>
      </c>
      <c r="G760" t="s">
        <v>83</v>
      </c>
      <c r="H760" t="str" cm="1">
        <f t="array" ref="H760">_xlfn.IFS(Grammys[[#This Row],[date]] &gt;= DATE(2022,2,1),"Grammys",TRUE,"Grammys TRA")</f>
        <v>Grammys TRA</v>
      </c>
      <c r="I760">
        <f>_xlfn.XLOOKUP(Grammys[[#This Row],[date]],mobile_visits[date],mobile_visits[mobile_visitors],0)</f>
        <v>0</v>
      </c>
    </row>
    <row r="761" spans="1:9">
      <c r="A761" s="1">
        <v>43495</v>
      </c>
      <c r="B761">
        <v>31155</v>
      </c>
      <c r="C761">
        <v>54759</v>
      </c>
      <c r="D761">
        <v>33422</v>
      </c>
      <c r="E761">
        <v>14496</v>
      </c>
      <c r="F761">
        <v>109</v>
      </c>
      <c r="G761" t="s">
        <v>83</v>
      </c>
      <c r="H761" t="str" cm="1">
        <f t="array" ref="H761">_xlfn.IFS(Grammys[[#This Row],[date]] &gt;= DATE(2022,2,1),"Grammys",TRUE,"Grammys TRA")</f>
        <v>Grammys TRA</v>
      </c>
      <c r="I761">
        <f>_xlfn.XLOOKUP(Grammys[[#This Row],[date]],mobile_visits[date],mobile_visits[mobile_visitors],0)</f>
        <v>0</v>
      </c>
    </row>
    <row r="762" spans="1:9">
      <c r="A762" s="1">
        <v>43496</v>
      </c>
      <c r="B762">
        <v>34887</v>
      </c>
      <c r="C762">
        <v>60166</v>
      </c>
      <c r="D762">
        <v>37220</v>
      </c>
      <c r="E762">
        <v>14862</v>
      </c>
      <c r="F762">
        <v>114</v>
      </c>
      <c r="G762" t="s">
        <v>83</v>
      </c>
      <c r="H762" t="str" cm="1">
        <f t="array" ref="H762">_xlfn.IFS(Grammys[[#This Row],[date]] &gt;= DATE(2022,2,1),"Grammys",TRUE,"Grammys TRA")</f>
        <v>Grammys TRA</v>
      </c>
      <c r="I762">
        <f>_xlfn.XLOOKUP(Grammys[[#This Row],[date]],mobile_visits[date],mobile_visits[mobile_visitors],0)</f>
        <v>0</v>
      </c>
    </row>
    <row r="763" spans="1:9">
      <c r="A763" s="1">
        <v>43497</v>
      </c>
      <c r="B763">
        <v>37613</v>
      </c>
      <c r="C763">
        <v>63519</v>
      </c>
      <c r="D763">
        <v>40210</v>
      </c>
      <c r="E763">
        <v>16487</v>
      </c>
      <c r="F763">
        <v>110</v>
      </c>
      <c r="G763" t="s">
        <v>83</v>
      </c>
      <c r="H763" t="str" cm="1">
        <f t="array" ref="H763">_xlfn.IFS(Grammys[[#This Row],[date]] &gt;= DATE(2022,2,1),"Grammys",TRUE,"Grammys TRA")</f>
        <v>Grammys TRA</v>
      </c>
      <c r="I763">
        <f>_xlfn.XLOOKUP(Grammys[[#This Row],[date]],mobile_visits[date],mobile_visits[mobile_visitors],0)</f>
        <v>0</v>
      </c>
    </row>
    <row r="764" spans="1:9">
      <c r="A764" s="1">
        <v>43498</v>
      </c>
      <c r="B764">
        <v>34877</v>
      </c>
      <c r="C764">
        <v>61390</v>
      </c>
      <c r="D764">
        <v>37097</v>
      </c>
      <c r="E764">
        <v>15325</v>
      </c>
      <c r="F764">
        <v>112</v>
      </c>
      <c r="G764" t="s">
        <v>83</v>
      </c>
      <c r="H764" t="str" cm="1">
        <f t="array" ref="H764">_xlfn.IFS(Grammys[[#This Row],[date]] &gt;= DATE(2022,2,1),"Grammys",TRUE,"Grammys TRA")</f>
        <v>Grammys TRA</v>
      </c>
      <c r="I764">
        <f>_xlfn.XLOOKUP(Grammys[[#This Row],[date]],mobile_visits[date],mobile_visits[mobile_visitors],0)</f>
        <v>0</v>
      </c>
    </row>
    <row r="765" spans="1:9">
      <c r="A765" s="1">
        <v>43499</v>
      </c>
      <c r="B765">
        <v>74796</v>
      </c>
      <c r="C765">
        <v>126660</v>
      </c>
      <c r="D765">
        <v>80575</v>
      </c>
      <c r="E765">
        <v>32287</v>
      </c>
      <c r="F765">
        <v>111</v>
      </c>
      <c r="G765" t="s">
        <v>83</v>
      </c>
      <c r="H765" t="str" cm="1">
        <f t="array" ref="H765">_xlfn.IFS(Grammys[[#This Row],[date]] &gt;= DATE(2022,2,1),"Grammys",TRUE,"Grammys TRA")</f>
        <v>Grammys TRA</v>
      </c>
      <c r="I765">
        <f>_xlfn.XLOOKUP(Grammys[[#This Row],[date]],mobile_visits[date],mobile_visits[mobile_visitors],0)</f>
        <v>0</v>
      </c>
    </row>
    <row r="766" spans="1:9">
      <c r="A766" s="1">
        <v>43500</v>
      </c>
      <c r="B766">
        <v>80591</v>
      </c>
      <c r="C766">
        <v>148003</v>
      </c>
      <c r="D766">
        <v>86157</v>
      </c>
      <c r="E766">
        <v>33800</v>
      </c>
      <c r="F766">
        <v>115</v>
      </c>
      <c r="G766" t="s">
        <v>83</v>
      </c>
      <c r="H766" t="str" cm="1">
        <f t="array" ref="H766">_xlfn.IFS(Grammys[[#This Row],[date]] &gt;= DATE(2022,2,1),"Grammys",TRUE,"Grammys TRA")</f>
        <v>Grammys TRA</v>
      </c>
      <c r="I766">
        <f>_xlfn.XLOOKUP(Grammys[[#This Row],[date]],mobile_visits[date],mobile_visits[mobile_visitors],0)</f>
        <v>0</v>
      </c>
    </row>
    <row r="767" spans="1:9">
      <c r="A767" s="1">
        <v>43501</v>
      </c>
      <c r="B767">
        <v>98345</v>
      </c>
      <c r="C767">
        <v>186102</v>
      </c>
      <c r="D767">
        <v>106565</v>
      </c>
      <c r="E767">
        <v>39057</v>
      </c>
      <c r="F767">
        <v>119</v>
      </c>
      <c r="G767" t="s">
        <v>83</v>
      </c>
      <c r="H767" t="str" cm="1">
        <f t="array" ref="H767">_xlfn.IFS(Grammys[[#This Row],[date]] &gt;= DATE(2022,2,1),"Grammys",TRUE,"Grammys TRA")</f>
        <v>Grammys TRA</v>
      </c>
      <c r="I767">
        <f>_xlfn.XLOOKUP(Grammys[[#This Row],[date]],mobile_visits[date],mobile_visits[mobile_visitors],0)</f>
        <v>0</v>
      </c>
    </row>
    <row r="768" spans="1:9">
      <c r="A768" s="1">
        <v>43502</v>
      </c>
      <c r="B768">
        <v>101785</v>
      </c>
      <c r="C768">
        <v>186301</v>
      </c>
      <c r="D768">
        <v>109714</v>
      </c>
      <c r="E768">
        <v>37676</v>
      </c>
      <c r="F768">
        <v>115</v>
      </c>
      <c r="G768" t="s">
        <v>83</v>
      </c>
      <c r="H768" t="str" cm="1">
        <f t="array" ref="H768">_xlfn.IFS(Grammys[[#This Row],[date]] &gt;= DATE(2022,2,1),"Grammys",TRUE,"Grammys TRA")</f>
        <v>Grammys TRA</v>
      </c>
      <c r="I768">
        <f>_xlfn.XLOOKUP(Grammys[[#This Row],[date]],mobile_visits[date],mobile_visits[mobile_visitors],0)</f>
        <v>0</v>
      </c>
    </row>
    <row r="769" spans="1:9">
      <c r="A769" s="1">
        <v>43503</v>
      </c>
      <c r="B769">
        <v>135879</v>
      </c>
      <c r="C769">
        <v>240734</v>
      </c>
      <c r="D769">
        <v>145643</v>
      </c>
      <c r="E769">
        <v>52024</v>
      </c>
      <c r="F769">
        <v>105</v>
      </c>
      <c r="G769" t="s">
        <v>83</v>
      </c>
      <c r="H769" t="str" cm="1">
        <f t="array" ref="H769">_xlfn.IFS(Grammys[[#This Row],[date]] &gt;= DATE(2022,2,1),"Grammys",TRUE,"Grammys TRA")</f>
        <v>Grammys TRA</v>
      </c>
      <c r="I769">
        <f>_xlfn.XLOOKUP(Grammys[[#This Row],[date]],mobile_visits[date],mobile_visits[mobile_visitors],0)</f>
        <v>0</v>
      </c>
    </row>
    <row r="770" spans="1:9">
      <c r="A770" s="1">
        <v>43504</v>
      </c>
      <c r="B770">
        <v>168197</v>
      </c>
      <c r="C770">
        <v>301769</v>
      </c>
      <c r="D770">
        <v>180904</v>
      </c>
      <c r="E770">
        <v>68979</v>
      </c>
      <c r="F770">
        <v>109</v>
      </c>
      <c r="G770" t="s">
        <v>83</v>
      </c>
      <c r="H770" t="str" cm="1">
        <f t="array" ref="H770">_xlfn.IFS(Grammys[[#This Row],[date]] &gt;= DATE(2022,2,1),"Grammys",TRUE,"Grammys TRA")</f>
        <v>Grammys TRA</v>
      </c>
      <c r="I770">
        <f>_xlfn.XLOOKUP(Grammys[[#This Row],[date]],mobile_visits[date],mobile_visits[mobile_visitors],0)</f>
        <v>0</v>
      </c>
    </row>
    <row r="771" spans="1:9">
      <c r="A771" s="1">
        <v>43505</v>
      </c>
      <c r="B771">
        <v>259145</v>
      </c>
      <c r="C771">
        <v>500178</v>
      </c>
      <c r="D771">
        <v>288669</v>
      </c>
      <c r="E771">
        <v>118470</v>
      </c>
      <c r="F771">
        <v>115</v>
      </c>
      <c r="G771" t="s">
        <v>83</v>
      </c>
      <c r="H771" t="str" cm="1">
        <f t="array" ref="H771">_xlfn.IFS(Grammys[[#This Row],[date]] &gt;= DATE(2022,2,1),"Grammys",TRUE,"Grammys TRA")</f>
        <v>Grammys TRA</v>
      </c>
      <c r="I771">
        <f>_xlfn.XLOOKUP(Grammys[[#This Row],[date]],mobile_visits[date],mobile_visits[mobile_visitors],0)</f>
        <v>0</v>
      </c>
    </row>
    <row r="772" spans="1:9">
      <c r="A772" s="1">
        <v>43506</v>
      </c>
      <c r="B772">
        <v>2990487</v>
      </c>
      <c r="C772">
        <v>13494574</v>
      </c>
      <c r="D772">
        <v>3915507</v>
      </c>
      <c r="E772">
        <v>1017249</v>
      </c>
      <c r="F772">
        <v>283</v>
      </c>
      <c r="G772" t="s">
        <v>85</v>
      </c>
      <c r="H772" t="str" cm="1">
        <f t="array" ref="H772">_xlfn.IFS(Grammys[[#This Row],[date]] &gt;= DATE(2022,2,1),"Grammys",TRUE,"Grammys TRA")</f>
        <v>Grammys TRA</v>
      </c>
      <c r="I772">
        <f>_xlfn.XLOOKUP(Grammys[[#This Row],[date]],mobile_visits[date],mobile_visits[mobile_visitors],0)</f>
        <v>0</v>
      </c>
    </row>
    <row r="773" spans="1:9">
      <c r="A773" s="1">
        <v>43507</v>
      </c>
      <c r="B773">
        <v>1539061</v>
      </c>
      <c r="C773">
        <v>3515775</v>
      </c>
      <c r="D773">
        <v>1690040</v>
      </c>
      <c r="E773">
        <v>591345</v>
      </c>
      <c r="F773">
        <v>133</v>
      </c>
      <c r="G773" t="s">
        <v>83</v>
      </c>
      <c r="H773" t="str" cm="1">
        <f t="array" ref="H773">_xlfn.IFS(Grammys[[#This Row],[date]] &gt;= DATE(2022,2,1),"Grammys",TRUE,"Grammys TRA")</f>
        <v>Grammys TRA</v>
      </c>
      <c r="I773">
        <f>_xlfn.XLOOKUP(Grammys[[#This Row],[date]],mobile_visits[date],mobile_visits[mobile_visitors],0)</f>
        <v>0</v>
      </c>
    </row>
    <row r="774" spans="1:9">
      <c r="A774" s="1">
        <v>43508</v>
      </c>
      <c r="B774">
        <v>457474</v>
      </c>
      <c r="C774">
        <v>1042436</v>
      </c>
      <c r="D774">
        <v>492235</v>
      </c>
      <c r="E774">
        <v>194187</v>
      </c>
      <c r="F774">
        <v>132</v>
      </c>
      <c r="G774" t="s">
        <v>83</v>
      </c>
      <c r="H774" t="str" cm="1">
        <f t="array" ref="H774">_xlfn.IFS(Grammys[[#This Row],[date]] &gt;= DATE(2022,2,1),"Grammys",TRUE,"Grammys TRA")</f>
        <v>Grammys TRA</v>
      </c>
      <c r="I774">
        <f>_xlfn.XLOOKUP(Grammys[[#This Row],[date]],mobile_visits[date],mobile_visits[mobile_visitors],0)</f>
        <v>0</v>
      </c>
    </row>
    <row r="775" spans="1:9">
      <c r="A775" s="1">
        <v>43509</v>
      </c>
      <c r="B775">
        <v>581827</v>
      </c>
      <c r="C775">
        <v>1137085</v>
      </c>
      <c r="D775">
        <v>606438</v>
      </c>
      <c r="E775">
        <v>199640</v>
      </c>
      <c r="F775">
        <v>105</v>
      </c>
      <c r="G775" t="s">
        <v>83</v>
      </c>
      <c r="H775" t="str" cm="1">
        <f t="array" ref="H775">_xlfn.IFS(Grammys[[#This Row],[date]] &gt;= DATE(2022,2,1),"Grammys",TRUE,"Grammys TRA")</f>
        <v>Grammys TRA</v>
      </c>
      <c r="I775">
        <f>_xlfn.XLOOKUP(Grammys[[#This Row],[date]],mobile_visits[date],mobile_visits[mobile_visitors],0)</f>
        <v>0</v>
      </c>
    </row>
    <row r="776" spans="1:9">
      <c r="A776" s="1">
        <v>43510</v>
      </c>
      <c r="B776">
        <v>262693</v>
      </c>
      <c r="C776">
        <v>509914</v>
      </c>
      <c r="D776">
        <v>279235</v>
      </c>
      <c r="E776">
        <v>110270</v>
      </c>
      <c r="F776">
        <v>99</v>
      </c>
      <c r="G776" t="s">
        <v>83</v>
      </c>
      <c r="H776" t="str" cm="1">
        <f t="array" ref="H776">_xlfn.IFS(Grammys[[#This Row],[date]] &gt;= DATE(2022,2,1),"Grammys",TRUE,"Grammys TRA")</f>
        <v>Grammys TRA</v>
      </c>
      <c r="I776">
        <f>_xlfn.XLOOKUP(Grammys[[#This Row],[date]],mobile_visits[date],mobile_visits[mobile_visitors],0)</f>
        <v>0</v>
      </c>
    </row>
    <row r="777" spans="1:9">
      <c r="A777" s="1">
        <v>43511</v>
      </c>
      <c r="B777">
        <v>160188</v>
      </c>
      <c r="C777">
        <v>319546</v>
      </c>
      <c r="D777">
        <v>172766</v>
      </c>
      <c r="E777">
        <v>76035</v>
      </c>
      <c r="F777">
        <v>104</v>
      </c>
      <c r="G777" t="s">
        <v>83</v>
      </c>
      <c r="H777" t="str" cm="1">
        <f t="array" ref="H777">_xlfn.IFS(Grammys[[#This Row],[date]] &gt;= DATE(2022,2,1),"Grammys",TRUE,"Grammys TRA")</f>
        <v>Grammys TRA</v>
      </c>
      <c r="I777">
        <f>_xlfn.XLOOKUP(Grammys[[#This Row],[date]],mobile_visits[date],mobile_visits[mobile_visitors],0)</f>
        <v>0</v>
      </c>
    </row>
    <row r="778" spans="1:9">
      <c r="A778" s="1">
        <v>43512</v>
      </c>
      <c r="B778">
        <v>127694</v>
      </c>
      <c r="C778">
        <v>256767</v>
      </c>
      <c r="D778">
        <v>138135</v>
      </c>
      <c r="E778">
        <v>62810</v>
      </c>
      <c r="F778">
        <v>103</v>
      </c>
      <c r="G778" t="s">
        <v>83</v>
      </c>
      <c r="H778" t="str" cm="1">
        <f t="array" ref="H778">_xlfn.IFS(Grammys[[#This Row],[date]] &gt;= DATE(2022,2,1),"Grammys",TRUE,"Grammys TRA")</f>
        <v>Grammys TRA</v>
      </c>
      <c r="I778">
        <f>_xlfn.XLOOKUP(Grammys[[#This Row],[date]],mobile_visits[date],mobile_visits[mobile_visitors],0)</f>
        <v>0</v>
      </c>
    </row>
    <row r="779" spans="1:9">
      <c r="A779" s="1">
        <v>43513</v>
      </c>
      <c r="B779">
        <v>108026</v>
      </c>
      <c r="C779">
        <v>212415</v>
      </c>
      <c r="D779">
        <v>114833</v>
      </c>
      <c r="E779">
        <v>50791</v>
      </c>
      <c r="F779">
        <v>102</v>
      </c>
      <c r="G779" t="s">
        <v>83</v>
      </c>
      <c r="H779" t="str" cm="1">
        <f t="array" ref="H779">_xlfn.IFS(Grammys[[#This Row],[date]] &gt;= DATE(2022,2,1),"Grammys",TRUE,"Grammys TRA")</f>
        <v>Grammys TRA</v>
      </c>
      <c r="I779">
        <f>_xlfn.XLOOKUP(Grammys[[#This Row],[date]],mobile_visits[date],mobile_visits[mobile_visitors],0)</f>
        <v>0</v>
      </c>
    </row>
    <row r="780" spans="1:9">
      <c r="A780" s="1">
        <v>43514</v>
      </c>
      <c r="B780">
        <v>77774</v>
      </c>
      <c r="C780">
        <v>151607</v>
      </c>
      <c r="D780">
        <v>83121</v>
      </c>
      <c r="E780">
        <v>36931</v>
      </c>
      <c r="F780">
        <v>105</v>
      </c>
      <c r="G780" t="s">
        <v>83</v>
      </c>
      <c r="H780" t="str" cm="1">
        <f t="array" ref="H780">_xlfn.IFS(Grammys[[#This Row],[date]] &gt;= DATE(2022,2,1),"Grammys",TRUE,"Grammys TRA")</f>
        <v>Grammys TRA</v>
      </c>
      <c r="I780">
        <f>_xlfn.XLOOKUP(Grammys[[#This Row],[date]],mobile_visits[date],mobile_visits[mobile_visitors],0)</f>
        <v>0</v>
      </c>
    </row>
    <row r="781" spans="1:9">
      <c r="A781" s="1">
        <v>43515</v>
      </c>
      <c r="B781">
        <v>65533</v>
      </c>
      <c r="C781">
        <v>124452</v>
      </c>
      <c r="D781">
        <v>69865</v>
      </c>
      <c r="E781">
        <v>31971</v>
      </c>
      <c r="F781">
        <v>108</v>
      </c>
      <c r="G781" t="s">
        <v>83</v>
      </c>
      <c r="H781" t="str" cm="1">
        <f t="array" ref="H781">_xlfn.IFS(Grammys[[#This Row],[date]] &gt;= DATE(2022,2,1),"Grammys",TRUE,"Grammys TRA")</f>
        <v>Grammys TRA</v>
      </c>
      <c r="I781">
        <f>_xlfn.XLOOKUP(Grammys[[#This Row],[date]],mobile_visits[date],mobile_visits[mobile_visitors],0)</f>
        <v>0</v>
      </c>
    </row>
    <row r="782" spans="1:9">
      <c r="A782" s="1">
        <v>43516</v>
      </c>
      <c r="B782">
        <v>86186</v>
      </c>
      <c r="C782">
        <v>153757</v>
      </c>
      <c r="D782">
        <v>89759</v>
      </c>
      <c r="E782">
        <v>39171</v>
      </c>
      <c r="F782">
        <v>103</v>
      </c>
      <c r="G782" t="s">
        <v>83</v>
      </c>
      <c r="H782" t="str" cm="1">
        <f t="array" ref="H782">_xlfn.IFS(Grammys[[#This Row],[date]] &gt;= DATE(2022,2,1),"Grammys",TRUE,"Grammys TRA")</f>
        <v>Grammys TRA</v>
      </c>
      <c r="I782">
        <f>_xlfn.XLOOKUP(Grammys[[#This Row],[date]],mobile_visits[date],mobile_visits[mobile_visitors],0)</f>
        <v>0</v>
      </c>
    </row>
    <row r="783" spans="1:9">
      <c r="A783" s="1">
        <v>43517</v>
      </c>
      <c r="B783">
        <v>69340</v>
      </c>
      <c r="C783">
        <v>121003</v>
      </c>
      <c r="D783">
        <v>70986</v>
      </c>
      <c r="E783">
        <v>31802</v>
      </c>
      <c r="F783">
        <v>101</v>
      </c>
      <c r="G783" t="s">
        <v>83</v>
      </c>
      <c r="H783" t="str" cm="1">
        <f t="array" ref="H783">_xlfn.IFS(Grammys[[#This Row],[date]] &gt;= DATE(2022,2,1),"Grammys",TRUE,"Grammys TRA")</f>
        <v>Grammys TRA</v>
      </c>
      <c r="I783">
        <f>_xlfn.XLOOKUP(Grammys[[#This Row],[date]],mobile_visits[date],mobile_visits[mobile_visitors],0)</f>
        <v>0</v>
      </c>
    </row>
    <row r="784" spans="1:9">
      <c r="A784" s="1">
        <v>43518</v>
      </c>
      <c r="B784">
        <v>59623</v>
      </c>
      <c r="C784">
        <v>102010</v>
      </c>
      <c r="D784">
        <v>61742</v>
      </c>
      <c r="E784">
        <v>27754</v>
      </c>
      <c r="F784">
        <v>102</v>
      </c>
      <c r="G784" t="s">
        <v>83</v>
      </c>
      <c r="H784" t="str" cm="1">
        <f t="array" ref="H784">_xlfn.IFS(Grammys[[#This Row],[date]] &gt;= DATE(2022,2,1),"Grammys",TRUE,"Grammys TRA")</f>
        <v>Grammys TRA</v>
      </c>
      <c r="I784">
        <f>_xlfn.XLOOKUP(Grammys[[#This Row],[date]],mobile_visits[date],mobile_visits[mobile_visitors],0)</f>
        <v>0</v>
      </c>
    </row>
    <row r="785" spans="1:9">
      <c r="A785" s="1">
        <v>43519</v>
      </c>
      <c r="B785">
        <v>84807</v>
      </c>
      <c r="C785">
        <v>136496</v>
      </c>
      <c r="D785">
        <v>91101</v>
      </c>
      <c r="E785">
        <v>35767</v>
      </c>
      <c r="F785">
        <v>117</v>
      </c>
      <c r="G785" t="s">
        <v>83</v>
      </c>
      <c r="H785" t="str" cm="1">
        <f t="array" ref="H785">_xlfn.IFS(Grammys[[#This Row],[date]] &gt;= DATE(2022,2,1),"Grammys",TRUE,"Grammys TRA")</f>
        <v>Grammys TRA</v>
      </c>
      <c r="I785">
        <f>_xlfn.XLOOKUP(Grammys[[#This Row],[date]],mobile_visits[date],mobile_visits[mobile_visitors],0)</f>
        <v>0</v>
      </c>
    </row>
    <row r="786" spans="1:9">
      <c r="A786" s="1">
        <v>43520</v>
      </c>
      <c r="B786">
        <v>113431</v>
      </c>
      <c r="C786">
        <v>185158</v>
      </c>
      <c r="D786">
        <v>118584</v>
      </c>
      <c r="E786">
        <v>48063</v>
      </c>
      <c r="F786">
        <v>88</v>
      </c>
      <c r="G786" t="s">
        <v>83</v>
      </c>
      <c r="H786" t="str" cm="1">
        <f t="array" ref="H786">_xlfn.IFS(Grammys[[#This Row],[date]] &gt;= DATE(2022,2,1),"Grammys",TRUE,"Grammys TRA")</f>
        <v>Grammys TRA</v>
      </c>
      <c r="I786">
        <f>_xlfn.XLOOKUP(Grammys[[#This Row],[date]],mobile_visits[date],mobile_visits[mobile_visitors],0)</f>
        <v>0</v>
      </c>
    </row>
    <row r="787" spans="1:9">
      <c r="A787" s="1">
        <v>43521</v>
      </c>
      <c r="B787">
        <v>102842</v>
      </c>
      <c r="C787">
        <v>159223</v>
      </c>
      <c r="D787">
        <v>109512</v>
      </c>
      <c r="E787">
        <v>47912</v>
      </c>
      <c r="F787">
        <v>86</v>
      </c>
      <c r="G787" t="s">
        <v>83</v>
      </c>
      <c r="H787" t="str" cm="1">
        <f t="array" ref="H787">_xlfn.IFS(Grammys[[#This Row],[date]] &gt;= DATE(2022,2,1),"Grammys",TRUE,"Grammys TRA")</f>
        <v>Grammys TRA</v>
      </c>
      <c r="I787">
        <f>_xlfn.XLOOKUP(Grammys[[#This Row],[date]],mobile_visits[date],mobile_visits[mobile_visitors],0)</f>
        <v>0</v>
      </c>
    </row>
    <row r="788" spans="1:9">
      <c r="A788" s="1">
        <v>43522</v>
      </c>
      <c r="B788">
        <v>57188</v>
      </c>
      <c r="C788">
        <v>88008</v>
      </c>
      <c r="D788">
        <v>59718</v>
      </c>
      <c r="E788">
        <v>28044</v>
      </c>
      <c r="F788">
        <v>91</v>
      </c>
      <c r="G788" t="s">
        <v>83</v>
      </c>
      <c r="H788" t="str" cm="1">
        <f t="array" ref="H788">_xlfn.IFS(Grammys[[#This Row],[date]] &gt;= DATE(2022,2,1),"Grammys",TRUE,"Grammys TRA")</f>
        <v>Grammys TRA</v>
      </c>
      <c r="I788">
        <f>_xlfn.XLOOKUP(Grammys[[#This Row],[date]],mobile_visits[date],mobile_visits[mobile_visitors],0)</f>
        <v>0</v>
      </c>
    </row>
    <row r="789" spans="1:9">
      <c r="A789" s="1">
        <v>43523</v>
      </c>
      <c r="B789">
        <v>202980</v>
      </c>
      <c r="C789">
        <v>352906</v>
      </c>
      <c r="D789">
        <v>215909</v>
      </c>
      <c r="E789">
        <v>81722</v>
      </c>
      <c r="F789">
        <v>106</v>
      </c>
      <c r="G789" t="s">
        <v>83</v>
      </c>
      <c r="H789" t="str" cm="1">
        <f t="array" ref="H789">_xlfn.IFS(Grammys[[#This Row],[date]] &gt;= DATE(2022,2,1),"Grammys",TRUE,"Grammys TRA")</f>
        <v>Grammys TRA</v>
      </c>
      <c r="I789">
        <f>_xlfn.XLOOKUP(Grammys[[#This Row],[date]],mobile_visits[date],mobile_visits[mobile_visitors],0)</f>
        <v>0</v>
      </c>
    </row>
    <row r="790" spans="1:9">
      <c r="A790" s="1">
        <v>43524</v>
      </c>
      <c r="B790">
        <v>63723</v>
      </c>
      <c r="C790">
        <v>96865</v>
      </c>
      <c r="D790">
        <v>67385</v>
      </c>
      <c r="E790">
        <v>32709</v>
      </c>
      <c r="F790">
        <v>83</v>
      </c>
      <c r="G790" t="s">
        <v>83</v>
      </c>
      <c r="H790" t="str" cm="1">
        <f t="array" ref="H790">_xlfn.IFS(Grammys[[#This Row],[date]] &gt;= DATE(2022,2,1),"Grammys",TRUE,"Grammys TRA")</f>
        <v>Grammys TRA</v>
      </c>
      <c r="I790">
        <f>_xlfn.XLOOKUP(Grammys[[#This Row],[date]],mobile_visits[date],mobile_visits[mobile_visitors],0)</f>
        <v>0</v>
      </c>
    </row>
    <row r="791" spans="1:9">
      <c r="A791" s="1">
        <v>43525</v>
      </c>
      <c r="B791">
        <v>50175</v>
      </c>
      <c r="C791">
        <v>74412</v>
      </c>
      <c r="D791">
        <v>52749</v>
      </c>
      <c r="E791">
        <v>26544</v>
      </c>
      <c r="F791">
        <v>80</v>
      </c>
      <c r="G791" t="s">
        <v>83</v>
      </c>
      <c r="H791" t="str" cm="1">
        <f t="array" ref="H791">_xlfn.IFS(Grammys[[#This Row],[date]] &gt;= DATE(2022,2,1),"Grammys",TRUE,"Grammys TRA")</f>
        <v>Grammys TRA</v>
      </c>
      <c r="I791">
        <f>_xlfn.XLOOKUP(Grammys[[#This Row],[date]],mobile_visits[date],mobile_visits[mobile_visitors],0)</f>
        <v>0</v>
      </c>
    </row>
    <row r="792" spans="1:9">
      <c r="A792" s="1">
        <v>43526</v>
      </c>
      <c r="B792">
        <v>39966</v>
      </c>
      <c r="C792">
        <v>59770</v>
      </c>
      <c r="D792">
        <v>42359</v>
      </c>
      <c r="E792">
        <v>20951</v>
      </c>
      <c r="F792">
        <v>80</v>
      </c>
      <c r="G792" t="s">
        <v>83</v>
      </c>
      <c r="H792" t="str" cm="1">
        <f t="array" ref="H792">_xlfn.IFS(Grammys[[#This Row],[date]] &gt;= DATE(2022,2,1),"Grammys",TRUE,"Grammys TRA")</f>
        <v>Grammys TRA</v>
      </c>
      <c r="I792">
        <f>_xlfn.XLOOKUP(Grammys[[#This Row],[date]],mobile_visits[date],mobile_visits[mobile_visitors],0)</f>
        <v>0</v>
      </c>
    </row>
    <row r="793" spans="1:9">
      <c r="A793" s="1">
        <v>43527</v>
      </c>
      <c r="B793">
        <v>33334</v>
      </c>
      <c r="C793">
        <v>49948</v>
      </c>
      <c r="D793">
        <v>34898</v>
      </c>
      <c r="E793">
        <v>17289</v>
      </c>
      <c r="F793">
        <v>84</v>
      </c>
      <c r="G793" t="s">
        <v>83</v>
      </c>
      <c r="H793" t="str" cm="1">
        <f t="array" ref="H793">_xlfn.IFS(Grammys[[#This Row],[date]] &gt;= DATE(2022,2,1),"Grammys",TRUE,"Grammys TRA")</f>
        <v>Grammys TRA</v>
      </c>
      <c r="I793">
        <f>_xlfn.XLOOKUP(Grammys[[#This Row],[date]],mobile_visits[date],mobile_visits[mobile_visitors],0)</f>
        <v>0</v>
      </c>
    </row>
    <row r="794" spans="1:9">
      <c r="A794" s="1">
        <v>43528</v>
      </c>
      <c r="B794">
        <v>27474</v>
      </c>
      <c r="C794">
        <v>41430</v>
      </c>
      <c r="D794">
        <v>28873</v>
      </c>
      <c r="E794">
        <v>15020</v>
      </c>
      <c r="F794">
        <v>85</v>
      </c>
      <c r="G794" t="s">
        <v>83</v>
      </c>
      <c r="H794" t="str" cm="1">
        <f t="array" ref="H794">_xlfn.IFS(Grammys[[#This Row],[date]] &gt;= DATE(2022,2,1),"Grammys",TRUE,"Grammys TRA")</f>
        <v>Grammys TRA</v>
      </c>
      <c r="I794">
        <f>_xlfn.XLOOKUP(Grammys[[#This Row],[date]],mobile_visits[date],mobile_visits[mobile_visitors],0)</f>
        <v>0</v>
      </c>
    </row>
    <row r="795" spans="1:9">
      <c r="A795" s="1">
        <v>43529</v>
      </c>
      <c r="B795">
        <v>23031</v>
      </c>
      <c r="C795">
        <v>35805</v>
      </c>
      <c r="D795">
        <v>24472</v>
      </c>
      <c r="E795">
        <v>12856</v>
      </c>
      <c r="F795">
        <v>82</v>
      </c>
      <c r="G795" t="s">
        <v>83</v>
      </c>
      <c r="H795" t="str" cm="1">
        <f t="array" ref="H795">_xlfn.IFS(Grammys[[#This Row],[date]] &gt;= DATE(2022,2,1),"Grammys",TRUE,"Grammys TRA")</f>
        <v>Grammys TRA</v>
      </c>
      <c r="I795">
        <f>_xlfn.XLOOKUP(Grammys[[#This Row],[date]],mobile_visits[date],mobile_visits[mobile_visitors],0)</f>
        <v>0</v>
      </c>
    </row>
    <row r="796" spans="1:9">
      <c r="A796" s="1">
        <v>43530</v>
      </c>
      <c r="B796">
        <v>23428</v>
      </c>
      <c r="C796">
        <v>34070</v>
      </c>
      <c r="D796">
        <v>23988</v>
      </c>
      <c r="E796">
        <v>12642</v>
      </c>
      <c r="F796">
        <v>76</v>
      </c>
      <c r="G796" t="s">
        <v>83</v>
      </c>
      <c r="H796" t="str" cm="1">
        <f t="array" ref="H796">_xlfn.IFS(Grammys[[#This Row],[date]] &gt;= DATE(2022,2,1),"Grammys",TRUE,"Grammys TRA")</f>
        <v>Grammys TRA</v>
      </c>
      <c r="I796">
        <f>_xlfn.XLOOKUP(Grammys[[#This Row],[date]],mobile_visits[date],mobile_visits[mobile_visitors],0)</f>
        <v>0</v>
      </c>
    </row>
    <row r="797" spans="1:9">
      <c r="A797" s="1">
        <v>43531</v>
      </c>
      <c r="B797">
        <v>28237</v>
      </c>
      <c r="C797">
        <v>40576</v>
      </c>
      <c r="D797">
        <v>29692</v>
      </c>
      <c r="E797">
        <v>13923</v>
      </c>
      <c r="F797">
        <v>103</v>
      </c>
      <c r="G797" t="s">
        <v>83</v>
      </c>
      <c r="H797" t="str" cm="1">
        <f t="array" ref="H797">_xlfn.IFS(Grammys[[#This Row],[date]] &gt;= DATE(2022,2,1),"Grammys",TRUE,"Grammys TRA")</f>
        <v>Grammys TRA</v>
      </c>
      <c r="I797">
        <f>_xlfn.XLOOKUP(Grammys[[#This Row],[date]],mobile_visits[date],mobile_visits[mobile_visitors],0)</f>
        <v>0</v>
      </c>
    </row>
    <row r="798" spans="1:9">
      <c r="A798" s="1">
        <v>43532</v>
      </c>
      <c r="B798">
        <v>26165</v>
      </c>
      <c r="C798">
        <v>36537</v>
      </c>
      <c r="D798">
        <v>27326</v>
      </c>
      <c r="E798">
        <v>13459</v>
      </c>
      <c r="F798">
        <v>86</v>
      </c>
      <c r="G798" t="s">
        <v>83</v>
      </c>
      <c r="H798" t="str" cm="1">
        <f t="array" ref="H798">_xlfn.IFS(Grammys[[#This Row],[date]] &gt;= DATE(2022,2,1),"Grammys",TRUE,"Grammys TRA")</f>
        <v>Grammys TRA</v>
      </c>
      <c r="I798">
        <f>_xlfn.XLOOKUP(Grammys[[#This Row],[date]],mobile_visits[date],mobile_visits[mobile_visitors],0)</f>
        <v>0</v>
      </c>
    </row>
    <row r="799" spans="1:9">
      <c r="A799" s="1">
        <v>43533</v>
      </c>
      <c r="B799">
        <v>24003</v>
      </c>
      <c r="C799">
        <v>34300</v>
      </c>
      <c r="D799">
        <v>25061</v>
      </c>
      <c r="E799">
        <v>12135</v>
      </c>
      <c r="F799">
        <v>77</v>
      </c>
      <c r="G799" t="s">
        <v>83</v>
      </c>
      <c r="H799" t="str" cm="1">
        <f t="array" ref="H799">_xlfn.IFS(Grammys[[#This Row],[date]] &gt;= DATE(2022,2,1),"Grammys",TRUE,"Grammys TRA")</f>
        <v>Grammys TRA</v>
      </c>
      <c r="I799">
        <f>_xlfn.XLOOKUP(Grammys[[#This Row],[date]],mobile_visits[date],mobile_visits[mobile_visitors],0)</f>
        <v>0</v>
      </c>
    </row>
    <row r="800" spans="1:9">
      <c r="A800" s="1">
        <v>43534</v>
      </c>
      <c r="B800">
        <v>38020</v>
      </c>
      <c r="C800">
        <v>54122</v>
      </c>
      <c r="D800">
        <v>39990</v>
      </c>
      <c r="E800">
        <v>18804</v>
      </c>
      <c r="F800">
        <v>73</v>
      </c>
      <c r="G800" t="s">
        <v>83</v>
      </c>
      <c r="H800" t="str" cm="1">
        <f t="array" ref="H800">_xlfn.IFS(Grammys[[#This Row],[date]] &gt;= DATE(2022,2,1),"Grammys",TRUE,"Grammys TRA")</f>
        <v>Grammys TRA</v>
      </c>
      <c r="I800">
        <f>_xlfn.XLOOKUP(Grammys[[#This Row],[date]],mobile_visits[date],mobile_visits[mobile_visitors],0)</f>
        <v>0</v>
      </c>
    </row>
    <row r="801" spans="1:9">
      <c r="A801" s="1">
        <v>43535</v>
      </c>
      <c r="B801">
        <v>26326</v>
      </c>
      <c r="C801">
        <v>39271</v>
      </c>
      <c r="D801">
        <v>27647</v>
      </c>
      <c r="E801">
        <v>13478</v>
      </c>
      <c r="F801">
        <v>82</v>
      </c>
      <c r="G801" t="s">
        <v>83</v>
      </c>
      <c r="H801" t="str" cm="1">
        <f t="array" ref="H801">_xlfn.IFS(Grammys[[#This Row],[date]] &gt;= DATE(2022,2,1),"Grammys",TRUE,"Grammys TRA")</f>
        <v>Grammys TRA</v>
      </c>
      <c r="I801">
        <f>_xlfn.XLOOKUP(Grammys[[#This Row],[date]],mobile_visits[date],mobile_visits[mobile_visitors],0)</f>
        <v>0</v>
      </c>
    </row>
    <row r="802" spans="1:9">
      <c r="A802" s="1">
        <v>43536</v>
      </c>
      <c r="B802">
        <v>21661</v>
      </c>
      <c r="C802">
        <v>32256</v>
      </c>
      <c r="D802">
        <v>22777</v>
      </c>
      <c r="E802">
        <v>11605</v>
      </c>
      <c r="F802">
        <v>79</v>
      </c>
      <c r="G802" t="s">
        <v>83</v>
      </c>
      <c r="H802" t="str" cm="1">
        <f t="array" ref="H802">_xlfn.IFS(Grammys[[#This Row],[date]] &gt;= DATE(2022,2,1),"Grammys",TRUE,"Grammys TRA")</f>
        <v>Grammys TRA</v>
      </c>
      <c r="I802">
        <f>_xlfn.XLOOKUP(Grammys[[#This Row],[date]],mobile_visits[date],mobile_visits[mobile_visitors],0)</f>
        <v>0</v>
      </c>
    </row>
    <row r="803" spans="1:9">
      <c r="A803" s="1">
        <v>43537</v>
      </c>
      <c r="B803">
        <v>23679</v>
      </c>
      <c r="C803">
        <v>33671</v>
      </c>
      <c r="D803">
        <v>25071</v>
      </c>
      <c r="E803">
        <v>11821</v>
      </c>
      <c r="F803">
        <v>77</v>
      </c>
      <c r="G803" t="s">
        <v>83</v>
      </c>
      <c r="H803" t="str" cm="1">
        <f t="array" ref="H803">_xlfn.IFS(Grammys[[#This Row],[date]] &gt;= DATE(2022,2,1),"Grammys",TRUE,"Grammys TRA")</f>
        <v>Grammys TRA</v>
      </c>
      <c r="I803">
        <f>_xlfn.XLOOKUP(Grammys[[#This Row],[date]],mobile_visits[date],mobile_visits[mobile_visitors],0)</f>
        <v>0</v>
      </c>
    </row>
    <row r="804" spans="1:9">
      <c r="A804" s="1">
        <v>43538</v>
      </c>
      <c r="B804">
        <v>28496</v>
      </c>
      <c r="C804">
        <v>38551</v>
      </c>
      <c r="D804">
        <v>29317</v>
      </c>
      <c r="E804">
        <v>14914</v>
      </c>
      <c r="F804">
        <v>70</v>
      </c>
      <c r="G804" t="s">
        <v>83</v>
      </c>
      <c r="H804" t="str" cm="1">
        <f t="array" ref="H804">_xlfn.IFS(Grammys[[#This Row],[date]] &gt;= DATE(2022,2,1),"Grammys",TRUE,"Grammys TRA")</f>
        <v>Grammys TRA</v>
      </c>
      <c r="I804">
        <f>_xlfn.XLOOKUP(Grammys[[#This Row],[date]],mobile_visits[date],mobile_visits[mobile_visitors],0)</f>
        <v>0</v>
      </c>
    </row>
    <row r="805" spans="1:9">
      <c r="A805" s="1">
        <v>43539</v>
      </c>
      <c r="B805">
        <v>21397</v>
      </c>
      <c r="C805">
        <v>30525</v>
      </c>
      <c r="D805">
        <v>22659</v>
      </c>
      <c r="E805">
        <v>11964</v>
      </c>
      <c r="F805">
        <v>72</v>
      </c>
      <c r="G805" t="s">
        <v>83</v>
      </c>
      <c r="H805" t="str" cm="1">
        <f t="array" ref="H805">_xlfn.IFS(Grammys[[#This Row],[date]] &gt;= DATE(2022,2,1),"Grammys",TRUE,"Grammys TRA")</f>
        <v>Grammys TRA</v>
      </c>
      <c r="I805">
        <f>_xlfn.XLOOKUP(Grammys[[#This Row],[date]],mobile_visits[date],mobile_visits[mobile_visitors],0)</f>
        <v>0</v>
      </c>
    </row>
    <row r="806" spans="1:9">
      <c r="A806" s="1">
        <v>43540</v>
      </c>
      <c r="B806">
        <v>20086</v>
      </c>
      <c r="C806">
        <v>28442</v>
      </c>
      <c r="D806">
        <v>21193</v>
      </c>
      <c r="E806">
        <v>11165</v>
      </c>
      <c r="F806">
        <v>64</v>
      </c>
      <c r="G806" t="s">
        <v>83</v>
      </c>
      <c r="H806" t="str" cm="1">
        <f t="array" ref="H806">_xlfn.IFS(Grammys[[#This Row],[date]] &gt;= DATE(2022,2,1),"Grammys",TRUE,"Grammys TRA")</f>
        <v>Grammys TRA</v>
      </c>
      <c r="I806">
        <f>_xlfn.XLOOKUP(Grammys[[#This Row],[date]],mobile_visits[date],mobile_visits[mobile_visitors],0)</f>
        <v>0</v>
      </c>
    </row>
    <row r="807" spans="1:9">
      <c r="A807" s="1">
        <v>43541</v>
      </c>
      <c r="B807">
        <v>17242</v>
      </c>
      <c r="C807">
        <v>25169</v>
      </c>
      <c r="D807">
        <v>18164</v>
      </c>
      <c r="E807">
        <v>9491</v>
      </c>
      <c r="F807">
        <v>74</v>
      </c>
      <c r="G807" t="s">
        <v>83</v>
      </c>
      <c r="H807" t="str" cm="1">
        <f t="array" ref="H807">_xlfn.IFS(Grammys[[#This Row],[date]] &gt;= DATE(2022,2,1),"Grammys",TRUE,"Grammys TRA")</f>
        <v>Grammys TRA</v>
      </c>
      <c r="I807">
        <f>_xlfn.XLOOKUP(Grammys[[#This Row],[date]],mobile_visits[date],mobile_visits[mobile_visitors],0)</f>
        <v>0</v>
      </c>
    </row>
    <row r="808" spans="1:9">
      <c r="A808" s="1">
        <v>43542</v>
      </c>
      <c r="B808">
        <v>19456</v>
      </c>
      <c r="C808">
        <v>28043</v>
      </c>
      <c r="D808">
        <v>20388</v>
      </c>
      <c r="E808">
        <v>10841</v>
      </c>
      <c r="F808">
        <v>76</v>
      </c>
      <c r="G808" t="s">
        <v>83</v>
      </c>
      <c r="H808" t="str" cm="1">
        <f t="array" ref="H808">_xlfn.IFS(Grammys[[#This Row],[date]] &gt;= DATE(2022,2,1),"Grammys",TRUE,"Grammys TRA")</f>
        <v>Grammys TRA</v>
      </c>
      <c r="I808">
        <f>_xlfn.XLOOKUP(Grammys[[#This Row],[date]],mobile_visits[date],mobile_visits[mobile_visitors],0)</f>
        <v>0</v>
      </c>
    </row>
    <row r="809" spans="1:9">
      <c r="A809" s="1">
        <v>43543</v>
      </c>
      <c r="B809">
        <v>20798</v>
      </c>
      <c r="C809">
        <v>29004</v>
      </c>
      <c r="D809">
        <v>21840</v>
      </c>
      <c r="E809">
        <v>11204</v>
      </c>
      <c r="F809">
        <v>71</v>
      </c>
      <c r="G809" t="s">
        <v>83</v>
      </c>
      <c r="H809" t="str" cm="1">
        <f t="array" ref="H809">_xlfn.IFS(Grammys[[#This Row],[date]] &gt;= DATE(2022,2,1),"Grammys",TRUE,"Grammys TRA")</f>
        <v>Grammys TRA</v>
      </c>
      <c r="I809">
        <f>_xlfn.XLOOKUP(Grammys[[#This Row],[date]],mobile_visits[date],mobile_visits[mobile_visitors],0)</f>
        <v>0</v>
      </c>
    </row>
    <row r="810" spans="1:9">
      <c r="A810" s="1">
        <v>43544</v>
      </c>
      <c r="B810">
        <v>20993</v>
      </c>
      <c r="C810">
        <v>29559</v>
      </c>
      <c r="D810">
        <v>21934</v>
      </c>
      <c r="E810">
        <v>11303</v>
      </c>
      <c r="F810">
        <v>72</v>
      </c>
      <c r="G810" t="s">
        <v>83</v>
      </c>
      <c r="H810" t="str" cm="1">
        <f t="array" ref="H810">_xlfn.IFS(Grammys[[#This Row],[date]] &gt;= DATE(2022,2,1),"Grammys",TRUE,"Grammys TRA")</f>
        <v>Grammys TRA</v>
      </c>
      <c r="I810">
        <f>_xlfn.XLOOKUP(Grammys[[#This Row],[date]],mobile_visits[date],mobile_visits[mobile_visitors],0)</f>
        <v>0</v>
      </c>
    </row>
    <row r="811" spans="1:9">
      <c r="A811" s="1">
        <v>43545</v>
      </c>
      <c r="B811">
        <v>17566</v>
      </c>
      <c r="C811">
        <v>24935</v>
      </c>
      <c r="D811">
        <v>18394</v>
      </c>
      <c r="E811">
        <v>9597</v>
      </c>
      <c r="F811">
        <v>75</v>
      </c>
      <c r="G811" t="s">
        <v>83</v>
      </c>
      <c r="H811" t="str" cm="1">
        <f t="array" ref="H811">_xlfn.IFS(Grammys[[#This Row],[date]] &gt;= DATE(2022,2,1),"Grammys",TRUE,"Grammys TRA")</f>
        <v>Grammys TRA</v>
      </c>
      <c r="I811">
        <f>_xlfn.XLOOKUP(Grammys[[#This Row],[date]],mobile_visits[date],mobile_visits[mobile_visitors],0)</f>
        <v>0</v>
      </c>
    </row>
    <row r="812" spans="1:9">
      <c r="A812" s="1">
        <v>43546</v>
      </c>
      <c r="B812">
        <v>16062</v>
      </c>
      <c r="C812">
        <v>22612</v>
      </c>
      <c r="D812">
        <v>16925</v>
      </c>
      <c r="E812">
        <v>9000</v>
      </c>
      <c r="F812">
        <v>69</v>
      </c>
      <c r="G812" t="s">
        <v>83</v>
      </c>
      <c r="H812" t="str" cm="1">
        <f t="array" ref="H812">_xlfn.IFS(Grammys[[#This Row],[date]] &gt;= DATE(2022,2,1),"Grammys",TRUE,"Grammys TRA")</f>
        <v>Grammys TRA</v>
      </c>
      <c r="I812">
        <f>_xlfn.XLOOKUP(Grammys[[#This Row],[date]],mobile_visits[date],mobile_visits[mobile_visitors],0)</f>
        <v>0</v>
      </c>
    </row>
    <row r="813" spans="1:9">
      <c r="A813" s="1">
        <v>43547</v>
      </c>
      <c r="B813">
        <v>15258</v>
      </c>
      <c r="C813">
        <v>21927</v>
      </c>
      <c r="D813">
        <v>16143</v>
      </c>
      <c r="E813">
        <v>8319</v>
      </c>
      <c r="F813">
        <v>69</v>
      </c>
      <c r="G813" t="s">
        <v>83</v>
      </c>
      <c r="H813" t="str" cm="1">
        <f t="array" ref="H813">_xlfn.IFS(Grammys[[#This Row],[date]] &gt;= DATE(2022,2,1),"Grammys",TRUE,"Grammys TRA")</f>
        <v>Grammys TRA</v>
      </c>
      <c r="I813">
        <f>_xlfn.XLOOKUP(Grammys[[#This Row],[date]],mobile_visits[date],mobile_visits[mobile_visitors],0)</f>
        <v>0</v>
      </c>
    </row>
    <row r="814" spans="1:9">
      <c r="A814" s="1">
        <v>43548</v>
      </c>
      <c r="B814">
        <v>15189</v>
      </c>
      <c r="C814">
        <v>21879</v>
      </c>
      <c r="D814">
        <v>16044</v>
      </c>
      <c r="E814">
        <v>8377</v>
      </c>
      <c r="F814">
        <v>74</v>
      </c>
      <c r="G814" t="s">
        <v>83</v>
      </c>
      <c r="H814" t="str" cm="1">
        <f t="array" ref="H814">_xlfn.IFS(Grammys[[#This Row],[date]] &gt;= DATE(2022,2,1),"Grammys",TRUE,"Grammys TRA")</f>
        <v>Grammys TRA</v>
      </c>
      <c r="I814">
        <f>_xlfn.XLOOKUP(Grammys[[#This Row],[date]],mobile_visits[date],mobile_visits[mobile_visitors],0)</f>
        <v>0</v>
      </c>
    </row>
    <row r="815" spans="1:9">
      <c r="A815" s="1">
        <v>43549</v>
      </c>
      <c r="B815">
        <v>16231</v>
      </c>
      <c r="C815">
        <v>23485</v>
      </c>
      <c r="D815">
        <v>17043</v>
      </c>
      <c r="E815">
        <v>9059</v>
      </c>
      <c r="F815">
        <v>76</v>
      </c>
      <c r="G815" t="s">
        <v>83</v>
      </c>
      <c r="H815" t="str" cm="1">
        <f t="array" ref="H815">_xlfn.IFS(Grammys[[#This Row],[date]] &gt;= DATE(2022,2,1),"Grammys",TRUE,"Grammys TRA")</f>
        <v>Grammys TRA</v>
      </c>
      <c r="I815">
        <f>_xlfn.XLOOKUP(Grammys[[#This Row],[date]],mobile_visits[date],mobile_visits[mobile_visitors],0)</f>
        <v>0</v>
      </c>
    </row>
    <row r="816" spans="1:9">
      <c r="A816" s="1">
        <v>43550</v>
      </c>
      <c r="B816">
        <v>19386</v>
      </c>
      <c r="C816">
        <v>26646</v>
      </c>
      <c r="D816">
        <v>20230</v>
      </c>
      <c r="E816">
        <v>9802</v>
      </c>
      <c r="F816">
        <v>92</v>
      </c>
      <c r="G816" t="s">
        <v>83</v>
      </c>
      <c r="H816" t="str" cm="1">
        <f t="array" ref="H816">_xlfn.IFS(Grammys[[#This Row],[date]] &gt;= DATE(2022,2,1),"Grammys",TRUE,"Grammys TRA")</f>
        <v>Grammys TRA</v>
      </c>
      <c r="I816">
        <f>_xlfn.XLOOKUP(Grammys[[#This Row],[date]],mobile_visits[date],mobile_visits[mobile_visitors],0)</f>
        <v>0</v>
      </c>
    </row>
    <row r="817" spans="1:9">
      <c r="A817" s="1">
        <v>43551</v>
      </c>
      <c r="B817">
        <v>17243</v>
      </c>
      <c r="C817">
        <v>24409</v>
      </c>
      <c r="D817">
        <v>18032</v>
      </c>
      <c r="E817">
        <v>9381</v>
      </c>
      <c r="F817">
        <v>76</v>
      </c>
      <c r="G817" t="s">
        <v>83</v>
      </c>
      <c r="H817" t="str" cm="1">
        <f t="array" ref="H817">_xlfn.IFS(Grammys[[#This Row],[date]] &gt;= DATE(2022,2,1),"Grammys",TRUE,"Grammys TRA")</f>
        <v>Grammys TRA</v>
      </c>
      <c r="I817">
        <f>_xlfn.XLOOKUP(Grammys[[#This Row],[date]],mobile_visits[date],mobile_visits[mobile_visitors],0)</f>
        <v>0</v>
      </c>
    </row>
    <row r="818" spans="1:9">
      <c r="A818" s="1">
        <v>43552</v>
      </c>
      <c r="B818">
        <v>18838</v>
      </c>
      <c r="C818">
        <v>26341</v>
      </c>
      <c r="D818">
        <v>19868</v>
      </c>
      <c r="E818">
        <v>9575</v>
      </c>
      <c r="F818">
        <v>68</v>
      </c>
      <c r="G818" t="s">
        <v>83</v>
      </c>
      <c r="H818" t="str" cm="1">
        <f t="array" ref="H818">_xlfn.IFS(Grammys[[#This Row],[date]] &gt;= DATE(2022,2,1),"Grammys",TRUE,"Grammys TRA")</f>
        <v>Grammys TRA</v>
      </c>
      <c r="I818">
        <f>_xlfn.XLOOKUP(Grammys[[#This Row],[date]],mobile_visits[date],mobile_visits[mobile_visitors],0)</f>
        <v>0</v>
      </c>
    </row>
    <row r="819" spans="1:9">
      <c r="A819" s="1">
        <v>43553</v>
      </c>
      <c r="B819">
        <v>16320</v>
      </c>
      <c r="C819">
        <v>23334</v>
      </c>
      <c r="D819">
        <v>17171</v>
      </c>
      <c r="E819">
        <v>9154</v>
      </c>
      <c r="F819">
        <v>68</v>
      </c>
      <c r="G819" t="s">
        <v>83</v>
      </c>
      <c r="H819" t="str" cm="1">
        <f t="array" ref="H819">_xlfn.IFS(Grammys[[#This Row],[date]] &gt;= DATE(2022,2,1),"Grammys",TRUE,"Grammys TRA")</f>
        <v>Grammys TRA</v>
      </c>
      <c r="I819">
        <f>_xlfn.XLOOKUP(Grammys[[#This Row],[date]],mobile_visits[date],mobile_visits[mobile_visitors],0)</f>
        <v>0</v>
      </c>
    </row>
    <row r="820" spans="1:9">
      <c r="A820" s="1">
        <v>43554</v>
      </c>
      <c r="B820">
        <v>14453</v>
      </c>
      <c r="C820">
        <v>20525</v>
      </c>
      <c r="D820">
        <v>15117</v>
      </c>
      <c r="E820">
        <v>7896</v>
      </c>
      <c r="F820">
        <v>70</v>
      </c>
      <c r="G820" t="s">
        <v>83</v>
      </c>
      <c r="H820" t="str" cm="1">
        <f t="array" ref="H820">_xlfn.IFS(Grammys[[#This Row],[date]] &gt;= DATE(2022,2,1),"Grammys",TRUE,"Grammys TRA")</f>
        <v>Grammys TRA</v>
      </c>
      <c r="I820">
        <f>_xlfn.XLOOKUP(Grammys[[#This Row],[date]],mobile_visits[date],mobile_visits[mobile_visitors],0)</f>
        <v>0</v>
      </c>
    </row>
    <row r="821" spans="1:9">
      <c r="A821" s="1">
        <v>43555</v>
      </c>
      <c r="B821">
        <v>16833</v>
      </c>
      <c r="C821">
        <v>23637</v>
      </c>
      <c r="D821">
        <v>17673</v>
      </c>
      <c r="E821">
        <v>9569</v>
      </c>
      <c r="F821">
        <v>66</v>
      </c>
      <c r="G821" t="s">
        <v>83</v>
      </c>
      <c r="H821" t="str" cm="1">
        <f t="array" ref="H821">_xlfn.IFS(Grammys[[#This Row],[date]] &gt;= DATE(2022,2,1),"Grammys",TRUE,"Grammys TRA")</f>
        <v>Grammys TRA</v>
      </c>
      <c r="I821">
        <f>_xlfn.XLOOKUP(Grammys[[#This Row],[date]],mobile_visits[date],mobile_visits[mobile_visitors],0)</f>
        <v>0</v>
      </c>
    </row>
    <row r="822" spans="1:9">
      <c r="A822" s="1">
        <v>43556</v>
      </c>
      <c r="B822">
        <v>21656</v>
      </c>
      <c r="C822">
        <v>30396</v>
      </c>
      <c r="D822">
        <v>22570</v>
      </c>
      <c r="E822">
        <v>13310</v>
      </c>
      <c r="F822">
        <v>64</v>
      </c>
      <c r="G822" t="s">
        <v>83</v>
      </c>
      <c r="H822" t="str" cm="1">
        <f t="array" ref="H822">_xlfn.IFS(Grammys[[#This Row],[date]] &gt;= DATE(2022,2,1),"Grammys",TRUE,"Grammys TRA")</f>
        <v>Grammys TRA</v>
      </c>
      <c r="I822">
        <f>_xlfn.XLOOKUP(Grammys[[#This Row],[date]],mobile_visits[date],mobile_visits[mobile_visitors],0)</f>
        <v>0</v>
      </c>
    </row>
    <row r="823" spans="1:9">
      <c r="A823" s="1">
        <v>43557</v>
      </c>
      <c r="B823">
        <v>17788</v>
      </c>
      <c r="C823">
        <v>25540</v>
      </c>
      <c r="D823">
        <v>18376</v>
      </c>
      <c r="E823">
        <v>10001</v>
      </c>
      <c r="F823">
        <v>74</v>
      </c>
      <c r="G823" t="s">
        <v>83</v>
      </c>
      <c r="H823" t="str" cm="1">
        <f t="array" ref="H823">_xlfn.IFS(Grammys[[#This Row],[date]] &gt;= DATE(2022,2,1),"Grammys",TRUE,"Grammys TRA")</f>
        <v>Grammys TRA</v>
      </c>
      <c r="I823">
        <f>_xlfn.XLOOKUP(Grammys[[#This Row],[date]],mobile_visits[date],mobile_visits[mobile_visitors],0)</f>
        <v>0</v>
      </c>
    </row>
    <row r="824" spans="1:9">
      <c r="A824" s="1">
        <v>43558</v>
      </c>
      <c r="B824">
        <v>16558</v>
      </c>
      <c r="C824">
        <v>23438</v>
      </c>
      <c r="D824">
        <v>17386</v>
      </c>
      <c r="E824">
        <v>9474</v>
      </c>
      <c r="F824">
        <v>69</v>
      </c>
      <c r="G824" t="s">
        <v>83</v>
      </c>
      <c r="H824" t="str" cm="1">
        <f t="array" ref="H824">_xlfn.IFS(Grammys[[#This Row],[date]] &gt;= DATE(2022,2,1),"Grammys",TRUE,"Grammys TRA")</f>
        <v>Grammys TRA</v>
      </c>
      <c r="I824">
        <f>_xlfn.XLOOKUP(Grammys[[#This Row],[date]],mobile_visits[date],mobile_visits[mobile_visitors],0)</f>
        <v>0</v>
      </c>
    </row>
    <row r="825" spans="1:9">
      <c r="A825" s="1">
        <v>43559</v>
      </c>
      <c r="B825">
        <v>18398</v>
      </c>
      <c r="C825">
        <v>25352</v>
      </c>
      <c r="D825">
        <v>19152</v>
      </c>
      <c r="E825">
        <v>10264</v>
      </c>
      <c r="F825">
        <v>64</v>
      </c>
      <c r="G825" t="s">
        <v>83</v>
      </c>
      <c r="H825" t="str" cm="1">
        <f t="array" ref="H825">_xlfn.IFS(Grammys[[#This Row],[date]] &gt;= DATE(2022,2,1),"Grammys",TRUE,"Grammys TRA")</f>
        <v>Grammys TRA</v>
      </c>
      <c r="I825">
        <f>_xlfn.XLOOKUP(Grammys[[#This Row],[date]],mobile_visits[date],mobile_visits[mobile_visitors],0)</f>
        <v>0</v>
      </c>
    </row>
    <row r="826" spans="1:9">
      <c r="A826" s="1">
        <v>43560</v>
      </c>
      <c r="B826">
        <v>16889</v>
      </c>
      <c r="C826">
        <v>24098</v>
      </c>
      <c r="D826">
        <v>17691</v>
      </c>
      <c r="E826">
        <v>9366</v>
      </c>
      <c r="F826">
        <v>70</v>
      </c>
      <c r="G826" t="s">
        <v>83</v>
      </c>
      <c r="H826" t="str" cm="1">
        <f t="array" ref="H826">_xlfn.IFS(Grammys[[#This Row],[date]] &gt;= DATE(2022,2,1),"Grammys",TRUE,"Grammys TRA")</f>
        <v>Grammys TRA</v>
      </c>
      <c r="I826">
        <f>_xlfn.XLOOKUP(Grammys[[#This Row],[date]],mobile_visits[date],mobile_visits[mobile_visitors],0)</f>
        <v>0</v>
      </c>
    </row>
    <row r="827" spans="1:9">
      <c r="A827" s="1">
        <v>43561</v>
      </c>
      <c r="B827">
        <v>13128</v>
      </c>
      <c r="C827">
        <v>19143</v>
      </c>
      <c r="D827">
        <v>13924</v>
      </c>
      <c r="E827">
        <v>7132</v>
      </c>
      <c r="F827">
        <v>73</v>
      </c>
      <c r="G827" t="s">
        <v>83</v>
      </c>
      <c r="H827" t="str" cm="1">
        <f t="array" ref="H827">_xlfn.IFS(Grammys[[#This Row],[date]] &gt;= DATE(2022,2,1),"Grammys",TRUE,"Grammys TRA")</f>
        <v>Grammys TRA</v>
      </c>
      <c r="I827">
        <f>_xlfn.XLOOKUP(Grammys[[#This Row],[date]],mobile_visits[date],mobile_visits[mobile_visitors],0)</f>
        <v>0</v>
      </c>
    </row>
    <row r="828" spans="1:9">
      <c r="A828" s="1">
        <v>43562</v>
      </c>
      <c r="B828">
        <v>15262</v>
      </c>
      <c r="C828">
        <v>21817</v>
      </c>
      <c r="D828">
        <v>16033</v>
      </c>
      <c r="E828">
        <v>8269</v>
      </c>
      <c r="F828">
        <v>75</v>
      </c>
      <c r="G828" t="s">
        <v>83</v>
      </c>
      <c r="H828" t="str" cm="1">
        <f t="array" ref="H828">_xlfn.IFS(Grammys[[#This Row],[date]] &gt;= DATE(2022,2,1),"Grammys",TRUE,"Grammys TRA")</f>
        <v>Grammys TRA</v>
      </c>
      <c r="I828">
        <f>_xlfn.XLOOKUP(Grammys[[#This Row],[date]],mobile_visits[date],mobile_visits[mobile_visitors],0)</f>
        <v>0</v>
      </c>
    </row>
    <row r="829" spans="1:9">
      <c r="A829" s="1">
        <v>43563</v>
      </c>
      <c r="B829">
        <v>16089</v>
      </c>
      <c r="C829">
        <v>23262</v>
      </c>
      <c r="D829">
        <v>16909</v>
      </c>
      <c r="E829">
        <v>9267</v>
      </c>
      <c r="F829">
        <v>80</v>
      </c>
      <c r="G829" t="s">
        <v>83</v>
      </c>
      <c r="H829" t="str" cm="1">
        <f t="array" ref="H829">_xlfn.IFS(Grammys[[#This Row],[date]] &gt;= DATE(2022,2,1),"Grammys",TRUE,"Grammys TRA")</f>
        <v>Grammys TRA</v>
      </c>
      <c r="I829">
        <f>_xlfn.XLOOKUP(Grammys[[#This Row],[date]],mobile_visits[date],mobile_visits[mobile_visitors],0)</f>
        <v>0</v>
      </c>
    </row>
    <row r="830" spans="1:9">
      <c r="A830" s="1">
        <v>43564</v>
      </c>
      <c r="B830">
        <v>15928</v>
      </c>
      <c r="C830">
        <v>23381</v>
      </c>
      <c r="D830">
        <v>16717</v>
      </c>
      <c r="E830">
        <v>8824</v>
      </c>
      <c r="F830">
        <v>77</v>
      </c>
      <c r="G830" t="s">
        <v>83</v>
      </c>
      <c r="H830" t="str" cm="1">
        <f t="array" ref="H830">_xlfn.IFS(Grammys[[#This Row],[date]] &gt;= DATE(2022,2,1),"Grammys",TRUE,"Grammys TRA")</f>
        <v>Grammys TRA</v>
      </c>
      <c r="I830">
        <f>_xlfn.XLOOKUP(Grammys[[#This Row],[date]],mobile_visits[date],mobile_visits[mobile_visitors],0)</f>
        <v>0</v>
      </c>
    </row>
    <row r="831" spans="1:9">
      <c r="A831" s="1">
        <v>43565</v>
      </c>
      <c r="B831">
        <v>14650</v>
      </c>
      <c r="C831">
        <v>21123</v>
      </c>
      <c r="D831">
        <v>15293</v>
      </c>
      <c r="E831">
        <v>8228</v>
      </c>
      <c r="F831">
        <v>82</v>
      </c>
      <c r="G831" t="s">
        <v>83</v>
      </c>
      <c r="H831" t="str" cm="1">
        <f t="array" ref="H831">_xlfn.IFS(Grammys[[#This Row],[date]] &gt;= DATE(2022,2,1),"Grammys",TRUE,"Grammys TRA")</f>
        <v>Grammys TRA</v>
      </c>
      <c r="I831">
        <f>_xlfn.XLOOKUP(Grammys[[#This Row],[date]],mobile_visits[date],mobile_visits[mobile_visitors],0)</f>
        <v>0</v>
      </c>
    </row>
    <row r="832" spans="1:9">
      <c r="A832" s="1">
        <v>43566</v>
      </c>
      <c r="B832">
        <v>15700</v>
      </c>
      <c r="C832">
        <v>23201</v>
      </c>
      <c r="D832">
        <v>16598</v>
      </c>
      <c r="E832">
        <v>8993</v>
      </c>
      <c r="F832">
        <v>77</v>
      </c>
      <c r="G832" t="s">
        <v>83</v>
      </c>
      <c r="H832" t="str" cm="1">
        <f t="array" ref="H832">_xlfn.IFS(Grammys[[#This Row],[date]] &gt;= DATE(2022,2,1),"Grammys",TRUE,"Grammys TRA")</f>
        <v>Grammys TRA</v>
      </c>
      <c r="I832">
        <f>_xlfn.XLOOKUP(Grammys[[#This Row],[date]],mobile_visits[date],mobile_visits[mobile_visitors],0)</f>
        <v>0</v>
      </c>
    </row>
    <row r="833" spans="1:9">
      <c r="A833" s="1">
        <v>43567</v>
      </c>
      <c r="B833">
        <v>24210</v>
      </c>
      <c r="C833">
        <v>31699</v>
      </c>
      <c r="D833">
        <v>25367</v>
      </c>
      <c r="E833">
        <v>11286</v>
      </c>
      <c r="F833">
        <v>72</v>
      </c>
      <c r="G833" t="s">
        <v>83</v>
      </c>
      <c r="H833" t="str" cm="1">
        <f t="array" ref="H833">_xlfn.IFS(Grammys[[#This Row],[date]] &gt;= DATE(2022,2,1),"Grammys",TRUE,"Grammys TRA")</f>
        <v>Grammys TRA</v>
      </c>
      <c r="I833">
        <f>_xlfn.XLOOKUP(Grammys[[#This Row],[date]],mobile_visits[date],mobile_visits[mobile_visitors],0)</f>
        <v>0</v>
      </c>
    </row>
    <row r="834" spans="1:9">
      <c r="A834" s="1">
        <v>43568</v>
      </c>
      <c r="B834">
        <v>24621</v>
      </c>
      <c r="C834">
        <v>31514</v>
      </c>
      <c r="D834">
        <v>25851</v>
      </c>
      <c r="E834">
        <v>11517</v>
      </c>
      <c r="F834">
        <v>59</v>
      </c>
      <c r="G834" t="s">
        <v>83</v>
      </c>
      <c r="H834" t="str" cm="1">
        <f t="array" ref="H834">_xlfn.IFS(Grammys[[#This Row],[date]] &gt;= DATE(2022,2,1),"Grammys",TRUE,"Grammys TRA")</f>
        <v>Grammys TRA</v>
      </c>
      <c r="I834">
        <f>_xlfn.XLOOKUP(Grammys[[#This Row],[date]],mobile_visits[date],mobile_visits[mobile_visitors],0)</f>
        <v>0</v>
      </c>
    </row>
    <row r="835" spans="1:9">
      <c r="A835" s="1">
        <v>43569</v>
      </c>
      <c r="B835">
        <v>18479</v>
      </c>
      <c r="C835">
        <v>25283</v>
      </c>
      <c r="D835">
        <v>19590</v>
      </c>
      <c r="E835">
        <v>9684</v>
      </c>
      <c r="F835">
        <v>70</v>
      </c>
      <c r="G835" t="s">
        <v>83</v>
      </c>
      <c r="H835" t="str" cm="1">
        <f t="array" ref="H835">_xlfn.IFS(Grammys[[#This Row],[date]] &gt;= DATE(2022,2,1),"Grammys",TRUE,"Grammys TRA")</f>
        <v>Grammys TRA</v>
      </c>
      <c r="I835">
        <f>_xlfn.XLOOKUP(Grammys[[#This Row],[date]],mobile_visits[date],mobile_visits[mobile_visitors],0)</f>
        <v>0</v>
      </c>
    </row>
    <row r="836" spans="1:9">
      <c r="A836" s="1">
        <v>43570</v>
      </c>
      <c r="B836">
        <v>14331</v>
      </c>
      <c r="C836">
        <v>20204</v>
      </c>
      <c r="D836">
        <v>15097</v>
      </c>
      <c r="E836">
        <v>8106</v>
      </c>
      <c r="F836">
        <v>74</v>
      </c>
      <c r="G836" t="s">
        <v>83</v>
      </c>
      <c r="H836" t="str" cm="1">
        <f t="array" ref="H836">_xlfn.IFS(Grammys[[#This Row],[date]] &gt;= DATE(2022,2,1),"Grammys",TRUE,"Grammys TRA")</f>
        <v>Grammys TRA</v>
      </c>
      <c r="I836">
        <f>_xlfn.XLOOKUP(Grammys[[#This Row],[date]],mobile_visits[date],mobile_visits[mobile_visitors],0)</f>
        <v>0</v>
      </c>
    </row>
    <row r="837" spans="1:9">
      <c r="A837" s="1">
        <v>43571</v>
      </c>
      <c r="B837">
        <v>15013</v>
      </c>
      <c r="C837">
        <v>21654</v>
      </c>
      <c r="D837">
        <v>15921</v>
      </c>
      <c r="E837">
        <v>8217</v>
      </c>
      <c r="F837">
        <v>75</v>
      </c>
      <c r="G837" t="s">
        <v>83</v>
      </c>
      <c r="H837" t="str" cm="1">
        <f t="array" ref="H837">_xlfn.IFS(Grammys[[#This Row],[date]] &gt;= DATE(2022,2,1),"Grammys",TRUE,"Grammys TRA")</f>
        <v>Grammys TRA</v>
      </c>
      <c r="I837">
        <f>_xlfn.XLOOKUP(Grammys[[#This Row],[date]],mobile_visits[date],mobile_visits[mobile_visitors],0)</f>
        <v>0</v>
      </c>
    </row>
    <row r="838" spans="1:9">
      <c r="A838" s="1">
        <v>43572</v>
      </c>
      <c r="B838">
        <v>15252</v>
      </c>
      <c r="C838">
        <v>21371</v>
      </c>
      <c r="D838">
        <v>16222</v>
      </c>
      <c r="E838">
        <v>8360</v>
      </c>
      <c r="F838">
        <v>72</v>
      </c>
      <c r="G838" t="s">
        <v>83</v>
      </c>
      <c r="H838" t="str" cm="1">
        <f t="array" ref="H838">_xlfn.IFS(Grammys[[#This Row],[date]] &gt;= DATE(2022,2,1),"Grammys",TRUE,"Grammys TRA")</f>
        <v>Grammys TRA</v>
      </c>
      <c r="I838">
        <f>_xlfn.XLOOKUP(Grammys[[#This Row],[date]],mobile_visits[date],mobile_visits[mobile_visitors],0)</f>
        <v>0</v>
      </c>
    </row>
    <row r="839" spans="1:9">
      <c r="A839" s="1">
        <v>43573</v>
      </c>
      <c r="B839">
        <v>15096</v>
      </c>
      <c r="C839">
        <v>20669</v>
      </c>
      <c r="D839">
        <v>15756</v>
      </c>
      <c r="E839">
        <v>8175</v>
      </c>
      <c r="F839">
        <v>72</v>
      </c>
      <c r="G839" t="s">
        <v>83</v>
      </c>
      <c r="H839" t="str" cm="1">
        <f t="array" ref="H839">_xlfn.IFS(Grammys[[#This Row],[date]] &gt;= DATE(2022,2,1),"Grammys",TRUE,"Grammys TRA")</f>
        <v>Grammys TRA</v>
      </c>
      <c r="I839">
        <f>_xlfn.XLOOKUP(Grammys[[#This Row],[date]],mobile_visits[date],mobile_visits[mobile_visitors],0)</f>
        <v>0</v>
      </c>
    </row>
    <row r="840" spans="1:9">
      <c r="A840" s="1">
        <v>43574</v>
      </c>
      <c r="B840">
        <v>13852</v>
      </c>
      <c r="C840">
        <v>18967</v>
      </c>
      <c r="D840">
        <v>14408</v>
      </c>
      <c r="E840">
        <v>7380</v>
      </c>
      <c r="F840">
        <v>73</v>
      </c>
      <c r="G840" t="s">
        <v>83</v>
      </c>
      <c r="H840" t="str" cm="1">
        <f t="array" ref="H840">_xlfn.IFS(Grammys[[#This Row],[date]] &gt;= DATE(2022,2,1),"Grammys",TRUE,"Grammys TRA")</f>
        <v>Grammys TRA</v>
      </c>
      <c r="I840">
        <f>_xlfn.XLOOKUP(Grammys[[#This Row],[date]],mobile_visits[date],mobile_visits[mobile_visitors],0)</f>
        <v>0</v>
      </c>
    </row>
    <row r="841" spans="1:9">
      <c r="A841" s="1">
        <v>43575</v>
      </c>
      <c r="B841">
        <v>13312</v>
      </c>
      <c r="C841">
        <v>18226</v>
      </c>
      <c r="D841">
        <v>13862</v>
      </c>
      <c r="E841">
        <v>6961</v>
      </c>
      <c r="F841">
        <v>70</v>
      </c>
      <c r="G841" t="s">
        <v>83</v>
      </c>
      <c r="H841" t="str" cm="1">
        <f t="array" ref="H841">_xlfn.IFS(Grammys[[#This Row],[date]] &gt;= DATE(2022,2,1),"Grammys",TRUE,"Grammys TRA")</f>
        <v>Grammys TRA</v>
      </c>
      <c r="I841">
        <f>_xlfn.XLOOKUP(Grammys[[#This Row],[date]],mobile_visits[date],mobile_visits[mobile_visitors],0)</f>
        <v>0</v>
      </c>
    </row>
    <row r="842" spans="1:9">
      <c r="A842" s="1">
        <v>43576</v>
      </c>
      <c r="B842">
        <v>28803</v>
      </c>
      <c r="C842">
        <v>40847</v>
      </c>
      <c r="D842">
        <v>30229</v>
      </c>
      <c r="E842">
        <v>11451</v>
      </c>
      <c r="F842">
        <v>74</v>
      </c>
      <c r="G842" t="s">
        <v>83</v>
      </c>
      <c r="H842" t="str" cm="1">
        <f t="array" ref="H842">_xlfn.IFS(Grammys[[#This Row],[date]] &gt;= DATE(2022,2,1),"Grammys",TRUE,"Grammys TRA")</f>
        <v>Grammys TRA</v>
      </c>
      <c r="I842">
        <f>_xlfn.XLOOKUP(Grammys[[#This Row],[date]],mobile_visits[date],mobile_visits[mobile_visitors],0)</f>
        <v>0</v>
      </c>
    </row>
    <row r="843" spans="1:9">
      <c r="A843" s="1">
        <v>43577</v>
      </c>
      <c r="B843">
        <v>20577</v>
      </c>
      <c r="C843">
        <v>28934</v>
      </c>
      <c r="D843">
        <v>21593</v>
      </c>
      <c r="E843">
        <v>10084</v>
      </c>
      <c r="F843">
        <v>85</v>
      </c>
      <c r="G843" t="s">
        <v>83</v>
      </c>
      <c r="H843" t="str" cm="1">
        <f t="array" ref="H843">_xlfn.IFS(Grammys[[#This Row],[date]] &gt;= DATE(2022,2,1),"Grammys",TRUE,"Grammys TRA")</f>
        <v>Grammys TRA</v>
      </c>
      <c r="I843">
        <f>_xlfn.XLOOKUP(Grammys[[#This Row],[date]],mobile_visits[date],mobile_visits[mobile_visitors],0)</f>
        <v>0</v>
      </c>
    </row>
    <row r="844" spans="1:9">
      <c r="A844" s="1">
        <v>43578</v>
      </c>
      <c r="B844">
        <v>17208</v>
      </c>
      <c r="C844">
        <v>24969</v>
      </c>
      <c r="D844">
        <v>18235</v>
      </c>
      <c r="E844">
        <v>8961</v>
      </c>
      <c r="F844">
        <v>100</v>
      </c>
      <c r="G844" t="s">
        <v>83</v>
      </c>
      <c r="H844" t="str" cm="1">
        <f t="array" ref="H844">_xlfn.IFS(Grammys[[#This Row],[date]] &gt;= DATE(2022,2,1),"Grammys",TRUE,"Grammys TRA")</f>
        <v>Grammys TRA</v>
      </c>
      <c r="I844">
        <f>_xlfn.XLOOKUP(Grammys[[#This Row],[date]],mobile_visits[date],mobile_visits[mobile_visitors],0)</f>
        <v>0</v>
      </c>
    </row>
    <row r="845" spans="1:9">
      <c r="A845" s="1">
        <v>43579</v>
      </c>
      <c r="B845">
        <v>13534</v>
      </c>
      <c r="C845">
        <v>19797</v>
      </c>
      <c r="D845">
        <v>14350</v>
      </c>
      <c r="E845">
        <v>7540</v>
      </c>
      <c r="F845">
        <v>90</v>
      </c>
      <c r="G845" t="s">
        <v>83</v>
      </c>
      <c r="H845" t="str" cm="1">
        <f t="array" ref="H845">_xlfn.IFS(Grammys[[#This Row],[date]] &gt;= DATE(2022,2,1),"Grammys",TRUE,"Grammys TRA")</f>
        <v>Grammys TRA</v>
      </c>
      <c r="I845">
        <f>_xlfn.XLOOKUP(Grammys[[#This Row],[date]],mobile_visits[date],mobile_visits[mobile_visitors],0)</f>
        <v>0</v>
      </c>
    </row>
    <row r="846" spans="1:9">
      <c r="A846" s="1">
        <v>43580</v>
      </c>
      <c r="B846">
        <v>12814</v>
      </c>
      <c r="C846">
        <v>18761</v>
      </c>
      <c r="D846">
        <v>13471</v>
      </c>
      <c r="E846">
        <v>7453</v>
      </c>
      <c r="F846">
        <v>83</v>
      </c>
      <c r="G846" t="s">
        <v>83</v>
      </c>
      <c r="H846" t="str" cm="1">
        <f t="array" ref="H846">_xlfn.IFS(Grammys[[#This Row],[date]] &gt;= DATE(2022,2,1),"Grammys",TRUE,"Grammys TRA")</f>
        <v>Grammys TRA</v>
      </c>
      <c r="I846">
        <f>_xlfn.XLOOKUP(Grammys[[#This Row],[date]],mobile_visits[date],mobile_visits[mobile_visitors],0)</f>
        <v>0</v>
      </c>
    </row>
    <row r="847" spans="1:9">
      <c r="A847" s="1">
        <v>43581</v>
      </c>
      <c r="B847">
        <v>12365</v>
      </c>
      <c r="C847">
        <v>17882</v>
      </c>
      <c r="D847">
        <v>12967</v>
      </c>
      <c r="E847">
        <v>7167</v>
      </c>
      <c r="F847">
        <v>83</v>
      </c>
      <c r="G847" t="s">
        <v>83</v>
      </c>
      <c r="H847" t="str" cm="1">
        <f t="array" ref="H847">_xlfn.IFS(Grammys[[#This Row],[date]] &gt;= DATE(2022,2,1),"Grammys",TRUE,"Grammys TRA")</f>
        <v>Grammys TRA</v>
      </c>
      <c r="I847">
        <f>_xlfn.XLOOKUP(Grammys[[#This Row],[date]],mobile_visits[date],mobile_visits[mobile_visitors],0)</f>
        <v>0</v>
      </c>
    </row>
    <row r="848" spans="1:9">
      <c r="A848" s="1">
        <v>43582</v>
      </c>
      <c r="B848">
        <v>10679</v>
      </c>
      <c r="C848">
        <v>15677</v>
      </c>
      <c r="D848">
        <v>11335</v>
      </c>
      <c r="E848">
        <v>6221</v>
      </c>
      <c r="F848">
        <v>80</v>
      </c>
      <c r="G848" t="s">
        <v>83</v>
      </c>
      <c r="H848" t="str" cm="1">
        <f t="array" ref="H848">_xlfn.IFS(Grammys[[#This Row],[date]] &gt;= DATE(2022,2,1),"Grammys",TRUE,"Grammys TRA")</f>
        <v>Grammys TRA</v>
      </c>
      <c r="I848">
        <f>_xlfn.XLOOKUP(Grammys[[#This Row],[date]],mobile_visits[date],mobile_visits[mobile_visitors],0)</f>
        <v>0</v>
      </c>
    </row>
    <row r="849" spans="1:9">
      <c r="A849" s="1">
        <v>43583</v>
      </c>
      <c r="B849">
        <v>10767</v>
      </c>
      <c r="C849">
        <v>15946</v>
      </c>
      <c r="D849">
        <v>11292</v>
      </c>
      <c r="E849">
        <v>6060</v>
      </c>
      <c r="F849">
        <v>84</v>
      </c>
      <c r="G849" t="s">
        <v>83</v>
      </c>
      <c r="H849" t="str" cm="1">
        <f t="array" ref="H849">_xlfn.IFS(Grammys[[#This Row],[date]] &gt;= DATE(2022,2,1),"Grammys",TRUE,"Grammys TRA")</f>
        <v>Grammys TRA</v>
      </c>
      <c r="I849">
        <f>_xlfn.XLOOKUP(Grammys[[#This Row],[date]],mobile_visits[date],mobile_visits[mobile_visitors],0)</f>
        <v>0</v>
      </c>
    </row>
    <row r="850" spans="1:9">
      <c r="A850" s="1">
        <v>43584</v>
      </c>
      <c r="B850">
        <v>12443</v>
      </c>
      <c r="C850">
        <v>18374</v>
      </c>
      <c r="D850">
        <v>13305</v>
      </c>
      <c r="E850">
        <v>7111</v>
      </c>
      <c r="F850">
        <v>79</v>
      </c>
      <c r="G850" t="s">
        <v>83</v>
      </c>
      <c r="H850" t="str" cm="1">
        <f t="array" ref="H850">_xlfn.IFS(Grammys[[#This Row],[date]] &gt;= DATE(2022,2,1),"Grammys",TRUE,"Grammys TRA")</f>
        <v>Grammys TRA</v>
      </c>
      <c r="I850">
        <f>_xlfn.XLOOKUP(Grammys[[#This Row],[date]],mobile_visits[date],mobile_visits[mobile_visitors],0)</f>
        <v>0</v>
      </c>
    </row>
    <row r="851" spans="1:9">
      <c r="A851" s="1">
        <v>43585</v>
      </c>
      <c r="B851">
        <v>12067</v>
      </c>
      <c r="C851">
        <v>17350</v>
      </c>
      <c r="D851">
        <v>12641</v>
      </c>
      <c r="E851">
        <v>6988</v>
      </c>
      <c r="F851">
        <v>77</v>
      </c>
      <c r="G851" t="s">
        <v>83</v>
      </c>
      <c r="H851" t="str" cm="1">
        <f t="array" ref="H851">_xlfn.IFS(Grammys[[#This Row],[date]] &gt;= DATE(2022,2,1),"Grammys",TRUE,"Grammys TRA")</f>
        <v>Grammys TRA</v>
      </c>
      <c r="I851">
        <f>_xlfn.XLOOKUP(Grammys[[#This Row],[date]],mobile_visits[date],mobile_visits[mobile_visitors],0)</f>
        <v>0</v>
      </c>
    </row>
    <row r="852" spans="1:9">
      <c r="A852" s="1">
        <v>43586</v>
      </c>
      <c r="B852">
        <v>14844</v>
      </c>
      <c r="C852">
        <v>21638</v>
      </c>
      <c r="D852">
        <v>15593</v>
      </c>
      <c r="E852">
        <v>8499</v>
      </c>
      <c r="F852">
        <v>75</v>
      </c>
      <c r="G852" t="s">
        <v>83</v>
      </c>
      <c r="H852" t="str" cm="1">
        <f t="array" ref="H852">_xlfn.IFS(Grammys[[#This Row],[date]] &gt;= DATE(2022,2,1),"Grammys",TRUE,"Grammys TRA")</f>
        <v>Grammys TRA</v>
      </c>
      <c r="I852">
        <f>_xlfn.XLOOKUP(Grammys[[#This Row],[date]],mobile_visits[date],mobile_visits[mobile_visitors],0)</f>
        <v>0</v>
      </c>
    </row>
    <row r="853" spans="1:9">
      <c r="A853" s="1">
        <v>43587</v>
      </c>
      <c r="B853">
        <v>15210</v>
      </c>
      <c r="C853">
        <v>22163</v>
      </c>
      <c r="D853">
        <v>16028</v>
      </c>
      <c r="E853">
        <v>8672</v>
      </c>
      <c r="F853">
        <v>73</v>
      </c>
      <c r="G853" t="s">
        <v>83</v>
      </c>
      <c r="H853" t="str" cm="1">
        <f t="array" ref="H853">_xlfn.IFS(Grammys[[#This Row],[date]] &gt;= DATE(2022,2,1),"Grammys",TRUE,"Grammys TRA")</f>
        <v>Grammys TRA</v>
      </c>
      <c r="I853">
        <f>_xlfn.XLOOKUP(Grammys[[#This Row],[date]],mobile_visits[date],mobile_visits[mobile_visitors],0)</f>
        <v>0</v>
      </c>
    </row>
    <row r="854" spans="1:9">
      <c r="A854" s="1">
        <v>43588</v>
      </c>
      <c r="B854">
        <v>14414</v>
      </c>
      <c r="C854">
        <v>20158</v>
      </c>
      <c r="D854">
        <v>15074</v>
      </c>
      <c r="E854">
        <v>8418</v>
      </c>
      <c r="F854">
        <v>64</v>
      </c>
      <c r="G854" t="s">
        <v>83</v>
      </c>
      <c r="H854" t="str" cm="1">
        <f t="array" ref="H854">_xlfn.IFS(Grammys[[#This Row],[date]] &gt;= DATE(2022,2,1),"Grammys",TRUE,"Grammys TRA")</f>
        <v>Grammys TRA</v>
      </c>
      <c r="I854">
        <f>_xlfn.XLOOKUP(Grammys[[#This Row],[date]],mobile_visits[date],mobile_visits[mobile_visitors],0)</f>
        <v>0</v>
      </c>
    </row>
    <row r="855" spans="1:9">
      <c r="A855" s="1">
        <v>43589</v>
      </c>
      <c r="B855">
        <v>20138</v>
      </c>
      <c r="C855">
        <v>28287</v>
      </c>
      <c r="D855">
        <v>21140</v>
      </c>
      <c r="E855">
        <v>13744</v>
      </c>
      <c r="F855">
        <v>54</v>
      </c>
      <c r="G855" t="s">
        <v>83</v>
      </c>
      <c r="H855" t="str" cm="1">
        <f t="array" ref="H855">_xlfn.IFS(Grammys[[#This Row],[date]] &gt;= DATE(2022,2,1),"Grammys",TRUE,"Grammys TRA")</f>
        <v>Grammys TRA</v>
      </c>
      <c r="I855">
        <f>_xlfn.XLOOKUP(Grammys[[#This Row],[date]],mobile_visits[date],mobile_visits[mobile_visitors],0)</f>
        <v>0</v>
      </c>
    </row>
    <row r="856" spans="1:9">
      <c r="A856" s="1">
        <v>43590</v>
      </c>
      <c r="B856">
        <v>14305</v>
      </c>
      <c r="C856">
        <v>20290</v>
      </c>
      <c r="D856">
        <v>15040</v>
      </c>
      <c r="E856">
        <v>7537</v>
      </c>
      <c r="F856">
        <v>67</v>
      </c>
      <c r="G856" t="s">
        <v>83</v>
      </c>
      <c r="H856" t="str" cm="1">
        <f t="array" ref="H856">_xlfn.IFS(Grammys[[#This Row],[date]] &gt;= DATE(2022,2,1),"Grammys",TRUE,"Grammys TRA")</f>
        <v>Grammys TRA</v>
      </c>
      <c r="I856">
        <f>_xlfn.XLOOKUP(Grammys[[#This Row],[date]],mobile_visits[date],mobile_visits[mobile_visitors],0)</f>
        <v>0</v>
      </c>
    </row>
    <row r="857" spans="1:9">
      <c r="A857" s="1">
        <v>43591</v>
      </c>
      <c r="B857">
        <v>14208</v>
      </c>
      <c r="C857">
        <v>20349</v>
      </c>
      <c r="D857">
        <v>14838</v>
      </c>
      <c r="E857">
        <v>7882</v>
      </c>
      <c r="F857">
        <v>75</v>
      </c>
      <c r="G857" t="s">
        <v>83</v>
      </c>
      <c r="H857" t="str" cm="1">
        <f t="array" ref="H857">_xlfn.IFS(Grammys[[#This Row],[date]] &gt;= DATE(2022,2,1),"Grammys",TRUE,"Grammys TRA")</f>
        <v>Grammys TRA</v>
      </c>
      <c r="I857">
        <f>_xlfn.XLOOKUP(Grammys[[#This Row],[date]],mobile_visits[date],mobile_visits[mobile_visitors],0)</f>
        <v>0</v>
      </c>
    </row>
    <row r="858" spans="1:9">
      <c r="A858" s="1">
        <v>43592</v>
      </c>
      <c r="B858">
        <v>12787</v>
      </c>
      <c r="C858">
        <v>18378</v>
      </c>
      <c r="D858">
        <v>13436</v>
      </c>
      <c r="E858">
        <v>7307</v>
      </c>
      <c r="F858">
        <v>75</v>
      </c>
      <c r="G858" t="s">
        <v>83</v>
      </c>
      <c r="H858" t="str" cm="1">
        <f t="array" ref="H858">_xlfn.IFS(Grammys[[#This Row],[date]] &gt;= DATE(2022,2,1),"Grammys",TRUE,"Grammys TRA")</f>
        <v>Grammys TRA</v>
      </c>
      <c r="I858">
        <f>_xlfn.XLOOKUP(Grammys[[#This Row],[date]],mobile_visits[date],mobile_visits[mobile_visitors],0)</f>
        <v>0</v>
      </c>
    </row>
    <row r="859" spans="1:9">
      <c r="A859" s="1">
        <v>43593</v>
      </c>
      <c r="B859">
        <v>11946</v>
      </c>
      <c r="C859">
        <v>17483</v>
      </c>
      <c r="D859">
        <v>12736</v>
      </c>
      <c r="E859">
        <v>6925</v>
      </c>
      <c r="F859">
        <v>77</v>
      </c>
      <c r="G859" t="s">
        <v>83</v>
      </c>
      <c r="H859" t="str" cm="1">
        <f t="array" ref="H859">_xlfn.IFS(Grammys[[#This Row],[date]] &gt;= DATE(2022,2,1),"Grammys",TRUE,"Grammys TRA")</f>
        <v>Grammys TRA</v>
      </c>
      <c r="I859">
        <f>_xlfn.XLOOKUP(Grammys[[#This Row],[date]],mobile_visits[date],mobile_visits[mobile_visitors],0)</f>
        <v>0</v>
      </c>
    </row>
    <row r="860" spans="1:9">
      <c r="A860" s="1">
        <v>43594</v>
      </c>
      <c r="B860">
        <v>12415</v>
      </c>
      <c r="C860">
        <v>18017</v>
      </c>
      <c r="D860">
        <v>12926</v>
      </c>
      <c r="E860">
        <v>6622</v>
      </c>
      <c r="F860">
        <v>79</v>
      </c>
      <c r="G860" t="s">
        <v>83</v>
      </c>
      <c r="H860" t="str" cm="1">
        <f t="array" ref="H860">_xlfn.IFS(Grammys[[#This Row],[date]] &gt;= DATE(2022,2,1),"Grammys",TRUE,"Grammys TRA")</f>
        <v>Grammys TRA</v>
      </c>
      <c r="I860">
        <f>_xlfn.XLOOKUP(Grammys[[#This Row],[date]],mobile_visits[date],mobile_visits[mobile_visitors],0)</f>
        <v>0</v>
      </c>
    </row>
    <row r="861" spans="1:9">
      <c r="A861" s="1">
        <v>43595</v>
      </c>
      <c r="B861">
        <v>11853</v>
      </c>
      <c r="C861">
        <v>16821</v>
      </c>
      <c r="D861">
        <v>12402</v>
      </c>
      <c r="E861">
        <v>6412</v>
      </c>
      <c r="F861">
        <v>79</v>
      </c>
      <c r="G861" t="s">
        <v>83</v>
      </c>
      <c r="H861" t="str" cm="1">
        <f t="array" ref="H861">_xlfn.IFS(Grammys[[#This Row],[date]] &gt;= DATE(2022,2,1),"Grammys",TRUE,"Grammys TRA")</f>
        <v>Grammys TRA</v>
      </c>
      <c r="I861">
        <f>_xlfn.XLOOKUP(Grammys[[#This Row],[date]],mobile_visits[date],mobile_visits[mobile_visitors],0)</f>
        <v>0</v>
      </c>
    </row>
    <row r="862" spans="1:9">
      <c r="A862" s="1">
        <v>43596</v>
      </c>
      <c r="B862">
        <v>10256</v>
      </c>
      <c r="C862">
        <v>14932</v>
      </c>
      <c r="D862">
        <v>10865</v>
      </c>
      <c r="E862">
        <v>5946</v>
      </c>
      <c r="F862">
        <v>73</v>
      </c>
      <c r="G862" t="s">
        <v>83</v>
      </c>
      <c r="H862" t="str" cm="1">
        <f t="array" ref="H862">_xlfn.IFS(Grammys[[#This Row],[date]] &gt;= DATE(2022,2,1),"Grammys",TRUE,"Grammys TRA")</f>
        <v>Grammys TRA</v>
      </c>
      <c r="I862">
        <f>_xlfn.XLOOKUP(Grammys[[#This Row],[date]],mobile_visits[date],mobile_visits[mobile_visitors],0)</f>
        <v>0</v>
      </c>
    </row>
    <row r="863" spans="1:9">
      <c r="A863" s="1">
        <v>43597</v>
      </c>
      <c r="B863">
        <v>9656</v>
      </c>
      <c r="C863">
        <v>14281</v>
      </c>
      <c r="D863">
        <v>10297</v>
      </c>
      <c r="E863">
        <v>5692</v>
      </c>
      <c r="F863">
        <v>77</v>
      </c>
      <c r="G863" t="s">
        <v>83</v>
      </c>
      <c r="H863" t="str" cm="1">
        <f t="array" ref="H863">_xlfn.IFS(Grammys[[#This Row],[date]] &gt;= DATE(2022,2,1),"Grammys",TRUE,"Grammys TRA")</f>
        <v>Grammys TRA</v>
      </c>
      <c r="I863">
        <f>_xlfn.XLOOKUP(Grammys[[#This Row],[date]],mobile_visits[date],mobile_visits[mobile_visitors],0)</f>
        <v>0</v>
      </c>
    </row>
    <row r="864" spans="1:9">
      <c r="A864" s="1">
        <v>43598</v>
      </c>
      <c r="B864">
        <v>10554</v>
      </c>
      <c r="C864">
        <v>15211</v>
      </c>
      <c r="D864">
        <v>10980</v>
      </c>
      <c r="E864">
        <v>6056</v>
      </c>
      <c r="F864">
        <v>80</v>
      </c>
      <c r="G864" t="s">
        <v>83</v>
      </c>
      <c r="H864" t="str" cm="1">
        <f t="array" ref="H864">_xlfn.IFS(Grammys[[#This Row],[date]] &gt;= DATE(2022,2,1),"Grammys",TRUE,"Grammys TRA")</f>
        <v>Grammys TRA</v>
      </c>
      <c r="I864">
        <f>_xlfn.XLOOKUP(Grammys[[#This Row],[date]],mobile_visits[date],mobile_visits[mobile_visitors],0)</f>
        <v>0</v>
      </c>
    </row>
    <row r="865" spans="1:9">
      <c r="A865" s="1">
        <v>43599</v>
      </c>
      <c r="B865">
        <v>11229</v>
      </c>
      <c r="C865">
        <v>16285</v>
      </c>
      <c r="D865">
        <v>11863</v>
      </c>
      <c r="E865">
        <v>6574</v>
      </c>
      <c r="F865">
        <v>80</v>
      </c>
      <c r="G865" t="s">
        <v>83</v>
      </c>
      <c r="H865" t="str" cm="1">
        <f t="array" ref="H865">_xlfn.IFS(Grammys[[#This Row],[date]] &gt;= DATE(2022,2,1),"Grammys",TRUE,"Grammys TRA")</f>
        <v>Grammys TRA</v>
      </c>
      <c r="I865">
        <f>_xlfn.XLOOKUP(Grammys[[#This Row],[date]],mobile_visits[date],mobile_visits[mobile_visitors],0)</f>
        <v>0</v>
      </c>
    </row>
    <row r="866" spans="1:9">
      <c r="A866" s="1">
        <v>43600</v>
      </c>
      <c r="B866">
        <v>12654</v>
      </c>
      <c r="C866">
        <v>17915</v>
      </c>
      <c r="D866">
        <v>13232</v>
      </c>
      <c r="E866">
        <v>7503</v>
      </c>
      <c r="F866">
        <v>72</v>
      </c>
      <c r="G866" t="s">
        <v>83</v>
      </c>
      <c r="H866" t="str" cm="1">
        <f t="array" ref="H866">_xlfn.IFS(Grammys[[#This Row],[date]] &gt;= DATE(2022,2,1),"Grammys",TRUE,"Grammys TRA")</f>
        <v>Grammys TRA</v>
      </c>
      <c r="I866">
        <f>_xlfn.XLOOKUP(Grammys[[#This Row],[date]],mobile_visits[date],mobile_visits[mobile_visitors],0)</f>
        <v>0</v>
      </c>
    </row>
    <row r="867" spans="1:9">
      <c r="A867" s="1">
        <v>43601</v>
      </c>
      <c r="B867">
        <v>11777</v>
      </c>
      <c r="C867">
        <v>16651</v>
      </c>
      <c r="D867">
        <v>12321</v>
      </c>
      <c r="E867">
        <v>6830</v>
      </c>
      <c r="F867">
        <v>73</v>
      </c>
      <c r="G867" t="s">
        <v>83</v>
      </c>
      <c r="H867" t="str" cm="1">
        <f t="array" ref="H867">_xlfn.IFS(Grammys[[#This Row],[date]] &gt;= DATE(2022,2,1),"Grammys",TRUE,"Grammys TRA")</f>
        <v>Grammys TRA</v>
      </c>
      <c r="I867">
        <f>_xlfn.XLOOKUP(Grammys[[#This Row],[date]],mobile_visits[date],mobile_visits[mobile_visitors],0)</f>
        <v>0</v>
      </c>
    </row>
    <row r="868" spans="1:9">
      <c r="A868" s="1">
        <v>43602</v>
      </c>
      <c r="B868">
        <v>14610</v>
      </c>
      <c r="C868">
        <v>19451</v>
      </c>
      <c r="D868">
        <v>15306</v>
      </c>
      <c r="E868">
        <v>7650</v>
      </c>
      <c r="F868">
        <v>74</v>
      </c>
      <c r="G868" t="s">
        <v>83</v>
      </c>
      <c r="H868" t="str" cm="1">
        <f t="array" ref="H868">_xlfn.IFS(Grammys[[#This Row],[date]] &gt;= DATE(2022,2,1),"Grammys",TRUE,"Grammys TRA")</f>
        <v>Grammys TRA</v>
      </c>
      <c r="I868">
        <f>_xlfn.XLOOKUP(Grammys[[#This Row],[date]],mobile_visits[date],mobile_visits[mobile_visitors],0)</f>
        <v>0</v>
      </c>
    </row>
    <row r="869" spans="1:9">
      <c r="A869" s="1">
        <v>43603</v>
      </c>
      <c r="B869">
        <v>12154</v>
      </c>
      <c r="C869">
        <v>16288</v>
      </c>
      <c r="D869">
        <v>12765</v>
      </c>
      <c r="E869">
        <v>6306</v>
      </c>
      <c r="F869">
        <v>75</v>
      </c>
      <c r="G869" t="s">
        <v>83</v>
      </c>
      <c r="H869" t="str" cm="1">
        <f t="array" ref="H869">_xlfn.IFS(Grammys[[#This Row],[date]] &gt;= DATE(2022,2,1),"Grammys",TRUE,"Grammys TRA")</f>
        <v>Grammys TRA</v>
      </c>
      <c r="I869">
        <f>_xlfn.XLOOKUP(Grammys[[#This Row],[date]],mobile_visits[date],mobile_visits[mobile_visitors],0)</f>
        <v>0</v>
      </c>
    </row>
    <row r="870" spans="1:9">
      <c r="A870" s="1">
        <v>43604</v>
      </c>
      <c r="B870">
        <v>10019</v>
      </c>
      <c r="C870">
        <v>14221</v>
      </c>
      <c r="D870">
        <v>10436</v>
      </c>
      <c r="E870">
        <v>5498</v>
      </c>
      <c r="F870">
        <v>76</v>
      </c>
      <c r="G870" t="s">
        <v>83</v>
      </c>
      <c r="H870" t="str" cm="1">
        <f t="array" ref="H870">_xlfn.IFS(Grammys[[#This Row],[date]] &gt;= DATE(2022,2,1),"Grammys",TRUE,"Grammys TRA")</f>
        <v>Grammys TRA</v>
      </c>
      <c r="I870">
        <f>_xlfn.XLOOKUP(Grammys[[#This Row],[date]],mobile_visits[date],mobile_visits[mobile_visitors],0)</f>
        <v>0</v>
      </c>
    </row>
    <row r="871" spans="1:9">
      <c r="A871" s="1">
        <v>43605</v>
      </c>
      <c r="B871">
        <v>11498</v>
      </c>
      <c r="C871">
        <v>15855</v>
      </c>
      <c r="D871">
        <v>11640</v>
      </c>
      <c r="E871">
        <v>6271</v>
      </c>
      <c r="F871">
        <v>76</v>
      </c>
      <c r="G871" t="s">
        <v>83</v>
      </c>
      <c r="H871" t="str" cm="1">
        <f t="array" ref="H871">_xlfn.IFS(Grammys[[#This Row],[date]] &gt;= DATE(2022,2,1),"Grammys",TRUE,"Grammys TRA")</f>
        <v>Grammys TRA</v>
      </c>
      <c r="I871">
        <f>_xlfn.XLOOKUP(Grammys[[#This Row],[date]],mobile_visits[date],mobile_visits[mobile_visitors],0)</f>
        <v>0</v>
      </c>
    </row>
    <row r="872" spans="1:9">
      <c r="A872" s="1">
        <v>43606</v>
      </c>
      <c r="B872">
        <v>14228</v>
      </c>
      <c r="C872">
        <v>15865</v>
      </c>
      <c r="D872">
        <v>11914</v>
      </c>
      <c r="E872">
        <v>6305</v>
      </c>
      <c r="F872">
        <v>78</v>
      </c>
      <c r="G872" t="s">
        <v>83</v>
      </c>
      <c r="H872" t="str" cm="1">
        <f t="array" ref="H872">_xlfn.IFS(Grammys[[#This Row],[date]] &gt;= DATE(2022,2,1),"Grammys",TRUE,"Grammys TRA")</f>
        <v>Grammys TRA</v>
      </c>
      <c r="I872">
        <f>_xlfn.XLOOKUP(Grammys[[#This Row],[date]],mobile_visits[date],mobile_visits[mobile_visitors],0)</f>
        <v>0</v>
      </c>
    </row>
    <row r="873" spans="1:9">
      <c r="A873" s="1">
        <v>43607</v>
      </c>
      <c r="B873">
        <v>12342</v>
      </c>
      <c r="C873">
        <v>15532</v>
      </c>
      <c r="D873">
        <v>11637</v>
      </c>
      <c r="E873">
        <v>6589</v>
      </c>
      <c r="F873">
        <v>76</v>
      </c>
      <c r="G873" t="s">
        <v>83</v>
      </c>
      <c r="H873" t="str" cm="1">
        <f t="array" ref="H873">_xlfn.IFS(Grammys[[#This Row],[date]] &gt;= DATE(2022,2,1),"Grammys",TRUE,"Grammys TRA")</f>
        <v>Grammys TRA</v>
      </c>
      <c r="I873">
        <f>_xlfn.XLOOKUP(Grammys[[#This Row],[date]],mobile_visits[date],mobile_visits[mobile_visitors],0)</f>
        <v>0</v>
      </c>
    </row>
    <row r="874" spans="1:9">
      <c r="A874" s="1">
        <v>43608</v>
      </c>
      <c r="B874">
        <v>11233</v>
      </c>
      <c r="C874">
        <v>15575</v>
      </c>
      <c r="D874">
        <v>11582</v>
      </c>
      <c r="E874">
        <v>6587</v>
      </c>
      <c r="F874">
        <v>68</v>
      </c>
      <c r="G874" t="s">
        <v>83</v>
      </c>
      <c r="H874" t="str" cm="1">
        <f t="array" ref="H874">_xlfn.IFS(Grammys[[#This Row],[date]] &gt;= DATE(2022,2,1),"Grammys",TRUE,"Grammys TRA")</f>
        <v>Grammys TRA</v>
      </c>
      <c r="I874">
        <f>_xlfn.XLOOKUP(Grammys[[#This Row],[date]],mobile_visits[date],mobile_visits[mobile_visitors],0)</f>
        <v>0</v>
      </c>
    </row>
    <row r="875" spans="1:9">
      <c r="A875" s="1">
        <v>43609</v>
      </c>
      <c r="B875">
        <v>10679</v>
      </c>
      <c r="C875">
        <v>14604</v>
      </c>
      <c r="D875">
        <v>11051</v>
      </c>
      <c r="E875">
        <v>6255</v>
      </c>
      <c r="F875">
        <v>70</v>
      </c>
      <c r="G875" t="s">
        <v>83</v>
      </c>
      <c r="H875" t="str" cm="1">
        <f t="array" ref="H875">_xlfn.IFS(Grammys[[#This Row],[date]] &gt;= DATE(2022,2,1),"Grammys",TRUE,"Grammys TRA")</f>
        <v>Grammys TRA</v>
      </c>
      <c r="I875">
        <f>_xlfn.XLOOKUP(Grammys[[#This Row],[date]],mobile_visits[date],mobile_visits[mobile_visitors],0)</f>
        <v>0</v>
      </c>
    </row>
    <row r="876" spans="1:9">
      <c r="A876" s="1">
        <v>43610</v>
      </c>
      <c r="B876">
        <v>9352</v>
      </c>
      <c r="C876">
        <v>12768</v>
      </c>
      <c r="D876">
        <v>9638</v>
      </c>
      <c r="E876">
        <v>5343</v>
      </c>
      <c r="F876">
        <v>66</v>
      </c>
      <c r="G876" t="s">
        <v>83</v>
      </c>
      <c r="H876" t="str" cm="1">
        <f t="array" ref="H876">_xlfn.IFS(Grammys[[#This Row],[date]] &gt;= DATE(2022,2,1),"Grammys",TRUE,"Grammys TRA")</f>
        <v>Grammys TRA</v>
      </c>
      <c r="I876">
        <f>_xlfn.XLOOKUP(Grammys[[#This Row],[date]],mobile_visits[date],mobile_visits[mobile_visitors],0)</f>
        <v>0</v>
      </c>
    </row>
    <row r="877" spans="1:9">
      <c r="A877" s="1">
        <v>43611</v>
      </c>
      <c r="B877">
        <v>9113</v>
      </c>
      <c r="C877">
        <v>12922</v>
      </c>
      <c r="D877">
        <v>9487</v>
      </c>
      <c r="E877">
        <v>5126</v>
      </c>
      <c r="F877">
        <v>78</v>
      </c>
      <c r="G877" t="s">
        <v>83</v>
      </c>
      <c r="H877" t="str" cm="1">
        <f t="array" ref="H877">_xlfn.IFS(Grammys[[#This Row],[date]] &gt;= DATE(2022,2,1),"Grammys",TRUE,"Grammys TRA")</f>
        <v>Grammys TRA</v>
      </c>
      <c r="I877">
        <f>_xlfn.XLOOKUP(Grammys[[#This Row],[date]],mobile_visits[date],mobile_visits[mobile_visitors],0)</f>
        <v>0</v>
      </c>
    </row>
    <row r="878" spans="1:9">
      <c r="A878" s="1">
        <v>43612</v>
      </c>
      <c r="B878">
        <v>10675</v>
      </c>
      <c r="C878">
        <v>16479</v>
      </c>
      <c r="D878">
        <v>11319</v>
      </c>
      <c r="E878">
        <v>5892</v>
      </c>
      <c r="F878">
        <v>79</v>
      </c>
      <c r="G878" t="s">
        <v>83</v>
      </c>
      <c r="H878" t="str" cm="1">
        <f t="array" ref="H878">_xlfn.IFS(Grammys[[#This Row],[date]] &gt;= DATE(2022,2,1),"Grammys",TRUE,"Grammys TRA")</f>
        <v>Grammys TRA</v>
      </c>
      <c r="I878">
        <f>_xlfn.XLOOKUP(Grammys[[#This Row],[date]],mobile_visits[date],mobile_visits[mobile_visitors],0)</f>
        <v>0</v>
      </c>
    </row>
    <row r="879" spans="1:9">
      <c r="A879" s="1">
        <v>43613</v>
      </c>
      <c r="B879">
        <v>11156</v>
      </c>
      <c r="C879">
        <v>16027</v>
      </c>
      <c r="D879">
        <v>11631</v>
      </c>
      <c r="E879">
        <v>6412</v>
      </c>
      <c r="F879">
        <v>85</v>
      </c>
      <c r="G879" t="s">
        <v>83</v>
      </c>
      <c r="H879" t="str" cm="1">
        <f t="array" ref="H879">_xlfn.IFS(Grammys[[#This Row],[date]] &gt;= DATE(2022,2,1),"Grammys",TRUE,"Grammys TRA")</f>
        <v>Grammys TRA</v>
      </c>
      <c r="I879">
        <f>_xlfn.XLOOKUP(Grammys[[#This Row],[date]],mobile_visits[date],mobile_visits[mobile_visitors],0)</f>
        <v>0</v>
      </c>
    </row>
    <row r="880" spans="1:9">
      <c r="A880" s="1">
        <v>43614</v>
      </c>
      <c r="B880">
        <v>11724</v>
      </c>
      <c r="C880">
        <v>16378</v>
      </c>
      <c r="D880">
        <v>12371</v>
      </c>
      <c r="E880">
        <v>6250</v>
      </c>
      <c r="F880">
        <v>77</v>
      </c>
      <c r="G880" t="s">
        <v>83</v>
      </c>
      <c r="H880" t="str" cm="1">
        <f t="array" ref="H880">_xlfn.IFS(Grammys[[#This Row],[date]] &gt;= DATE(2022,2,1),"Grammys",TRUE,"Grammys TRA")</f>
        <v>Grammys TRA</v>
      </c>
      <c r="I880">
        <f>_xlfn.XLOOKUP(Grammys[[#This Row],[date]],mobile_visits[date],mobile_visits[mobile_visitors],0)</f>
        <v>0</v>
      </c>
    </row>
    <row r="881" spans="1:9">
      <c r="A881" s="1">
        <v>43615</v>
      </c>
      <c r="B881">
        <v>10534</v>
      </c>
      <c r="C881">
        <v>15021</v>
      </c>
      <c r="D881">
        <v>10974</v>
      </c>
      <c r="E881">
        <v>6215</v>
      </c>
      <c r="F881">
        <v>76</v>
      </c>
      <c r="G881" t="s">
        <v>83</v>
      </c>
      <c r="H881" t="str" cm="1">
        <f t="array" ref="H881">_xlfn.IFS(Grammys[[#This Row],[date]] &gt;= DATE(2022,2,1),"Grammys",TRUE,"Grammys TRA")</f>
        <v>Grammys TRA</v>
      </c>
      <c r="I881">
        <f>_xlfn.XLOOKUP(Grammys[[#This Row],[date]],mobile_visits[date],mobile_visits[mobile_visitors],0)</f>
        <v>0</v>
      </c>
    </row>
    <row r="882" spans="1:9">
      <c r="A882" s="1">
        <v>43616</v>
      </c>
      <c r="B882">
        <v>11459</v>
      </c>
      <c r="C882">
        <v>15778</v>
      </c>
      <c r="D882">
        <v>11969</v>
      </c>
      <c r="E882">
        <v>7073</v>
      </c>
      <c r="F882">
        <v>65</v>
      </c>
      <c r="G882" t="s">
        <v>83</v>
      </c>
      <c r="H882" t="str" cm="1">
        <f t="array" ref="H882">_xlfn.IFS(Grammys[[#This Row],[date]] &gt;= DATE(2022,2,1),"Grammys",TRUE,"Grammys TRA")</f>
        <v>Grammys TRA</v>
      </c>
      <c r="I882">
        <f>_xlfn.XLOOKUP(Grammys[[#This Row],[date]],mobile_visits[date],mobile_visits[mobile_visitors],0)</f>
        <v>0</v>
      </c>
    </row>
    <row r="883" spans="1:9">
      <c r="A883" s="1">
        <v>43617</v>
      </c>
      <c r="B883">
        <v>10969</v>
      </c>
      <c r="C883">
        <v>15236</v>
      </c>
      <c r="D883">
        <v>11465</v>
      </c>
      <c r="E883">
        <v>6242</v>
      </c>
      <c r="F883">
        <v>69</v>
      </c>
      <c r="G883" t="s">
        <v>83</v>
      </c>
      <c r="H883" t="str" cm="1">
        <f t="array" ref="H883">_xlfn.IFS(Grammys[[#This Row],[date]] &gt;= DATE(2022,2,1),"Grammys",TRUE,"Grammys TRA")</f>
        <v>Grammys TRA</v>
      </c>
      <c r="I883">
        <f>_xlfn.XLOOKUP(Grammys[[#This Row],[date]],mobile_visits[date],mobile_visits[mobile_visitors],0)</f>
        <v>0</v>
      </c>
    </row>
    <row r="884" spans="1:9">
      <c r="A884" s="1">
        <v>43618</v>
      </c>
      <c r="B884">
        <v>10684</v>
      </c>
      <c r="C884">
        <v>14872</v>
      </c>
      <c r="D884">
        <v>11120</v>
      </c>
      <c r="E884">
        <v>5924</v>
      </c>
      <c r="F884">
        <v>76</v>
      </c>
      <c r="G884" t="s">
        <v>83</v>
      </c>
      <c r="H884" t="str" cm="1">
        <f t="array" ref="H884">_xlfn.IFS(Grammys[[#This Row],[date]] &gt;= DATE(2022,2,1),"Grammys",TRUE,"Grammys TRA")</f>
        <v>Grammys TRA</v>
      </c>
      <c r="I884">
        <f>_xlfn.XLOOKUP(Grammys[[#This Row],[date]],mobile_visits[date],mobile_visits[mobile_visitors],0)</f>
        <v>0</v>
      </c>
    </row>
    <row r="885" spans="1:9">
      <c r="A885" s="1">
        <v>43619</v>
      </c>
      <c r="B885">
        <v>11660</v>
      </c>
      <c r="C885">
        <v>16527</v>
      </c>
      <c r="D885">
        <v>12255</v>
      </c>
      <c r="E885">
        <v>6807</v>
      </c>
      <c r="F885">
        <v>77</v>
      </c>
      <c r="G885" t="s">
        <v>83</v>
      </c>
      <c r="H885" t="str" cm="1">
        <f t="array" ref="H885">_xlfn.IFS(Grammys[[#This Row],[date]] &gt;= DATE(2022,2,1),"Grammys",TRUE,"Grammys TRA")</f>
        <v>Grammys TRA</v>
      </c>
      <c r="I885">
        <f>_xlfn.XLOOKUP(Grammys[[#This Row],[date]],mobile_visits[date],mobile_visits[mobile_visitors],0)</f>
        <v>0</v>
      </c>
    </row>
    <row r="886" spans="1:9">
      <c r="A886" s="1">
        <v>43620</v>
      </c>
      <c r="B886">
        <v>11449</v>
      </c>
      <c r="C886">
        <v>16748</v>
      </c>
      <c r="D886">
        <v>12103</v>
      </c>
      <c r="E886">
        <v>6819</v>
      </c>
      <c r="F886">
        <v>78</v>
      </c>
      <c r="G886" t="s">
        <v>83</v>
      </c>
      <c r="H886" t="str" cm="1">
        <f t="array" ref="H886">_xlfn.IFS(Grammys[[#This Row],[date]] &gt;= DATE(2022,2,1),"Grammys",TRUE,"Grammys TRA")</f>
        <v>Grammys TRA</v>
      </c>
      <c r="I886">
        <f>_xlfn.XLOOKUP(Grammys[[#This Row],[date]],mobile_visits[date],mobile_visits[mobile_visitors],0)</f>
        <v>0</v>
      </c>
    </row>
    <row r="887" spans="1:9">
      <c r="A887" s="1">
        <v>43621</v>
      </c>
      <c r="B887">
        <v>11164</v>
      </c>
      <c r="C887">
        <v>16837</v>
      </c>
      <c r="D887">
        <v>12042</v>
      </c>
      <c r="E887">
        <v>6803</v>
      </c>
      <c r="F887">
        <v>78</v>
      </c>
      <c r="G887" t="s">
        <v>83</v>
      </c>
      <c r="H887" t="str" cm="1">
        <f t="array" ref="H887">_xlfn.IFS(Grammys[[#This Row],[date]] &gt;= DATE(2022,2,1),"Grammys",TRUE,"Grammys TRA")</f>
        <v>Grammys TRA</v>
      </c>
      <c r="I887">
        <f>_xlfn.XLOOKUP(Grammys[[#This Row],[date]],mobile_visits[date],mobile_visits[mobile_visitors],0)</f>
        <v>0</v>
      </c>
    </row>
    <row r="888" spans="1:9">
      <c r="A888" s="1">
        <v>43622</v>
      </c>
      <c r="B888">
        <v>40281</v>
      </c>
      <c r="C888">
        <v>56659</v>
      </c>
      <c r="D888">
        <v>46050</v>
      </c>
      <c r="E888">
        <v>13940</v>
      </c>
      <c r="F888">
        <v>73</v>
      </c>
      <c r="G888" t="s">
        <v>83</v>
      </c>
      <c r="H888" t="str" cm="1">
        <f t="array" ref="H888">_xlfn.IFS(Grammys[[#This Row],[date]] &gt;= DATE(2022,2,1),"Grammys",TRUE,"Grammys TRA")</f>
        <v>Grammys TRA</v>
      </c>
      <c r="I888">
        <f>_xlfn.XLOOKUP(Grammys[[#This Row],[date]],mobile_visits[date],mobile_visits[mobile_visitors],0)</f>
        <v>0</v>
      </c>
    </row>
    <row r="889" spans="1:9">
      <c r="A889" s="1">
        <v>43623</v>
      </c>
      <c r="B889">
        <v>18913</v>
      </c>
      <c r="C889">
        <v>26064</v>
      </c>
      <c r="D889">
        <v>20341</v>
      </c>
      <c r="E889">
        <v>8981</v>
      </c>
      <c r="F889">
        <v>67</v>
      </c>
      <c r="G889" t="s">
        <v>83</v>
      </c>
      <c r="H889" t="str" cm="1">
        <f t="array" ref="H889">_xlfn.IFS(Grammys[[#This Row],[date]] &gt;= DATE(2022,2,1),"Grammys",TRUE,"Grammys TRA")</f>
        <v>Grammys TRA</v>
      </c>
      <c r="I889">
        <f>_xlfn.XLOOKUP(Grammys[[#This Row],[date]],mobile_visits[date],mobile_visits[mobile_visitors],0)</f>
        <v>0</v>
      </c>
    </row>
    <row r="890" spans="1:9">
      <c r="A890" s="1">
        <v>43624</v>
      </c>
      <c r="B890">
        <v>12351</v>
      </c>
      <c r="C890">
        <v>17243</v>
      </c>
      <c r="D890">
        <v>13046</v>
      </c>
      <c r="E890">
        <v>6745</v>
      </c>
      <c r="F890">
        <v>68</v>
      </c>
      <c r="G890" t="s">
        <v>83</v>
      </c>
      <c r="H890" t="str" cm="1">
        <f t="array" ref="H890">_xlfn.IFS(Grammys[[#This Row],[date]] &gt;= DATE(2022,2,1),"Grammys",TRUE,"Grammys TRA")</f>
        <v>Grammys TRA</v>
      </c>
      <c r="I890">
        <f>_xlfn.XLOOKUP(Grammys[[#This Row],[date]],mobile_visits[date],mobile_visits[mobile_visitors],0)</f>
        <v>0</v>
      </c>
    </row>
    <row r="891" spans="1:9">
      <c r="A891" s="1">
        <v>43625</v>
      </c>
      <c r="B891">
        <v>13720</v>
      </c>
      <c r="C891">
        <v>19221</v>
      </c>
      <c r="D891">
        <v>14506</v>
      </c>
      <c r="E891">
        <v>7307</v>
      </c>
      <c r="F891">
        <v>75</v>
      </c>
      <c r="G891" t="s">
        <v>83</v>
      </c>
      <c r="H891" t="str" cm="1">
        <f t="array" ref="H891">_xlfn.IFS(Grammys[[#This Row],[date]] &gt;= DATE(2022,2,1),"Grammys",TRUE,"Grammys TRA")</f>
        <v>Grammys TRA</v>
      </c>
      <c r="I891">
        <f>_xlfn.XLOOKUP(Grammys[[#This Row],[date]],mobile_visits[date],mobile_visits[mobile_visitors],0)</f>
        <v>0</v>
      </c>
    </row>
    <row r="892" spans="1:9">
      <c r="A892" s="1">
        <v>43626</v>
      </c>
      <c r="B892">
        <v>14512</v>
      </c>
      <c r="C892">
        <v>21045</v>
      </c>
      <c r="D892">
        <v>15303</v>
      </c>
      <c r="E892">
        <v>7813</v>
      </c>
      <c r="F892">
        <v>75</v>
      </c>
      <c r="G892" t="s">
        <v>83</v>
      </c>
      <c r="H892" t="str" cm="1">
        <f t="array" ref="H892">_xlfn.IFS(Grammys[[#This Row],[date]] &gt;= DATE(2022,2,1),"Grammys",TRUE,"Grammys TRA")</f>
        <v>Grammys TRA</v>
      </c>
      <c r="I892">
        <f>_xlfn.XLOOKUP(Grammys[[#This Row],[date]],mobile_visits[date],mobile_visits[mobile_visitors],0)</f>
        <v>0</v>
      </c>
    </row>
    <row r="893" spans="1:9">
      <c r="A893" s="1">
        <v>43627</v>
      </c>
      <c r="B893">
        <v>14209</v>
      </c>
      <c r="C893">
        <v>20085</v>
      </c>
      <c r="D893">
        <v>14991</v>
      </c>
      <c r="E893">
        <v>7159</v>
      </c>
      <c r="F893">
        <v>83</v>
      </c>
      <c r="G893" t="s">
        <v>83</v>
      </c>
      <c r="H893" t="str" cm="1">
        <f t="array" ref="H893">_xlfn.IFS(Grammys[[#This Row],[date]] &gt;= DATE(2022,2,1),"Grammys",TRUE,"Grammys TRA")</f>
        <v>Grammys TRA</v>
      </c>
      <c r="I893">
        <f>_xlfn.XLOOKUP(Grammys[[#This Row],[date]],mobile_visits[date],mobile_visits[mobile_visitors],0)</f>
        <v>0</v>
      </c>
    </row>
    <row r="894" spans="1:9">
      <c r="A894" s="1">
        <v>43628</v>
      </c>
      <c r="B894">
        <v>21372</v>
      </c>
      <c r="C894">
        <v>28002</v>
      </c>
      <c r="D894">
        <v>22469</v>
      </c>
      <c r="E894">
        <v>8975</v>
      </c>
      <c r="F894">
        <v>92</v>
      </c>
      <c r="G894" t="s">
        <v>83</v>
      </c>
      <c r="H894" t="str" cm="1">
        <f t="array" ref="H894">_xlfn.IFS(Grammys[[#This Row],[date]] &gt;= DATE(2022,2,1),"Grammys",TRUE,"Grammys TRA")</f>
        <v>Grammys TRA</v>
      </c>
      <c r="I894">
        <f>_xlfn.XLOOKUP(Grammys[[#This Row],[date]],mobile_visits[date],mobile_visits[mobile_visitors],0)</f>
        <v>0</v>
      </c>
    </row>
    <row r="895" spans="1:9">
      <c r="A895" s="1">
        <v>43629</v>
      </c>
      <c r="B895">
        <v>19877</v>
      </c>
      <c r="C895">
        <v>27064</v>
      </c>
      <c r="D895">
        <v>21102</v>
      </c>
      <c r="E895">
        <v>12664</v>
      </c>
      <c r="F895">
        <v>66</v>
      </c>
      <c r="G895" t="s">
        <v>83</v>
      </c>
      <c r="H895" t="str" cm="1">
        <f t="array" ref="H895">_xlfn.IFS(Grammys[[#This Row],[date]] &gt;= DATE(2022,2,1),"Grammys",TRUE,"Grammys TRA")</f>
        <v>Grammys TRA</v>
      </c>
      <c r="I895">
        <f>_xlfn.XLOOKUP(Grammys[[#This Row],[date]],mobile_visits[date],mobile_visits[mobile_visitors],0)</f>
        <v>0</v>
      </c>
    </row>
    <row r="896" spans="1:9">
      <c r="A896" s="1">
        <v>43630</v>
      </c>
      <c r="B896">
        <v>14693</v>
      </c>
      <c r="C896">
        <v>20061</v>
      </c>
      <c r="D896">
        <v>15590</v>
      </c>
      <c r="E896">
        <v>9417</v>
      </c>
      <c r="F896">
        <v>60</v>
      </c>
      <c r="G896" t="s">
        <v>83</v>
      </c>
      <c r="H896" t="str" cm="1">
        <f t="array" ref="H896">_xlfn.IFS(Grammys[[#This Row],[date]] &gt;= DATE(2022,2,1),"Grammys",TRUE,"Grammys TRA")</f>
        <v>Grammys TRA</v>
      </c>
      <c r="I896">
        <f>_xlfn.XLOOKUP(Grammys[[#This Row],[date]],mobile_visits[date],mobile_visits[mobile_visitors],0)</f>
        <v>0</v>
      </c>
    </row>
    <row r="897" spans="1:9">
      <c r="A897" s="1">
        <v>43631</v>
      </c>
      <c r="B897">
        <v>11110</v>
      </c>
      <c r="C897">
        <v>15609</v>
      </c>
      <c r="D897">
        <v>11895</v>
      </c>
      <c r="E897">
        <v>6897</v>
      </c>
      <c r="F897">
        <v>60</v>
      </c>
      <c r="G897" t="s">
        <v>83</v>
      </c>
      <c r="H897" t="str" cm="1">
        <f t="array" ref="H897">_xlfn.IFS(Grammys[[#This Row],[date]] &gt;= DATE(2022,2,1),"Grammys",TRUE,"Grammys TRA")</f>
        <v>Grammys TRA</v>
      </c>
      <c r="I897">
        <f>_xlfn.XLOOKUP(Grammys[[#This Row],[date]],mobile_visits[date],mobile_visits[mobile_visitors],0)</f>
        <v>0</v>
      </c>
    </row>
    <row r="898" spans="1:9">
      <c r="A898" s="1">
        <v>43632</v>
      </c>
      <c r="B898">
        <v>10239</v>
      </c>
      <c r="C898">
        <v>14384</v>
      </c>
      <c r="D898">
        <v>10646</v>
      </c>
      <c r="E898">
        <v>5951</v>
      </c>
      <c r="F898">
        <v>77</v>
      </c>
      <c r="G898" t="s">
        <v>83</v>
      </c>
      <c r="H898" t="str" cm="1">
        <f t="array" ref="H898">_xlfn.IFS(Grammys[[#This Row],[date]] &gt;= DATE(2022,2,1),"Grammys",TRUE,"Grammys TRA")</f>
        <v>Grammys TRA</v>
      </c>
      <c r="I898">
        <f>_xlfn.XLOOKUP(Grammys[[#This Row],[date]],mobile_visits[date],mobile_visits[mobile_visitors],0)</f>
        <v>0</v>
      </c>
    </row>
    <row r="899" spans="1:9">
      <c r="A899" s="1">
        <v>43633</v>
      </c>
      <c r="B899">
        <v>11403</v>
      </c>
      <c r="C899">
        <v>16328</v>
      </c>
      <c r="D899">
        <v>11956</v>
      </c>
      <c r="E899">
        <v>6839</v>
      </c>
      <c r="F899">
        <v>71</v>
      </c>
      <c r="G899" t="s">
        <v>83</v>
      </c>
      <c r="H899" t="str" cm="1">
        <f t="array" ref="H899">_xlfn.IFS(Grammys[[#This Row],[date]] &gt;= DATE(2022,2,1),"Grammys",TRUE,"Grammys TRA")</f>
        <v>Grammys TRA</v>
      </c>
      <c r="I899">
        <f>_xlfn.XLOOKUP(Grammys[[#This Row],[date]],mobile_visits[date],mobile_visits[mobile_visitors],0)</f>
        <v>0</v>
      </c>
    </row>
    <row r="900" spans="1:9">
      <c r="A900" s="1">
        <v>43634</v>
      </c>
      <c r="B900">
        <v>11317</v>
      </c>
      <c r="C900">
        <v>16183</v>
      </c>
      <c r="D900">
        <v>11856</v>
      </c>
      <c r="E900">
        <v>6490</v>
      </c>
      <c r="F900">
        <v>73</v>
      </c>
      <c r="G900" t="s">
        <v>83</v>
      </c>
      <c r="H900" t="str" cm="1">
        <f t="array" ref="H900">_xlfn.IFS(Grammys[[#This Row],[date]] &gt;= DATE(2022,2,1),"Grammys",TRUE,"Grammys TRA")</f>
        <v>Grammys TRA</v>
      </c>
      <c r="I900">
        <f>_xlfn.XLOOKUP(Grammys[[#This Row],[date]],mobile_visits[date],mobile_visits[mobile_visitors],0)</f>
        <v>0</v>
      </c>
    </row>
    <row r="901" spans="1:9">
      <c r="A901" s="1">
        <v>43635</v>
      </c>
      <c r="B901">
        <v>11584</v>
      </c>
      <c r="C901">
        <v>16593</v>
      </c>
      <c r="D901">
        <v>12058</v>
      </c>
      <c r="E901">
        <v>6772</v>
      </c>
      <c r="F901">
        <v>75</v>
      </c>
      <c r="G901" t="s">
        <v>83</v>
      </c>
      <c r="H901" t="str" cm="1">
        <f t="array" ref="H901">_xlfn.IFS(Grammys[[#This Row],[date]] &gt;= DATE(2022,2,1),"Grammys",TRUE,"Grammys TRA")</f>
        <v>Grammys TRA</v>
      </c>
      <c r="I901">
        <f>_xlfn.XLOOKUP(Grammys[[#This Row],[date]],mobile_visits[date],mobile_visits[mobile_visitors],0)</f>
        <v>0</v>
      </c>
    </row>
    <row r="902" spans="1:9">
      <c r="A902" s="1">
        <v>43636</v>
      </c>
      <c r="B902">
        <v>15610</v>
      </c>
      <c r="C902">
        <v>21956</v>
      </c>
      <c r="D902">
        <v>16638</v>
      </c>
      <c r="E902">
        <v>9278</v>
      </c>
      <c r="F902">
        <v>68</v>
      </c>
      <c r="G902" t="s">
        <v>83</v>
      </c>
      <c r="H902" t="str" cm="1">
        <f t="array" ref="H902">_xlfn.IFS(Grammys[[#This Row],[date]] &gt;= DATE(2022,2,1),"Grammys",TRUE,"Grammys TRA")</f>
        <v>Grammys TRA</v>
      </c>
      <c r="I902">
        <f>_xlfn.XLOOKUP(Grammys[[#This Row],[date]],mobile_visits[date],mobile_visits[mobile_visitors],0)</f>
        <v>0</v>
      </c>
    </row>
    <row r="903" spans="1:9">
      <c r="A903" s="1">
        <v>43637</v>
      </c>
      <c r="B903">
        <v>14676</v>
      </c>
      <c r="C903">
        <v>20373</v>
      </c>
      <c r="D903">
        <v>15467</v>
      </c>
      <c r="E903">
        <v>7635</v>
      </c>
      <c r="F903">
        <v>72</v>
      </c>
      <c r="G903" t="s">
        <v>83</v>
      </c>
      <c r="H903" t="str" cm="1">
        <f t="array" ref="H903">_xlfn.IFS(Grammys[[#This Row],[date]] &gt;= DATE(2022,2,1),"Grammys",TRUE,"Grammys TRA")</f>
        <v>Grammys TRA</v>
      </c>
      <c r="I903">
        <f>_xlfn.XLOOKUP(Grammys[[#This Row],[date]],mobile_visits[date],mobile_visits[mobile_visitors],0)</f>
        <v>0</v>
      </c>
    </row>
    <row r="904" spans="1:9">
      <c r="A904" s="1">
        <v>43638</v>
      </c>
      <c r="B904">
        <v>14357</v>
      </c>
      <c r="C904">
        <v>19722</v>
      </c>
      <c r="D904">
        <v>14972</v>
      </c>
      <c r="E904">
        <v>7527</v>
      </c>
      <c r="F904">
        <v>67</v>
      </c>
      <c r="G904" t="s">
        <v>83</v>
      </c>
      <c r="H904" t="str" cm="1">
        <f t="array" ref="H904">_xlfn.IFS(Grammys[[#This Row],[date]] &gt;= DATE(2022,2,1),"Grammys",TRUE,"Grammys TRA")</f>
        <v>Grammys TRA</v>
      </c>
      <c r="I904">
        <f>_xlfn.XLOOKUP(Grammys[[#This Row],[date]],mobile_visits[date],mobile_visits[mobile_visitors],0)</f>
        <v>0</v>
      </c>
    </row>
    <row r="905" spans="1:9">
      <c r="A905" s="1">
        <v>43639</v>
      </c>
      <c r="B905">
        <v>12298</v>
      </c>
      <c r="C905">
        <v>17456</v>
      </c>
      <c r="D905">
        <v>13042</v>
      </c>
      <c r="E905">
        <v>6842</v>
      </c>
      <c r="F905">
        <v>73</v>
      </c>
      <c r="G905" t="s">
        <v>83</v>
      </c>
      <c r="H905" t="str" cm="1">
        <f t="array" ref="H905">_xlfn.IFS(Grammys[[#This Row],[date]] &gt;= DATE(2022,2,1),"Grammys",TRUE,"Grammys TRA")</f>
        <v>Grammys TRA</v>
      </c>
      <c r="I905">
        <f>_xlfn.XLOOKUP(Grammys[[#This Row],[date]],mobile_visits[date],mobile_visits[mobile_visitors],0)</f>
        <v>0</v>
      </c>
    </row>
    <row r="906" spans="1:9">
      <c r="A906" s="1">
        <v>43640</v>
      </c>
      <c r="B906">
        <v>12318</v>
      </c>
      <c r="C906">
        <v>18682</v>
      </c>
      <c r="D906">
        <v>13097</v>
      </c>
      <c r="E906">
        <v>6786</v>
      </c>
      <c r="F906">
        <v>84</v>
      </c>
      <c r="G906" t="s">
        <v>83</v>
      </c>
      <c r="H906" t="str" cm="1">
        <f t="array" ref="H906">_xlfn.IFS(Grammys[[#This Row],[date]] &gt;= DATE(2022,2,1),"Grammys",TRUE,"Grammys TRA")</f>
        <v>Grammys TRA</v>
      </c>
      <c r="I906">
        <f>_xlfn.XLOOKUP(Grammys[[#This Row],[date]],mobile_visits[date],mobile_visits[mobile_visitors],0)</f>
        <v>0</v>
      </c>
    </row>
    <row r="907" spans="1:9">
      <c r="A907" s="1">
        <v>43641</v>
      </c>
      <c r="B907">
        <v>18073</v>
      </c>
      <c r="C907">
        <v>25187</v>
      </c>
      <c r="D907">
        <v>19304</v>
      </c>
      <c r="E907">
        <v>9631</v>
      </c>
      <c r="F907">
        <v>69</v>
      </c>
      <c r="G907" t="s">
        <v>83</v>
      </c>
      <c r="H907" t="str" cm="1">
        <f t="array" ref="H907">_xlfn.IFS(Grammys[[#This Row],[date]] &gt;= DATE(2022,2,1),"Grammys",TRUE,"Grammys TRA")</f>
        <v>Grammys TRA</v>
      </c>
      <c r="I907">
        <f>_xlfn.XLOOKUP(Grammys[[#This Row],[date]],mobile_visits[date],mobile_visits[mobile_visitors],0)</f>
        <v>0</v>
      </c>
    </row>
    <row r="908" spans="1:9">
      <c r="A908" s="1">
        <v>43642</v>
      </c>
      <c r="B908">
        <v>14551</v>
      </c>
      <c r="C908">
        <v>20882</v>
      </c>
      <c r="D908">
        <v>15452</v>
      </c>
      <c r="E908">
        <v>7535</v>
      </c>
      <c r="F908">
        <v>75</v>
      </c>
      <c r="G908" t="s">
        <v>83</v>
      </c>
      <c r="H908" t="str" cm="1">
        <f t="array" ref="H908">_xlfn.IFS(Grammys[[#This Row],[date]] &gt;= DATE(2022,2,1),"Grammys",TRUE,"Grammys TRA")</f>
        <v>Grammys TRA</v>
      </c>
      <c r="I908">
        <f>_xlfn.XLOOKUP(Grammys[[#This Row],[date]],mobile_visits[date],mobile_visits[mobile_visitors],0)</f>
        <v>0</v>
      </c>
    </row>
    <row r="909" spans="1:9">
      <c r="A909" s="1">
        <v>43643</v>
      </c>
      <c r="B909">
        <v>16932</v>
      </c>
      <c r="C909">
        <v>22637</v>
      </c>
      <c r="D909">
        <v>17748</v>
      </c>
      <c r="E909">
        <v>6871</v>
      </c>
      <c r="F909">
        <v>82</v>
      </c>
      <c r="G909" t="s">
        <v>83</v>
      </c>
      <c r="H909" t="str" cm="1">
        <f t="array" ref="H909">_xlfn.IFS(Grammys[[#This Row],[date]] &gt;= DATE(2022,2,1),"Grammys",TRUE,"Grammys TRA")</f>
        <v>Grammys TRA</v>
      </c>
      <c r="I909">
        <f>_xlfn.XLOOKUP(Grammys[[#This Row],[date]],mobile_visits[date],mobile_visits[mobile_visitors],0)</f>
        <v>0</v>
      </c>
    </row>
    <row r="910" spans="1:9">
      <c r="A910" s="1">
        <v>43644</v>
      </c>
      <c r="B910">
        <v>13384</v>
      </c>
      <c r="C910">
        <v>18785</v>
      </c>
      <c r="D910">
        <v>14264</v>
      </c>
      <c r="E910">
        <v>6244</v>
      </c>
      <c r="F910">
        <v>91</v>
      </c>
      <c r="G910" t="s">
        <v>83</v>
      </c>
      <c r="H910" t="str" cm="1">
        <f t="array" ref="H910">_xlfn.IFS(Grammys[[#This Row],[date]] &gt;= DATE(2022,2,1),"Grammys",TRUE,"Grammys TRA")</f>
        <v>Grammys TRA</v>
      </c>
      <c r="I910">
        <f>_xlfn.XLOOKUP(Grammys[[#This Row],[date]],mobile_visits[date],mobile_visits[mobile_visitors],0)</f>
        <v>0</v>
      </c>
    </row>
    <row r="911" spans="1:9">
      <c r="A911" s="1">
        <v>43645</v>
      </c>
      <c r="B911">
        <v>11742</v>
      </c>
      <c r="C911">
        <v>16665</v>
      </c>
      <c r="D911">
        <v>12474</v>
      </c>
      <c r="E911">
        <v>7238</v>
      </c>
      <c r="F911">
        <v>73</v>
      </c>
      <c r="G911" t="s">
        <v>83</v>
      </c>
      <c r="H911" t="str" cm="1">
        <f t="array" ref="H911">_xlfn.IFS(Grammys[[#This Row],[date]] &gt;= DATE(2022,2,1),"Grammys",TRUE,"Grammys TRA")</f>
        <v>Grammys TRA</v>
      </c>
      <c r="I911">
        <f>_xlfn.XLOOKUP(Grammys[[#This Row],[date]],mobile_visits[date],mobile_visits[mobile_visitors],0)</f>
        <v>0</v>
      </c>
    </row>
    <row r="912" spans="1:9">
      <c r="A912" s="1">
        <v>43646</v>
      </c>
      <c r="B912">
        <v>10061</v>
      </c>
      <c r="C912">
        <v>14381</v>
      </c>
      <c r="D912">
        <v>10608</v>
      </c>
      <c r="E912">
        <v>5778</v>
      </c>
      <c r="F912">
        <v>77</v>
      </c>
      <c r="G912" t="s">
        <v>83</v>
      </c>
      <c r="H912" t="str" cm="1">
        <f t="array" ref="H912">_xlfn.IFS(Grammys[[#This Row],[date]] &gt;= DATE(2022,2,1),"Grammys",TRUE,"Grammys TRA")</f>
        <v>Grammys TRA</v>
      </c>
      <c r="I912">
        <f>_xlfn.XLOOKUP(Grammys[[#This Row],[date]],mobile_visits[date],mobile_visits[mobile_visitors],0)</f>
        <v>0</v>
      </c>
    </row>
    <row r="913" spans="1:9">
      <c r="A913" s="1">
        <v>43647</v>
      </c>
      <c r="B913">
        <v>10324</v>
      </c>
      <c r="C913">
        <v>15336</v>
      </c>
      <c r="D913">
        <v>11026</v>
      </c>
      <c r="E913">
        <v>5762</v>
      </c>
      <c r="F913">
        <v>86</v>
      </c>
      <c r="G913" t="s">
        <v>83</v>
      </c>
      <c r="H913" t="str" cm="1">
        <f t="array" ref="H913">_xlfn.IFS(Grammys[[#This Row],[date]] &gt;= DATE(2022,2,1),"Grammys",TRUE,"Grammys TRA")</f>
        <v>Grammys TRA</v>
      </c>
      <c r="I913">
        <f>_xlfn.XLOOKUP(Grammys[[#This Row],[date]],mobile_visits[date],mobile_visits[mobile_visitors],0)</f>
        <v>0</v>
      </c>
    </row>
    <row r="914" spans="1:9">
      <c r="A914" s="1">
        <v>43648</v>
      </c>
      <c r="B914">
        <v>10654</v>
      </c>
      <c r="C914">
        <v>15798</v>
      </c>
      <c r="D914">
        <v>11292</v>
      </c>
      <c r="E914">
        <v>5942</v>
      </c>
      <c r="F914">
        <v>86</v>
      </c>
      <c r="G914" t="s">
        <v>83</v>
      </c>
      <c r="H914" t="str" cm="1">
        <f t="array" ref="H914">_xlfn.IFS(Grammys[[#This Row],[date]] &gt;= DATE(2022,2,1),"Grammys",TRUE,"Grammys TRA")</f>
        <v>Grammys TRA</v>
      </c>
      <c r="I914">
        <f>_xlfn.XLOOKUP(Grammys[[#This Row],[date]],mobile_visits[date],mobile_visits[mobile_visitors],0)</f>
        <v>0</v>
      </c>
    </row>
    <row r="915" spans="1:9">
      <c r="A915" s="1">
        <v>43649</v>
      </c>
      <c r="B915">
        <v>10118</v>
      </c>
      <c r="C915">
        <v>14952</v>
      </c>
      <c r="D915">
        <v>10768</v>
      </c>
      <c r="E915">
        <v>5596</v>
      </c>
      <c r="F915">
        <v>87</v>
      </c>
      <c r="G915" t="s">
        <v>83</v>
      </c>
      <c r="H915" t="str" cm="1">
        <f t="array" ref="H915">_xlfn.IFS(Grammys[[#This Row],[date]] &gt;= DATE(2022,2,1),"Grammys",TRUE,"Grammys TRA")</f>
        <v>Grammys TRA</v>
      </c>
      <c r="I915">
        <f>_xlfn.XLOOKUP(Grammys[[#This Row],[date]],mobile_visits[date],mobile_visits[mobile_visitors],0)</f>
        <v>0</v>
      </c>
    </row>
    <row r="916" spans="1:9">
      <c r="A916" s="1">
        <v>43650</v>
      </c>
      <c r="B916">
        <v>9032</v>
      </c>
      <c r="C916">
        <v>12833</v>
      </c>
      <c r="D916">
        <v>9506</v>
      </c>
      <c r="E916">
        <v>5037</v>
      </c>
      <c r="F916">
        <v>76</v>
      </c>
      <c r="G916" t="s">
        <v>83</v>
      </c>
      <c r="H916" t="str" cm="1">
        <f t="array" ref="H916">_xlfn.IFS(Grammys[[#This Row],[date]] &gt;= DATE(2022,2,1),"Grammys",TRUE,"Grammys TRA")</f>
        <v>Grammys TRA</v>
      </c>
      <c r="I916">
        <f>_xlfn.XLOOKUP(Grammys[[#This Row],[date]],mobile_visits[date],mobile_visits[mobile_visitors],0)</f>
        <v>0</v>
      </c>
    </row>
    <row r="917" spans="1:9">
      <c r="A917" s="1">
        <v>43651</v>
      </c>
      <c r="B917">
        <v>8669</v>
      </c>
      <c r="C917">
        <v>12947</v>
      </c>
      <c r="D917">
        <v>9276</v>
      </c>
      <c r="E917">
        <v>5110</v>
      </c>
      <c r="F917">
        <v>79</v>
      </c>
      <c r="G917" t="s">
        <v>83</v>
      </c>
      <c r="H917" t="str" cm="1">
        <f t="array" ref="H917">_xlfn.IFS(Grammys[[#This Row],[date]] &gt;= DATE(2022,2,1),"Grammys",TRUE,"Grammys TRA")</f>
        <v>Grammys TRA</v>
      </c>
      <c r="I917">
        <f>_xlfn.XLOOKUP(Grammys[[#This Row],[date]],mobile_visits[date],mobile_visits[mobile_visitors],0)</f>
        <v>0</v>
      </c>
    </row>
    <row r="918" spans="1:9">
      <c r="A918" s="1">
        <v>43652</v>
      </c>
      <c r="B918">
        <v>9850</v>
      </c>
      <c r="C918">
        <v>14240</v>
      </c>
      <c r="D918">
        <v>10415</v>
      </c>
      <c r="E918">
        <v>5994</v>
      </c>
      <c r="F918">
        <v>71</v>
      </c>
      <c r="G918" t="s">
        <v>83</v>
      </c>
      <c r="H918" t="str" cm="1">
        <f t="array" ref="H918">_xlfn.IFS(Grammys[[#This Row],[date]] &gt;= DATE(2022,2,1),"Grammys",TRUE,"Grammys TRA")</f>
        <v>Grammys TRA</v>
      </c>
      <c r="I918">
        <f>_xlfn.XLOOKUP(Grammys[[#This Row],[date]],mobile_visits[date],mobile_visits[mobile_visitors],0)</f>
        <v>0</v>
      </c>
    </row>
    <row r="919" spans="1:9">
      <c r="A919" s="1">
        <v>43653</v>
      </c>
      <c r="B919">
        <v>13922</v>
      </c>
      <c r="C919">
        <v>20236</v>
      </c>
      <c r="D919">
        <v>14559</v>
      </c>
      <c r="E919">
        <v>7414</v>
      </c>
      <c r="F919">
        <v>69</v>
      </c>
      <c r="G919" t="s">
        <v>83</v>
      </c>
      <c r="H919" t="str" cm="1">
        <f t="array" ref="H919">_xlfn.IFS(Grammys[[#This Row],[date]] &gt;= DATE(2022,2,1),"Grammys",TRUE,"Grammys TRA")</f>
        <v>Grammys TRA</v>
      </c>
      <c r="I919">
        <f>_xlfn.XLOOKUP(Grammys[[#This Row],[date]],mobile_visits[date],mobile_visits[mobile_visitors],0)</f>
        <v>0</v>
      </c>
    </row>
    <row r="920" spans="1:9">
      <c r="A920" s="1">
        <v>43654</v>
      </c>
      <c r="B920">
        <v>10866</v>
      </c>
      <c r="C920">
        <v>17110</v>
      </c>
      <c r="D920">
        <v>11768</v>
      </c>
      <c r="E920">
        <v>6182</v>
      </c>
      <c r="F920">
        <v>82</v>
      </c>
      <c r="G920" t="s">
        <v>83</v>
      </c>
      <c r="H920" t="str" cm="1">
        <f t="array" ref="H920">_xlfn.IFS(Grammys[[#This Row],[date]] &gt;= DATE(2022,2,1),"Grammys",TRUE,"Grammys TRA")</f>
        <v>Grammys TRA</v>
      </c>
      <c r="I920">
        <f>_xlfn.XLOOKUP(Grammys[[#This Row],[date]],mobile_visits[date],mobile_visits[mobile_visitors],0)</f>
        <v>0</v>
      </c>
    </row>
    <row r="921" spans="1:9">
      <c r="A921" s="1">
        <v>43655</v>
      </c>
      <c r="B921">
        <v>9491</v>
      </c>
      <c r="C921">
        <v>14362</v>
      </c>
      <c r="D921">
        <v>10054</v>
      </c>
      <c r="E921">
        <v>5350</v>
      </c>
      <c r="F921">
        <v>86</v>
      </c>
      <c r="G921" t="s">
        <v>83</v>
      </c>
      <c r="H921" t="str" cm="1">
        <f t="array" ref="H921">_xlfn.IFS(Grammys[[#This Row],[date]] &gt;= DATE(2022,2,1),"Grammys",TRUE,"Grammys TRA")</f>
        <v>Grammys TRA</v>
      </c>
      <c r="I921">
        <f>_xlfn.XLOOKUP(Grammys[[#This Row],[date]],mobile_visits[date],mobile_visits[mobile_visitors],0)</f>
        <v>0</v>
      </c>
    </row>
    <row r="922" spans="1:9">
      <c r="A922" s="1">
        <v>43656</v>
      </c>
      <c r="B922">
        <v>11413</v>
      </c>
      <c r="C922">
        <v>16263</v>
      </c>
      <c r="D922">
        <v>11934</v>
      </c>
      <c r="E922">
        <v>6645</v>
      </c>
      <c r="F922">
        <v>81</v>
      </c>
      <c r="G922" t="s">
        <v>83</v>
      </c>
      <c r="H922" t="str" cm="1">
        <f t="array" ref="H922">_xlfn.IFS(Grammys[[#This Row],[date]] &gt;= DATE(2022,2,1),"Grammys",TRUE,"Grammys TRA")</f>
        <v>Grammys TRA</v>
      </c>
      <c r="I922">
        <f>_xlfn.XLOOKUP(Grammys[[#This Row],[date]],mobile_visits[date],mobile_visits[mobile_visitors],0)</f>
        <v>0</v>
      </c>
    </row>
    <row r="923" spans="1:9">
      <c r="A923" s="1">
        <v>43657</v>
      </c>
      <c r="B923">
        <v>11903</v>
      </c>
      <c r="C923">
        <v>16926</v>
      </c>
      <c r="D923">
        <v>12695</v>
      </c>
      <c r="E923">
        <v>6428</v>
      </c>
      <c r="F923">
        <v>98</v>
      </c>
      <c r="G923" t="s">
        <v>83</v>
      </c>
      <c r="H923" t="str" cm="1">
        <f t="array" ref="H923">_xlfn.IFS(Grammys[[#This Row],[date]] &gt;= DATE(2022,2,1),"Grammys",TRUE,"Grammys TRA")</f>
        <v>Grammys TRA</v>
      </c>
      <c r="I923">
        <f>_xlfn.XLOOKUP(Grammys[[#This Row],[date]],mobile_visits[date],mobile_visits[mobile_visitors],0)</f>
        <v>0</v>
      </c>
    </row>
    <row r="924" spans="1:9">
      <c r="A924" s="1">
        <v>43658</v>
      </c>
      <c r="B924">
        <v>10895</v>
      </c>
      <c r="C924">
        <v>15753</v>
      </c>
      <c r="D924">
        <v>11616</v>
      </c>
      <c r="E924">
        <v>5898</v>
      </c>
      <c r="F924">
        <v>80</v>
      </c>
      <c r="G924" t="s">
        <v>83</v>
      </c>
      <c r="H924" t="str" cm="1">
        <f t="array" ref="H924">_xlfn.IFS(Grammys[[#This Row],[date]] &gt;= DATE(2022,2,1),"Grammys",TRUE,"Grammys TRA")</f>
        <v>Grammys TRA</v>
      </c>
      <c r="I924">
        <f>_xlfn.XLOOKUP(Grammys[[#This Row],[date]],mobile_visits[date],mobile_visits[mobile_visitors],0)</f>
        <v>0</v>
      </c>
    </row>
    <row r="925" spans="1:9">
      <c r="A925" s="1">
        <v>43659</v>
      </c>
      <c r="B925">
        <v>10120</v>
      </c>
      <c r="C925">
        <v>14423</v>
      </c>
      <c r="D925">
        <v>10666</v>
      </c>
      <c r="E925">
        <v>5644</v>
      </c>
      <c r="F925">
        <v>73</v>
      </c>
      <c r="G925" t="s">
        <v>83</v>
      </c>
      <c r="H925" t="str" cm="1">
        <f t="array" ref="H925">_xlfn.IFS(Grammys[[#This Row],[date]] &gt;= DATE(2022,2,1),"Grammys",TRUE,"Grammys TRA")</f>
        <v>Grammys TRA</v>
      </c>
      <c r="I925">
        <f>_xlfn.XLOOKUP(Grammys[[#This Row],[date]],mobile_visits[date],mobile_visits[mobile_visitors],0)</f>
        <v>0</v>
      </c>
    </row>
    <row r="926" spans="1:9">
      <c r="A926" s="1">
        <v>43660</v>
      </c>
      <c r="B926">
        <v>9949</v>
      </c>
      <c r="C926">
        <v>14394</v>
      </c>
      <c r="D926">
        <v>10442</v>
      </c>
      <c r="E926">
        <v>5364</v>
      </c>
      <c r="F926">
        <v>75</v>
      </c>
      <c r="G926" t="s">
        <v>83</v>
      </c>
      <c r="H926" t="str" cm="1">
        <f t="array" ref="H926">_xlfn.IFS(Grammys[[#This Row],[date]] &gt;= DATE(2022,2,1),"Grammys",TRUE,"Grammys TRA")</f>
        <v>Grammys TRA</v>
      </c>
      <c r="I926">
        <f>_xlfn.XLOOKUP(Grammys[[#This Row],[date]],mobile_visits[date],mobile_visits[mobile_visitors],0)</f>
        <v>0</v>
      </c>
    </row>
    <row r="927" spans="1:9">
      <c r="A927" s="1">
        <v>43661</v>
      </c>
      <c r="B927">
        <v>9841</v>
      </c>
      <c r="C927">
        <v>14865</v>
      </c>
      <c r="D927">
        <v>10474</v>
      </c>
      <c r="E927">
        <v>5722</v>
      </c>
      <c r="F927">
        <v>80</v>
      </c>
      <c r="G927" t="s">
        <v>83</v>
      </c>
      <c r="H927" t="str" cm="1">
        <f t="array" ref="H927">_xlfn.IFS(Grammys[[#This Row],[date]] &gt;= DATE(2022,2,1),"Grammys",TRUE,"Grammys TRA")</f>
        <v>Grammys TRA</v>
      </c>
      <c r="I927">
        <f>_xlfn.XLOOKUP(Grammys[[#This Row],[date]],mobile_visits[date],mobile_visits[mobile_visitors],0)</f>
        <v>0</v>
      </c>
    </row>
    <row r="928" spans="1:9">
      <c r="A928" s="1">
        <v>43662</v>
      </c>
      <c r="B928">
        <v>4176</v>
      </c>
      <c r="C928">
        <v>3958</v>
      </c>
      <c r="D928">
        <v>4346</v>
      </c>
      <c r="E928">
        <v>1376</v>
      </c>
      <c r="F928">
        <v>76</v>
      </c>
      <c r="G928" t="s">
        <v>83</v>
      </c>
      <c r="H928" t="str" cm="1">
        <f t="array" ref="H928">_xlfn.IFS(Grammys[[#This Row],[date]] &gt;= DATE(2022,2,1),"Grammys",TRUE,"Grammys TRA")</f>
        <v>Grammys TRA</v>
      </c>
      <c r="I928">
        <f>_xlfn.XLOOKUP(Grammys[[#This Row],[date]],mobile_visits[date],mobile_visits[mobile_visitors],0)</f>
        <v>0</v>
      </c>
    </row>
    <row r="929" spans="1:9">
      <c r="A929" s="1">
        <v>43663</v>
      </c>
      <c r="B929">
        <v>12091</v>
      </c>
      <c r="C929">
        <v>17422</v>
      </c>
      <c r="D929">
        <v>12775</v>
      </c>
      <c r="E929">
        <v>6599</v>
      </c>
      <c r="F929">
        <v>78</v>
      </c>
      <c r="G929" t="s">
        <v>83</v>
      </c>
      <c r="H929" t="str" cm="1">
        <f t="array" ref="H929">_xlfn.IFS(Grammys[[#This Row],[date]] &gt;= DATE(2022,2,1),"Grammys",TRUE,"Grammys TRA")</f>
        <v>Grammys TRA</v>
      </c>
      <c r="I929">
        <f>_xlfn.XLOOKUP(Grammys[[#This Row],[date]],mobile_visits[date],mobile_visits[mobile_visitors],0)</f>
        <v>0</v>
      </c>
    </row>
    <row r="930" spans="1:9">
      <c r="A930" s="1">
        <v>43664</v>
      </c>
      <c r="B930">
        <v>11985</v>
      </c>
      <c r="C930">
        <v>17731</v>
      </c>
      <c r="D930">
        <v>12763</v>
      </c>
      <c r="E930">
        <v>6887</v>
      </c>
      <c r="F930">
        <v>73</v>
      </c>
      <c r="G930" t="s">
        <v>83</v>
      </c>
      <c r="H930" t="str" cm="1">
        <f t="array" ref="H930">_xlfn.IFS(Grammys[[#This Row],[date]] &gt;= DATE(2022,2,1),"Grammys",TRUE,"Grammys TRA")</f>
        <v>Grammys TRA</v>
      </c>
      <c r="I930">
        <f>_xlfn.XLOOKUP(Grammys[[#This Row],[date]],mobile_visits[date],mobile_visits[mobile_visitors],0)</f>
        <v>0</v>
      </c>
    </row>
    <row r="931" spans="1:9">
      <c r="A931" s="1">
        <v>43665</v>
      </c>
      <c r="B931">
        <v>13587</v>
      </c>
      <c r="C931">
        <v>19481</v>
      </c>
      <c r="D931">
        <v>14181</v>
      </c>
      <c r="E931">
        <v>6992</v>
      </c>
      <c r="F931">
        <v>68</v>
      </c>
      <c r="G931" t="s">
        <v>83</v>
      </c>
      <c r="H931" t="str" cm="1">
        <f t="array" ref="H931">_xlfn.IFS(Grammys[[#This Row],[date]] &gt;= DATE(2022,2,1),"Grammys",TRUE,"Grammys TRA")</f>
        <v>Grammys TRA</v>
      </c>
      <c r="I931">
        <f>_xlfn.XLOOKUP(Grammys[[#This Row],[date]],mobile_visits[date],mobile_visits[mobile_visitors],0)</f>
        <v>0</v>
      </c>
    </row>
    <row r="932" spans="1:9">
      <c r="A932" s="1">
        <v>43666</v>
      </c>
      <c r="B932">
        <v>20035</v>
      </c>
      <c r="C932">
        <v>26922</v>
      </c>
      <c r="D932">
        <v>20867</v>
      </c>
      <c r="E932">
        <v>8817</v>
      </c>
      <c r="F932">
        <v>62</v>
      </c>
      <c r="G932" t="s">
        <v>83</v>
      </c>
      <c r="H932" t="str" cm="1">
        <f t="array" ref="H932">_xlfn.IFS(Grammys[[#This Row],[date]] &gt;= DATE(2022,2,1),"Grammys",TRUE,"Grammys TRA")</f>
        <v>Grammys TRA</v>
      </c>
      <c r="I932">
        <f>_xlfn.XLOOKUP(Grammys[[#This Row],[date]],mobile_visits[date],mobile_visits[mobile_visitors],0)</f>
        <v>0</v>
      </c>
    </row>
    <row r="933" spans="1:9">
      <c r="A933" s="1">
        <v>43667</v>
      </c>
      <c r="B933">
        <v>14439</v>
      </c>
      <c r="C933">
        <v>20217</v>
      </c>
      <c r="D933">
        <v>15214</v>
      </c>
      <c r="E933">
        <v>7372</v>
      </c>
      <c r="F933">
        <v>63</v>
      </c>
      <c r="G933" t="s">
        <v>83</v>
      </c>
      <c r="H933" t="str" cm="1">
        <f t="array" ref="H933">_xlfn.IFS(Grammys[[#This Row],[date]] &gt;= DATE(2022,2,1),"Grammys",TRUE,"Grammys TRA")</f>
        <v>Grammys TRA</v>
      </c>
      <c r="I933">
        <f>_xlfn.XLOOKUP(Grammys[[#This Row],[date]],mobile_visits[date],mobile_visits[mobile_visitors],0)</f>
        <v>0</v>
      </c>
    </row>
    <row r="934" spans="1:9">
      <c r="A934" s="1">
        <v>43668</v>
      </c>
      <c r="B934">
        <v>12337</v>
      </c>
      <c r="C934">
        <v>17790</v>
      </c>
      <c r="D934">
        <v>13115</v>
      </c>
      <c r="E934">
        <v>6840</v>
      </c>
      <c r="F934">
        <v>77</v>
      </c>
      <c r="G934" t="s">
        <v>83</v>
      </c>
      <c r="H934" t="str" cm="1">
        <f t="array" ref="H934">_xlfn.IFS(Grammys[[#This Row],[date]] &gt;= DATE(2022,2,1),"Grammys",TRUE,"Grammys TRA")</f>
        <v>Grammys TRA</v>
      </c>
      <c r="I934">
        <f>_xlfn.XLOOKUP(Grammys[[#This Row],[date]],mobile_visits[date],mobile_visits[mobile_visitors],0)</f>
        <v>0</v>
      </c>
    </row>
    <row r="935" spans="1:9">
      <c r="A935" s="1">
        <v>43669</v>
      </c>
      <c r="B935">
        <v>15058</v>
      </c>
      <c r="C935">
        <v>20678</v>
      </c>
      <c r="D935">
        <v>15940</v>
      </c>
      <c r="E935">
        <v>8629</v>
      </c>
      <c r="F935">
        <v>84</v>
      </c>
      <c r="G935" t="s">
        <v>83</v>
      </c>
      <c r="H935" t="str" cm="1">
        <f t="array" ref="H935">_xlfn.IFS(Grammys[[#This Row],[date]] &gt;= DATE(2022,2,1),"Grammys",TRUE,"Grammys TRA")</f>
        <v>Grammys TRA</v>
      </c>
      <c r="I935">
        <f>_xlfn.XLOOKUP(Grammys[[#This Row],[date]],mobile_visits[date],mobile_visits[mobile_visitors],0)</f>
        <v>0</v>
      </c>
    </row>
    <row r="936" spans="1:9">
      <c r="A936" s="1">
        <v>43670</v>
      </c>
      <c r="B936">
        <v>12571</v>
      </c>
      <c r="C936">
        <v>18420</v>
      </c>
      <c r="D936">
        <v>13397</v>
      </c>
      <c r="E936">
        <v>6632</v>
      </c>
      <c r="F936">
        <v>94</v>
      </c>
      <c r="G936" t="s">
        <v>83</v>
      </c>
      <c r="H936" t="str" cm="1">
        <f t="array" ref="H936">_xlfn.IFS(Grammys[[#This Row],[date]] &gt;= DATE(2022,2,1),"Grammys",TRUE,"Grammys TRA")</f>
        <v>Grammys TRA</v>
      </c>
      <c r="I936">
        <f>_xlfn.XLOOKUP(Grammys[[#This Row],[date]],mobile_visits[date],mobile_visits[mobile_visitors],0)</f>
        <v>0</v>
      </c>
    </row>
    <row r="937" spans="1:9">
      <c r="A937" s="1">
        <v>43671</v>
      </c>
      <c r="B937">
        <v>10667</v>
      </c>
      <c r="C937">
        <v>15746</v>
      </c>
      <c r="D937">
        <v>11308</v>
      </c>
      <c r="E937">
        <v>6345</v>
      </c>
      <c r="F937">
        <v>78</v>
      </c>
      <c r="G937" t="s">
        <v>83</v>
      </c>
      <c r="H937" t="str" cm="1">
        <f t="array" ref="H937">_xlfn.IFS(Grammys[[#This Row],[date]] &gt;= DATE(2022,2,1),"Grammys",TRUE,"Grammys TRA")</f>
        <v>Grammys TRA</v>
      </c>
      <c r="I937">
        <f>_xlfn.XLOOKUP(Grammys[[#This Row],[date]],mobile_visits[date],mobile_visits[mobile_visitors],0)</f>
        <v>0</v>
      </c>
    </row>
    <row r="938" spans="1:9">
      <c r="A938" s="1">
        <v>43672</v>
      </c>
      <c r="B938">
        <v>10266</v>
      </c>
      <c r="C938">
        <v>15396</v>
      </c>
      <c r="D938">
        <v>10966</v>
      </c>
      <c r="E938">
        <v>6336</v>
      </c>
      <c r="F938">
        <v>73</v>
      </c>
      <c r="G938" t="s">
        <v>83</v>
      </c>
      <c r="H938" t="str" cm="1">
        <f t="array" ref="H938">_xlfn.IFS(Grammys[[#This Row],[date]] &gt;= DATE(2022,2,1),"Grammys",TRUE,"Grammys TRA")</f>
        <v>Grammys TRA</v>
      </c>
      <c r="I938">
        <f>_xlfn.XLOOKUP(Grammys[[#This Row],[date]],mobile_visits[date],mobile_visits[mobile_visitors],0)</f>
        <v>0</v>
      </c>
    </row>
    <row r="939" spans="1:9">
      <c r="A939" s="1">
        <v>43673</v>
      </c>
      <c r="B939">
        <v>10433</v>
      </c>
      <c r="C939">
        <v>15119</v>
      </c>
      <c r="D939">
        <v>11132</v>
      </c>
      <c r="E939">
        <v>6044</v>
      </c>
      <c r="F939">
        <v>70</v>
      </c>
      <c r="G939" t="s">
        <v>83</v>
      </c>
      <c r="H939" t="str" cm="1">
        <f t="array" ref="H939">_xlfn.IFS(Grammys[[#This Row],[date]] &gt;= DATE(2022,2,1),"Grammys",TRUE,"Grammys TRA")</f>
        <v>Grammys TRA</v>
      </c>
      <c r="I939">
        <f>_xlfn.XLOOKUP(Grammys[[#This Row],[date]],mobile_visits[date],mobile_visits[mobile_visitors],0)</f>
        <v>0</v>
      </c>
    </row>
    <row r="940" spans="1:9">
      <c r="A940" s="1">
        <v>43674</v>
      </c>
      <c r="B940">
        <v>10215</v>
      </c>
      <c r="C940">
        <v>14895</v>
      </c>
      <c r="D940">
        <v>10903</v>
      </c>
      <c r="E940">
        <v>5948</v>
      </c>
      <c r="F940">
        <v>72</v>
      </c>
      <c r="G940" t="s">
        <v>83</v>
      </c>
      <c r="H940" t="str" cm="1">
        <f t="array" ref="H940">_xlfn.IFS(Grammys[[#This Row],[date]] &gt;= DATE(2022,2,1),"Grammys",TRUE,"Grammys TRA")</f>
        <v>Grammys TRA</v>
      </c>
      <c r="I940">
        <f>_xlfn.XLOOKUP(Grammys[[#This Row],[date]],mobile_visits[date],mobile_visits[mobile_visitors],0)</f>
        <v>0</v>
      </c>
    </row>
    <row r="941" spans="1:9">
      <c r="A941" s="1">
        <v>43675</v>
      </c>
      <c r="B941">
        <v>13938</v>
      </c>
      <c r="C941">
        <v>19368</v>
      </c>
      <c r="D941">
        <v>14627</v>
      </c>
      <c r="E941">
        <v>7304</v>
      </c>
      <c r="F941">
        <v>93</v>
      </c>
      <c r="G941" t="s">
        <v>83</v>
      </c>
      <c r="H941" t="str" cm="1">
        <f t="array" ref="H941">_xlfn.IFS(Grammys[[#This Row],[date]] &gt;= DATE(2022,2,1),"Grammys",TRUE,"Grammys TRA")</f>
        <v>Grammys TRA</v>
      </c>
      <c r="I941">
        <f>_xlfn.XLOOKUP(Grammys[[#This Row],[date]],mobile_visits[date],mobile_visits[mobile_visitors],0)</f>
        <v>0</v>
      </c>
    </row>
    <row r="942" spans="1:9">
      <c r="A942" s="1">
        <v>43676</v>
      </c>
      <c r="B942">
        <v>5964</v>
      </c>
      <c r="C942">
        <v>7773</v>
      </c>
      <c r="D942">
        <v>6325</v>
      </c>
      <c r="E942">
        <v>2467</v>
      </c>
      <c r="F942">
        <v>86</v>
      </c>
      <c r="G942" t="s">
        <v>83</v>
      </c>
      <c r="H942" t="str" cm="1">
        <f t="array" ref="H942">_xlfn.IFS(Grammys[[#This Row],[date]] &gt;= DATE(2022,2,1),"Grammys",TRUE,"Grammys TRA")</f>
        <v>Grammys TRA</v>
      </c>
      <c r="I942">
        <f>_xlfn.XLOOKUP(Grammys[[#This Row],[date]],mobile_visits[date],mobile_visits[mobile_visitors],0)</f>
        <v>0</v>
      </c>
    </row>
    <row r="943" spans="1:9">
      <c r="A943" s="1">
        <v>43677</v>
      </c>
      <c r="B943">
        <v>11359</v>
      </c>
      <c r="C943">
        <v>16330</v>
      </c>
      <c r="D943">
        <v>11997</v>
      </c>
      <c r="E943">
        <v>6786</v>
      </c>
      <c r="F943">
        <v>76</v>
      </c>
      <c r="G943" t="s">
        <v>83</v>
      </c>
      <c r="H943" t="str" cm="1">
        <f t="array" ref="H943">_xlfn.IFS(Grammys[[#This Row],[date]] &gt;= DATE(2022,2,1),"Grammys",TRUE,"Grammys TRA")</f>
        <v>Grammys TRA</v>
      </c>
      <c r="I943">
        <f>_xlfn.XLOOKUP(Grammys[[#This Row],[date]],mobile_visits[date],mobile_visits[mobile_visitors],0)</f>
        <v>0</v>
      </c>
    </row>
    <row r="944" spans="1:9">
      <c r="A944" s="1">
        <v>43678</v>
      </c>
      <c r="B944">
        <v>12507</v>
      </c>
      <c r="C944">
        <v>17639</v>
      </c>
      <c r="D944">
        <v>13281</v>
      </c>
      <c r="E944">
        <v>7699</v>
      </c>
      <c r="F944">
        <v>83</v>
      </c>
      <c r="G944" t="s">
        <v>83</v>
      </c>
      <c r="H944" t="str" cm="1">
        <f t="array" ref="H944">_xlfn.IFS(Grammys[[#This Row],[date]] &gt;= DATE(2022,2,1),"Grammys",TRUE,"Grammys TRA")</f>
        <v>Grammys TRA</v>
      </c>
      <c r="I944">
        <f>_xlfn.XLOOKUP(Grammys[[#This Row],[date]],mobile_visits[date],mobile_visits[mobile_visitors],0)</f>
        <v>0</v>
      </c>
    </row>
    <row r="945" spans="1:9">
      <c r="A945" s="1">
        <v>43679</v>
      </c>
      <c r="B945">
        <v>10905</v>
      </c>
      <c r="C945">
        <v>15866</v>
      </c>
      <c r="D945">
        <v>11561</v>
      </c>
      <c r="E945">
        <v>6287</v>
      </c>
      <c r="F945">
        <v>84</v>
      </c>
      <c r="G945" t="s">
        <v>83</v>
      </c>
      <c r="H945" t="str" cm="1">
        <f t="array" ref="H945">_xlfn.IFS(Grammys[[#This Row],[date]] &gt;= DATE(2022,2,1),"Grammys",TRUE,"Grammys TRA")</f>
        <v>Grammys TRA</v>
      </c>
      <c r="I945">
        <f>_xlfn.XLOOKUP(Grammys[[#This Row],[date]],mobile_visits[date],mobile_visits[mobile_visitors],0)</f>
        <v>0</v>
      </c>
    </row>
    <row r="946" spans="1:9">
      <c r="A946" s="1">
        <v>43680</v>
      </c>
      <c r="B946">
        <v>9087</v>
      </c>
      <c r="C946">
        <v>13134</v>
      </c>
      <c r="D946">
        <v>9665</v>
      </c>
      <c r="E946">
        <v>5531</v>
      </c>
      <c r="F946">
        <v>76</v>
      </c>
      <c r="G946" t="s">
        <v>83</v>
      </c>
      <c r="H946" t="str" cm="1">
        <f t="array" ref="H946">_xlfn.IFS(Grammys[[#This Row],[date]] &gt;= DATE(2022,2,1),"Grammys",TRUE,"Grammys TRA")</f>
        <v>Grammys TRA</v>
      </c>
      <c r="I946">
        <f>_xlfn.XLOOKUP(Grammys[[#This Row],[date]],mobile_visits[date],mobile_visits[mobile_visitors],0)</f>
        <v>0</v>
      </c>
    </row>
    <row r="947" spans="1:9">
      <c r="A947" s="1">
        <v>43681</v>
      </c>
      <c r="B947">
        <v>9963</v>
      </c>
      <c r="C947">
        <v>14563</v>
      </c>
      <c r="D947">
        <v>10632</v>
      </c>
      <c r="E947">
        <v>5656</v>
      </c>
      <c r="F947">
        <v>79</v>
      </c>
      <c r="G947" t="s">
        <v>83</v>
      </c>
      <c r="H947" t="str" cm="1">
        <f t="array" ref="H947">_xlfn.IFS(Grammys[[#This Row],[date]] &gt;= DATE(2022,2,1),"Grammys",TRUE,"Grammys TRA")</f>
        <v>Grammys TRA</v>
      </c>
      <c r="I947">
        <f>_xlfn.XLOOKUP(Grammys[[#This Row],[date]],mobile_visits[date],mobile_visits[mobile_visitors],0)</f>
        <v>0</v>
      </c>
    </row>
    <row r="948" spans="1:9">
      <c r="A948" s="1">
        <v>43682</v>
      </c>
      <c r="B948">
        <v>12422</v>
      </c>
      <c r="C948">
        <v>17279</v>
      </c>
      <c r="D948">
        <v>13065</v>
      </c>
      <c r="E948">
        <v>6728</v>
      </c>
      <c r="F948">
        <v>70</v>
      </c>
      <c r="G948" t="s">
        <v>83</v>
      </c>
      <c r="H948" t="str" cm="1">
        <f t="array" ref="H948">_xlfn.IFS(Grammys[[#This Row],[date]] &gt;= DATE(2022,2,1),"Grammys",TRUE,"Grammys TRA")</f>
        <v>Grammys TRA</v>
      </c>
      <c r="I948">
        <f>_xlfn.XLOOKUP(Grammys[[#This Row],[date]],mobile_visits[date],mobile_visits[mobile_visitors],0)</f>
        <v>0</v>
      </c>
    </row>
    <row r="949" spans="1:9">
      <c r="A949" s="1">
        <v>43683</v>
      </c>
      <c r="B949">
        <v>11118</v>
      </c>
      <c r="C949">
        <v>16524</v>
      </c>
      <c r="D949">
        <v>11877</v>
      </c>
      <c r="E949">
        <v>6032</v>
      </c>
      <c r="F949">
        <v>76</v>
      </c>
      <c r="G949" t="s">
        <v>83</v>
      </c>
      <c r="H949" t="str" cm="1">
        <f t="array" ref="H949">_xlfn.IFS(Grammys[[#This Row],[date]] &gt;= DATE(2022,2,1),"Grammys",TRUE,"Grammys TRA")</f>
        <v>Grammys TRA</v>
      </c>
      <c r="I949">
        <f>_xlfn.XLOOKUP(Grammys[[#This Row],[date]],mobile_visits[date],mobile_visits[mobile_visitors],0)</f>
        <v>0</v>
      </c>
    </row>
    <row r="950" spans="1:9">
      <c r="A950" s="1">
        <v>43684</v>
      </c>
      <c r="B950">
        <v>10262</v>
      </c>
      <c r="C950">
        <v>15004</v>
      </c>
      <c r="D950">
        <v>10932</v>
      </c>
      <c r="E950">
        <v>5969</v>
      </c>
      <c r="F950">
        <v>75</v>
      </c>
      <c r="G950" t="s">
        <v>83</v>
      </c>
      <c r="H950" t="str" cm="1">
        <f t="array" ref="H950">_xlfn.IFS(Grammys[[#This Row],[date]] &gt;= DATE(2022,2,1),"Grammys",TRUE,"Grammys TRA")</f>
        <v>Grammys TRA</v>
      </c>
      <c r="I950">
        <f>_xlfn.XLOOKUP(Grammys[[#This Row],[date]],mobile_visits[date],mobile_visits[mobile_visitors],0)</f>
        <v>0</v>
      </c>
    </row>
    <row r="951" spans="1:9">
      <c r="A951" s="1">
        <v>43685</v>
      </c>
      <c r="B951">
        <v>14950</v>
      </c>
      <c r="C951">
        <v>20165</v>
      </c>
      <c r="D951">
        <v>15679</v>
      </c>
      <c r="E951">
        <v>7302</v>
      </c>
      <c r="F951">
        <v>81</v>
      </c>
      <c r="G951" t="s">
        <v>83</v>
      </c>
      <c r="H951" t="str" cm="1">
        <f t="array" ref="H951">_xlfn.IFS(Grammys[[#This Row],[date]] &gt;= DATE(2022,2,1),"Grammys",TRUE,"Grammys TRA")</f>
        <v>Grammys TRA</v>
      </c>
      <c r="I951">
        <f>_xlfn.XLOOKUP(Grammys[[#This Row],[date]],mobile_visits[date],mobile_visits[mobile_visitors],0)</f>
        <v>0</v>
      </c>
    </row>
    <row r="952" spans="1:9">
      <c r="A952" s="1">
        <v>43686</v>
      </c>
      <c r="B952">
        <v>15261</v>
      </c>
      <c r="C952">
        <v>20305</v>
      </c>
      <c r="D952">
        <v>16127</v>
      </c>
      <c r="E952">
        <v>7469</v>
      </c>
      <c r="F952">
        <v>97</v>
      </c>
      <c r="G952" t="s">
        <v>83</v>
      </c>
      <c r="H952" t="str" cm="1">
        <f t="array" ref="H952">_xlfn.IFS(Grammys[[#This Row],[date]] &gt;= DATE(2022,2,1),"Grammys",TRUE,"Grammys TRA")</f>
        <v>Grammys TRA</v>
      </c>
      <c r="I952">
        <f>_xlfn.XLOOKUP(Grammys[[#This Row],[date]],mobile_visits[date],mobile_visits[mobile_visitors],0)</f>
        <v>0</v>
      </c>
    </row>
    <row r="953" spans="1:9">
      <c r="A953" s="1">
        <v>43687</v>
      </c>
      <c r="B953">
        <v>12390</v>
      </c>
      <c r="C953">
        <v>17348</v>
      </c>
      <c r="D953">
        <v>13249</v>
      </c>
      <c r="E953">
        <v>6527</v>
      </c>
      <c r="F953">
        <v>93</v>
      </c>
      <c r="G953" t="s">
        <v>83</v>
      </c>
      <c r="H953" t="str" cm="1">
        <f t="array" ref="H953">_xlfn.IFS(Grammys[[#This Row],[date]] &gt;= DATE(2022,2,1),"Grammys",TRUE,"Grammys TRA")</f>
        <v>Grammys TRA</v>
      </c>
      <c r="I953">
        <f>_xlfn.XLOOKUP(Grammys[[#This Row],[date]],mobile_visits[date],mobile_visits[mobile_visitors],0)</f>
        <v>0</v>
      </c>
    </row>
    <row r="954" spans="1:9">
      <c r="A954" s="1">
        <v>43688</v>
      </c>
      <c r="B954">
        <v>10405</v>
      </c>
      <c r="C954">
        <v>14656</v>
      </c>
      <c r="D954">
        <v>10996</v>
      </c>
      <c r="E954">
        <v>5914</v>
      </c>
      <c r="F954">
        <v>79</v>
      </c>
      <c r="G954" t="s">
        <v>83</v>
      </c>
      <c r="H954" t="str" cm="1">
        <f t="array" ref="H954">_xlfn.IFS(Grammys[[#This Row],[date]] &gt;= DATE(2022,2,1),"Grammys",TRUE,"Grammys TRA")</f>
        <v>Grammys TRA</v>
      </c>
      <c r="I954">
        <f>_xlfn.XLOOKUP(Grammys[[#This Row],[date]],mobile_visits[date],mobile_visits[mobile_visitors],0)</f>
        <v>0</v>
      </c>
    </row>
    <row r="955" spans="1:9">
      <c r="A955" s="1">
        <v>43689</v>
      </c>
      <c r="B955">
        <v>18366</v>
      </c>
      <c r="C955">
        <v>24391</v>
      </c>
      <c r="D955">
        <v>19344</v>
      </c>
      <c r="E955">
        <v>7647</v>
      </c>
      <c r="F955">
        <v>76</v>
      </c>
      <c r="G955" t="s">
        <v>83</v>
      </c>
      <c r="H955" t="str" cm="1">
        <f t="array" ref="H955">_xlfn.IFS(Grammys[[#This Row],[date]] &gt;= DATE(2022,2,1),"Grammys",TRUE,"Grammys TRA")</f>
        <v>Grammys TRA</v>
      </c>
      <c r="I955">
        <f>_xlfn.XLOOKUP(Grammys[[#This Row],[date]],mobile_visits[date],mobile_visits[mobile_visitors],0)</f>
        <v>0</v>
      </c>
    </row>
    <row r="956" spans="1:9">
      <c r="A956" s="1">
        <v>43690</v>
      </c>
      <c r="B956">
        <v>22868</v>
      </c>
      <c r="C956">
        <v>29473</v>
      </c>
      <c r="D956">
        <v>23849</v>
      </c>
      <c r="E956">
        <v>10105</v>
      </c>
      <c r="F956">
        <v>65</v>
      </c>
      <c r="G956" t="s">
        <v>83</v>
      </c>
      <c r="H956" t="str" cm="1">
        <f t="array" ref="H956">_xlfn.IFS(Grammys[[#This Row],[date]] &gt;= DATE(2022,2,1),"Grammys",TRUE,"Grammys TRA")</f>
        <v>Grammys TRA</v>
      </c>
      <c r="I956">
        <f>_xlfn.XLOOKUP(Grammys[[#This Row],[date]],mobile_visits[date],mobile_visits[mobile_visitors],0)</f>
        <v>0</v>
      </c>
    </row>
    <row r="957" spans="1:9">
      <c r="A957" s="1">
        <v>43691</v>
      </c>
      <c r="B957">
        <v>12030</v>
      </c>
      <c r="C957">
        <v>16952</v>
      </c>
      <c r="D957">
        <v>12746</v>
      </c>
      <c r="E957">
        <v>6909</v>
      </c>
      <c r="F957">
        <v>69</v>
      </c>
      <c r="G957" t="s">
        <v>83</v>
      </c>
      <c r="H957" t="str" cm="1">
        <f t="array" ref="H957">_xlfn.IFS(Grammys[[#This Row],[date]] &gt;= DATE(2022,2,1),"Grammys",TRUE,"Grammys TRA")</f>
        <v>Grammys TRA</v>
      </c>
      <c r="I957">
        <f>_xlfn.XLOOKUP(Grammys[[#This Row],[date]],mobile_visits[date],mobile_visits[mobile_visitors],0)</f>
        <v>0</v>
      </c>
    </row>
    <row r="958" spans="1:9">
      <c r="A958" s="1">
        <v>43692</v>
      </c>
      <c r="B958">
        <v>12000</v>
      </c>
      <c r="C958">
        <v>15960</v>
      </c>
      <c r="D958">
        <v>12515</v>
      </c>
      <c r="E958">
        <v>6537</v>
      </c>
      <c r="F958">
        <v>91</v>
      </c>
      <c r="G958" t="s">
        <v>83</v>
      </c>
      <c r="H958" t="str" cm="1">
        <f t="array" ref="H958">_xlfn.IFS(Grammys[[#This Row],[date]] &gt;= DATE(2022,2,1),"Grammys",TRUE,"Grammys TRA")</f>
        <v>Grammys TRA</v>
      </c>
      <c r="I958">
        <f>_xlfn.XLOOKUP(Grammys[[#This Row],[date]],mobile_visits[date],mobile_visits[mobile_visitors],0)</f>
        <v>0</v>
      </c>
    </row>
    <row r="959" spans="1:9">
      <c r="A959" s="1">
        <v>43693</v>
      </c>
      <c r="B959">
        <v>11373</v>
      </c>
      <c r="C959">
        <v>15525</v>
      </c>
      <c r="D959">
        <v>11922</v>
      </c>
      <c r="E959">
        <v>6860</v>
      </c>
      <c r="F959">
        <v>74</v>
      </c>
      <c r="G959" t="s">
        <v>83</v>
      </c>
      <c r="H959" t="str" cm="1">
        <f t="array" ref="H959">_xlfn.IFS(Grammys[[#This Row],[date]] &gt;= DATE(2022,2,1),"Grammys",TRUE,"Grammys TRA")</f>
        <v>Grammys TRA</v>
      </c>
      <c r="I959">
        <f>_xlfn.XLOOKUP(Grammys[[#This Row],[date]],mobile_visits[date],mobile_visits[mobile_visitors],0)</f>
        <v>0</v>
      </c>
    </row>
    <row r="960" spans="1:9">
      <c r="A960" s="1">
        <v>43694</v>
      </c>
      <c r="B960">
        <v>9070</v>
      </c>
      <c r="C960">
        <v>13362</v>
      </c>
      <c r="D960">
        <v>9651</v>
      </c>
      <c r="E960">
        <v>5355</v>
      </c>
      <c r="F960">
        <v>79</v>
      </c>
      <c r="G960" t="s">
        <v>83</v>
      </c>
      <c r="H960" t="str" cm="1">
        <f t="array" ref="H960">_xlfn.IFS(Grammys[[#This Row],[date]] &gt;= DATE(2022,2,1),"Grammys",TRUE,"Grammys TRA")</f>
        <v>Grammys TRA</v>
      </c>
      <c r="I960">
        <f>_xlfn.XLOOKUP(Grammys[[#This Row],[date]],mobile_visits[date],mobile_visits[mobile_visitors],0)</f>
        <v>0</v>
      </c>
    </row>
    <row r="961" spans="1:9">
      <c r="A961" s="1">
        <v>43695</v>
      </c>
      <c r="B961">
        <v>8840</v>
      </c>
      <c r="C961">
        <v>13295</v>
      </c>
      <c r="D961">
        <v>9445</v>
      </c>
      <c r="E961">
        <v>5178</v>
      </c>
      <c r="F961">
        <v>80</v>
      </c>
      <c r="G961" t="s">
        <v>83</v>
      </c>
      <c r="H961" t="str" cm="1">
        <f t="array" ref="H961">_xlfn.IFS(Grammys[[#This Row],[date]] &gt;= DATE(2022,2,1),"Grammys",TRUE,"Grammys TRA")</f>
        <v>Grammys TRA</v>
      </c>
      <c r="I961">
        <f>_xlfn.XLOOKUP(Grammys[[#This Row],[date]],mobile_visits[date],mobile_visits[mobile_visitors],0)</f>
        <v>0</v>
      </c>
    </row>
    <row r="962" spans="1:9">
      <c r="A962" s="1">
        <v>43696</v>
      </c>
      <c r="B962">
        <v>9310</v>
      </c>
      <c r="C962">
        <v>13995</v>
      </c>
      <c r="D962">
        <v>9814</v>
      </c>
      <c r="E962">
        <v>5643</v>
      </c>
      <c r="F962">
        <v>76</v>
      </c>
      <c r="G962" t="s">
        <v>83</v>
      </c>
      <c r="H962" t="str" cm="1">
        <f t="array" ref="H962">_xlfn.IFS(Grammys[[#This Row],[date]] &gt;= DATE(2022,2,1),"Grammys",TRUE,"Grammys TRA")</f>
        <v>Grammys TRA</v>
      </c>
      <c r="I962">
        <f>_xlfn.XLOOKUP(Grammys[[#This Row],[date]],mobile_visits[date],mobile_visits[mobile_visitors],0)</f>
        <v>0</v>
      </c>
    </row>
    <row r="963" spans="1:9">
      <c r="A963" s="1">
        <v>43697</v>
      </c>
      <c r="B963">
        <v>10197</v>
      </c>
      <c r="C963">
        <v>14888</v>
      </c>
      <c r="D963">
        <v>10819</v>
      </c>
      <c r="E963">
        <v>5819</v>
      </c>
      <c r="F963">
        <v>71</v>
      </c>
      <c r="G963" t="s">
        <v>83</v>
      </c>
      <c r="H963" t="str" cm="1">
        <f t="array" ref="H963">_xlfn.IFS(Grammys[[#This Row],[date]] &gt;= DATE(2022,2,1),"Grammys",TRUE,"Grammys TRA")</f>
        <v>Grammys TRA</v>
      </c>
      <c r="I963">
        <f>_xlfn.XLOOKUP(Grammys[[#This Row],[date]],mobile_visits[date],mobile_visits[mobile_visitors],0)</f>
        <v>0</v>
      </c>
    </row>
    <row r="964" spans="1:9">
      <c r="A964" s="1">
        <v>43698</v>
      </c>
      <c r="B964">
        <v>11365</v>
      </c>
      <c r="C964">
        <v>15865</v>
      </c>
      <c r="D964">
        <v>11996</v>
      </c>
      <c r="E964">
        <v>6092</v>
      </c>
      <c r="F964">
        <v>68</v>
      </c>
      <c r="G964" t="s">
        <v>83</v>
      </c>
      <c r="H964" t="str" cm="1">
        <f t="array" ref="H964">_xlfn.IFS(Grammys[[#This Row],[date]] &gt;= DATE(2022,2,1),"Grammys",TRUE,"Grammys TRA")</f>
        <v>Grammys TRA</v>
      </c>
      <c r="I964">
        <f>_xlfn.XLOOKUP(Grammys[[#This Row],[date]],mobile_visits[date],mobile_visits[mobile_visitors],0)</f>
        <v>0</v>
      </c>
    </row>
    <row r="965" spans="1:9">
      <c r="A965" s="1">
        <v>43699</v>
      </c>
      <c r="B965">
        <v>9347</v>
      </c>
      <c r="C965">
        <v>12687</v>
      </c>
      <c r="D965">
        <v>9742</v>
      </c>
      <c r="E965">
        <v>4378</v>
      </c>
      <c r="F965">
        <v>76</v>
      </c>
      <c r="G965" t="s">
        <v>83</v>
      </c>
      <c r="H965" t="str" cm="1">
        <f t="array" ref="H965">_xlfn.IFS(Grammys[[#This Row],[date]] &gt;= DATE(2022,2,1),"Grammys",TRUE,"Grammys TRA")</f>
        <v>Grammys TRA</v>
      </c>
      <c r="I965">
        <f>_xlfn.XLOOKUP(Grammys[[#This Row],[date]],mobile_visits[date],mobile_visits[mobile_visitors],0)</f>
        <v>0</v>
      </c>
    </row>
    <row r="966" spans="1:9">
      <c r="A966" s="1">
        <v>43700</v>
      </c>
      <c r="B966">
        <v>8160</v>
      </c>
      <c r="C966">
        <v>11245</v>
      </c>
      <c r="D966">
        <v>8523</v>
      </c>
      <c r="E966">
        <v>4174</v>
      </c>
      <c r="F966">
        <v>73</v>
      </c>
      <c r="G966" t="s">
        <v>83</v>
      </c>
      <c r="H966" t="str" cm="1">
        <f t="array" ref="H966">_xlfn.IFS(Grammys[[#This Row],[date]] &gt;= DATE(2022,2,1),"Grammys",TRUE,"Grammys TRA")</f>
        <v>Grammys TRA</v>
      </c>
      <c r="I966">
        <f>_xlfn.XLOOKUP(Grammys[[#This Row],[date]],mobile_visits[date],mobile_visits[mobile_visitors],0)</f>
        <v>0</v>
      </c>
    </row>
    <row r="967" spans="1:9">
      <c r="A967" s="1">
        <v>43701</v>
      </c>
      <c r="B967">
        <v>7001</v>
      </c>
      <c r="C967">
        <v>9968</v>
      </c>
      <c r="D967">
        <v>7310</v>
      </c>
      <c r="E967">
        <v>3539</v>
      </c>
      <c r="F967">
        <v>79</v>
      </c>
      <c r="G967" t="s">
        <v>83</v>
      </c>
      <c r="H967" t="str" cm="1">
        <f t="array" ref="H967">_xlfn.IFS(Grammys[[#This Row],[date]] &gt;= DATE(2022,2,1),"Grammys",TRUE,"Grammys TRA")</f>
        <v>Grammys TRA</v>
      </c>
      <c r="I967">
        <f>_xlfn.XLOOKUP(Grammys[[#This Row],[date]],mobile_visits[date],mobile_visits[mobile_visitors],0)</f>
        <v>0</v>
      </c>
    </row>
    <row r="968" spans="1:9">
      <c r="A968" s="1">
        <v>43702</v>
      </c>
      <c r="B968">
        <v>6959</v>
      </c>
      <c r="C968">
        <v>9739</v>
      </c>
      <c r="D968">
        <v>7241</v>
      </c>
      <c r="E968">
        <v>3515</v>
      </c>
      <c r="F968">
        <v>76</v>
      </c>
      <c r="G968" t="s">
        <v>83</v>
      </c>
      <c r="H968" t="str" cm="1">
        <f t="array" ref="H968">_xlfn.IFS(Grammys[[#This Row],[date]] &gt;= DATE(2022,2,1),"Grammys",TRUE,"Grammys TRA")</f>
        <v>Grammys TRA</v>
      </c>
      <c r="I968">
        <f>_xlfn.XLOOKUP(Grammys[[#This Row],[date]],mobile_visits[date],mobile_visits[mobile_visitors],0)</f>
        <v>0</v>
      </c>
    </row>
    <row r="969" spans="1:9">
      <c r="A969" s="1">
        <v>43703</v>
      </c>
      <c r="B969">
        <v>8033</v>
      </c>
      <c r="C969">
        <v>12085</v>
      </c>
      <c r="D969">
        <v>8496</v>
      </c>
      <c r="E969">
        <v>4072</v>
      </c>
      <c r="F969">
        <v>83</v>
      </c>
      <c r="G969" t="s">
        <v>83</v>
      </c>
      <c r="H969" t="str" cm="1">
        <f t="array" ref="H969">_xlfn.IFS(Grammys[[#This Row],[date]] &gt;= DATE(2022,2,1),"Grammys",TRUE,"Grammys TRA")</f>
        <v>Grammys TRA</v>
      </c>
      <c r="I969">
        <f>_xlfn.XLOOKUP(Grammys[[#This Row],[date]],mobile_visits[date],mobile_visits[mobile_visitors],0)</f>
        <v>0</v>
      </c>
    </row>
    <row r="970" spans="1:9">
      <c r="A970" s="1">
        <v>43704</v>
      </c>
      <c r="B970">
        <v>8315</v>
      </c>
      <c r="C970">
        <v>12225</v>
      </c>
      <c r="D970">
        <v>8797</v>
      </c>
      <c r="E970">
        <v>4307</v>
      </c>
      <c r="F970">
        <v>81</v>
      </c>
      <c r="G970" t="s">
        <v>83</v>
      </c>
      <c r="H970" t="str" cm="1">
        <f t="array" ref="H970">_xlfn.IFS(Grammys[[#This Row],[date]] &gt;= DATE(2022,2,1),"Grammys",TRUE,"Grammys TRA")</f>
        <v>Grammys TRA</v>
      </c>
      <c r="I970">
        <f>_xlfn.XLOOKUP(Grammys[[#This Row],[date]],mobile_visits[date],mobile_visits[mobile_visitors],0)</f>
        <v>0</v>
      </c>
    </row>
    <row r="971" spans="1:9">
      <c r="A971" s="1">
        <v>43705</v>
      </c>
      <c r="B971">
        <v>16128</v>
      </c>
      <c r="C971">
        <v>23256</v>
      </c>
      <c r="D971">
        <v>17176</v>
      </c>
      <c r="E971">
        <v>8092</v>
      </c>
      <c r="F971">
        <v>65</v>
      </c>
      <c r="G971" t="s">
        <v>83</v>
      </c>
      <c r="H971" t="str" cm="1">
        <f t="array" ref="H971">_xlfn.IFS(Grammys[[#This Row],[date]] &gt;= DATE(2022,2,1),"Grammys",TRUE,"Grammys TRA")</f>
        <v>Grammys TRA</v>
      </c>
      <c r="I971">
        <f>_xlfn.XLOOKUP(Grammys[[#This Row],[date]],mobile_visits[date],mobile_visits[mobile_visitors],0)</f>
        <v>0</v>
      </c>
    </row>
    <row r="972" spans="1:9">
      <c r="A972" s="1">
        <v>43706</v>
      </c>
      <c r="B972">
        <v>12813</v>
      </c>
      <c r="C972">
        <v>18124</v>
      </c>
      <c r="D972">
        <v>13458</v>
      </c>
      <c r="E972">
        <v>6553</v>
      </c>
      <c r="F972">
        <v>75</v>
      </c>
      <c r="G972" t="s">
        <v>83</v>
      </c>
      <c r="H972" t="str" cm="1">
        <f t="array" ref="H972">_xlfn.IFS(Grammys[[#This Row],[date]] &gt;= DATE(2022,2,1),"Grammys",TRUE,"Grammys TRA")</f>
        <v>Grammys TRA</v>
      </c>
      <c r="I972">
        <f>_xlfn.XLOOKUP(Grammys[[#This Row],[date]],mobile_visits[date],mobile_visits[mobile_visitors],0)</f>
        <v>0</v>
      </c>
    </row>
    <row r="973" spans="1:9">
      <c r="A973" s="1">
        <v>43707</v>
      </c>
      <c r="B973">
        <v>10930</v>
      </c>
      <c r="C973">
        <v>15938</v>
      </c>
      <c r="D973">
        <v>11504</v>
      </c>
      <c r="E973">
        <v>5591</v>
      </c>
      <c r="F973">
        <v>75</v>
      </c>
      <c r="G973" t="s">
        <v>83</v>
      </c>
      <c r="H973" t="str" cm="1">
        <f t="array" ref="H973">_xlfn.IFS(Grammys[[#This Row],[date]] &gt;= DATE(2022,2,1),"Grammys",TRUE,"Grammys TRA")</f>
        <v>Grammys TRA</v>
      </c>
      <c r="I973">
        <f>_xlfn.XLOOKUP(Grammys[[#This Row],[date]],mobile_visits[date],mobile_visits[mobile_visitors],0)</f>
        <v>0</v>
      </c>
    </row>
    <row r="974" spans="1:9">
      <c r="A974" s="1">
        <v>43708</v>
      </c>
      <c r="B974">
        <v>14794</v>
      </c>
      <c r="C974">
        <v>18583</v>
      </c>
      <c r="D974">
        <v>15549</v>
      </c>
      <c r="E974">
        <v>4947</v>
      </c>
      <c r="F974">
        <v>50</v>
      </c>
      <c r="G974" t="s">
        <v>83</v>
      </c>
      <c r="H974" t="str" cm="1">
        <f t="array" ref="H974">_xlfn.IFS(Grammys[[#This Row],[date]] &gt;= DATE(2022,2,1),"Grammys",TRUE,"Grammys TRA")</f>
        <v>Grammys TRA</v>
      </c>
      <c r="I974">
        <f>_xlfn.XLOOKUP(Grammys[[#This Row],[date]],mobile_visits[date],mobile_visits[mobile_visitors],0)</f>
        <v>0</v>
      </c>
    </row>
    <row r="975" spans="1:9">
      <c r="A975" s="1">
        <v>43709</v>
      </c>
      <c r="B975">
        <v>14627</v>
      </c>
      <c r="C975">
        <v>17877</v>
      </c>
      <c r="D975">
        <v>15121</v>
      </c>
      <c r="E975">
        <v>4827</v>
      </c>
      <c r="F975">
        <v>49</v>
      </c>
      <c r="G975" t="s">
        <v>83</v>
      </c>
      <c r="H975" t="str" cm="1">
        <f t="array" ref="H975">_xlfn.IFS(Grammys[[#This Row],[date]] &gt;= DATE(2022,2,1),"Grammys",TRUE,"Grammys TRA")</f>
        <v>Grammys TRA</v>
      </c>
      <c r="I975">
        <f>_xlfn.XLOOKUP(Grammys[[#This Row],[date]],mobile_visits[date],mobile_visits[mobile_visitors],0)</f>
        <v>0</v>
      </c>
    </row>
    <row r="976" spans="1:9">
      <c r="A976" s="1">
        <v>43710</v>
      </c>
      <c r="B976">
        <v>8695</v>
      </c>
      <c r="C976">
        <v>12655</v>
      </c>
      <c r="D976">
        <v>9176</v>
      </c>
      <c r="E976">
        <v>4346</v>
      </c>
      <c r="F976">
        <v>79</v>
      </c>
      <c r="G976" t="s">
        <v>83</v>
      </c>
      <c r="H976" t="str" cm="1">
        <f t="array" ref="H976">_xlfn.IFS(Grammys[[#This Row],[date]] &gt;= DATE(2022,2,1),"Grammys",TRUE,"Grammys TRA")</f>
        <v>Grammys TRA</v>
      </c>
      <c r="I976">
        <f>_xlfn.XLOOKUP(Grammys[[#This Row],[date]],mobile_visits[date],mobile_visits[mobile_visitors],0)</f>
        <v>0</v>
      </c>
    </row>
    <row r="977" spans="1:9">
      <c r="A977" s="1">
        <v>43711</v>
      </c>
      <c r="B977">
        <v>8340</v>
      </c>
      <c r="C977">
        <v>12519</v>
      </c>
      <c r="D977">
        <v>8781</v>
      </c>
      <c r="E977">
        <v>4285</v>
      </c>
      <c r="F977">
        <v>80</v>
      </c>
      <c r="G977" t="s">
        <v>83</v>
      </c>
      <c r="H977" t="str" cm="1">
        <f t="array" ref="H977">_xlfn.IFS(Grammys[[#This Row],[date]] &gt;= DATE(2022,2,1),"Grammys",TRUE,"Grammys TRA")</f>
        <v>Grammys TRA</v>
      </c>
      <c r="I977">
        <f>_xlfn.XLOOKUP(Grammys[[#This Row],[date]],mobile_visits[date],mobile_visits[mobile_visitors],0)</f>
        <v>0</v>
      </c>
    </row>
    <row r="978" spans="1:9">
      <c r="A978" s="1">
        <v>43712</v>
      </c>
      <c r="B978">
        <v>10296</v>
      </c>
      <c r="C978">
        <v>13732</v>
      </c>
      <c r="D978">
        <v>10767</v>
      </c>
      <c r="E978">
        <v>4909</v>
      </c>
      <c r="F978">
        <v>73</v>
      </c>
      <c r="G978" t="s">
        <v>83</v>
      </c>
      <c r="H978" t="str" cm="1">
        <f t="array" ref="H978">_xlfn.IFS(Grammys[[#This Row],[date]] &gt;= DATE(2022,2,1),"Grammys",TRUE,"Grammys TRA")</f>
        <v>Grammys TRA</v>
      </c>
      <c r="I978">
        <f>_xlfn.XLOOKUP(Grammys[[#This Row],[date]],mobile_visits[date],mobile_visits[mobile_visitors],0)</f>
        <v>0</v>
      </c>
    </row>
    <row r="979" spans="1:9">
      <c r="A979" s="1">
        <v>43713</v>
      </c>
      <c r="B979">
        <v>25821</v>
      </c>
      <c r="C979">
        <v>30424</v>
      </c>
      <c r="D979">
        <v>26382</v>
      </c>
      <c r="E979">
        <v>8042</v>
      </c>
      <c r="F979">
        <v>86</v>
      </c>
      <c r="G979" t="s">
        <v>83</v>
      </c>
      <c r="H979" t="str" cm="1">
        <f t="array" ref="H979">_xlfn.IFS(Grammys[[#This Row],[date]] &gt;= DATE(2022,2,1),"Grammys",TRUE,"Grammys TRA")</f>
        <v>Grammys TRA</v>
      </c>
      <c r="I979">
        <f>_xlfn.XLOOKUP(Grammys[[#This Row],[date]],mobile_visits[date],mobile_visits[mobile_visitors],0)</f>
        <v>0</v>
      </c>
    </row>
    <row r="980" spans="1:9">
      <c r="A980" s="1">
        <v>43714</v>
      </c>
      <c r="B980">
        <v>11170</v>
      </c>
      <c r="C980">
        <v>14380</v>
      </c>
      <c r="D980">
        <v>11742</v>
      </c>
      <c r="E980">
        <v>5360</v>
      </c>
      <c r="F980">
        <v>79</v>
      </c>
      <c r="G980" t="s">
        <v>83</v>
      </c>
      <c r="H980" t="str" cm="1">
        <f t="array" ref="H980">_xlfn.IFS(Grammys[[#This Row],[date]] &gt;= DATE(2022,2,1),"Grammys",TRUE,"Grammys TRA")</f>
        <v>Grammys TRA</v>
      </c>
      <c r="I980">
        <f>_xlfn.XLOOKUP(Grammys[[#This Row],[date]],mobile_visits[date],mobile_visits[mobile_visitors],0)</f>
        <v>0</v>
      </c>
    </row>
    <row r="981" spans="1:9">
      <c r="A981" s="1">
        <v>43715</v>
      </c>
      <c r="B981">
        <v>10037</v>
      </c>
      <c r="C981">
        <v>13005</v>
      </c>
      <c r="D981">
        <v>10528</v>
      </c>
      <c r="E981">
        <v>4615</v>
      </c>
      <c r="F981">
        <v>80</v>
      </c>
      <c r="G981" t="s">
        <v>83</v>
      </c>
      <c r="H981" t="str" cm="1">
        <f t="array" ref="H981">_xlfn.IFS(Grammys[[#This Row],[date]] &gt;= DATE(2022,2,1),"Grammys",TRUE,"Grammys TRA")</f>
        <v>Grammys TRA</v>
      </c>
      <c r="I981">
        <f>_xlfn.XLOOKUP(Grammys[[#This Row],[date]],mobile_visits[date],mobile_visits[mobile_visitors],0)</f>
        <v>0</v>
      </c>
    </row>
    <row r="982" spans="1:9">
      <c r="A982" s="1">
        <v>43716</v>
      </c>
      <c r="B982">
        <v>9921</v>
      </c>
      <c r="C982">
        <v>13048</v>
      </c>
      <c r="D982">
        <v>10285</v>
      </c>
      <c r="E982">
        <v>4307</v>
      </c>
      <c r="F982">
        <v>79</v>
      </c>
      <c r="G982" t="s">
        <v>83</v>
      </c>
      <c r="H982" t="str" cm="1">
        <f t="array" ref="H982">_xlfn.IFS(Grammys[[#This Row],[date]] &gt;= DATE(2022,2,1),"Grammys",TRUE,"Grammys TRA")</f>
        <v>Grammys TRA</v>
      </c>
      <c r="I982">
        <f>_xlfn.XLOOKUP(Grammys[[#This Row],[date]],mobile_visits[date],mobile_visits[mobile_visitors],0)</f>
        <v>0</v>
      </c>
    </row>
    <row r="983" spans="1:9">
      <c r="A983" s="1">
        <v>43717</v>
      </c>
      <c r="B983">
        <v>7993</v>
      </c>
      <c r="C983">
        <v>11929</v>
      </c>
      <c r="D983">
        <v>8515</v>
      </c>
      <c r="E983">
        <v>4135</v>
      </c>
      <c r="F983">
        <v>83</v>
      </c>
      <c r="G983" t="s">
        <v>83</v>
      </c>
      <c r="H983" t="str" cm="1">
        <f t="array" ref="H983">_xlfn.IFS(Grammys[[#This Row],[date]] &gt;= DATE(2022,2,1),"Grammys",TRUE,"Grammys TRA")</f>
        <v>Grammys TRA</v>
      </c>
      <c r="I983">
        <f>_xlfn.XLOOKUP(Grammys[[#This Row],[date]],mobile_visits[date],mobile_visits[mobile_visitors],0)</f>
        <v>0</v>
      </c>
    </row>
    <row r="984" spans="1:9">
      <c r="A984" s="1">
        <v>43718</v>
      </c>
      <c r="B984">
        <v>7871</v>
      </c>
      <c r="C984">
        <v>11633</v>
      </c>
      <c r="D984">
        <v>8298</v>
      </c>
      <c r="E984">
        <v>3829</v>
      </c>
      <c r="F984">
        <v>91</v>
      </c>
      <c r="G984" t="s">
        <v>83</v>
      </c>
      <c r="H984" t="str" cm="1">
        <f t="array" ref="H984">_xlfn.IFS(Grammys[[#This Row],[date]] &gt;= DATE(2022,2,1),"Grammys",TRUE,"Grammys TRA")</f>
        <v>Grammys TRA</v>
      </c>
      <c r="I984">
        <f>_xlfn.XLOOKUP(Grammys[[#This Row],[date]],mobile_visits[date],mobile_visits[mobile_visitors],0)</f>
        <v>0</v>
      </c>
    </row>
    <row r="985" spans="1:9">
      <c r="A985" s="1">
        <v>43719</v>
      </c>
      <c r="B985">
        <v>15129</v>
      </c>
      <c r="C985">
        <v>17449</v>
      </c>
      <c r="D985">
        <v>15883</v>
      </c>
      <c r="E985">
        <v>7896</v>
      </c>
      <c r="F985">
        <v>91</v>
      </c>
      <c r="G985" t="s">
        <v>83</v>
      </c>
      <c r="H985" t="str" cm="1">
        <f t="array" ref="H985">_xlfn.IFS(Grammys[[#This Row],[date]] &gt;= DATE(2022,2,1),"Grammys",TRUE,"Grammys TRA")</f>
        <v>Grammys TRA</v>
      </c>
      <c r="I985">
        <f>_xlfn.XLOOKUP(Grammys[[#This Row],[date]],mobile_visits[date],mobile_visits[mobile_visitors],0)</f>
        <v>0</v>
      </c>
    </row>
    <row r="986" spans="1:9">
      <c r="A986" s="1">
        <v>43720</v>
      </c>
      <c r="B986">
        <v>11051</v>
      </c>
      <c r="C986">
        <v>13777</v>
      </c>
      <c r="D986">
        <v>11461</v>
      </c>
      <c r="E986">
        <v>5312</v>
      </c>
      <c r="F986">
        <v>91</v>
      </c>
      <c r="G986" t="s">
        <v>83</v>
      </c>
      <c r="H986" t="str" cm="1">
        <f t="array" ref="H986">_xlfn.IFS(Grammys[[#This Row],[date]] &gt;= DATE(2022,2,1),"Grammys",TRUE,"Grammys TRA")</f>
        <v>Grammys TRA</v>
      </c>
      <c r="I986">
        <f>_xlfn.XLOOKUP(Grammys[[#This Row],[date]],mobile_visits[date],mobile_visits[mobile_visitors],0)</f>
        <v>0</v>
      </c>
    </row>
    <row r="987" spans="1:9">
      <c r="A987" s="1">
        <v>43721</v>
      </c>
      <c r="B987">
        <v>18065</v>
      </c>
      <c r="C987">
        <v>21594</v>
      </c>
      <c r="D987">
        <v>18658</v>
      </c>
      <c r="E987">
        <v>12083</v>
      </c>
      <c r="F987">
        <v>54</v>
      </c>
      <c r="G987" t="s">
        <v>83</v>
      </c>
      <c r="H987" t="str" cm="1">
        <f t="array" ref="H987">_xlfn.IFS(Grammys[[#This Row],[date]] &gt;= DATE(2022,2,1),"Grammys",TRUE,"Grammys TRA")</f>
        <v>Grammys TRA</v>
      </c>
      <c r="I987">
        <f>_xlfn.XLOOKUP(Grammys[[#This Row],[date]],mobile_visits[date],mobile_visits[mobile_visitors],0)</f>
        <v>0</v>
      </c>
    </row>
    <row r="988" spans="1:9">
      <c r="A988" s="1">
        <v>43722</v>
      </c>
      <c r="B988">
        <v>23228</v>
      </c>
      <c r="C988">
        <v>27025</v>
      </c>
      <c r="D988">
        <v>23578</v>
      </c>
      <c r="E988">
        <v>17495</v>
      </c>
      <c r="F988">
        <v>37</v>
      </c>
      <c r="G988" t="s">
        <v>83</v>
      </c>
      <c r="H988" t="str" cm="1">
        <f t="array" ref="H988">_xlfn.IFS(Grammys[[#This Row],[date]] &gt;= DATE(2022,2,1),"Grammys",TRUE,"Grammys TRA")</f>
        <v>Grammys TRA</v>
      </c>
      <c r="I988">
        <f>_xlfn.XLOOKUP(Grammys[[#This Row],[date]],mobile_visits[date],mobile_visits[mobile_visitors],0)</f>
        <v>0</v>
      </c>
    </row>
    <row r="989" spans="1:9">
      <c r="A989" s="1">
        <v>43723</v>
      </c>
      <c r="B989">
        <v>18797</v>
      </c>
      <c r="C989">
        <v>22900</v>
      </c>
      <c r="D989">
        <v>19270</v>
      </c>
      <c r="E989">
        <v>13640</v>
      </c>
      <c r="F989">
        <v>44</v>
      </c>
      <c r="G989" t="s">
        <v>83</v>
      </c>
      <c r="H989" t="str" cm="1">
        <f t="array" ref="H989">_xlfn.IFS(Grammys[[#This Row],[date]] &gt;= DATE(2022,2,1),"Grammys",TRUE,"Grammys TRA")</f>
        <v>Grammys TRA</v>
      </c>
      <c r="I989">
        <f>_xlfn.XLOOKUP(Grammys[[#This Row],[date]],mobile_visits[date],mobile_visits[mobile_visitors],0)</f>
        <v>0</v>
      </c>
    </row>
    <row r="990" spans="1:9">
      <c r="A990" s="1">
        <v>43724</v>
      </c>
      <c r="B990">
        <v>14136</v>
      </c>
      <c r="C990">
        <v>17913</v>
      </c>
      <c r="D990">
        <v>14702</v>
      </c>
      <c r="E990">
        <v>9333</v>
      </c>
      <c r="F990">
        <v>57</v>
      </c>
      <c r="G990" t="s">
        <v>83</v>
      </c>
      <c r="H990" t="str" cm="1">
        <f t="array" ref="H990">_xlfn.IFS(Grammys[[#This Row],[date]] &gt;= DATE(2022,2,1),"Grammys",TRUE,"Grammys TRA")</f>
        <v>Grammys TRA</v>
      </c>
      <c r="I990">
        <f>_xlfn.XLOOKUP(Grammys[[#This Row],[date]],mobile_visits[date],mobile_visits[mobile_visitors],0)</f>
        <v>0</v>
      </c>
    </row>
    <row r="991" spans="1:9">
      <c r="A991" s="1">
        <v>43725</v>
      </c>
      <c r="B991">
        <v>9528</v>
      </c>
      <c r="C991">
        <v>13382</v>
      </c>
      <c r="D991">
        <v>10084</v>
      </c>
      <c r="E991">
        <v>5203</v>
      </c>
      <c r="F991">
        <v>76</v>
      </c>
      <c r="G991" t="s">
        <v>83</v>
      </c>
      <c r="H991" t="str" cm="1">
        <f t="array" ref="H991">_xlfn.IFS(Grammys[[#This Row],[date]] &gt;= DATE(2022,2,1),"Grammys",TRUE,"Grammys TRA")</f>
        <v>Grammys TRA</v>
      </c>
      <c r="I991">
        <f>_xlfn.XLOOKUP(Grammys[[#This Row],[date]],mobile_visits[date],mobile_visits[mobile_visitors],0)</f>
        <v>0</v>
      </c>
    </row>
    <row r="992" spans="1:9">
      <c r="A992" s="1">
        <v>43726</v>
      </c>
      <c r="B992">
        <v>9187</v>
      </c>
      <c r="C992">
        <v>13050</v>
      </c>
      <c r="D992">
        <v>9661</v>
      </c>
      <c r="E992">
        <v>4671</v>
      </c>
      <c r="F992">
        <v>77</v>
      </c>
      <c r="G992" t="s">
        <v>83</v>
      </c>
      <c r="H992" t="str" cm="1">
        <f t="array" ref="H992">_xlfn.IFS(Grammys[[#This Row],[date]] &gt;= DATE(2022,2,1),"Grammys",TRUE,"Grammys TRA")</f>
        <v>Grammys TRA</v>
      </c>
      <c r="I992">
        <f>_xlfn.XLOOKUP(Grammys[[#This Row],[date]],mobile_visits[date],mobile_visits[mobile_visitors],0)</f>
        <v>0</v>
      </c>
    </row>
    <row r="993" spans="1:9">
      <c r="A993" s="1">
        <v>43727</v>
      </c>
      <c r="B993">
        <v>9078</v>
      </c>
      <c r="C993">
        <v>12770</v>
      </c>
      <c r="D993">
        <v>9630</v>
      </c>
      <c r="E993">
        <v>4570</v>
      </c>
      <c r="F993">
        <v>83</v>
      </c>
      <c r="G993" t="s">
        <v>83</v>
      </c>
      <c r="H993" t="str" cm="1">
        <f t="array" ref="H993">_xlfn.IFS(Grammys[[#This Row],[date]] &gt;= DATE(2022,2,1),"Grammys",TRUE,"Grammys TRA")</f>
        <v>Grammys TRA</v>
      </c>
      <c r="I993">
        <f>_xlfn.XLOOKUP(Grammys[[#This Row],[date]],mobile_visits[date],mobile_visits[mobile_visitors],0)</f>
        <v>0</v>
      </c>
    </row>
    <row r="994" spans="1:9">
      <c r="A994" s="1">
        <v>43728</v>
      </c>
      <c r="B994">
        <v>10102</v>
      </c>
      <c r="C994">
        <v>13531</v>
      </c>
      <c r="D994">
        <v>10645</v>
      </c>
      <c r="E994">
        <v>5333</v>
      </c>
      <c r="F994">
        <v>74</v>
      </c>
      <c r="G994" t="s">
        <v>83</v>
      </c>
      <c r="H994" t="str" cm="1">
        <f t="array" ref="H994">_xlfn.IFS(Grammys[[#This Row],[date]] &gt;= DATE(2022,2,1),"Grammys",TRUE,"Grammys TRA")</f>
        <v>Grammys TRA</v>
      </c>
      <c r="I994">
        <f>_xlfn.XLOOKUP(Grammys[[#This Row],[date]],mobile_visits[date],mobile_visits[mobile_visitors],0)</f>
        <v>0</v>
      </c>
    </row>
    <row r="995" spans="1:9">
      <c r="A995" s="1">
        <v>43729</v>
      </c>
      <c r="B995">
        <v>10161</v>
      </c>
      <c r="C995">
        <v>13843</v>
      </c>
      <c r="D995">
        <v>10710</v>
      </c>
      <c r="E995">
        <v>5251</v>
      </c>
      <c r="F995">
        <v>73</v>
      </c>
      <c r="G995" t="s">
        <v>83</v>
      </c>
      <c r="H995" t="str" cm="1">
        <f t="array" ref="H995">_xlfn.IFS(Grammys[[#This Row],[date]] &gt;= DATE(2022,2,1),"Grammys",TRUE,"Grammys TRA")</f>
        <v>Grammys TRA</v>
      </c>
      <c r="I995">
        <f>_xlfn.XLOOKUP(Grammys[[#This Row],[date]],mobile_visits[date],mobile_visits[mobile_visitors],0)</f>
        <v>0</v>
      </c>
    </row>
    <row r="996" spans="1:9">
      <c r="A996" s="1">
        <v>43730</v>
      </c>
      <c r="B996">
        <v>13074</v>
      </c>
      <c r="C996">
        <v>18192</v>
      </c>
      <c r="D996">
        <v>13544</v>
      </c>
      <c r="E996">
        <v>6246</v>
      </c>
      <c r="F996">
        <v>68</v>
      </c>
      <c r="G996" t="s">
        <v>83</v>
      </c>
      <c r="H996" t="str" cm="1">
        <f t="array" ref="H996">_xlfn.IFS(Grammys[[#This Row],[date]] &gt;= DATE(2022,2,1),"Grammys",TRUE,"Grammys TRA")</f>
        <v>Grammys TRA</v>
      </c>
      <c r="I996">
        <f>_xlfn.XLOOKUP(Grammys[[#This Row],[date]],mobile_visits[date],mobile_visits[mobile_visitors],0)</f>
        <v>0</v>
      </c>
    </row>
    <row r="997" spans="1:9">
      <c r="A997" s="1">
        <v>43731</v>
      </c>
      <c r="B997">
        <v>11947</v>
      </c>
      <c r="C997">
        <v>17078</v>
      </c>
      <c r="D997">
        <v>12455</v>
      </c>
      <c r="E997">
        <v>6304</v>
      </c>
      <c r="F997">
        <v>75</v>
      </c>
      <c r="G997" t="s">
        <v>83</v>
      </c>
      <c r="H997" t="str" cm="1">
        <f t="array" ref="H997">_xlfn.IFS(Grammys[[#This Row],[date]] &gt;= DATE(2022,2,1),"Grammys",TRUE,"Grammys TRA")</f>
        <v>Grammys TRA</v>
      </c>
      <c r="I997">
        <f>_xlfn.XLOOKUP(Grammys[[#This Row],[date]],mobile_visits[date],mobile_visits[mobile_visitors],0)</f>
        <v>0</v>
      </c>
    </row>
    <row r="998" spans="1:9">
      <c r="A998" s="1">
        <v>43732</v>
      </c>
      <c r="B998">
        <v>27064</v>
      </c>
      <c r="C998">
        <v>34492</v>
      </c>
      <c r="D998">
        <v>28229</v>
      </c>
      <c r="E998">
        <v>8150</v>
      </c>
      <c r="F998">
        <v>63</v>
      </c>
      <c r="G998" t="s">
        <v>83</v>
      </c>
      <c r="H998" t="str" cm="1">
        <f t="array" ref="H998">_xlfn.IFS(Grammys[[#This Row],[date]] &gt;= DATE(2022,2,1),"Grammys",TRUE,"Grammys TRA")</f>
        <v>Grammys TRA</v>
      </c>
      <c r="I998">
        <f>_xlfn.XLOOKUP(Grammys[[#This Row],[date]],mobile_visits[date],mobile_visits[mobile_visitors],0)</f>
        <v>0</v>
      </c>
    </row>
    <row r="999" spans="1:9">
      <c r="A999" s="1">
        <v>43733</v>
      </c>
      <c r="B999">
        <v>20065</v>
      </c>
      <c r="C999">
        <v>28921</v>
      </c>
      <c r="D999">
        <v>21178</v>
      </c>
      <c r="E999">
        <v>8656</v>
      </c>
      <c r="F999">
        <v>81</v>
      </c>
      <c r="G999" t="s">
        <v>83</v>
      </c>
      <c r="H999" t="str" cm="1">
        <f t="array" ref="H999">_xlfn.IFS(Grammys[[#This Row],[date]] &gt;= DATE(2022,2,1),"Grammys",TRUE,"Grammys TRA")</f>
        <v>Grammys TRA</v>
      </c>
      <c r="I999">
        <f>_xlfn.XLOOKUP(Grammys[[#This Row],[date]],mobile_visits[date],mobile_visits[mobile_visitors],0)</f>
        <v>0</v>
      </c>
    </row>
    <row r="1000" spans="1:9">
      <c r="A1000" s="1">
        <v>43734</v>
      </c>
      <c r="B1000">
        <v>16694</v>
      </c>
      <c r="C1000">
        <v>25131</v>
      </c>
      <c r="D1000">
        <v>17588</v>
      </c>
      <c r="E1000">
        <v>8117</v>
      </c>
      <c r="F1000">
        <v>72</v>
      </c>
      <c r="G1000" t="s">
        <v>83</v>
      </c>
      <c r="H1000" t="str" cm="1">
        <f t="array" ref="H1000">_xlfn.IFS(Grammys[[#This Row],[date]] &gt;= DATE(2022,2,1),"Grammys",TRUE,"Grammys TRA")</f>
        <v>Grammys TRA</v>
      </c>
      <c r="I1000">
        <f>_xlfn.XLOOKUP(Grammys[[#This Row],[date]],mobile_visits[date],mobile_visits[mobile_visitors],0)</f>
        <v>0</v>
      </c>
    </row>
    <row r="1001" spans="1:9">
      <c r="A1001" s="1">
        <v>43735</v>
      </c>
      <c r="B1001">
        <v>13417</v>
      </c>
      <c r="C1001">
        <v>20939</v>
      </c>
      <c r="D1001">
        <v>14267</v>
      </c>
      <c r="E1001">
        <v>6703</v>
      </c>
      <c r="F1001">
        <v>73</v>
      </c>
      <c r="G1001" t="s">
        <v>83</v>
      </c>
      <c r="H1001" t="str" cm="1">
        <f t="array" ref="H1001">_xlfn.IFS(Grammys[[#This Row],[date]] &gt;= DATE(2022,2,1),"Grammys",TRUE,"Grammys TRA")</f>
        <v>Grammys TRA</v>
      </c>
      <c r="I1001">
        <f>_xlfn.XLOOKUP(Grammys[[#This Row],[date]],mobile_visits[date],mobile_visits[mobile_visitors],0)</f>
        <v>0</v>
      </c>
    </row>
    <row r="1002" spans="1:9">
      <c r="A1002" s="1">
        <v>43736</v>
      </c>
      <c r="B1002">
        <v>11283</v>
      </c>
      <c r="C1002">
        <v>17859</v>
      </c>
      <c r="D1002">
        <v>12065</v>
      </c>
      <c r="E1002">
        <v>5695</v>
      </c>
      <c r="F1002">
        <v>78</v>
      </c>
      <c r="G1002" t="s">
        <v>83</v>
      </c>
      <c r="H1002" t="str" cm="1">
        <f t="array" ref="H1002">_xlfn.IFS(Grammys[[#This Row],[date]] &gt;= DATE(2022,2,1),"Grammys",TRUE,"Grammys TRA")</f>
        <v>Grammys TRA</v>
      </c>
      <c r="I1002">
        <f>_xlfn.XLOOKUP(Grammys[[#This Row],[date]],mobile_visits[date],mobile_visits[mobile_visitors],0)</f>
        <v>0</v>
      </c>
    </row>
    <row r="1003" spans="1:9">
      <c r="A1003" s="1">
        <v>43737</v>
      </c>
      <c r="B1003">
        <v>10719</v>
      </c>
      <c r="C1003">
        <v>16852</v>
      </c>
      <c r="D1003">
        <v>11446</v>
      </c>
      <c r="E1003">
        <v>5537</v>
      </c>
      <c r="F1003">
        <v>77</v>
      </c>
      <c r="G1003" t="s">
        <v>83</v>
      </c>
      <c r="H1003" t="str" cm="1">
        <f t="array" ref="H1003">_xlfn.IFS(Grammys[[#This Row],[date]] &gt;= DATE(2022,2,1),"Grammys",TRUE,"Grammys TRA")</f>
        <v>Grammys TRA</v>
      </c>
      <c r="I1003">
        <f>_xlfn.XLOOKUP(Grammys[[#This Row],[date]],mobile_visits[date],mobile_visits[mobile_visitors],0)</f>
        <v>0</v>
      </c>
    </row>
    <row r="1004" spans="1:9">
      <c r="A1004" s="1">
        <v>43738</v>
      </c>
      <c r="B1004">
        <v>11582</v>
      </c>
      <c r="C1004">
        <v>17360</v>
      </c>
      <c r="D1004">
        <v>12392</v>
      </c>
      <c r="E1004">
        <v>5776</v>
      </c>
      <c r="F1004">
        <v>81</v>
      </c>
      <c r="G1004" t="s">
        <v>83</v>
      </c>
      <c r="H1004" t="str" cm="1">
        <f t="array" ref="H1004">_xlfn.IFS(Grammys[[#This Row],[date]] &gt;= DATE(2022,2,1),"Grammys",TRUE,"Grammys TRA")</f>
        <v>Grammys TRA</v>
      </c>
      <c r="I1004">
        <f>_xlfn.XLOOKUP(Grammys[[#This Row],[date]],mobile_visits[date],mobile_visits[mobile_visitors],0)</f>
        <v>0</v>
      </c>
    </row>
    <row r="1005" spans="1:9">
      <c r="A1005" s="1">
        <v>43739</v>
      </c>
      <c r="B1005">
        <v>12212</v>
      </c>
      <c r="C1005">
        <v>17328</v>
      </c>
      <c r="D1005">
        <v>12816</v>
      </c>
      <c r="E1005">
        <v>5960</v>
      </c>
      <c r="F1005">
        <v>76</v>
      </c>
      <c r="G1005" t="s">
        <v>83</v>
      </c>
      <c r="H1005" t="str" cm="1">
        <f t="array" ref="H1005">_xlfn.IFS(Grammys[[#This Row],[date]] &gt;= DATE(2022,2,1),"Grammys",TRUE,"Grammys TRA")</f>
        <v>Grammys TRA</v>
      </c>
      <c r="I1005">
        <f>_xlfn.XLOOKUP(Grammys[[#This Row],[date]],mobile_visits[date],mobile_visits[mobile_visitors],0)</f>
        <v>0</v>
      </c>
    </row>
    <row r="1006" spans="1:9">
      <c r="A1006" s="1">
        <v>43740</v>
      </c>
      <c r="B1006">
        <v>11405</v>
      </c>
      <c r="C1006">
        <v>16876</v>
      </c>
      <c r="D1006">
        <v>12034</v>
      </c>
      <c r="E1006">
        <v>5600</v>
      </c>
      <c r="F1006">
        <v>75</v>
      </c>
      <c r="G1006" t="s">
        <v>83</v>
      </c>
      <c r="H1006" t="str" cm="1">
        <f t="array" ref="H1006">_xlfn.IFS(Grammys[[#This Row],[date]] &gt;= DATE(2022,2,1),"Grammys",TRUE,"Grammys TRA")</f>
        <v>Grammys TRA</v>
      </c>
      <c r="I1006">
        <f>_xlfn.XLOOKUP(Grammys[[#This Row],[date]],mobile_visits[date],mobile_visits[mobile_visitors],0)</f>
        <v>0</v>
      </c>
    </row>
    <row r="1007" spans="1:9">
      <c r="A1007" s="1">
        <v>43741</v>
      </c>
      <c r="B1007">
        <v>11627</v>
      </c>
      <c r="C1007">
        <v>17068</v>
      </c>
      <c r="D1007">
        <v>12341</v>
      </c>
      <c r="E1007">
        <v>5862</v>
      </c>
      <c r="F1007">
        <v>81</v>
      </c>
      <c r="G1007" t="s">
        <v>83</v>
      </c>
      <c r="H1007" t="str" cm="1">
        <f t="array" ref="H1007">_xlfn.IFS(Grammys[[#This Row],[date]] &gt;= DATE(2022,2,1),"Grammys",TRUE,"Grammys TRA")</f>
        <v>Grammys TRA</v>
      </c>
      <c r="I1007">
        <f>_xlfn.XLOOKUP(Grammys[[#This Row],[date]],mobile_visits[date],mobile_visits[mobile_visitors],0)</f>
        <v>0</v>
      </c>
    </row>
    <row r="1008" spans="1:9">
      <c r="A1008" s="1">
        <v>43742</v>
      </c>
      <c r="B1008">
        <v>11427</v>
      </c>
      <c r="C1008">
        <v>16908</v>
      </c>
      <c r="D1008">
        <v>12244</v>
      </c>
      <c r="E1008">
        <v>5625</v>
      </c>
      <c r="F1008">
        <v>79</v>
      </c>
      <c r="G1008" t="s">
        <v>83</v>
      </c>
      <c r="H1008" t="str" cm="1">
        <f t="array" ref="H1008">_xlfn.IFS(Grammys[[#This Row],[date]] &gt;= DATE(2022,2,1),"Grammys",TRUE,"Grammys TRA")</f>
        <v>Grammys TRA</v>
      </c>
      <c r="I1008">
        <f>_xlfn.XLOOKUP(Grammys[[#This Row],[date]],mobile_visits[date],mobile_visits[mobile_visitors],0)</f>
        <v>0</v>
      </c>
    </row>
    <row r="1009" spans="1:9">
      <c r="A1009" s="1">
        <v>43743</v>
      </c>
      <c r="B1009">
        <v>12796</v>
      </c>
      <c r="C1009">
        <v>20098</v>
      </c>
      <c r="D1009">
        <v>13735</v>
      </c>
      <c r="E1009">
        <v>6813</v>
      </c>
      <c r="F1009">
        <v>66</v>
      </c>
      <c r="G1009" t="s">
        <v>83</v>
      </c>
      <c r="H1009" t="str" cm="1">
        <f t="array" ref="H1009">_xlfn.IFS(Grammys[[#This Row],[date]] &gt;= DATE(2022,2,1),"Grammys",TRUE,"Grammys TRA")</f>
        <v>Grammys TRA</v>
      </c>
      <c r="I1009">
        <f>_xlfn.XLOOKUP(Grammys[[#This Row],[date]],mobile_visits[date],mobile_visits[mobile_visitors],0)</f>
        <v>0</v>
      </c>
    </row>
    <row r="1010" spans="1:9">
      <c r="A1010" s="1">
        <v>43744</v>
      </c>
      <c r="B1010">
        <v>14441</v>
      </c>
      <c r="C1010">
        <v>23729</v>
      </c>
      <c r="D1010">
        <v>15540</v>
      </c>
      <c r="E1010">
        <v>7614</v>
      </c>
      <c r="F1010">
        <v>72</v>
      </c>
      <c r="G1010" t="s">
        <v>83</v>
      </c>
      <c r="H1010" t="str" cm="1">
        <f t="array" ref="H1010">_xlfn.IFS(Grammys[[#This Row],[date]] &gt;= DATE(2022,2,1),"Grammys",TRUE,"Grammys TRA")</f>
        <v>Grammys TRA</v>
      </c>
      <c r="I1010">
        <f>_xlfn.XLOOKUP(Grammys[[#This Row],[date]],mobile_visits[date],mobile_visits[mobile_visitors],0)</f>
        <v>0</v>
      </c>
    </row>
    <row r="1011" spans="1:9">
      <c r="A1011" s="1">
        <v>43745</v>
      </c>
      <c r="B1011">
        <v>17752</v>
      </c>
      <c r="C1011">
        <v>27229</v>
      </c>
      <c r="D1011">
        <v>18772</v>
      </c>
      <c r="E1011">
        <v>10274</v>
      </c>
      <c r="F1011">
        <v>64</v>
      </c>
      <c r="G1011" t="s">
        <v>83</v>
      </c>
      <c r="H1011" t="str" cm="1">
        <f t="array" ref="H1011">_xlfn.IFS(Grammys[[#This Row],[date]] &gt;= DATE(2022,2,1),"Grammys",TRUE,"Grammys TRA")</f>
        <v>Grammys TRA</v>
      </c>
      <c r="I1011">
        <f>_xlfn.XLOOKUP(Grammys[[#This Row],[date]],mobile_visits[date],mobile_visits[mobile_visitors],0)</f>
        <v>0</v>
      </c>
    </row>
    <row r="1012" spans="1:9">
      <c r="A1012" s="1">
        <v>43746</v>
      </c>
      <c r="B1012">
        <v>16721</v>
      </c>
      <c r="C1012">
        <v>25420</v>
      </c>
      <c r="D1012">
        <v>17664</v>
      </c>
      <c r="E1012">
        <v>8771</v>
      </c>
      <c r="F1012">
        <v>70</v>
      </c>
      <c r="G1012" t="s">
        <v>83</v>
      </c>
      <c r="H1012" t="str" cm="1">
        <f t="array" ref="H1012">_xlfn.IFS(Grammys[[#This Row],[date]] &gt;= DATE(2022,2,1),"Grammys",TRUE,"Grammys TRA")</f>
        <v>Grammys TRA</v>
      </c>
      <c r="I1012">
        <f>_xlfn.XLOOKUP(Grammys[[#This Row],[date]],mobile_visits[date],mobile_visits[mobile_visitors],0)</f>
        <v>0</v>
      </c>
    </row>
    <row r="1013" spans="1:9">
      <c r="A1013" s="1">
        <v>43747</v>
      </c>
      <c r="B1013">
        <v>13744</v>
      </c>
      <c r="C1013">
        <v>21194</v>
      </c>
      <c r="D1013">
        <v>14515</v>
      </c>
      <c r="E1013">
        <v>6879</v>
      </c>
      <c r="F1013">
        <v>75</v>
      </c>
      <c r="G1013" t="s">
        <v>83</v>
      </c>
      <c r="H1013" t="str" cm="1">
        <f t="array" ref="H1013">_xlfn.IFS(Grammys[[#This Row],[date]] &gt;= DATE(2022,2,1),"Grammys",TRUE,"Grammys TRA")</f>
        <v>Grammys TRA</v>
      </c>
      <c r="I1013">
        <f>_xlfn.XLOOKUP(Grammys[[#This Row],[date]],mobile_visits[date],mobile_visits[mobile_visitors],0)</f>
        <v>0</v>
      </c>
    </row>
    <row r="1014" spans="1:9">
      <c r="A1014" s="1">
        <v>43748</v>
      </c>
      <c r="B1014">
        <v>12265</v>
      </c>
      <c r="C1014">
        <v>19320</v>
      </c>
      <c r="D1014">
        <v>13126</v>
      </c>
      <c r="E1014">
        <v>5995</v>
      </c>
      <c r="F1014">
        <v>77</v>
      </c>
      <c r="G1014" t="s">
        <v>83</v>
      </c>
      <c r="H1014" t="str" cm="1">
        <f t="array" ref="H1014">_xlfn.IFS(Grammys[[#This Row],[date]] &gt;= DATE(2022,2,1),"Grammys",TRUE,"Grammys TRA")</f>
        <v>Grammys TRA</v>
      </c>
      <c r="I1014">
        <f>_xlfn.XLOOKUP(Grammys[[#This Row],[date]],mobile_visits[date],mobile_visits[mobile_visitors],0)</f>
        <v>0</v>
      </c>
    </row>
    <row r="1015" spans="1:9">
      <c r="A1015" s="1">
        <v>43749</v>
      </c>
      <c r="B1015">
        <v>10819</v>
      </c>
      <c r="C1015">
        <v>15829</v>
      </c>
      <c r="D1015">
        <v>11510</v>
      </c>
      <c r="E1015">
        <v>5576</v>
      </c>
      <c r="F1015">
        <v>71</v>
      </c>
      <c r="G1015" t="s">
        <v>83</v>
      </c>
      <c r="H1015" t="str" cm="1">
        <f t="array" ref="H1015">_xlfn.IFS(Grammys[[#This Row],[date]] &gt;= DATE(2022,2,1),"Grammys",TRUE,"Grammys TRA")</f>
        <v>Grammys TRA</v>
      </c>
      <c r="I1015">
        <f>_xlfn.XLOOKUP(Grammys[[#This Row],[date]],mobile_visits[date],mobile_visits[mobile_visitors],0)</f>
        <v>0</v>
      </c>
    </row>
    <row r="1016" spans="1:9">
      <c r="A1016" s="1">
        <v>43750</v>
      </c>
      <c r="B1016">
        <v>10731</v>
      </c>
      <c r="C1016">
        <v>15343</v>
      </c>
      <c r="D1016">
        <v>11457</v>
      </c>
      <c r="E1016">
        <v>5304</v>
      </c>
      <c r="F1016">
        <v>73</v>
      </c>
      <c r="G1016" t="s">
        <v>83</v>
      </c>
      <c r="H1016" t="str" cm="1">
        <f t="array" ref="H1016">_xlfn.IFS(Grammys[[#This Row],[date]] &gt;= DATE(2022,2,1),"Grammys",TRUE,"Grammys TRA")</f>
        <v>Grammys TRA</v>
      </c>
      <c r="I1016">
        <f>_xlfn.XLOOKUP(Grammys[[#This Row],[date]],mobile_visits[date],mobile_visits[mobile_visitors],0)</f>
        <v>0</v>
      </c>
    </row>
    <row r="1017" spans="1:9">
      <c r="A1017" s="1">
        <v>43751</v>
      </c>
      <c r="B1017">
        <v>11359</v>
      </c>
      <c r="C1017">
        <v>16675</v>
      </c>
      <c r="D1017">
        <v>12208</v>
      </c>
      <c r="E1017">
        <v>5235</v>
      </c>
      <c r="F1017">
        <v>76</v>
      </c>
      <c r="G1017" t="s">
        <v>83</v>
      </c>
      <c r="H1017" t="str" cm="1">
        <f t="array" ref="H1017">_xlfn.IFS(Grammys[[#This Row],[date]] &gt;= DATE(2022,2,1),"Grammys",TRUE,"Grammys TRA")</f>
        <v>Grammys TRA</v>
      </c>
      <c r="I1017">
        <f>_xlfn.XLOOKUP(Grammys[[#This Row],[date]],mobile_visits[date],mobile_visits[mobile_visitors],0)</f>
        <v>0</v>
      </c>
    </row>
    <row r="1018" spans="1:9">
      <c r="A1018" s="1">
        <v>43752</v>
      </c>
      <c r="B1018">
        <v>11114</v>
      </c>
      <c r="C1018">
        <v>15872</v>
      </c>
      <c r="D1018">
        <v>11783</v>
      </c>
      <c r="E1018">
        <v>5421</v>
      </c>
      <c r="F1018">
        <v>72</v>
      </c>
      <c r="G1018" t="s">
        <v>83</v>
      </c>
      <c r="H1018" t="str" cm="1">
        <f t="array" ref="H1018">_xlfn.IFS(Grammys[[#This Row],[date]] &gt;= DATE(2022,2,1),"Grammys",TRUE,"Grammys TRA")</f>
        <v>Grammys TRA</v>
      </c>
      <c r="I1018">
        <f>_xlfn.XLOOKUP(Grammys[[#This Row],[date]],mobile_visits[date],mobile_visits[mobile_visitors],0)</f>
        <v>0</v>
      </c>
    </row>
    <row r="1019" spans="1:9">
      <c r="A1019" s="1">
        <v>43753</v>
      </c>
      <c r="B1019">
        <v>10913</v>
      </c>
      <c r="C1019">
        <v>15477</v>
      </c>
      <c r="D1019">
        <v>11404</v>
      </c>
      <c r="E1019">
        <v>5661</v>
      </c>
      <c r="F1019">
        <v>72</v>
      </c>
      <c r="G1019" t="s">
        <v>83</v>
      </c>
      <c r="H1019" t="str" cm="1">
        <f t="array" ref="H1019">_xlfn.IFS(Grammys[[#This Row],[date]] &gt;= DATE(2022,2,1),"Grammys",TRUE,"Grammys TRA")</f>
        <v>Grammys TRA</v>
      </c>
      <c r="I1019">
        <f>_xlfn.XLOOKUP(Grammys[[#This Row],[date]],mobile_visits[date],mobile_visits[mobile_visitors],0)</f>
        <v>0</v>
      </c>
    </row>
    <row r="1020" spans="1:9">
      <c r="A1020" s="1">
        <v>43754</v>
      </c>
      <c r="B1020">
        <v>9965</v>
      </c>
      <c r="C1020">
        <v>14896</v>
      </c>
      <c r="D1020">
        <v>10591</v>
      </c>
      <c r="E1020">
        <v>5298</v>
      </c>
      <c r="F1020">
        <v>76</v>
      </c>
      <c r="G1020" t="s">
        <v>83</v>
      </c>
      <c r="H1020" t="str" cm="1">
        <f t="array" ref="H1020">_xlfn.IFS(Grammys[[#This Row],[date]] &gt;= DATE(2022,2,1),"Grammys",TRUE,"Grammys TRA")</f>
        <v>Grammys TRA</v>
      </c>
      <c r="I1020">
        <f>_xlfn.XLOOKUP(Grammys[[#This Row],[date]],mobile_visits[date],mobile_visits[mobile_visitors],0)</f>
        <v>0</v>
      </c>
    </row>
    <row r="1021" spans="1:9">
      <c r="A1021" s="1">
        <v>43755</v>
      </c>
      <c r="B1021">
        <v>10564</v>
      </c>
      <c r="C1021">
        <v>15268</v>
      </c>
      <c r="D1021">
        <v>11211</v>
      </c>
      <c r="E1021">
        <v>5667</v>
      </c>
      <c r="F1021">
        <v>72</v>
      </c>
      <c r="G1021" t="s">
        <v>83</v>
      </c>
      <c r="H1021" t="str" cm="1">
        <f t="array" ref="H1021">_xlfn.IFS(Grammys[[#This Row],[date]] &gt;= DATE(2022,2,1),"Grammys",TRUE,"Grammys TRA")</f>
        <v>Grammys TRA</v>
      </c>
      <c r="I1021">
        <f>_xlfn.XLOOKUP(Grammys[[#This Row],[date]],mobile_visits[date],mobile_visits[mobile_visitors],0)</f>
        <v>0</v>
      </c>
    </row>
    <row r="1022" spans="1:9">
      <c r="A1022" s="1">
        <v>43756</v>
      </c>
      <c r="B1022">
        <v>10955</v>
      </c>
      <c r="C1022">
        <v>15391</v>
      </c>
      <c r="D1022">
        <v>11645</v>
      </c>
      <c r="E1022">
        <v>5984</v>
      </c>
      <c r="F1022">
        <v>68</v>
      </c>
      <c r="G1022" t="s">
        <v>83</v>
      </c>
      <c r="H1022" t="str" cm="1">
        <f t="array" ref="H1022">_xlfn.IFS(Grammys[[#This Row],[date]] &gt;= DATE(2022,2,1),"Grammys",TRUE,"Grammys TRA")</f>
        <v>Grammys TRA</v>
      </c>
      <c r="I1022">
        <f>_xlfn.XLOOKUP(Grammys[[#This Row],[date]],mobile_visits[date],mobile_visits[mobile_visitors],0)</f>
        <v>0</v>
      </c>
    </row>
    <row r="1023" spans="1:9">
      <c r="A1023" s="1">
        <v>43757</v>
      </c>
      <c r="B1023">
        <v>9374</v>
      </c>
      <c r="C1023">
        <v>14128</v>
      </c>
      <c r="D1023">
        <v>9831</v>
      </c>
      <c r="E1023">
        <v>4996</v>
      </c>
      <c r="F1023">
        <v>73</v>
      </c>
      <c r="G1023" t="s">
        <v>83</v>
      </c>
      <c r="H1023" t="str" cm="1">
        <f t="array" ref="H1023">_xlfn.IFS(Grammys[[#This Row],[date]] &gt;= DATE(2022,2,1),"Grammys",TRUE,"Grammys TRA")</f>
        <v>Grammys TRA</v>
      </c>
      <c r="I1023">
        <f>_xlfn.XLOOKUP(Grammys[[#This Row],[date]],mobile_visits[date],mobile_visits[mobile_visitors],0)</f>
        <v>0</v>
      </c>
    </row>
    <row r="1024" spans="1:9">
      <c r="A1024" s="1">
        <v>43758</v>
      </c>
      <c r="B1024">
        <v>9363</v>
      </c>
      <c r="C1024">
        <v>14163</v>
      </c>
      <c r="D1024">
        <v>9980</v>
      </c>
      <c r="E1024">
        <v>5030</v>
      </c>
      <c r="F1024">
        <v>70</v>
      </c>
      <c r="G1024" t="s">
        <v>83</v>
      </c>
      <c r="H1024" t="str" cm="1">
        <f t="array" ref="H1024">_xlfn.IFS(Grammys[[#This Row],[date]] &gt;= DATE(2022,2,1),"Grammys",TRUE,"Grammys TRA")</f>
        <v>Grammys TRA</v>
      </c>
      <c r="I1024">
        <f>_xlfn.XLOOKUP(Grammys[[#This Row],[date]],mobile_visits[date],mobile_visits[mobile_visitors],0)</f>
        <v>0</v>
      </c>
    </row>
    <row r="1025" spans="1:9">
      <c r="A1025" s="1">
        <v>43759</v>
      </c>
      <c r="B1025">
        <v>10841</v>
      </c>
      <c r="C1025">
        <v>15819</v>
      </c>
      <c r="D1025">
        <v>11470</v>
      </c>
      <c r="E1025">
        <v>4981</v>
      </c>
      <c r="F1025">
        <v>72</v>
      </c>
      <c r="G1025" t="s">
        <v>83</v>
      </c>
      <c r="H1025" t="str" cm="1">
        <f t="array" ref="H1025">_xlfn.IFS(Grammys[[#This Row],[date]] &gt;= DATE(2022,2,1),"Grammys",TRUE,"Grammys TRA")</f>
        <v>Grammys TRA</v>
      </c>
      <c r="I1025">
        <f>_xlfn.XLOOKUP(Grammys[[#This Row],[date]],mobile_visits[date],mobile_visits[mobile_visitors],0)</f>
        <v>0</v>
      </c>
    </row>
    <row r="1026" spans="1:9">
      <c r="A1026" s="1">
        <v>43760</v>
      </c>
      <c r="B1026">
        <v>12348</v>
      </c>
      <c r="C1026">
        <v>17285</v>
      </c>
      <c r="D1026">
        <v>13163</v>
      </c>
      <c r="E1026">
        <v>5929</v>
      </c>
      <c r="F1026">
        <v>69</v>
      </c>
      <c r="G1026" t="s">
        <v>83</v>
      </c>
      <c r="H1026" t="str" cm="1">
        <f t="array" ref="H1026">_xlfn.IFS(Grammys[[#This Row],[date]] &gt;= DATE(2022,2,1),"Grammys",TRUE,"Grammys TRA")</f>
        <v>Grammys TRA</v>
      </c>
      <c r="I1026">
        <f>_xlfn.XLOOKUP(Grammys[[#This Row],[date]],mobile_visits[date],mobile_visits[mobile_visitors],0)</f>
        <v>0</v>
      </c>
    </row>
    <row r="1027" spans="1:9">
      <c r="A1027" s="1">
        <v>43761</v>
      </c>
      <c r="B1027">
        <v>9297</v>
      </c>
      <c r="C1027">
        <v>13491</v>
      </c>
      <c r="D1027">
        <v>9827</v>
      </c>
      <c r="E1027">
        <v>4796</v>
      </c>
      <c r="F1027">
        <v>80</v>
      </c>
      <c r="G1027" t="s">
        <v>83</v>
      </c>
      <c r="H1027" t="str" cm="1">
        <f t="array" ref="H1027">_xlfn.IFS(Grammys[[#This Row],[date]] &gt;= DATE(2022,2,1),"Grammys",TRUE,"Grammys TRA")</f>
        <v>Grammys TRA</v>
      </c>
      <c r="I1027">
        <f>_xlfn.XLOOKUP(Grammys[[#This Row],[date]],mobile_visits[date],mobile_visits[mobile_visitors],0)</f>
        <v>0</v>
      </c>
    </row>
    <row r="1028" spans="1:9">
      <c r="A1028" s="1">
        <v>43762</v>
      </c>
      <c r="B1028">
        <v>10441</v>
      </c>
      <c r="C1028">
        <v>15149</v>
      </c>
      <c r="D1028">
        <v>11055</v>
      </c>
      <c r="E1028">
        <v>5138</v>
      </c>
      <c r="F1028">
        <v>91</v>
      </c>
      <c r="G1028" t="s">
        <v>83</v>
      </c>
      <c r="H1028" t="str" cm="1">
        <f t="array" ref="H1028">_xlfn.IFS(Grammys[[#This Row],[date]] &gt;= DATE(2022,2,1),"Grammys",TRUE,"Grammys TRA")</f>
        <v>Grammys TRA</v>
      </c>
      <c r="I1028">
        <f>_xlfn.XLOOKUP(Grammys[[#This Row],[date]],mobile_visits[date],mobile_visits[mobile_visitors],0)</f>
        <v>0</v>
      </c>
    </row>
    <row r="1029" spans="1:9">
      <c r="A1029" s="1">
        <v>43763</v>
      </c>
      <c r="B1029">
        <v>11573</v>
      </c>
      <c r="C1029">
        <v>16098</v>
      </c>
      <c r="D1029">
        <v>12315</v>
      </c>
      <c r="E1029">
        <v>6094</v>
      </c>
      <c r="F1029">
        <v>69</v>
      </c>
      <c r="G1029" t="s">
        <v>83</v>
      </c>
      <c r="H1029" t="str" cm="1">
        <f t="array" ref="H1029">_xlfn.IFS(Grammys[[#This Row],[date]] &gt;= DATE(2022,2,1),"Grammys",TRUE,"Grammys TRA")</f>
        <v>Grammys TRA</v>
      </c>
      <c r="I1029">
        <f>_xlfn.XLOOKUP(Grammys[[#This Row],[date]],mobile_visits[date],mobile_visits[mobile_visitors],0)</f>
        <v>0</v>
      </c>
    </row>
    <row r="1030" spans="1:9">
      <c r="A1030" s="1">
        <v>43764</v>
      </c>
      <c r="B1030">
        <v>9629</v>
      </c>
      <c r="C1030">
        <v>13729</v>
      </c>
      <c r="D1030">
        <v>10105</v>
      </c>
      <c r="E1030">
        <v>5140</v>
      </c>
      <c r="F1030">
        <v>72</v>
      </c>
      <c r="G1030" t="s">
        <v>83</v>
      </c>
      <c r="H1030" t="str" cm="1">
        <f t="array" ref="H1030">_xlfn.IFS(Grammys[[#This Row],[date]] &gt;= DATE(2022,2,1),"Grammys",TRUE,"Grammys TRA")</f>
        <v>Grammys TRA</v>
      </c>
      <c r="I1030">
        <f>_xlfn.XLOOKUP(Grammys[[#This Row],[date]],mobile_visits[date],mobile_visits[mobile_visitors],0)</f>
        <v>0</v>
      </c>
    </row>
    <row r="1031" spans="1:9">
      <c r="A1031" s="1">
        <v>43765</v>
      </c>
      <c r="B1031">
        <v>8494</v>
      </c>
      <c r="C1031">
        <v>12702</v>
      </c>
      <c r="D1031">
        <v>9068</v>
      </c>
      <c r="E1031">
        <v>4662</v>
      </c>
      <c r="F1031">
        <v>69</v>
      </c>
      <c r="G1031" t="s">
        <v>83</v>
      </c>
      <c r="H1031" t="str" cm="1">
        <f t="array" ref="H1031">_xlfn.IFS(Grammys[[#This Row],[date]] &gt;= DATE(2022,2,1),"Grammys",TRUE,"Grammys TRA")</f>
        <v>Grammys TRA</v>
      </c>
      <c r="I1031">
        <f>_xlfn.XLOOKUP(Grammys[[#This Row],[date]],mobile_visits[date],mobile_visits[mobile_visitors],0)</f>
        <v>0</v>
      </c>
    </row>
    <row r="1032" spans="1:9">
      <c r="A1032" s="1">
        <v>43766</v>
      </c>
      <c r="B1032">
        <v>9180</v>
      </c>
      <c r="C1032">
        <v>13755</v>
      </c>
      <c r="D1032">
        <v>9759</v>
      </c>
      <c r="E1032">
        <v>4941</v>
      </c>
      <c r="F1032">
        <v>75</v>
      </c>
      <c r="G1032" t="s">
        <v>83</v>
      </c>
      <c r="H1032" t="str" cm="1">
        <f t="array" ref="H1032">_xlfn.IFS(Grammys[[#This Row],[date]] &gt;= DATE(2022,2,1),"Grammys",TRUE,"Grammys TRA")</f>
        <v>Grammys TRA</v>
      </c>
      <c r="I1032">
        <f>_xlfn.XLOOKUP(Grammys[[#This Row],[date]],mobile_visits[date],mobile_visits[mobile_visitors],0)</f>
        <v>0</v>
      </c>
    </row>
    <row r="1033" spans="1:9">
      <c r="A1033" s="1">
        <v>43767</v>
      </c>
      <c r="B1033">
        <v>10130</v>
      </c>
      <c r="C1033">
        <v>14605</v>
      </c>
      <c r="D1033">
        <v>10694</v>
      </c>
      <c r="E1033">
        <v>5328</v>
      </c>
      <c r="F1033">
        <v>80</v>
      </c>
      <c r="G1033" t="s">
        <v>83</v>
      </c>
      <c r="H1033" t="str" cm="1">
        <f t="array" ref="H1033">_xlfn.IFS(Grammys[[#This Row],[date]] &gt;= DATE(2022,2,1),"Grammys",TRUE,"Grammys TRA")</f>
        <v>Grammys TRA</v>
      </c>
      <c r="I1033">
        <f>_xlfn.XLOOKUP(Grammys[[#This Row],[date]],mobile_visits[date],mobile_visits[mobile_visitors],0)</f>
        <v>0</v>
      </c>
    </row>
    <row r="1034" spans="1:9">
      <c r="A1034" s="1">
        <v>43768</v>
      </c>
      <c r="B1034">
        <v>9234</v>
      </c>
      <c r="C1034">
        <v>13093</v>
      </c>
      <c r="D1034">
        <v>9767</v>
      </c>
      <c r="E1034">
        <v>4787</v>
      </c>
      <c r="F1034">
        <v>78</v>
      </c>
      <c r="G1034" t="s">
        <v>83</v>
      </c>
      <c r="H1034" t="str" cm="1">
        <f t="array" ref="H1034">_xlfn.IFS(Grammys[[#This Row],[date]] &gt;= DATE(2022,2,1),"Grammys",TRUE,"Grammys TRA")</f>
        <v>Grammys TRA</v>
      </c>
      <c r="I1034">
        <f>_xlfn.XLOOKUP(Grammys[[#This Row],[date]],mobile_visits[date],mobile_visits[mobile_visitors],0)</f>
        <v>0</v>
      </c>
    </row>
    <row r="1035" spans="1:9">
      <c r="A1035" s="1">
        <v>43769</v>
      </c>
      <c r="B1035">
        <v>7856</v>
      </c>
      <c r="C1035">
        <v>11073</v>
      </c>
      <c r="D1035">
        <v>8183</v>
      </c>
      <c r="E1035">
        <v>4109</v>
      </c>
      <c r="F1035">
        <v>78</v>
      </c>
      <c r="G1035" t="s">
        <v>83</v>
      </c>
      <c r="H1035" t="str" cm="1">
        <f t="array" ref="H1035">_xlfn.IFS(Grammys[[#This Row],[date]] &gt;= DATE(2022,2,1),"Grammys",TRUE,"Grammys TRA")</f>
        <v>Grammys TRA</v>
      </c>
      <c r="I1035">
        <f>_xlfn.XLOOKUP(Grammys[[#This Row],[date]],mobile_visits[date],mobile_visits[mobile_visitors],0)</f>
        <v>0</v>
      </c>
    </row>
    <row r="1036" spans="1:9">
      <c r="A1036" s="1">
        <v>43770</v>
      </c>
      <c r="B1036">
        <v>9494</v>
      </c>
      <c r="C1036">
        <v>13369</v>
      </c>
      <c r="D1036">
        <v>10037</v>
      </c>
      <c r="E1036">
        <v>5038</v>
      </c>
      <c r="F1036">
        <v>79</v>
      </c>
      <c r="G1036" t="s">
        <v>83</v>
      </c>
      <c r="H1036" t="str" cm="1">
        <f t="array" ref="H1036">_xlfn.IFS(Grammys[[#This Row],[date]] &gt;= DATE(2022,2,1),"Grammys",TRUE,"Grammys TRA")</f>
        <v>Grammys TRA</v>
      </c>
      <c r="I1036">
        <f>_xlfn.XLOOKUP(Grammys[[#This Row],[date]],mobile_visits[date],mobile_visits[mobile_visitors],0)</f>
        <v>0</v>
      </c>
    </row>
    <row r="1037" spans="1:9">
      <c r="A1037" s="1">
        <v>43771</v>
      </c>
      <c r="B1037">
        <v>8702</v>
      </c>
      <c r="C1037">
        <v>12735</v>
      </c>
      <c r="D1037">
        <v>9118</v>
      </c>
      <c r="E1037">
        <v>4311</v>
      </c>
      <c r="F1037">
        <v>75</v>
      </c>
      <c r="G1037" t="s">
        <v>83</v>
      </c>
      <c r="H1037" t="str" cm="1">
        <f t="array" ref="H1037">_xlfn.IFS(Grammys[[#This Row],[date]] &gt;= DATE(2022,2,1),"Grammys",TRUE,"Grammys TRA")</f>
        <v>Grammys TRA</v>
      </c>
      <c r="I1037">
        <f>_xlfn.XLOOKUP(Grammys[[#This Row],[date]],mobile_visits[date],mobile_visits[mobile_visitors],0)</f>
        <v>0</v>
      </c>
    </row>
    <row r="1038" spans="1:9">
      <c r="A1038" s="1">
        <v>43772</v>
      </c>
      <c r="B1038">
        <v>10333</v>
      </c>
      <c r="C1038">
        <v>14736</v>
      </c>
      <c r="D1038">
        <v>10771</v>
      </c>
      <c r="E1038">
        <v>4895</v>
      </c>
      <c r="F1038">
        <v>74</v>
      </c>
      <c r="G1038" t="s">
        <v>83</v>
      </c>
      <c r="H1038" t="str" cm="1">
        <f t="array" ref="H1038">_xlfn.IFS(Grammys[[#This Row],[date]] &gt;= DATE(2022,2,1),"Grammys",TRUE,"Grammys TRA")</f>
        <v>Grammys TRA</v>
      </c>
      <c r="I1038">
        <f>_xlfn.XLOOKUP(Grammys[[#This Row],[date]],mobile_visits[date],mobile_visits[mobile_visitors],0)</f>
        <v>0</v>
      </c>
    </row>
    <row r="1039" spans="1:9">
      <c r="A1039" s="1">
        <v>43773</v>
      </c>
      <c r="B1039">
        <v>9978</v>
      </c>
      <c r="C1039">
        <v>14584</v>
      </c>
      <c r="D1039">
        <v>10543</v>
      </c>
      <c r="E1039">
        <v>5140</v>
      </c>
      <c r="F1039">
        <v>75</v>
      </c>
      <c r="G1039" t="s">
        <v>83</v>
      </c>
      <c r="H1039" t="str" cm="1">
        <f t="array" ref="H1039">_xlfn.IFS(Grammys[[#This Row],[date]] &gt;= DATE(2022,2,1),"Grammys",TRUE,"Grammys TRA")</f>
        <v>Grammys TRA</v>
      </c>
      <c r="I1039">
        <f>_xlfn.XLOOKUP(Grammys[[#This Row],[date]],mobile_visits[date],mobile_visits[mobile_visitors],0)</f>
        <v>0</v>
      </c>
    </row>
    <row r="1040" spans="1:9">
      <c r="A1040" s="1">
        <v>43774</v>
      </c>
      <c r="B1040">
        <v>10297</v>
      </c>
      <c r="C1040">
        <v>14928</v>
      </c>
      <c r="D1040">
        <v>10967</v>
      </c>
      <c r="E1040">
        <v>5165</v>
      </c>
      <c r="F1040">
        <v>72</v>
      </c>
      <c r="G1040" t="s">
        <v>83</v>
      </c>
      <c r="H1040" t="str" cm="1">
        <f t="array" ref="H1040">_xlfn.IFS(Grammys[[#This Row],[date]] &gt;= DATE(2022,2,1),"Grammys",TRUE,"Grammys TRA")</f>
        <v>Grammys TRA</v>
      </c>
      <c r="I1040">
        <f>_xlfn.XLOOKUP(Grammys[[#This Row],[date]],mobile_visits[date],mobile_visits[mobile_visitors],0)</f>
        <v>0</v>
      </c>
    </row>
    <row r="1041" spans="1:9">
      <c r="A1041" s="1">
        <v>43775</v>
      </c>
      <c r="B1041">
        <v>10591</v>
      </c>
      <c r="C1041">
        <v>14923</v>
      </c>
      <c r="D1041">
        <v>11110</v>
      </c>
      <c r="E1041">
        <v>5531</v>
      </c>
      <c r="F1041">
        <v>74</v>
      </c>
      <c r="G1041" t="s">
        <v>83</v>
      </c>
      <c r="H1041" t="str" cm="1">
        <f t="array" ref="H1041">_xlfn.IFS(Grammys[[#This Row],[date]] &gt;= DATE(2022,2,1),"Grammys",TRUE,"Grammys TRA")</f>
        <v>Grammys TRA</v>
      </c>
      <c r="I1041">
        <f>_xlfn.XLOOKUP(Grammys[[#This Row],[date]],mobile_visits[date],mobile_visits[mobile_visitors],0)</f>
        <v>0</v>
      </c>
    </row>
    <row r="1042" spans="1:9">
      <c r="A1042" s="1">
        <v>43776</v>
      </c>
      <c r="B1042">
        <v>9534</v>
      </c>
      <c r="C1042">
        <v>14168</v>
      </c>
      <c r="D1042">
        <v>10082</v>
      </c>
      <c r="E1042">
        <v>4993</v>
      </c>
      <c r="F1042">
        <v>78</v>
      </c>
      <c r="G1042" t="s">
        <v>83</v>
      </c>
      <c r="H1042" t="str" cm="1">
        <f t="array" ref="H1042">_xlfn.IFS(Grammys[[#This Row],[date]] &gt;= DATE(2022,2,1),"Grammys",TRUE,"Grammys TRA")</f>
        <v>Grammys TRA</v>
      </c>
      <c r="I1042">
        <f>_xlfn.XLOOKUP(Grammys[[#This Row],[date]],mobile_visits[date],mobile_visits[mobile_visitors],0)</f>
        <v>0</v>
      </c>
    </row>
    <row r="1043" spans="1:9">
      <c r="A1043" s="1">
        <v>43777</v>
      </c>
      <c r="B1043">
        <v>8732</v>
      </c>
      <c r="C1043">
        <v>12936</v>
      </c>
      <c r="D1043">
        <v>9184</v>
      </c>
      <c r="E1043">
        <v>4477</v>
      </c>
      <c r="F1043">
        <v>79</v>
      </c>
      <c r="G1043" t="s">
        <v>83</v>
      </c>
      <c r="H1043" t="str" cm="1">
        <f t="array" ref="H1043">_xlfn.IFS(Grammys[[#This Row],[date]] &gt;= DATE(2022,2,1),"Grammys",TRUE,"Grammys TRA")</f>
        <v>Grammys TRA</v>
      </c>
      <c r="I1043">
        <f>_xlfn.XLOOKUP(Grammys[[#This Row],[date]],mobile_visits[date],mobile_visits[mobile_visitors],0)</f>
        <v>0</v>
      </c>
    </row>
    <row r="1044" spans="1:9">
      <c r="A1044" s="1">
        <v>43778</v>
      </c>
      <c r="B1044">
        <v>8736</v>
      </c>
      <c r="C1044">
        <v>12271</v>
      </c>
      <c r="D1044">
        <v>9174</v>
      </c>
      <c r="E1044">
        <v>4465</v>
      </c>
      <c r="F1044">
        <v>76</v>
      </c>
      <c r="G1044" t="s">
        <v>83</v>
      </c>
      <c r="H1044" t="str" cm="1">
        <f t="array" ref="H1044">_xlfn.IFS(Grammys[[#This Row],[date]] &gt;= DATE(2022,2,1),"Grammys",TRUE,"Grammys TRA")</f>
        <v>Grammys TRA</v>
      </c>
      <c r="I1044">
        <f>_xlfn.XLOOKUP(Grammys[[#This Row],[date]],mobile_visits[date],mobile_visits[mobile_visitors],0)</f>
        <v>0</v>
      </c>
    </row>
    <row r="1045" spans="1:9">
      <c r="A1045" s="1">
        <v>43779</v>
      </c>
      <c r="B1045">
        <v>9430</v>
      </c>
      <c r="C1045">
        <v>14059</v>
      </c>
      <c r="D1045">
        <v>10023</v>
      </c>
      <c r="E1045">
        <v>4782</v>
      </c>
      <c r="F1045">
        <v>74</v>
      </c>
      <c r="G1045" t="s">
        <v>83</v>
      </c>
      <c r="H1045" t="str" cm="1">
        <f t="array" ref="H1045">_xlfn.IFS(Grammys[[#This Row],[date]] &gt;= DATE(2022,2,1),"Grammys",TRUE,"Grammys TRA")</f>
        <v>Grammys TRA</v>
      </c>
      <c r="I1045">
        <f>_xlfn.XLOOKUP(Grammys[[#This Row],[date]],mobile_visits[date],mobile_visits[mobile_visitors],0)</f>
        <v>0</v>
      </c>
    </row>
    <row r="1046" spans="1:9">
      <c r="A1046" s="1">
        <v>43780</v>
      </c>
      <c r="B1046">
        <v>10541</v>
      </c>
      <c r="C1046">
        <v>15736</v>
      </c>
      <c r="D1046">
        <v>11207</v>
      </c>
      <c r="E1046">
        <v>5397</v>
      </c>
      <c r="F1046">
        <v>79</v>
      </c>
      <c r="G1046" t="s">
        <v>83</v>
      </c>
      <c r="H1046" t="str" cm="1">
        <f t="array" ref="H1046">_xlfn.IFS(Grammys[[#This Row],[date]] &gt;= DATE(2022,2,1),"Grammys",TRUE,"Grammys TRA")</f>
        <v>Grammys TRA</v>
      </c>
      <c r="I1046">
        <f>_xlfn.XLOOKUP(Grammys[[#This Row],[date]],mobile_visits[date],mobile_visits[mobile_visitors],0)</f>
        <v>0</v>
      </c>
    </row>
    <row r="1047" spans="1:9">
      <c r="A1047" s="1">
        <v>43781</v>
      </c>
      <c r="B1047">
        <v>11674</v>
      </c>
      <c r="C1047">
        <v>17844</v>
      </c>
      <c r="D1047">
        <v>12547</v>
      </c>
      <c r="E1047">
        <v>5524</v>
      </c>
      <c r="F1047">
        <v>85</v>
      </c>
      <c r="G1047" t="s">
        <v>83</v>
      </c>
      <c r="H1047" t="str" cm="1">
        <f t="array" ref="H1047">_xlfn.IFS(Grammys[[#This Row],[date]] &gt;= DATE(2022,2,1),"Grammys",TRUE,"Grammys TRA")</f>
        <v>Grammys TRA</v>
      </c>
      <c r="I1047">
        <f>_xlfn.XLOOKUP(Grammys[[#This Row],[date]],mobile_visits[date],mobile_visits[mobile_visitors],0)</f>
        <v>0</v>
      </c>
    </row>
    <row r="1048" spans="1:9">
      <c r="A1048" s="1">
        <v>43782</v>
      </c>
      <c r="B1048">
        <v>16101</v>
      </c>
      <c r="C1048">
        <v>22758</v>
      </c>
      <c r="D1048">
        <v>16984</v>
      </c>
      <c r="E1048">
        <v>6879</v>
      </c>
      <c r="F1048">
        <v>79</v>
      </c>
      <c r="G1048" t="s">
        <v>83</v>
      </c>
      <c r="H1048" t="str" cm="1">
        <f t="array" ref="H1048">_xlfn.IFS(Grammys[[#This Row],[date]] &gt;= DATE(2022,2,1),"Grammys",TRUE,"Grammys TRA")</f>
        <v>Grammys TRA</v>
      </c>
      <c r="I1048">
        <f>_xlfn.XLOOKUP(Grammys[[#This Row],[date]],mobile_visits[date],mobile_visits[mobile_visitors],0)</f>
        <v>0</v>
      </c>
    </row>
    <row r="1049" spans="1:9">
      <c r="A1049" s="1">
        <v>43783</v>
      </c>
      <c r="B1049">
        <v>35920</v>
      </c>
      <c r="C1049">
        <v>47951</v>
      </c>
      <c r="D1049">
        <v>38470</v>
      </c>
      <c r="E1049">
        <v>12996</v>
      </c>
      <c r="F1049">
        <v>72</v>
      </c>
      <c r="G1049" t="s">
        <v>83</v>
      </c>
      <c r="H1049" t="str" cm="1">
        <f t="array" ref="H1049">_xlfn.IFS(Grammys[[#This Row],[date]] &gt;= DATE(2022,2,1),"Grammys",TRUE,"Grammys TRA")</f>
        <v>Grammys TRA</v>
      </c>
      <c r="I1049">
        <f>_xlfn.XLOOKUP(Grammys[[#This Row],[date]],mobile_visits[date],mobile_visits[mobile_visitors],0)</f>
        <v>0</v>
      </c>
    </row>
    <row r="1050" spans="1:9">
      <c r="A1050" s="1">
        <v>43784</v>
      </c>
      <c r="B1050">
        <v>31921</v>
      </c>
      <c r="C1050">
        <v>40709</v>
      </c>
      <c r="D1050">
        <v>33095</v>
      </c>
      <c r="E1050">
        <v>11905</v>
      </c>
      <c r="F1050">
        <v>66</v>
      </c>
      <c r="G1050" t="s">
        <v>83</v>
      </c>
      <c r="H1050" t="str" cm="1">
        <f t="array" ref="H1050">_xlfn.IFS(Grammys[[#This Row],[date]] &gt;= DATE(2022,2,1),"Grammys",TRUE,"Grammys TRA")</f>
        <v>Grammys TRA</v>
      </c>
      <c r="I1050">
        <f>_xlfn.XLOOKUP(Grammys[[#This Row],[date]],mobile_visits[date],mobile_visits[mobile_visitors],0)</f>
        <v>0</v>
      </c>
    </row>
    <row r="1051" spans="1:9">
      <c r="A1051" s="1">
        <v>43785</v>
      </c>
      <c r="B1051">
        <v>20894</v>
      </c>
      <c r="C1051">
        <v>30222</v>
      </c>
      <c r="D1051">
        <v>21928</v>
      </c>
      <c r="E1051">
        <v>9041</v>
      </c>
      <c r="F1051">
        <v>67</v>
      </c>
      <c r="G1051" t="s">
        <v>83</v>
      </c>
      <c r="H1051" t="str" cm="1">
        <f t="array" ref="H1051">_xlfn.IFS(Grammys[[#This Row],[date]] &gt;= DATE(2022,2,1),"Grammys",TRUE,"Grammys TRA")</f>
        <v>Grammys TRA</v>
      </c>
      <c r="I1051">
        <f>_xlfn.XLOOKUP(Grammys[[#This Row],[date]],mobile_visits[date],mobile_visits[mobile_visitors],0)</f>
        <v>0</v>
      </c>
    </row>
    <row r="1052" spans="1:9">
      <c r="A1052" s="1">
        <v>43786</v>
      </c>
      <c r="B1052">
        <v>15511</v>
      </c>
      <c r="C1052">
        <v>23757</v>
      </c>
      <c r="D1052">
        <v>16273</v>
      </c>
      <c r="E1052">
        <v>7167</v>
      </c>
      <c r="F1052">
        <v>76</v>
      </c>
      <c r="G1052" t="s">
        <v>83</v>
      </c>
      <c r="H1052" t="str" cm="1">
        <f t="array" ref="H1052">_xlfn.IFS(Grammys[[#This Row],[date]] &gt;= DATE(2022,2,1),"Grammys",TRUE,"Grammys TRA")</f>
        <v>Grammys TRA</v>
      </c>
      <c r="I1052">
        <f>_xlfn.XLOOKUP(Grammys[[#This Row],[date]],mobile_visits[date],mobile_visits[mobile_visitors],0)</f>
        <v>0</v>
      </c>
    </row>
    <row r="1053" spans="1:9">
      <c r="A1053" s="1">
        <v>43787</v>
      </c>
      <c r="B1053">
        <v>22021</v>
      </c>
      <c r="C1053">
        <v>32224</v>
      </c>
      <c r="D1053">
        <v>23391</v>
      </c>
      <c r="E1053">
        <v>8583</v>
      </c>
      <c r="F1053">
        <v>74</v>
      </c>
      <c r="G1053" t="s">
        <v>83</v>
      </c>
      <c r="H1053" t="str" cm="1">
        <f t="array" ref="H1053">_xlfn.IFS(Grammys[[#This Row],[date]] &gt;= DATE(2022,2,1),"Grammys",TRUE,"Grammys TRA")</f>
        <v>Grammys TRA</v>
      </c>
      <c r="I1053">
        <f>_xlfn.XLOOKUP(Grammys[[#This Row],[date]],mobile_visits[date],mobile_visits[mobile_visitors],0)</f>
        <v>0</v>
      </c>
    </row>
    <row r="1054" spans="1:9">
      <c r="A1054" s="1">
        <v>43788</v>
      </c>
      <c r="B1054">
        <v>82270</v>
      </c>
      <c r="C1054">
        <v>167996</v>
      </c>
      <c r="D1054">
        <v>93174</v>
      </c>
      <c r="E1054">
        <v>26490</v>
      </c>
      <c r="F1054">
        <v>101</v>
      </c>
      <c r="G1054" t="s">
        <v>85</v>
      </c>
      <c r="H1054" t="str" cm="1">
        <f t="array" ref="H1054">_xlfn.IFS(Grammys[[#This Row],[date]] &gt;= DATE(2022,2,1),"Grammys",TRUE,"Grammys TRA")</f>
        <v>Grammys TRA</v>
      </c>
      <c r="I1054">
        <f>_xlfn.XLOOKUP(Grammys[[#This Row],[date]],mobile_visits[date],mobile_visits[mobile_visitors],0)</f>
        <v>0</v>
      </c>
    </row>
    <row r="1055" spans="1:9">
      <c r="A1055" s="1">
        <v>43789</v>
      </c>
      <c r="B1055">
        <v>1130463</v>
      </c>
      <c r="C1055">
        <v>1648239</v>
      </c>
      <c r="D1055">
        <v>1266668</v>
      </c>
      <c r="E1055">
        <v>334908</v>
      </c>
      <c r="F1055">
        <v>151</v>
      </c>
      <c r="G1055" t="s">
        <v>83</v>
      </c>
      <c r="H1055" t="str" cm="1">
        <f t="array" ref="H1055">_xlfn.IFS(Grammys[[#This Row],[date]] &gt;= DATE(2022,2,1),"Grammys",TRUE,"Grammys TRA")</f>
        <v>Grammys TRA</v>
      </c>
      <c r="I1055">
        <f>_xlfn.XLOOKUP(Grammys[[#This Row],[date]],mobile_visits[date],mobile_visits[mobile_visitors],0)</f>
        <v>0</v>
      </c>
    </row>
    <row r="1056" spans="1:9">
      <c r="A1056" s="1">
        <v>43790</v>
      </c>
      <c r="B1056">
        <v>299375</v>
      </c>
      <c r="C1056">
        <v>391840</v>
      </c>
      <c r="D1056">
        <v>327475</v>
      </c>
      <c r="E1056">
        <v>122804</v>
      </c>
      <c r="F1056">
        <v>122</v>
      </c>
      <c r="G1056" t="s">
        <v>83</v>
      </c>
      <c r="H1056" t="str" cm="1">
        <f t="array" ref="H1056">_xlfn.IFS(Grammys[[#This Row],[date]] &gt;= DATE(2022,2,1),"Grammys",TRUE,"Grammys TRA")</f>
        <v>Grammys TRA</v>
      </c>
      <c r="I1056">
        <f>_xlfn.XLOOKUP(Grammys[[#This Row],[date]],mobile_visits[date],mobile_visits[mobile_visitors],0)</f>
        <v>0</v>
      </c>
    </row>
    <row r="1057" spans="1:9">
      <c r="A1057" s="1">
        <v>43791</v>
      </c>
      <c r="B1057">
        <v>117189</v>
      </c>
      <c r="C1057">
        <v>159397</v>
      </c>
      <c r="D1057">
        <v>130105</v>
      </c>
      <c r="E1057">
        <v>50234</v>
      </c>
      <c r="F1057">
        <v>120</v>
      </c>
      <c r="G1057" t="s">
        <v>83</v>
      </c>
      <c r="H1057" t="str" cm="1">
        <f t="array" ref="H1057">_xlfn.IFS(Grammys[[#This Row],[date]] &gt;= DATE(2022,2,1),"Grammys",TRUE,"Grammys TRA")</f>
        <v>Grammys TRA</v>
      </c>
      <c r="I1057">
        <f>_xlfn.XLOOKUP(Grammys[[#This Row],[date]],mobile_visits[date],mobile_visits[mobile_visitors],0)</f>
        <v>0</v>
      </c>
    </row>
    <row r="1058" spans="1:9">
      <c r="A1058" s="1">
        <v>43792</v>
      </c>
      <c r="B1058">
        <v>80045</v>
      </c>
      <c r="C1058">
        <v>112196</v>
      </c>
      <c r="D1058">
        <v>88071</v>
      </c>
      <c r="E1058">
        <v>34198</v>
      </c>
      <c r="F1058">
        <v>118</v>
      </c>
      <c r="G1058" t="s">
        <v>83</v>
      </c>
      <c r="H1058" t="str" cm="1">
        <f t="array" ref="H1058">_xlfn.IFS(Grammys[[#This Row],[date]] &gt;= DATE(2022,2,1),"Grammys",TRUE,"Grammys TRA")</f>
        <v>Grammys TRA</v>
      </c>
      <c r="I1058">
        <f>_xlfn.XLOOKUP(Grammys[[#This Row],[date]],mobile_visits[date],mobile_visits[mobile_visitors],0)</f>
        <v>0</v>
      </c>
    </row>
    <row r="1059" spans="1:9">
      <c r="A1059" s="1">
        <v>43793</v>
      </c>
      <c r="B1059">
        <v>82649</v>
      </c>
      <c r="C1059">
        <v>121816</v>
      </c>
      <c r="D1059">
        <v>90178</v>
      </c>
      <c r="E1059">
        <v>34349</v>
      </c>
      <c r="F1059">
        <v>115</v>
      </c>
      <c r="G1059" t="s">
        <v>83</v>
      </c>
      <c r="H1059" t="str" cm="1">
        <f t="array" ref="H1059">_xlfn.IFS(Grammys[[#This Row],[date]] &gt;= DATE(2022,2,1),"Grammys",TRUE,"Grammys TRA")</f>
        <v>Grammys TRA</v>
      </c>
      <c r="I1059">
        <f>_xlfn.XLOOKUP(Grammys[[#This Row],[date]],mobile_visits[date],mobile_visits[mobile_visitors],0)</f>
        <v>0</v>
      </c>
    </row>
    <row r="1060" spans="1:9">
      <c r="A1060" s="1">
        <v>43794</v>
      </c>
      <c r="B1060">
        <v>77906</v>
      </c>
      <c r="C1060">
        <v>122232</v>
      </c>
      <c r="D1060">
        <v>85790</v>
      </c>
      <c r="E1060">
        <v>32086</v>
      </c>
      <c r="F1060">
        <v>107</v>
      </c>
      <c r="G1060" t="s">
        <v>83</v>
      </c>
      <c r="H1060" t="str" cm="1">
        <f t="array" ref="H1060">_xlfn.IFS(Grammys[[#This Row],[date]] &gt;= DATE(2022,2,1),"Grammys",TRUE,"Grammys TRA")</f>
        <v>Grammys TRA</v>
      </c>
      <c r="I1060">
        <f>_xlfn.XLOOKUP(Grammys[[#This Row],[date]],mobile_visits[date],mobile_visits[mobile_visitors],0)</f>
        <v>0</v>
      </c>
    </row>
    <row r="1061" spans="1:9">
      <c r="A1061" s="1">
        <v>43795</v>
      </c>
      <c r="B1061">
        <v>61179</v>
      </c>
      <c r="C1061">
        <v>104900</v>
      </c>
      <c r="D1061">
        <v>68266</v>
      </c>
      <c r="E1061">
        <v>22569</v>
      </c>
      <c r="F1061">
        <v>105</v>
      </c>
      <c r="G1061" t="s">
        <v>83</v>
      </c>
      <c r="H1061" t="str" cm="1">
        <f t="array" ref="H1061">_xlfn.IFS(Grammys[[#This Row],[date]] &gt;= DATE(2022,2,1),"Grammys",TRUE,"Grammys TRA")</f>
        <v>Grammys TRA</v>
      </c>
      <c r="I1061">
        <f>_xlfn.XLOOKUP(Grammys[[#This Row],[date]],mobile_visits[date],mobile_visits[mobile_visitors],0)</f>
        <v>0</v>
      </c>
    </row>
    <row r="1062" spans="1:9">
      <c r="A1062" s="1">
        <v>43796</v>
      </c>
      <c r="B1062">
        <v>62492</v>
      </c>
      <c r="C1062">
        <v>114200</v>
      </c>
      <c r="D1062">
        <v>71187</v>
      </c>
      <c r="E1062">
        <v>20132</v>
      </c>
      <c r="F1062">
        <v>94</v>
      </c>
      <c r="G1062" t="s">
        <v>83</v>
      </c>
      <c r="H1062" t="str" cm="1">
        <f t="array" ref="H1062">_xlfn.IFS(Grammys[[#This Row],[date]] &gt;= DATE(2022,2,1),"Grammys",TRUE,"Grammys TRA")</f>
        <v>Grammys TRA</v>
      </c>
      <c r="I1062">
        <f>_xlfn.XLOOKUP(Grammys[[#This Row],[date]],mobile_visits[date],mobile_visits[mobile_visitors],0)</f>
        <v>0</v>
      </c>
    </row>
    <row r="1063" spans="1:9">
      <c r="A1063" s="1">
        <v>43797</v>
      </c>
      <c r="B1063">
        <v>38787</v>
      </c>
      <c r="C1063">
        <v>66015</v>
      </c>
      <c r="D1063">
        <v>42528</v>
      </c>
      <c r="E1063">
        <v>14239</v>
      </c>
      <c r="F1063">
        <v>91</v>
      </c>
      <c r="G1063" t="s">
        <v>83</v>
      </c>
      <c r="H1063" t="str" cm="1">
        <f t="array" ref="H1063">_xlfn.IFS(Grammys[[#This Row],[date]] &gt;= DATE(2022,2,1),"Grammys",TRUE,"Grammys TRA")</f>
        <v>Grammys TRA</v>
      </c>
      <c r="I1063">
        <f>_xlfn.XLOOKUP(Grammys[[#This Row],[date]],mobile_visits[date],mobile_visits[mobile_visitors],0)</f>
        <v>0</v>
      </c>
    </row>
    <row r="1064" spans="1:9">
      <c r="A1064" s="1">
        <v>43798</v>
      </c>
      <c r="B1064">
        <v>30157</v>
      </c>
      <c r="C1064">
        <v>50691</v>
      </c>
      <c r="D1064">
        <v>32560</v>
      </c>
      <c r="E1064">
        <v>10628</v>
      </c>
      <c r="F1064">
        <v>96</v>
      </c>
      <c r="G1064" t="s">
        <v>83</v>
      </c>
      <c r="H1064" t="str" cm="1">
        <f t="array" ref="H1064">_xlfn.IFS(Grammys[[#This Row],[date]] &gt;= DATE(2022,2,1),"Grammys",TRUE,"Grammys TRA")</f>
        <v>Grammys TRA</v>
      </c>
      <c r="I1064">
        <f>_xlfn.XLOOKUP(Grammys[[#This Row],[date]],mobile_visits[date],mobile_visits[mobile_visitors],0)</f>
        <v>0</v>
      </c>
    </row>
    <row r="1065" spans="1:9">
      <c r="A1065" s="1">
        <v>43799</v>
      </c>
      <c r="B1065">
        <v>27939</v>
      </c>
      <c r="C1065">
        <v>45503</v>
      </c>
      <c r="D1065">
        <v>30239</v>
      </c>
      <c r="E1065">
        <v>10255</v>
      </c>
      <c r="F1065">
        <v>90</v>
      </c>
      <c r="G1065" t="s">
        <v>83</v>
      </c>
      <c r="H1065" t="str" cm="1">
        <f t="array" ref="H1065">_xlfn.IFS(Grammys[[#This Row],[date]] &gt;= DATE(2022,2,1),"Grammys",TRUE,"Grammys TRA")</f>
        <v>Grammys TRA</v>
      </c>
      <c r="I1065">
        <f>_xlfn.XLOOKUP(Grammys[[#This Row],[date]],mobile_visits[date],mobile_visits[mobile_visitors],0)</f>
        <v>0</v>
      </c>
    </row>
    <row r="1066" spans="1:9">
      <c r="A1066" s="1">
        <v>43800</v>
      </c>
      <c r="B1066">
        <v>24553</v>
      </c>
      <c r="C1066">
        <v>37584</v>
      </c>
      <c r="D1066">
        <v>26007</v>
      </c>
      <c r="E1066">
        <v>9342</v>
      </c>
      <c r="F1066">
        <v>97</v>
      </c>
      <c r="G1066" t="s">
        <v>83</v>
      </c>
      <c r="H1066" t="str" cm="1">
        <f t="array" ref="H1066">_xlfn.IFS(Grammys[[#This Row],[date]] &gt;= DATE(2022,2,1),"Grammys",TRUE,"Grammys TRA")</f>
        <v>Grammys TRA</v>
      </c>
      <c r="I1066">
        <f>_xlfn.XLOOKUP(Grammys[[#This Row],[date]],mobile_visits[date],mobile_visits[mobile_visitors],0)</f>
        <v>0</v>
      </c>
    </row>
    <row r="1067" spans="1:9">
      <c r="A1067" s="1">
        <v>43801</v>
      </c>
      <c r="B1067">
        <v>22364</v>
      </c>
      <c r="C1067">
        <v>34416</v>
      </c>
      <c r="D1067">
        <v>23810</v>
      </c>
      <c r="E1067">
        <v>8991</v>
      </c>
      <c r="F1067">
        <v>102</v>
      </c>
      <c r="G1067" t="s">
        <v>83</v>
      </c>
      <c r="H1067" t="str" cm="1">
        <f t="array" ref="H1067">_xlfn.IFS(Grammys[[#This Row],[date]] &gt;= DATE(2022,2,1),"Grammys",TRUE,"Grammys TRA")</f>
        <v>Grammys TRA</v>
      </c>
      <c r="I1067">
        <f>_xlfn.XLOOKUP(Grammys[[#This Row],[date]],mobile_visits[date],mobile_visits[mobile_visitors],0)</f>
        <v>0</v>
      </c>
    </row>
    <row r="1068" spans="1:9">
      <c r="A1068" s="1">
        <v>43802</v>
      </c>
      <c r="B1068">
        <v>22129</v>
      </c>
      <c r="C1068">
        <v>34005</v>
      </c>
      <c r="D1068">
        <v>23924</v>
      </c>
      <c r="E1068">
        <v>9154</v>
      </c>
      <c r="F1068">
        <v>102</v>
      </c>
      <c r="G1068" t="s">
        <v>83</v>
      </c>
      <c r="H1068" t="str" cm="1">
        <f t="array" ref="H1068">_xlfn.IFS(Grammys[[#This Row],[date]] &gt;= DATE(2022,2,1),"Grammys",TRUE,"Grammys TRA")</f>
        <v>Grammys TRA</v>
      </c>
      <c r="I1068">
        <f>_xlfn.XLOOKUP(Grammys[[#This Row],[date]],mobile_visits[date],mobile_visits[mobile_visitors],0)</f>
        <v>0</v>
      </c>
    </row>
    <row r="1069" spans="1:9">
      <c r="A1069" s="1">
        <v>43803</v>
      </c>
      <c r="B1069">
        <v>24693</v>
      </c>
      <c r="C1069">
        <v>36077</v>
      </c>
      <c r="D1069">
        <v>26619</v>
      </c>
      <c r="E1069">
        <v>10606</v>
      </c>
      <c r="F1069">
        <v>96</v>
      </c>
      <c r="G1069" t="s">
        <v>83</v>
      </c>
      <c r="H1069" t="str" cm="1">
        <f t="array" ref="H1069">_xlfn.IFS(Grammys[[#This Row],[date]] &gt;= DATE(2022,2,1),"Grammys",TRUE,"Grammys TRA")</f>
        <v>Grammys TRA</v>
      </c>
      <c r="I1069">
        <f>_xlfn.XLOOKUP(Grammys[[#This Row],[date]],mobile_visits[date],mobile_visits[mobile_visitors],0)</f>
        <v>0</v>
      </c>
    </row>
    <row r="1070" spans="1:9">
      <c r="A1070" s="1">
        <v>43804</v>
      </c>
      <c r="B1070">
        <v>25202</v>
      </c>
      <c r="C1070">
        <v>36047</v>
      </c>
      <c r="D1070">
        <v>26643</v>
      </c>
      <c r="E1070">
        <v>10751</v>
      </c>
      <c r="F1070">
        <v>95</v>
      </c>
      <c r="G1070" t="s">
        <v>83</v>
      </c>
      <c r="H1070" t="str" cm="1">
        <f t="array" ref="H1070">_xlfn.IFS(Grammys[[#This Row],[date]] &gt;= DATE(2022,2,1),"Grammys",TRUE,"Grammys TRA")</f>
        <v>Grammys TRA</v>
      </c>
      <c r="I1070">
        <f>_xlfn.XLOOKUP(Grammys[[#This Row],[date]],mobile_visits[date],mobile_visits[mobile_visitors],0)</f>
        <v>0</v>
      </c>
    </row>
    <row r="1071" spans="1:9">
      <c r="A1071" s="1">
        <v>43805</v>
      </c>
      <c r="B1071">
        <v>21967</v>
      </c>
      <c r="C1071">
        <v>32791</v>
      </c>
      <c r="D1071">
        <v>23657</v>
      </c>
      <c r="E1071">
        <v>9747</v>
      </c>
      <c r="F1071">
        <v>98</v>
      </c>
      <c r="G1071" t="s">
        <v>83</v>
      </c>
      <c r="H1071" t="str" cm="1">
        <f t="array" ref="H1071">_xlfn.IFS(Grammys[[#This Row],[date]] &gt;= DATE(2022,2,1),"Grammys",TRUE,"Grammys TRA")</f>
        <v>Grammys TRA</v>
      </c>
      <c r="I1071">
        <f>_xlfn.XLOOKUP(Grammys[[#This Row],[date]],mobile_visits[date],mobile_visits[mobile_visitors],0)</f>
        <v>0</v>
      </c>
    </row>
    <row r="1072" spans="1:9">
      <c r="A1072" s="1">
        <v>43806</v>
      </c>
      <c r="B1072">
        <v>18397</v>
      </c>
      <c r="C1072">
        <v>27406</v>
      </c>
      <c r="D1072">
        <v>19723</v>
      </c>
      <c r="E1072">
        <v>8663</v>
      </c>
      <c r="F1072">
        <v>98</v>
      </c>
      <c r="G1072" t="s">
        <v>83</v>
      </c>
      <c r="H1072" t="str" cm="1">
        <f t="array" ref="H1072">_xlfn.IFS(Grammys[[#This Row],[date]] &gt;= DATE(2022,2,1),"Grammys",TRUE,"Grammys TRA")</f>
        <v>Grammys TRA</v>
      </c>
      <c r="I1072">
        <f>_xlfn.XLOOKUP(Grammys[[#This Row],[date]],mobile_visits[date],mobile_visits[mobile_visitors],0)</f>
        <v>0</v>
      </c>
    </row>
    <row r="1073" spans="1:9">
      <c r="A1073" s="1">
        <v>43807</v>
      </c>
      <c r="B1073">
        <v>20762</v>
      </c>
      <c r="C1073">
        <v>30991</v>
      </c>
      <c r="D1073">
        <v>22423</v>
      </c>
      <c r="E1073">
        <v>9932</v>
      </c>
      <c r="F1073">
        <v>96</v>
      </c>
      <c r="G1073" t="s">
        <v>83</v>
      </c>
      <c r="H1073" t="str" cm="1">
        <f t="array" ref="H1073">_xlfn.IFS(Grammys[[#This Row],[date]] &gt;= DATE(2022,2,1),"Grammys",TRUE,"Grammys TRA")</f>
        <v>Grammys TRA</v>
      </c>
      <c r="I1073">
        <f>_xlfn.XLOOKUP(Grammys[[#This Row],[date]],mobile_visits[date],mobile_visits[mobile_visitors],0)</f>
        <v>0</v>
      </c>
    </row>
    <row r="1074" spans="1:9">
      <c r="A1074" s="1">
        <v>43808</v>
      </c>
      <c r="B1074">
        <v>25476</v>
      </c>
      <c r="C1074">
        <v>38792</v>
      </c>
      <c r="D1074">
        <v>27703</v>
      </c>
      <c r="E1074">
        <v>11420</v>
      </c>
      <c r="F1074">
        <v>98</v>
      </c>
      <c r="G1074" t="s">
        <v>83</v>
      </c>
      <c r="H1074" t="str" cm="1">
        <f t="array" ref="H1074">_xlfn.IFS(Grammys[[#This Row],[date]] &gt;= DATE(2022,2,1),"Grammys",TRUE,"Grammys TRA")</f>
        <v>Grammys TRA</v>
      </c>
      <c r="I1074">
        <f>_xlfn.XLOOKUP(Grammys[[#This Row],[date]],mobile_visits[date],mobile_visits[mobile_visitors],0)</f>
        <v>0</v>
      </c>
    </row>
    <row r="1075" spans="1:9">
      <c r="A1075" s="1">
        <v>43809</v>
      </c>
      <c r="B1075">
        <v>25792</v>
      </c>
      <c r="C1075">
        <v>38603</v>
      </c>
      <c r="D1075">
        <v>27751</v>
      </c>
      <c r="E1075">
        <v>11451</v>
      </c>
      <c r="F1075">
        <v>100</v>
      </c>
      <c r="G1075" t="s">
        <v>83</v>
      </c>
      <c r="H1075" t="str" cm="1">
        <f t="array" ref="H1075">_xlfn.IFS(Grammys[[#This Row],[date]] &gt;= DATE(2022,2,1),"Grammys",TRUE,"Grammys TRA")</f>
        <v>Grammys TRA</v>
      </c>
      <c r="I1075">
        <f>_xlfn.XLOOKUP(Grammys[[#This Row],[date]],mobile_visits[date],mobile_visits[mobile_visitors],0)</f>
        <v>0</v>
      </c>
    </row>
    <row r="1076" spans="1:9">
      <c r="A1076" s="1">
        <v>43810</v>
      </c>
      <c r="B1076">
        <v>23778</v>
      </c>
      <c r="C1076">
        <v>33978</v>
      </c>
      <c r="D1076">
        <v>25450</v>
      </c>
      <c r="E1076">
        <v>11160</v>
      </c>
      <c r="F1076">
        <v>99</v>
      </c>
      <c r="G1076" t="s">
        <v>83</v>
      </c>
      <c r="H1076" t="str" cm="1">
        <f t="array" ref="H1076">_xlfn.IFS(Grammys[[#This Row],[date]] &gt;= DATE(2022,2,1),"Grammys",TRUE,"Grammys TRA")</f>
        <v>Grammys TRA</v>
      </c>
      <c r="I1076">
        <f>_xlfn.XLOOKUP(Grammys[[#This Row],[date]],mobile_visits[date],mobile_visits[mobile_visitors],0)</f>
        <v>0</v>
      </c>
    </row>
    <row r="1077" spans="1:9">
      <c r="A1077" s="1">
        <v>43811</v>
      </c>
      <c r="B1077">
        <v>20997</v>
      </c>
      <c r="C1077">
        <v>30602</v>
      </c>
      <c r="D1077">
        <v>22870</v>
      </c>
      <c r="E1077">
        <v>9645</v>
      </c>
      <c r="F1077">
        <v>97</v>
      </c>
      <c r="G1077" t="s">
        <v>83</v>
      </c>
      <c r="H1077" t="str" cm="1">
        <f t="array" ref="H1077">_xlfn.IFS(Grammys[[#This Row],[date]] &gt;= DATE(2022,2,1),"Grammys",TRUE,"Grammys TRA")</f>
        <v>Grammys TRA</v>
      </c>
      <c r="I1077">
        <f>_xlfn.XLOOKUP(Grammys[[#This Row],[date]],mobile_visits[date],mobile_visits[mobile_visitors],0)</f>
        <v>0</v>
      </c>
    </row>
    <row r="1078" spans="1:9">
      <c r="A1078" s="1">
        <v>43812</v>
      </c>
      <c r="B1078">
        <v>20475</v>
      </c>
      <c r="C1078">
        <v>29799</v>
      </c>
      <c r="D1078">
        <v>22249</v>
      </c>
      <c r="E1078">
        <v>9677</v>
      </c>
      <c r="F1078">
        <v>96</v>
      </c>
      <c r="G1078" t="s">
        <v>83</v>
      </c>
      <c r="H1078" t="str" cm="1">
        <f t="array" ref="H1078">_xlfn.IFS(Grammys[[#This Row],[date]] &gt;= DATE(2022,2,1),"Grammys",TRUE,"Grammys TRA")</f>
        <v>Grammys TRA</v>
      </c>
      <c r="I1078">
        <f>_xlfn.XLOOKUP(Grammys[[#This Row],[date]],mobile_visits[date],mobile_visits[mobile_visitors],0)</f>
        <v>0</v>
      </c>
    </row>
    <row r="1079" spans="1:9">
      <c r="A1079" s="1">
        <v>43813</v>
      </c>
      <c r="B1079">
        <v>18742</v>
      </c>
      <c r="C1079">
        <v>27880</v>
      </c>
      <c r="D1079">
        <v>20367</v>
      </c>
      <c r="E1079">
        <v>9217</v>
      </c>
      <c r="F1079">
        <v>98</v>
      </c>
      <c r="G1079" t="s">
        <v>83</v>
      </c>
      <c r="H1079" t="str" cm="1">
        <f t="array" ref="H1079">_xlfn.IFS(Grammys[[#This Row],[date]] &gt;= DATE(2022,2,1),"Grammys",TRUE,"Grammys TRA")</f>
        <v>Grammys TRA</v>
      </c>
      <c r="I1079">
        <f>_xlfn.XLOOKUP(Grammys[[#This Row],[date]],mobile_visits[date],mobile_visits[mobile_visitors],0)</f>
        <v>0</v>
      </c>
    </row>
    <row r="1080" spans="1:9">
      <c r="A1080" s="1">
        <v>43814</v>
      </c>
      <c r="B1080">
        <v>19131</v>
      </c>
      <c r="C1080">
        <v>27595</v>
      </c>
      <c r="D1080">
        <v>20439</v>
      </c>
      <c r="E1080">
        <v>9016</v>
      </c>
      <c r="F1080">
        <v>99</v>
      </c>
      <c r="G1080" t="s">
        <v>83</v>
      </c>
      <c r="H1080" t="str" cm="1">
        <f t="array" ref="H1080">_xlfn.IFS(Grammys[[#This Row],[date]] &gt;= DATE(2022,2,1),"Grammys",TRUE,"Grammys TRA")</f>
        <v>Grammys TRA</v>
      </c>
      <c r="I1080">
        <f>_xlfn.XLOOKUP(Grammys[[#This Row],[date]],mobile_visits[date],mobile_visits[mobile_visitors],0)</f>
        <v>0</v>
      </c>
    </row>
    <row r="1081" spans="1:9">
      <c r="A1081" s="1">
        <v>43815</v>
      </c>
      <c r="B1081">
        <v>18022</v>
      </c>
      <c r="C1081">
        <v>26803</v>
      </c>
      <c r="D1081">
        <v>19511</v>
      </c>
      <c r="E1081">
        <v>8583</v>
      </c>
      <c r="F1081">
        <v>102</v>
      </c>
      <c r="G1081" t="s">
        <v>83</v>
      </c>
      <c r="H1081" t="str" cm="1">
        <f t="array" ref="H1081">_xlfn.IFS(Grammys[[#This Row],[date]] &gt;= DATE(2022,2,1),"Grammys",TRUE,"Grammys TRA")</f>
        <v>Grammys TRA</v>
      </c>
      <c r="I1081">
        <f>_xlfn.XLOOKUP(Grammys[[#This Row],[date]],mobile_visits[date],mobile_visits[mobile_visitors],0)</f>
        <v>0</v>
      </c>
    </row>
    <row r="1082" spans="1:9">
      <c r="A1082" s="1">
        <v>43816</v>
      </c>
      <c r="B1082">
        <v>19550</v>
      </c>
      <c r="C1082">
        <v>28747</v>
      </c>
      <c r="D1082">
        <v>20888</v>
      </c>
      <c r="E1082">
        <v>8966</v>
      </c>
      <c r="F1082">
        <v>106</v>
      </c>
      <c r="G1082" t="s">
        <v>83</v>
      </c>
      <c r="H1082" t="str" cm="1">
        <f t="array" ref="H1082">_xlfn.IFS(Grammys[[#This Row],[date]] &gt;= DATE(2022,2,1),"Grammys",TRUE,"Grammys TRA")</f>
        <v>Grammys TRA</v>
      </c>
      <c r="I1082">
        <f>_xlfn.XLOOKUP(Grammys[[#This Row],[date]],mobile_visits[date],mobile_visits[mobile_visitors],0)</f>
        <v>0</v>
      </c>
    </row>
    <row r="1083" spans="1:9">
      <c r="A1083" s="1">
        <v>43817</v>
      </c>
      <c r="B1083">
        <v>18721</v>
      </c>
      <c r="C1083">
        <v>26936</v>
      </c>
      <c r="D1083">
        <v>19973</v>
      </c>
      <c r="E1083">
        <v>8627</v>
      </c>
      <c r="F1083">
        <v>100</v>
      </c>
      <c r="G1083" t="s">
        <v>83</v>
      </c>
      <c r="H1083" t="str" cm="1">
        <f t="array" ref="H1083">_xlfn.IFS(Grammys[[#This Row],[date]] &gt;= DATE(2022,2,1),"Grammys",TRUE,"Grammys TRA")</f>
        <v>Grammys TRA</v>
      </c>
      <c r="I1083">
        <f>_xlfn.XLOOKUP(Grammys[[#This Row],[date]],mobile_visits[date],mobile_visits[mobile_visitors],0)</f>
        <v>0</v>
      </c>
    </row>
    <row r="1084" spans="1:9">
      <c r="A1084" s="1">
        <v>43818</v>
      </c>
      <c r="B1084">
        <v>18308</v>
      </c>
      <c r="C1084">
        <v>26561</v>
      </c>
      <c r="D1084">
        <v>19588</v>
      </c>
      <c r="E1084">
        <v>9033</v>
      </c>
      <c r="F1084">
        <v>96</v>
      </c>
      <c r="G1084" t="s">
        <v>83</v>
      </c>
      <c r="H1084" t="str" cm="1">
        <f t="array" ref="H1084">_xlfn.IFS(Grammys[[#This Row],[date]] &gt;= DATE(2022,2,1),"Grammys",TRUE,"Grammys TRA")</f>
        <v>Grammys TRA</v>
      </c>
      <c r="I1084">
        <f>_xlfn.XLOOKUP(Grammys[[#This Row],[date]],mobile_visits[date],mobile_visits[mobile_visitors],0)</f>
        <v>0</v>
      </c>
    </row>
    <row r="1085" spans="1:9">
      <c r="A1085" s="1">
        <v>43819</v>
      </c>
      <c r="B1085">
        <v>17747</v>
      </c>
      <c r="C1085">
        <v>25199</v>
      </c>
      <c r="D1085">
        <v>19122</v>
      </c>
      <c r="E1085">
        <v>8663</v>
      </c>
      <c r="F1085">
        <v>87</v>
      </c>
      <c r="G1085" t="s">
        <v>83</v>
      </c>
      <c r="H1085" t="str" cm="1">
        <f t="array" ref="H1085">_xlfn.IFS(Grammys[[#This Row],[date]] &gt;= DATE(2022,2,1),"Grammys",TRUE,"Grammys TRA")</f>
        <v>Grammys TRA</v>
      </c>
      <c r="I1085">
        <f>_xlfn.XLOOKUP(Grammys[[#This Row],[date]],mobile_visits[date],mobile_visits[mobile_visitors],0)</f>
        <v>0</v>
      </c>
    </row>
    <row r="1086" spans="1:9">
      <c r="A1086" s="1">
        <v>43820</v>
      </c>
      <c r="B1086">
        <v>15927</v>
      </c>
      <c r="C1086">
        <v>23174</v>
      </c>
      <c r="D1086">
        <v>17305</v>
      </c>
      <c r="E1086">
        <v>8113</v>
      </c>
      <c r="F1086">
        <v>89</v>
      </c>
      <c r="G1086" t="s">
        <v>83</v>
      </c>
      <c r="H1086" t="str" cm="1">
        <f t="array" ref="H1086">_xlfn.IFS(Grammys[[#This Row],[date]] &gt;= DATE(2022,2,1),"Grammys",TRUE,"Grammys TRA")</f>
        <v>Grammys TRA</v>
      </c>
      <c r="I1086">
        <f>_xlfn.XLOOKUP(Grammys[[#This Row],[date]],mobile_visits[date],mobile_visits[mobile_visitors],0)</f>
        <v>0</v>
      </c>
    </row>
    <row r="1087" spans="1:9">
      <c r="A1087" s="1">
        <v>43821</v>
      </c>
      <c r="B1087">
        <v>15731</v>
      </c>
      <c r="C1087">
        <v>23614</v>
      </c>
      <c r="D1087">
        <v>17337</v>
      </c>
      <c r="E1087">
        <v>8033</v>
      </c>
      <c r="F1087">
        <v>95</v>
      </c>
      <c r="G1087" t="s">
        <v>83</v>
      </c>
      <c r="H1087" t="str" cm="1">
        <f t="array" ref="H1087">_xlfn.IFS(Grammys[[#This Row],[date]] &gt;= DATE(2022,2,1),"Grammys",TRUE,"Grammys TRA")</f>
        <v>Grammys TRA</v>
      </c>
      <c r="I1087">
        <f>_xlfn.XLOOKUP(Grammys[[#This Row],[date]],mobile_visits[date],mobile_visits[mobile_visitors],0)</f>
        <v>0</v>
      </c>
    </row>
    <row r="1088" spans="1:9">
      <c r="A1088" s="1">
        <v>43822</v>
      </c>
      <c r="B1088">
        <v>16400</v>
      </c>
      <c r="C1088">
        <v>23477</v>
      </c>
      <c r="D1088">
        <v>17524</v>
      </c>
      <c r="E1088">
        <v>7637</v>
      </c>
      <c r="F1088">
        <v>94</v>
      </c>
      <c r="G1088" t="s">
        <v>83</v>
      </c>
      <c r="H1088" t="str" cm="1">
        <f t="array" ref="H1088">_xlfn.IFS(Grammys[[#This Row],[date]] &gt;= DATE(2022,2,1),"Grammys",TRUE,"Grammys TRA")</f>
        <v>Grammys TRA</v>
      </c>
      <c r="I1088">
        <f>_xlfn.XLOOKUP(Grammys[[#This Row],[date]],mobile_visits[date],mobile_visits[mobile_visitors],0)</f>
        <v>0</v>
      </c>
    </row>
    <row r="1089" spans="1:9">
      <c r="A1089" s="1">
        <v>43823</v>
      </c>
      <c r="B1089">
        <v>15063</v>
      </c>
      <c r="C1089">
        <v>21327</v>
      </c>
      <c r="D1089">
        <v>16201</v>
      </c>
      <c r="E1089">
        <v>6988</v>
      </c>
      <c r="F1089">
        <v>91</v>
      </c>
      <c r="G1089" t="s">
        <v>83</v>
      </c>
      <c r="H1089" t="str" cm="1">
        <f t="array" ref="H1089">_xlfn.IFS(Grammys[[#This Row],[date]] &gt;= DATE(2022,2,1),"Grammys",TRUE,"Grammys TRA")</f>
        <v>Grammys TRA</v>
      </c>
      <c r="I1089">
        <f>_xlfn.XLOOKUP(Grammys[[#This Row],[date]],mobile_visits[date],mobile_visits[mobile_visitors],0)</f>
        <v>0</v>
      </c>
    </row>
    <row r="1090" spans="1:9">
      <c r="A1090" s="1">
        <v>43824</v>
      </c>
      <c r="B1090">
        <v>14357</v>
      </c>
      <c r="C1090">
        <v>20952</v>
      </c>
      <c r="D1090">
        <v>15384</v>
      </c>
      <c r="E1090">
        <v>6885</v>
      </c>
      <c r="F1090">
        <v>91</v>
      </c>
      <c r="G1090" t="s">
        <v>83</v>
      </c>
      <c r="H1090" t="str" cm="1">
        <f t="array" ref="H1090">_xlfn.IFS(Grammys[[#This Row],[date]] &gt;= DATE(2022,2,1),"Grammys",TRUE,"Grammys TRA")</f>
        <v>Grammys TRA</v>
      </c>
      <c r="I1090">
        <f>_xlfn.XLOOKUP(Grammys[[#This Row],[date]],mobile_visits[date],mobile_visits[mobile_visitors],0)</f>
        <v>0</v>
      </c>
    </row>
    <row r="1091" spans="1:9">
      <c r="A1091" s="1">
        <v>43825</v>
      </c>
      <c r="B1091">
        <v>15433</v>
      </c>
      <c r="C1091">
        <v>23630</v>
      </c>
      <c r="D1091">
        <v>16581</v>
      </c>
      <c r="E1091">
        <v>7379</v>
      </c>
      <c r="F1091">
        <v>102</v>
      </c>
      <c r="G1091" t="s">
        <v>83</v>
      </c>
      <c r="H1091" t="str" cm="1">
        <f t="array" ref="H1091">_xlfn.IFS(Grammys[[#This Row],[date]] &gt;= DATE(2022,2,1),"Grammys",TRUE,"Grammys TRA")</f>
        <v>Grammys TRA</v>
      </c>
      <c r="I1091">
        <f>_xlfn.XLOOKUP(Grammys[[#This Row],[date]],mobile_visits[date],mobile_visits[mobile_visitors],0)</f>
        <v>0</v>
      </c>
    </row>
    <row r="1092" spans="1:9">
      <c r="A1092" s="1">
        <v>43826</v>
      </c>
      <c r="B1092">
        <v>16127</v>
      </c>
      <c r="C1092">
        <v>23795</v>
      </c>
      <c r="D1092">
        <v>17490</v>
      </c>
      <c r="E1092">
        <v>7969</v>
      </c>
      <c r="F1092">
        <v>97</v>
      </c>
      <c r="G1092" t="s">
        <v>83</v>
      </c>
      <c r="H1092" t="str" cm="1">
        <f t="array" ref="H1092">_xlfn.IFS(Grammys[[#This Row],[date]] &gt;= DATE(2022,2,1),"Grammys",TRUE,"Grammys TRA")</f>
        <v>Grammys TRA</v>
      </c>
      <c r="I1092">
        <f>_xlfn.XLOOKUP(Grammys[[#This Row],[date]],mobile_visits[date],mobile_visits[mobile_visitors],0)</f>
        <v>0</v>
      </c>
    </row>
    <row r="1093" spans="1:9">
      <c r="A1093" s="1">
        <v>43827</v>
      </c>
      <c r="B1093">
        <v>16420</v>
      </c>
      <c r="C1093">
        <v>24097</v>
      </c>
      <c r="D1093">
        <v>17577</v>
      </c>
      <c r="E1093">
        <v>7877</v>
      </c>
      <c r="F1093">
        <v>99</v>
      </c>
      <c r="G1093" t="s">
        <v>83</v>
      </c>
      <c r="H1093" t="str" cm="1">
        <f t="array" ref="H1093">_xlfn.IFS(Grammys[[#This Row],[date]] &gt;= DATE(2022,2,1),"Grammys",TRUE,"Grammys TRA")</f>
        <v>Grammys TRA</v>
      </c>
      <c r="I1093">
        <f>_xlfn.XLOOKUP(Grammys[[#This Row],[date]],mobile_visits[date],mobile_visits[mobile_visitors],0)</f>
        <v>0</v>
      </c>
    </row>
    <row r="1094" spans="1:9">
      <c r="A1094" s="1">
        <v>43828</v>
      </c>
      <c r="B1094">
        <v>18250</v>
      </c>
      <c r="C1094">
        <v>26428</v>
      </c>
      <c r="D1094">
        <v>19465</v>
      </c>
      <c r="E1094">
        <v>8699</v>
      </c>
      <c r="F1094">
        <v>100</v>
      </c>
      <c r="G1094" t="s">
        <v>83</v>
      </c>
      <c r="H1094" t="str" cm="1">
        <f t="array" ref="H1094">_xlfn.IFS(Grammys[[#This Row],[date]] &gt;= DATE(2022,2,1),"Grammys",TRUE,"Grammys TRA")</f>
        <v>Grammys TRA</v>
      </c>
      <c r="I1094">
        <f>_xlfn.XLOOKUP(Grammys[[#This Row],[date]],mobile_visits[date],mobile_visits[mobile_visitors],0)</f>
        <v>0</v>
      </c>
    </row>
    <row r="1095" spans="1:9">
      <c r="A1095" s="1">
        <v>43829</v>
      </c>
      <c r="B1095">
        <v>18083</v>
      </c>
      <c r="C1095">
        <v>27361</v>
      </c>
      <c r="D1095">
        <v>19740</v>
      </c>
      <c r="E1095">
        <v>8439</v>
      </c>
      <c r="F1095">
        <v>104</v>
      </c>
      <c r="G1095" t="s">
        <v>83</v>
      </c>
      <c r="H1095" t="str" cm="1">
        <f t="array" ref="H1095">_xlfn.IFS(Grammys[[#This Row],[date]] &gt;= DATE(2022,2,1),"Grammys",TRUE,"Grammys TRA")</f>
        <v>Grammys TRA</v>
      </c>
      <c r="I1095">
        <f>_xlfn.XLOOKUP(Grammys[[#This Row],[date]],mobile_visits[date],mobile_visits[mobile_visitors],0)</f>
        <v>0</v>
      </c>
    </row>
    <row r="1096" spans="1:9">
      <c r="A1096" s="1">
        <v>43830</v>
      </c>
      <c r="B1096">
        <v>29389</v>
      </c>
      <c r="C1096">
        <v>37027</v>
      </c>
      <c r="D1096">
        <v>31068</v>
      </c>
      <c r="E1096">
        <v>13385</v>
      </c>
      <c r="F1096">
        <v>69</v>
      </c>
      <c r="G1096" t="s">
        <v>83</v>
      </c>
      <c r="H1096" t="str" cm="1">
        <f t="array" ref="H1096">_xlfn.IFS(Grammys[[#This Row],[date]] &gt;= DATE(2022,2,1),"Grammys",TRUE,"Grammys TRA")</f>
        <v>Grammys TRA</v>
      </c>
      <c r="I1096">
        <f>_xlfn.XLOOKUP(Grammys[[#This Row],[date]],mobile_visits[date],mobile_visits[mobile_visitors],0)</f>
        <v>0</v>
      </c>
    </row>
    <row r="1097" spans="1:9">
      <c r="A1097" s="1">
        <v>43831</v>
      </c>
      <c r="B1097">
        <v>18485</v>
      </c>
      <c r="C1097">
        <v>26293</v>
      </c>
      <c r="D1097">
        <v>19936</v>
      </c>
      <c r="E1097">
        <v>8896</v>
      </c>
      <c r="F1097">
        <v>98</v>
      </c>
      <c r="G1097" t="s">
        <v>83</v>
      </c>
      <c r="H1097" t="str" cm="1">
        <f t="array" ref="H1097">_xlfn.IFS(Grammys[[#This Row],[date]] &gt;= DATE(2022,2,1),"Grammys",TRUE,"Grammys TRA")</f>
        <v>Grammys TRA</v>
      </c>
      <c r="I1097">
        <f>_xlfn.XLOOKUP(Grammys[[#This Row],[date]],mobile_visits[date],mobile_visits[mobile_visitors],0)</f>
        <v>0</v>
      </c>
    </row>
    <row r="1098" spans="1:9">
      <c r="A1098" s="1">
        <v>43832</v>
      </c>
      <c r="B1098">
        <v>20550</v>
      </c>
      <c r="C1098">
        <v>30007</v>
      </c>
      <c r="D1098">
        <v>22236</v>
      </c>
      <c r="E1098">
        <v>9024</v>
      </c>
      <c r="F1098">
        <v>107</v>
      </c>
      <c r="G1098" t="s">
        <v>83</v>
      </c>
      <c r="H1098" t="str" cm="1">
        <f t="array" ref="H1098">_xlfn.IFS(Grammys[[#This Row],[date]] &gt;= DATE(2022,2,1),"Grammys",TRUE,"Grammys TRA")</f>
        <v>Grammys TRA</v>
      </c>
      <c r="I1098">
        <f>_xlfn.XLOOKUP(Grammys[[#This Row],[date]],mobile_visits[date],mobile_visits[mobile_visitors],0)</f>
        <v>0</v>
      </c>
    </row>
    <row r="1099" spans="1:9">
      <c r="A1099" s="1">
        <v>43833</v>
      </c>
      <c r="B1099">
        <v>20712</v>
      </c>
      <c r="C1099">
        <v>29158</v>
      </c>
      <c r="D1099">
        <v>22353</v>
      </c>
      <c r="E1099">
        <v>9076</v>
      </c>
      <c r="F1099">
        <v>99</v>
      </c>
      <c r="G1099" t="s">
        <v>83</v>
      </c>
      <c r="H1099" t="str" cm="1">
        <f t="array" ref="H1099">_xlfn.IFS(Grammys[[#This Row],[date]] &gt;= DATE(2022,2,1),"Grammys",TRUE,"Grammys TRA")</f>
        <v>Grammys TRA</v>
      </c>
      <c r="I1099">
        <f>_xlfn.XLOOKUP(Grammys[[#This Row],[date]],mobile_visits[date],mobile_visits[mobile_visitors],0)</f>
        <v>0</v>
      </c>
    </row>
    <row r="1100" spans="1:9">
      <c r="A1100" s="1">
        <v>43834</v>
      </c>
      <c r="B1100">
        <v>20738</v>
      </c>
      <c r="C1100">
        <v>29467</v>
      </c>
      <c r="D1100">
        <v>22157</v>
      </c>
      <c r="E1100">
        <v>9657</v>
      </c>
      <c r="F1100">
        <v>99</v>
      </c>
      <c r="G1100" t="s">
        <v>83</v>
      </c>
      <c r="H1100" t="str" cm="1">
        <f t="array" ref="H1100">_xlfn.IFS(Grammys[[#This Row],[date]] &gt;= DATE(2022,2,1),"Grammys",TRUE,"Grammys TRA")</f>
        <v>Grammys TRA</v>
      </c>
      <c r="I1100">
        <f>_xlfn.XLOOKUP(Grammys[[#This Row],[date]],mobile_visits[date],mobile_visits[mobile_visitors],0)</f>
        <v>0</v>
      </c>
    </row>
    <row r="1101" spans="1:9">
      <c r="A1101" s="1">
        <v>43835</v>
      </c>
      <c r="B1101">
        <v>30413</v>
      </c>
      <c r="C1101">
        <v>42773</v>
      </c>
      <c r="D1101">
        <v>31971</v>
      </c>
      <c r="E1101">
        <v>14995</v>
      </c>
      <c r="F1101">
        <v>95</v>
      </c>
      <c r="G1101" t="s">
        <v>83</v>
      </c>
      <c r="H1101" t="str" cm="1">
        <f t="array" ref="H1101">_xlfn.IFS(Grammys[[#This Row],[date]] &gt;= DATE(2022,2,1),"Grammys",TRUE,"Grammys TRA")</f>
        <v>Grammys TRA</v>
      </c>
      <c r="I1101">
        <f>_xlfn.XLOOKUP(Grammys[[#This Row],[date]],mobile_visits[date],mobile_visits[mobile_visitors],0)</f>
        <v>0</v>
      </c>
    </row>
    <row r="1102" spans="1:9">
      <c r="A1102" s="1">
        <v>43836</v>
      </c>
      <c r="B1102">
        <v>34103</v>
      </c>
      <c r="C1102">
        <v>46393</v>
      </c>
      <c r="D1102">
        <v>36787</v>
      </c>
      <c r="E1102">
        <v>18640</v>
      </c>
      <c r="F1102">
        <v>85</v>
      </c>
      <c r="G1102" t="s">
        <v>83</v>
      </c>
      <c r="H1102" t="str" cm="1">
        <f t="array" ref="H1102">_xlfn.IFS(Grammys[[#This Row],[date]] &gt;= DATE(2022,2,1),"Grammys",TRUE,"Grammys TRA")</f>
        <v>Grammys TRA</v>
      </c>
      <c r="I1102">
        <f>_xlfn.XLOOKUP(Grammys[[#This Row],[date]],mobile_visits[date],mobile_visits[mobile_visitors],0)</f>
        <v>0</v>
      </c>
    </row>
    <row r="1103" spans="1:9">
      <c r="A1103" s="1">
        <v>43837</v>
      </c>
      <c r="B1103">
        <v>27628</v>
      </c>
      <c r="C1103">
        <v>41006</v>
      </c>
      <c r="D1103">
        <v>29776</v>
      </c>
      <c r="E1103">
        <v>12977</v>
      </c>
      <c r="F1103">
        <v>107</v>
      </c>
      <c r="G1103" t="s">
        <v>83</v>
      </c>
      <c r="H1103" t="str" cm="1">
        <f t="array" ref="H1103">_xlfn.IFS(Grammys[[#This Row],[date]] &gt;= DATE(2022,2,1),"Grammys",TRUE,"Grammys TRA")</f>
        <v>Grammys TRA</v>
      </c>
      <c r="I1103">
        <f>_xlfn.XLOOKUP(Grammys[[#This Row],[date]],mobile_visits[date],mobile_visits[mobile_visitors],0)</f>
        <v>0</v>
      </c>
    </row>
    <row r="1104" spans="1:9">
      <c r="A1104" s="1">
        <v>43838</v>
      </c>
      <c r="B1104">
        <v>44062</v>
      </c>
      <c r="C1104">
        <v>60557</v>
      </c>
      <c r="D1104">
        <v>47554</v>
      </c>
      <c r="E1104">
        <v>16973</v>
      </c>
      <c r="F1104">
        <v>93</v>
      </c>
      <c r="G1104" t="s">
        <v>83</v>
      </c>
      <c r="H1104" t="str" cm="1">
        <f t="array" ref="H1104">_xlfn.IFS(Grammys[[#This Row],[date]] &gt;= DATE(2022,2,1),"Grammys",TRUE,"Grammys TRA")</f>
        <v>Grammys TRA</v>
      </c>
      <c r="I1104">
        <f>_xlfn.XLOOKUP(Grammys[[#This Row],[date]],mobile_visits[date],mobile_visits[mobile_visitors],0)</f>
        <v>0</v>
      </c>
    </row>
    <row r="1105" spans="1:9">
      <c r="A1105" s="1">
        <v>43839</v>
      </c>
      <c r="B1105">
        <v>33177</v>
      </c>
      <c r="C1105">
        <v>46770</v>
      </c>
      <c r="D1105">
        <v>35669</v>
      </c>
      <c r="E1105">
        <v>14232</v>
      </c>
      <c r="F1105">
        <v>98</v>
      </c>
      <c r="G1105" t="s">
        <v>83</v>
      </c>
      <c r="H1105" t="str" cm="1">
        <f t="array" ref="H1105">_xlfn.IFS(Grammys[[#This Row],[date]] &gt;= DATE(2022,2,1),"Grammys",TRUE,"Grammys TRA")</f>
        <v>Grammys TRA</v>
      </c>
      <c r="I1105">
        <f>_xlfn.XLOOKUP(Grammys[[#This Row],[date]],mobile_visits[date],mobile_visits[mobile_visitors],0)</f>
        <v>0</v>
      </c>
    </row>
    <row r="1106" spans="1:9">
      <c r="A1106" s="1">
        <v>43840</v>
      </c>
      <c r="B1106">
        <v>27813</v>
      </c>
      <c r="C1106">
        <v>39093</v>
      </c>
      <c r="D1106">
        <v>29454</v>
      </c>
      <c r="E1106">
        <v>12121</v>
      </c>
      <c r="F1106">
        <v>100</v>
      </c>
      <c r="G1106" t="s">
        <v>83</v>
      </c>
      <c r="H1106" t="str" cm="1">
        <f t="array" ref="H1106">_xlfn.IFS(Grammys[[#This Row],[date]] &gt;= DATE(2022,2,1),"Grammys",TRUE,"Grammys TRA")</f>
        <v>Grammys TRA</v>
      </c>
      <c r="I1106">
        <f>_xlfn.XLOOKUP(Grammys[[#This Row],[date]],mobile_visits[date],mobile_visits[mobile_visitors],0)</f>
        <v>0</v>
      </c>
    </row>
    <row r="1107" spans="1:9">
      <c r="A1107" s="1">
        <v>43841</v>
      </c>
      <c r="B1107">
        <v>35869</v>
      </c>
      <c r="C1107">
        <v>51048</v>
      </c>
      <c r="D1107">
        <v>38471</v>
      </c>
      <c r="E1107">
        <v>15381</v>
      </c>
      <c r="F1107">
        <v>97</v>
      </c>
      <c r="G1107" t="s">
        <v>83</v>
      </c>
      <c r="H1107" t="str" cm="1">
        <f t="array" ref="H1107">_xlfn.IFS(Grammys[[#This Row],[date]] &gt;= DATE(2022,2,1),"Grammys",TRUE,"Grammys TRA")</f>
        <v>Grammys TRA</v>
      </c>
      <c r="I1107">
        <f>_xlfn.XLOOKUP(Grammys[[#This Row],[date]],mobile_visits[date],mobile_visits[mobile_visitors],0)</f>
        <v>0</v>
      </c>
    </row>
    <row r="1108" spans="1:9">
      <c r="A1108" s="1">
        <v>43842</v>
      </c>
      <c r="B1108">
        <v>33297</v>
      </c>
      <c r="C1108">
        <v>48803</v>
      </c>
      <c r="D1108">
        <v>36243</v>
      </c>
      <c r="E1108">
        <v>15027</v>
      </c>
      <c r="F1108">
        <v>103</v>
      </c>
      <c r="G1108" t="s">
        <v>83</v>
      </c>
      <c r="H1108" t="str" cm="1">
        <f t="array" ref="H1108">_xlfn.IFS(Grammys[[#This Row],[date]] &gt;= DATE(2022,2,1),"Grammys",TRUE,"Grammys TRA")</f>
        <v>Grammys TRA</v>
      </c>
      <c r="I1108">
        <f>_xlfn.XLOOKUP(Grammys[[#This Row],[date]],mobile_visits[date],mobile_visits[mobile_visitors],0)</f>
        <v>0</v>
      </c>
    </row>
    <row r="1109" spans="1:9">
      <c r="A1109" s="1">
        <v>43843</v>
      </c>
      <c r="B1109">
        <v>33987</v>
      </c>
      <c r="C1109">
        <v>49624</v>
      </c>
      <c r="D1109">
        <v>36675</v>
      </c>
      <c r="E1109">
        <v>14498</v>
      </c>
      <c r="F1109">
        <v>114</v>
      </c>
      <c r="G1109" t="s">
        <v>83</v>
      </c>
      <c r="H1109" t="str" cm="1">
        <f t="array" ref="H1109">_xlfn.IFS(Grammys[[#This Row],[date]] &gt;= DATE(2022,2,1),"Grammys",TRUE,"Grammys TRA")</f>
        <v>Grammys TRA</v>
      </c>
      <c r="I1109">
        <f>_xlfn.XLOOKUP(Grammys[[#This Row],[date]],mobile_visits[date],mobile_visits[mobile_visitors],0)</f>
        <v>0</v>
      </c>
    </row>
    <row r="1110" spans="1:9">
      <c r="A1110" s="1">
        <v>43844</v>
      </c>
      <c r="B1110">
        <v>52583</v>
      </c>
      <c r="C1110">
        <v>75105</v>
      </c>
      <c r="D1110">
        <v>56261</v>
      </c>
      <c r="E1110">
        <v>23422</v>
      </c>
      <c r="F1110">
        <v>95</v>
      </c>
      <c r="G1110" t="s">
        <v>83</v>
      </c>
      <c r="H1110" t="str" cm="1">
        <f t="array" ref="H1110">_xlfn.IFS(Grammys[[#This Row],[date]] &gt;= DATE(2022,2,1),"Grammys",TRUE,"Grammys TRA")</f>
        <v>Grammys TRA</v>
      </c>
      <c r="I1110">
        <f>_xlfn.XLOOKUP(Grammys[[#This Row],[date]],mobile_visits[date],mobile_visits[mobile_visitors],0)</f>
        <v>0</v>
      </c>
    </row>
    <row r="1111" spans="1:9">
      <c r="A1111" s="1">
        <v>43845</v>
      </c>
      <c r="B1111">
        <v>58571</v>
      </c>
      <c r="C1111">
        <v>86819</v>
      </c>
      <c r="D1111">
        <v>63958</v>
      </c>
      <c r="E1111">
        <v>25878</v>
      </c>
      <c r="F1111">
        <v>101</v>
      </c>
      <c r="G1111" t="s">
        <v>83</v>
      </c>
      <c r="H1111" t="str" cm="1">
        <f t="array" ref="H1111">_xlfn.IFS(Grammys[[#This Row],[date]] &gt;= DATE(2022,2,1),"Grammys",TRUE,"Grammys TRA")</f>
        <v>Grammys TRA</v>
      </c>
      <c r="I1111">
        <f>_xlfn.XLOOKUP(Grammys[[#This Row],[date]],mobile_visits[date],mobile_visits[mobile_visitors],0)</f>
        <v>0</v>
      </c>
    </row>
    <row r="1112" spans="1:9">
      <c r="A1112" s="1">
        <v>43846</v>
      </c>
      <c r="B1112">
        <v>40561</v>
      </c>
      <c r="C1112">
        <v>60485</v>
      </c>
      <c r="D1112">
        <v>43829</v>
      </c>
      <c r="E1112">
        <v>17747</v>
      </c>
      <c r="F1112">
        <v>110</v>
      </c>
      <c r="G1112" t="s">
        <v>83</v>
      </c>
      <c r="H1112" t="str" cm="1">
        <f t="array" ref="H1112">_xlfn.IFS(Grammys[[#This Row],[date]] &gt;= DATE(2022,2,1),"Grammys",TRUE,"Grammys TRA")</f>
        <v>Grammys TRA</v>
      </c>
      <c r="I1112">
        <f>_xlfn.XLOOKUP(Grammys[[#This Row],[date]],mobile_visits[date],mobile_visits[mobile_visitors],0)</f>
        <v>0</v>
      </c>
    </row>
    <row r="1113" spans="1:9">
      <c r="A1113" s="1">
        <v>43847</v>
      </c>
      <c r="B1113">
        <v>37597</v>
      </c>
      <c r="C1113">
        <v>55752</v>
      </c>
      <c r="D1113">
        <v>40722</v>
      </c>
      <c r="E1113">
        <v>16314</v>
      </c>
      <c r="F1113">
        <v>108</v>
      </c>
      <c r="G1113" t="s">
        <v>83</v>
      </c>
      <c r="H1113" t="str" cm="1">
        <f t="array" ref="H1113">_xlfn.IFS(Grammys[[#This Row],[date]] &gt;= DATE(2022,2,1),"Grammys",TRUE,"Grammys TRA")</f>
        <v>Grammys TRA</v>
      </c>
      <c r="I1113">
        <f>_xlfn.XLOOKUP(Grammys[[#This Row],[date]],mobile_visits[date],mobile_visits[mobile_visitors],0)</f>
        <v>0</v>
      </c>
    </row>
    <row r="1114" spans="1:9">
      <c r="A1114" s="1">
        <v>43848</v>
      </c>
      <c r="B1114">
        <v>34892</v>
      </c>
      <c r="C1114">
        <v>50430</v>
      </c>
      <c r="D1114">
        <v>37524</v>
      </c>
      <c r="E1114">
        <v>15847</v>
      </c>
      <c r="F1114">
        <v>100</v>
      </c>
      <c r="G1114" t="s">
        <v>83</v>
      </c>
      <c r="H1114" t="str" cm="1">
        <f t="array" ref="H1114">_xlfn.IFS(Grammys[[#This Row],[date]] &gt;= DATE(2022,2,1),"Grammys",TRUE,"Grammys TRA")</f>
        <v>Grammys TRA</v>
      </c>
      <c r="I1114">
        <f>_xlfn.XLOOKUP(Grammys[[#This Row],[date]],mobile_visits[date],mobile_visits[mobile_visitors],0)</f>
        <v>0</v>
      </c>
    </row>
    <row r="1115" spans="1:9">
      <c r="A1115" s="1">
        <v>43849</v>
      </c>
      <c r="B1115">
        <v>55119</v>
      </c>
      <c r="C1115">
        <v>79862</v>
      </c>
      <c r="D1115">
        <v>59662</v>
      </c>
      <c r="E1115">
        <v>24384</v>
      </c>
      <c r="F1115">
        <v>108</v>
      </c>
      <c r="G1115" t="s">
        <v>83</v>
      </c>
      <c r="H1115" t="str" cm="1">
        <f t="array" ref="H1115">_xlfn.IFS(Grammys[[#This Row],[date]] &gt;= DATE(2022,2,1),"Grammys",TRUE,"Grammys TRA")</f>
        <v>Grammys TRA</v>
      </c>
      <c r="I1115">
        <f>_xlfn.XLOOKUP(Grammys[[#This Row],[date]],mobile_visits[date],mobile_visits[mobile_visitors],0)</f>
        <v>0</v>
      </c>
    </row>
    <row r="1116" spans="1:9">
      <c r="A1116" s="1">
        <v>43850</v>
      </c>
      <c r="B1116">
        <v>46281</v>
      </c>
      <c r="C1116">
        <v>71863</v>
      </c>
      <c r="D1116">
        <v>51351</v>
      </c>
      <c r="E1116">
        <v>21311</v>
      </c>
      <c r="F1116">
        <v>118</v>
      </c>
      <c r="G1116" t="s">
        <v>83</v>
      </c>
      <c r="H1116" t="str" cm="1">
        <f t="array" ref="H1116">_xlfn.IFS(Grammys[[#This Row],[date]] &gt;= DATE(2022,2,1),"Grammys",TRUE,"Grammys TRA")</f>
        <v>Grammys TRA</v>
      </c>
      <c r="I1116">
        <f>_xlfn.XLOOKUP(Grammys[[#This Row],[date]],mobile_visits[date],mobile_visits[mobile_visitors],0)</f>
        <v>0</v>
      </c>
    </row>
    <row r="1117" spans="1:9">
      <c r="A1117" s="1">
        <v>43851</v>
      </c>
      <c r="B1117">
        <v>60163</v>
      </c>
      <c r="C1117">
        <v>91734</v>
      </c>
      <c r="D1117">
        <v>65946</v>
      </c>
      <c r="E1117">
        <v>25805</v>
      </c>
      <c r="F1117">
        <v>119</v>
      </c>
      <c r="G1117" t="s">
        <v>83</v>
      </c>
      <c r="H1117" t="str" cm="1">
        <f t="array" ref="H1117">_xlfn.IFS(Grammys[[#This Row],[date]] &gt;= DATE(2022,2,1),"Grammys",TRUE,"Grammys TRA")</f>
        <v>Grammys TRA</v>
      </c>
      <c r="I1117">
        <f>_xlfn.XLOOKUP(Grammys[[#This Row],[date]],mobile_visits[date],mobile_visits[mobile_visitors],0)</f>
        <v>0</v>
      </c>
    </row>
    <row r="1118" spans="1:9">
      <c r="A1118" s="1">
        <v>43852</v>
      </c>
      <c r="B1118">
        <v>86179</v>
      </c>
      <c r="C1118">
        <v>130932</v>
      </c>
      <c r="D1118">
        <v>95372</v>
      </c>
      <c r="E1118">
        <v>39408</v>
      </c>
      <c r="F1118">
        <v>113</v>
      </c>
      <c r="G1118" t="s">
        <v>83</v>
      </c>
      <c r="H1118" t="str" cm="1">
        <f t="array" ref="H1118">_xlfn.IFS(Grammys[[#This Row],[date]] &gt;= DATE(2022,2,1),"Grammys",TRUE,"Grammys TRA")</f>
        <v>Grammys TRA</v>
      </c>
      <c r="I1118">
        <f>_xlfn.XLOOKUP(Grammys[[#This Row],[date]],mobile_visits[date],mobile_visits[mobile_visitors],0)</f>
        <v>0</v>
      </c>
    </row>
    <row r="1119" spans="1:9">
      <c r="A1119" s="1">
        <v>43853</v>
      </c>
      <c r="B1119">
        <v>166060</v>
      </c>
      <c r="C1119">
        <v>245647</v>
      </c>
      <c r="D1119">
        <v>186227</v>
      </c>
      <c r="E1119">
        <v>79482</v>
      </c>
      <c r="F1119">
        <v>91</v>
      </c>
      <c r="G1119" t="s">
        <v>83</v>
      </c>
      <c r="H1119" t="str" cm="1">
        <f t="array" ref="H1119">_xlfn.IFS(Grammys[[#This Row],[date]] &gt;= DATE(2022,2,1),"Grammys",TRUE,"Grammys TRA")</f>
        <v>Grammys TRA</v>
      </c>
      <c r="I1119">
        <f>_xlfn.XLOOKUP(Grammys[[#This Row],[date]],mobile_visits[date],mobile_visits[mobile_visitors],0)</f>
        <v>0</v>
      </c>
    </row>
    <row r="1120" spans="1:9">
      <c r="A1120" s="1">
        <v>43854</v>
      </c>
      <c r="B1120">
        <v>145152</v>
      </c>
      <c r="C1120">
        <v>209696</v>
      </c>
      <c r="D1120">
        <v>156763</v>
      </c>
      <c r="E1120">
        <v>67173</v>
      </c>
      <c r="F1120">
        <v>109</v>
      </c>
      <c r="G1120" t="s">
        <v>83</v>
      </c>
      <c r="H1120" t="str" cm="1">
        <f t="array" ref="H1120">_xlfn.IFS(Grammys[[#This Row],[date]] &gt;= DATE(2022,2,1),"Grammys",TRUE,"Grammys TRA")</f>
        <v>Grammys TRA</v>
      </c>
      <c r="I1120">
        <f>_xlfn.XLOOKUP(Grammys[[#This Row],[date]],mobile_visits[date],mobile_visits[mobile_visitors],0)</f>
        <v>0</v>
      </c>
    </row>
    <row r="1121" spans="1:9">
      <c r="A1121" s="1">
        <v>43855</v>
      </c>
      <c r="B1121">
        <v>208046</v>
      </c>
      <c r="C1121">
        <v>304052</v>
      </c>
      <c r="D1121">
        <v>225912</v>
      </c>
      <c r="E1121">
        <v>101458</v>
      </c>
      <c r="F1121">
        <v>111</v>
      </c>
      <c r="G1121" t="s">
        <v>83</v>
      </c>
      <c r="H1121" t="str" cm="1">
        <f t="array" ref="H1121">_xlfn.IFS(Grammys[[#This Row],[date]] &gt;= DATE(2022,2,1),"Grammys",TRUE,"Grammys TRA")</f>
        <v>Grammys TRA</v>
      </c>
      <c r="I1121">
        <f>_xlfn.XLOOKUP(Grammys[[#This Row],[date]],mobile_visits[date],mobile_visits[mobile_visitors],0)</f>
        <v>0</v>
      </c>
    </row>
    <row r="1122" spans="1:9">
      <c r="A1122" s="1">
        <v>43856</v>
      </c>
      <c r="B1122">
        <v>2261512</v>
      </c>
      <c r="C1122">
        <v>6688450</v>
      </c>
      <c r="D1122">
        <v>2634408</v>
      </c>
      <c r="E1122">
        <v>796382</v>
      </c>
      <c r="F1122">
        <v>230</v>
      </c>
      <c r="G1122" t="s">
        <v>85</v>
      </c>
      <c r="H1122" t="str" cm="1">
        <f t="array" ref="H1122">_xlfn.IFS(Grammys[[#This Row],[date]] &gt;= DATE(2022,2,1),"Grammys",TRUE,"Grammys TRA")</f>
        <v>Grammys TRA</v>
      </c>
      <c r="I1122">
        <f>_xlfn.XLOOKUP(Grammys[[#This Row],[date]],mobile_visits[date],mobile_visits[mobile_visitors],0)</f>
        <v>0</v>
      </c>
    </row>
    <row r="1123" spans="1:9">
      <c r="A1123" s="1">
        <v>43857</v>
      </c>
      <c r="B1123">
        <v>1473248</v>
      </c>
      <c r="C1123">
        <v>2837611</v>
      </c>
      <c r="D1123">
        <v>1563182</v>
      </c>
      <c r="E1123">
        <v>480366</v>
      </c>
      <c r="F1123">
        <v>142</v>
      </c>
      <c r="G1123" t="s">
        <v>83</v>
      </c>
      <c r="H1123" t="str" cm="1">
        <f t="array" ref="H1123">_xlfn.IFS(Grammys[[#This Row],[date]] &gt;= DATE(2022,2,1),"Grammys",TRUE,"Grammys TRA")</f>
        <v>Grammys TRA</v>
      </c>
      <c r="I1123">
        <f>_xlfn.XLOOKUP(Grammys[[#This Row],[date]],mobile_visits[date],mobile_visits[mobile_visitors],0)</f>
        <v>0</v>
      </c>
    </row>
    <row r="1124" spans="1:9">
      <c r="A1124" s="1">
        <v>43858</v>
      </c>
      <c r="B1124">
        <v>402339</v>
      </c>
      <c r="C1124">
        <v>741599</v>
      </c>
      <c r="D1124">
        <v>412677</v>
      </c>
      <c r="E1124">
        <v>150009</v>
      </c>
      <c r="F1124">
        <v>145</v>
      </c>
      <c r="G1124" t="s">
        <v>83</v>
      </c>
      <c r="H1124" t="str" cm="1">
        <f t="array" ref="H1124">_xlfn.IFS(Grammys[[#This Row],[date]] &gt;= DATE(2022,2,1),"Grammys",TRUE,"Grammys TRA")</f>
        <v>Grammys TRA</v>
      </c>
      <c r="I1124">
        <f>_xlfn.XLOOKUP(Grammys[[#This Row],[date]],mobile_visits[date],mobile_visits[mobile_visitors],0)</f>
        <v>0</v>
      </c>
    </row>
    <row r="1125" spans="1:9">
      <c r="A1125" s="1">
        <v>43859</v>
      </c>
      <c r="B1125">
        <v>185134</v>
      </c>
      <c r="C1125">
        <v>352986</v>
      </c>
      <c r="D1125">
        <v>191260</v>
      </c>
      <c r="E1125">
        <v>73119</v>
      </c>
      <c r="F1125">
        <v>140</v>
      </c>
      <c r="G1125" t="s">
        <v>83</v>
      </c>
      <c r="H1125" t="str" cm="1">
        <f t="array" ref="H1125">_xlfn.IFS(Grammys[[#This Row],[date]] &gt;= DATE(2022,2,1),"Grammys",TRUE,"Grammys TRA")</f>
        <v>Grammys TRA</v>
      </c>
      <c r="I1125">
        <f>_xlfn.XLOOKUP(Grammys[[#This Row],[date]],mobile_visits[date],mobile_visits[mobile_visitors],0)</f>
        <v>0</v>
      </c>
    </row>
    <row r="1126" spans="1:9">
      <c r="A1126" s="1">
        <v>43860</v>
      </c>
      <c r="B1126">
        <v>109443</v>
      </c>
      <c r="C1126">
        <v>217120</v>
      </c>
      <c r="D1126">
        <v>115193</v>
      </c>
      <c r="E1126">
        <v>47690</v>
      </c>
      <c r="F1126">
        <v>123</v>
      </c>
      <c r="G1126" t="s">
        <v>83</v>
      </c>
      <c r="H1126" t="str" cm="1">
        <f t="array" ref="H1126">_xlfn.IFS(Grammys[[#This Row],[date]] &gt;= DATE(2022,2,1),"Grammys",TRUE,"Grammys TRA")</f>
        <v>Grammys TRA</v>
      </c>
      <c r="I1126">
        <f>_xlfn.XLOOKUP(Grammys[[#This Row],[date]],mobile_visits[date],mobile_visits[mobile_visitors],0)</f>
        <v>0</v>
      </c>
    </row>
    <row r="1127" spans="1:9">
      <c r="A1127" s="1">
        <v>43861</v>
      </c>
      <c r="B1127">
        <v>106853</v>
      </c>
      <c r="C1127">
        <v>190538</v>
      </c>
      <c r="D1127">
        <v>110860</v>
      </c>
      <c r="E1127">
        <v>46916</v>
      </c>
      <c r="F1127">
        <v>113</v>
      </c>
      <c r="G1127" t="s">
        <v>83</v>
      </c>
      <c r="H1127" t="str" cm="1">
        <f t="array" ref="H1127">_xlfn.IFS(Grammys[[#This Row],[date]] &gt;= DATE(2022,2,1),"Grammys",TRUE,"Grammys TRA")</f>
        <v>Grammys TRA</v>
      </c>
      <c r="I1127">
        <f>_xlfn.XLOOKUP(Grammys[[#This Row],[date]],mobile_visits[date],mobile_visits[mobile_visitors],0)</f>
        <v>0</v>
      </c>
    </row>
    <row r="1128" spans="1:9">
      <c r="A1128" s="1">
        <v>43862</v>
      </c>
      <c r="B1128">
        <v>98319</v>
      </c>
      <c r="C1128">
        <v>160279</v>
      </c>
      <c r="D1128">
        <v>101703</v>
      </c>
      <c r="E1128">
        <v>44597</v>
      </c>
      <c r="F1128">
        <v>101</v>
      </c>
      <c r="G1128" t="s">
        <v>83</v>
      </c>
      <c r="H1128" t="str" cm="1">
        <f t="array" ref="H1128">_xlfn.IFS(Grammys[[#This Row],[date]] &gt;= DATE(2022,2,1),"Grammys",TRUE,"Grammys TRA")</f>
        <v>Grammys TRA</v>
      </c>
      <c r="I1128">
        <f>_xlfn.XLOOKUP(Grammys[[#This Row],[date]],mobile_visits[date],mobile_visits[mobile_visitors],0)</f>
        <v>0</v>
      </c>
    </row>
    <row r="1129" spans="1:9">
      <c r="A1129" s="1">
        <v>43863</v>
      </c>
      <c r="B1129">
        <v>94254</v>
      </c>
      <c r="C1129">
        <v>145051</v>
      </c>
      <c r="D1129">
        <v>98917</v>
      </c>
      <c r="E1129">
        <v>44790</v>
      </c>
      <c r="F1129">
        <v>90</v>
      </c>
      <c r="G1129" t="s">
        <v>83</v>
      </c>
      <c r="H1129" t="str" cm="1">
        <f t="array" ref="H1129">_xlfn.IFS(Grammys[[#This Row],[date]] &gt;= DATE(2022,2,1),"Grammys",TRUE,"Grammys TRA")</f>
        <v>Grammys TRA</v>
      </c>
      <c r="I1129">
        <f>_xlfn.XLOOKUP(Grammys[[#This Row],[date]],mobile_visits[date],mobile_visits[mobile_visitors],0)</f>
        <v>0</v>
      </c>
    </row>
    <row r="1130" spans="1:9">
      <c r="A1130" s="1">
        <v>43864</v>
      </c>
      <c r="B1130">
        <v>80043</v>
      </c>
      <c r="C1130">
        <v>117792</v>
      </c>
      <c r="D1130">
        <v>84444</v>
      </c>
      <c r="E1130">
        <v>34884</v>
      </c>
      <c r="F1130">
        <v>101</v>
      </c>
      <c r="G1130" t="s">
        <v>83</v>
      </c>
      <c r="H1130" t="str" cm="1">
        <f t="array" ref="H1130">_xlfn.IFS(Grammys[[#This Row],[date]] &gt;= DATE(2022,2,1),"Grammys",TRUE,"Grammys TRA")</f>
        <v>Grammys TRA</v>
      </c>
      <c r="I1130">
        <f>_xlfn.XLOOKUP(Grammys[[#This Row],[date]],mobile_visits[date],mobile_visits[mobile_visitors],0)</f>
        <v>0</v>
      </c>
    </row>
    <row r="1131" spans="1:9">
      <c r="A1131" s="1">
        <v>43865</v>
      </c>
      <c r="B1131">
        <v>54334</v>
      </c>
      <c r="C1131">
        <v>76752</v>
      </c>
      <c r="D1131">
        <v>57429</v>
      </c>
      <c r="E1131">
        <v>24907</v>
      </c>
      <c r="F1131">
        <v>88</v>
      </c>
      <c r="G1131" t="s">
        <v>83</v>
      </c>
      <c r="H1131" t="str" cm="1">
        <f t="array" ref="H1131">_xlfn.IFS(Grammys[[#This Row],[date]] &gt;= DATE(2022,2,1),"Grammys",TRUE,"Grammys TRA")</f>
        <v>Grammys TRA</v>
      </c>
      <c r="I1131">
        <f>_xlfn.XLOOKUP(Grammys[[#This Row],[date]],mobile_visits[date],mobile_visits[mobile_visitors],0)</f>
        <v>0</v>
      </c>
    </row>
    <row r="1132" spans="1:9">
      <c r="A1132" s="1">
        <v>43866</v>
      </c>
      <c r="B1132">
        <v>41409</v>
      </c>
      <c r="C1132">
        <v>59957</v>
      </c>
      <c r="D1132">
        <v>44059</v>
      </c>
      <c r="E1132">
        <v>20298</v>
      </c>
      <c r="F1132">
        <v>95</v>
      </c>
      <c r="G1132" t="s">
        <v>83</v>
      </c>
      <c r="H1132" t="str" cm="1">
        <f t="array" ref="H1132">_xlfn.IFS(Grammys[[#This Row],[date]] &gt;= DATE(2022,2,1),"Grammys",TRUE,"Grammys TRA")</f>
        <v>Grammys TRA</v>
      </c>
      <c r="I1132">
        <f>_xlfn.XLOOKUP(Grammys[[#This Row],[date]],mobile_visits[date],mobile_visits[mobile_visitors],0)</f>
        <v>0</v>
      </c>
    </row>
    <row r="1133" spans="1:9">
      <c r="A1133" s="1">
        <v>43867</v>
      </c>
      <c r="B1133">
        <v>38833</v>
      </c>
      <c r="C1133">
        <v>55270</v>
      </c>
      <c r="D1133">
        <v>40895</v>
      </c>
      <c r="E1133">
        <v>18882</v>
      </c>
      <c r="F1133">
        <v>93</v>
      </c>
      <c r="G1133" t="s">
        <v>83</v>
      </c>
      <c r="H1133" t="str" cm="1">
        <f t="array" ref="H1133">_xlfn.IFS(Grammys[[#This Row],[date]] &gt;= DATE(2022,2,1),"Grammys",TRUE,"Grammys TRA")</f>
        <v>Grammys TRA</v>
      </c>
      <c r="I1133">
        <f>_xlfn.XLOOKUP(Grammys[[#This Row],[date]],mobile_visits[date],mobile_visits[mobile_visitors],0)</f>
        <v>0</v>
      </c>
    </row>
    <row r="1134" spans="1:9">
      <c r="A1134" s="1">
        <v>43868</v>
      </c>
      <c r="B1134">
        <v>35022</v>
      </c>
      <c r="C1134">
        <v>50920</v>
      </c>
      <c r="D1134">
        <v>37638</v>
      </c>
      <c r="E1134">
        <v>17732</v>
      </c>
      <c r="F1134">
        <v>91</v>
      </c>
      <c r="G1134" t="s">
        <v>83</v>
      </c>
      <c r="H1134" t="str" cm="1">
        <f t="array" ref="H1134">_xlfn.IFS(Grammys[[#This Row],[date]] &gt;= DATE(2022,2,1),"Grammys",TRUE,"Grammys TRA")</f>
        <v>Grammys TRA</v>
      </c>
      <c r="I1134">
        <f>_xlfn.XLOOKUP(Grammys[[#This Row],[date]],mobile_visits[date],mobile_visits[mobile_visitors],0)</f>
        <v>0</v>
      </c>
    </row>
    <row r="1135" spans="1:9">
      <c r="A1135" s="1">
        <v>43869</v>
      </c>
      <c r="B1135">
        <v>35951</v>
      </c>
      <c r="C1135">
        <v>49920</v>
      </c>
      <c r="D1135">
        <v>38169</v>
      </c>
      <c r="E1135">
        <v>18593</v>
      </c>
      <c r="F1135">
        <v>87</v>
      </c>
      <c r="G1135" t="s">
        <v>83</v>
      </c>
      <c r="H1135" t="str" cm="1">
        <f t="array" ref="H1135">_xlfn.IFS(Grammys[[#This Row],[date]] &gt;= DATE(2022,2,1),"Grammys",TRUE,"Grammys TRA")</f>
        <v>Grammys TRA</v>
      </c>
      <c r="I1135">
        <f>_xlfn.XLOOKUP(Grammys[[#This Row],[date]],mobile_visits[date],mobile_visits[mobile_visitors],0)</f>
        <v>0</v>
      </c>
    </row>
    <row r="1136" spans="1:9">
      <c r="A1136" s="1">
        <v>43870</v>
      </c>
      <c r="B1136">
        <v>74640</v>
      </c>
      <c r="C1136">
        <v>94059</v>
      </c>
      <c r="D1136">
        <v>76864</v>
      </c>
      <c r="E1136">
        <v>40008</v>
      </c>
      <c r="F1136">
        <v>67</v>
      </c>
      <c r="G1136" t="s">
        <v>83</v>
      </c>
      <c r="H1136" t="str" cm="1">
        <f t="array" ref="H1136">_xlfn.IFS(Grammys[[#This Row],[date]] &gt;= DATE(2022,2,1),"Grammys",TRUE,"Grammys TRA")</f>
        <v>Grammys TRA</v>
      </c>
      <c r="I1136">
        <f>_xlfn.XLOOKUP(Grammys[[#This Row],[date]],mobile_visits[date],mobile_visits[mobile_visitors],0)</f>
        <v>0</v>
      </c>
    </row>
    <row r="1137" spans="1:9">
      <c r="A1137" s="1">
        <v>43871</v>
      </c>
      <c r="B1137">
        <v>86393</v>
      </c>
      <c r="C1137">
        <v>105695</v>
      </c>
      <c r="D1137">
        <v>90116</v>
      </c>
      <c r="E1137">
        <v>37795</v>
      </c>
      <c r="F1137">
        <v>69</v>
      </c>
      <c r="G1137" t="s">
        <v>83</v>
      </c>
      <c r="H1137" t="str" cm="1">
        <f t="array" ref="H1137">_xlfn.IFS(Grammys[[#This Row],[date]] &gt;= DATE(2022,2,1),"Grammys",TRUE,"Grammys TRA")</f>
        <v>Grammys TRA</v>
      </c>
      <c r="I1137">
        <f>_xlfn.XLOOKUP(Grammys[[#This Row],[date]],mobile_visits[date],mobile_visits[mobile_visitors],0)</f>
        <v>0</v>
      </c>
    </row>
    <row r="1138" spans="1:9">
      <c r="A1138" s="1">
        <v>43872</v>
      </c>
      <c r="B1138">
        <v>40484</v>
      </c>
      <c r="C1138">
        <v>53623</v>
      </c>
      <c r="D1138">
        <v>42351</v>
      </c>
      <c r="E1138">
        <v>18410</v>
      </c>
      <c r="F1138">
        <v>88</v>
      </c>
      <c r="G1138" t="s">
        <v>83</v>
      </c>
      <c r="H1138" t="str" cm="1">
        <f t="array" ref="H1138">_xlfn.IFS(Grammys[[#This Row],[date]] &gt;= DATE(2022,2,1),"Grammys",TRUE,"Grammys TRA")</f>
        <v>Grammys TRA</v>
      </c>
      <c r="I1138">
        <f>_xlfn.XLOOKUP(Grammys[[#This Row],[date]],mobile_visits[date],mobile_visits[mobile_visitors],0)</f>
        <v>0</v>
      </c>
    </row>
    <row r="1139" spans="1:9">
      <c r="A1139" s="1">
        <v>43873</v>
      </c>
      <c r="B1139">
        <v>32930</v>
      </c>
      <c r="C1139">
        <v>44242</v>
      </c>
      <c r="D1139">
        <v>34861</v>
      </c>
      <c r="E1139">
        <v>16103</v>
      </c>
      <c r="F1139">
        <v>88</v>
      </c>
      <c r="G1139" t="s">
        <v>83</v>
      </c>
      <c r="H1139" t="str" cm="1">
        <f t="array" ref="H1139">_xlfn.IFS(Grammys[[#This Row],[date]] &gt;= DATE(2022,2,1),"Grammys",TRUE,"Grammys TRA")</f>
        <v>Grammys TRA</v>
      </c>
      <c r="I1139">
        <f>_xlfn.XLOOKUP(Grammys[[#This Row],[date]],mobile_visits[date],mobile_visits[mobile_visitors],0)</f>
        <v>0</v>
      </c>
    </row>
    <row r="1140" spans="1:9">
      <c r="A1140" s="1">
        <v>43874</v>
      </c>
      <c r="B1140">
        <v>30210</v>
      </c>
      <c r="C1140">
        <v>37863</v>
      </c>
      <c r="D1140">
        <v>31760</v>
      </c>
      <c r="E1140">
        <v>13892</v>
      </c>
      <c r="F1140">
        <v>81</v>
      </c>
      <c r="G1140" t="s">
        <v>83</v>
      </c>
      <c r="H1140" t="str" cm="1">
        <f t="array" ref="H1140">_xlfn.IFS(Grammys[[#This Row],[date]] &gt;= DATE(2022,2,1),"Grammys",TRUE,"Grammys TRA")</f>
        <v>Grammys TRA</v>
      </c>
      <c r="I1140">
        <f>_xlfn.XLOOKUP(Grammys[[#This Row],[date]],mobile_visits[date],mobile_visits[mobile_visitors],0)</f>
        <v>0</v>
      </c>
    </row>
    <row r="1141" spans="1:9">
      <c r="A1141" s="1">
        <v>43875</v>
      </c>
      <c r="B1141">
        <v>29348</v>
      </c>
      <c r="C1141">
        <v>37498</v>
      </c>
      <c r="D1141">
        <v>30809</v>
      </c>
      <c r="E1141">
        <v>13812</v>
      </c>
      <c r="F1141">
        <v>76</v>
      </c>
      <c r="G1141" t="s">
        <v>83</v>
      </c>
      <c r="H1141" t="str" cm="1">
        <f t="array" ref="H1141">_xlfn.IFS(Grammys[[#This Row],[date]] &gt;= DATE(2022,2,1),"Grammys",TRUE,"Grammys TRA")</f>
        <v>Grammys TRA</v>
      </c>
      <c r="I1141">
        <f>_xlfn.XLOOKUP(Grammys[[#This Row],[date]],mobile_visits[date],mobile_visits[mobile_visitors],0)</f>
        <v>0</v>
      </c>
    </row>
    <row r="1142" spans="1:9">
      <c r="A1142" s="1">
        <v>43876</v>
      </c>
      <c r="B1142">
        <v>28108</v>
      </c>
      <c r="C1142">
        <v>38672</v>
      </c>
      <c r="D1142">
        <v>29910</v>
      </c>
      <c r="E1142">
        <v>14372</v>
      </c>
      <c r="F1142">
        <v>82</v>
      </c>
      <c r="G1142" t="s">
        <v>83</v>
      </c>
      <c r="H1142" t="str" cm="1">
        <f t="array" ref="H1142">_xlfn.IFS(Grammys[[#This Row],[date]] &gt;= DATE(2022,2,1),"Grammys",TRUE,"Grammys TRA")</f>
        <v>Grammys TRA</v>
      </c>
      <c r="I1142">
        <f>_xlfn.XLOOKUP(Grammys[[#This Row],[date]],mobile_visits[date],mobile_visits[mobile_visitors],0)</f>
        <v>0</v>
      </c>
    </row>
    <row r="1143" spans="1:9">
      <c r="A1143" s="1">
        <v>43877</v>
      </c>
      <c r="B1143">
        <v>32926</v>
      </c>
      <c r="C1143">
        <v>43729</v>
      </c>
      <c r="D1143">
        <v>34668</v>
      </c>
      <c r="E1143">
        <v>16870</v>
      </c>
      <c r="F1143">
        <v>81</v>
      </c>
      <c r="G1143" t="s">
        <v>83</v>
      </c>
      <c r="H1143" t="str" cm="1">
        <f t="array" ref="H1143">_xlfn.IFS(Grammys[[#This Row],[date]] &gt;= DATE(2022,2,1),"Grammys",TRUE,"Grammys TRA")</f>
        <v>Grammys TRA</v>
      </c>
      <c r="I1143">
        <f>_xlfn.XLOOKUP(Grammys[[#This Row],[date]],mobile_visits[date],mobile_visits[mobile_visitors],0)</f>
        <v>0</v>
      </c>
    </row>
    <row r="1144" spans="1:9">
      <c r="A1144" s="1">
        <v>43878</v>
      </c>
      <c r="B1144">
        <v>38721</v>
      </c>
      <c r="C1144">
        <v>50771</v>
      </c>
      <c r="D1144">
        <v>41253</v>
      </c>
      <c r="E1144">
        <v>15829</v>
      </c>
      <c r="F1144">
        <v>90</v>
      </c>
      <c r="G1144" t="s">
        <v>83</v>
      </c>
      <c r="H1144" t="str" cm="1">
        <f t="array" ref="H1144">_xlfn.IFS(Grammys[[#This Row],[date]] &gt;= DATE(2022,2,1),"Grammys",TRUE,"Grammys TRA")</f>
        <v>Grammys TRA</v>
      </c>
      <c r="I1144">
        <f>_xlfn.XLOOKUP(Grammys[[#This Row],[date]],mobile_visits[date],mobile_visits[mobile_visitors],0)</f>
        <v>0</v>
      </c>
    </row>
    <row r="1145" spans="1:9">
      <c r="A1145" s="1">
        <v>43879</v>
      </c>
      <c r="B1145">
        <v>24945</v>
      </c>
      <c r="C1145">
        <v>34840</v>
      </c>
      <c r="D1145">
        <v>26615</v>
      </c>
      <c r="E1145">
        <v>11969</v>
      </c>
      <c r="F1145">
        <v>86</v>
      </c>
      <c r="G1145" t="s">
        <v>83</v>
      </c>
      <c r="H1145" t="str" cm="1">
        <f t="array" ref="H1145">_xlfn.IFS(Grammys[[#This Row],[date]] &gt;= DATE(2022,2,1),"Grammys",TRUE,"Grammys TRA")</f>
        <v>Grammys TRA</v>
      </c>
      <c r="I1145">
        <f>_xlfn.XLOOKUP(Grammys[[#This Row],[date]],mobile_visits[date],mobile_visits[mobile_visitors],0)</f>
        <v>0</v>
      </c>
    </row>
    <row r="1146" spans="1:9">
      <c r="A1146" s="1">
        <v>43880</v>
      </c>
      <c r="B1146">
        <v>24581</v>
      </c>
      <c r="C1146">
        <v>33734</v>
      </c>
      <c r="D1146">
        <v>25646</v>
      </c>
      <c r="E1146">
        <v>11834</v>
      </c>
      <c r="F1146">
        <v>82</v>
      </c>
      <c r="G1146" t="s">
        <v>83</v>
      </c>
      <c r="H1146" t="str" cm="1">
        <f t="array" ref="H1146">_xlfn.IFS(Grammys[[#This Row],[date]] &gt;= DATE(2022,2,1),"Grammys",TRUE,"Grammys TRA")</f>
        <v>Grammys TRA</v>
      </c>
      <c r="I1146">
        <f>_xlfn.XLOOKUP(Grammys[[#This Row],[date]],mobile_visits[date],mobile_visits[mobile_visitors],0)</f>
        <v>0</v>
      </c>
    </row>
    <row r="1147" spans="1:9">
      <c r="A1147" s="1">
        <v>43881</v>
      </c>
      <c r="B1147">
        <v>20553</v>
      </c>
      <c r="C1147">
        <v>28565</v>
      </c>
      <c r="D1147">
        <v>21641</v>
      </c>
      <c r="E1147">
        <v>10460</v>
      </c>
      <c r="F1147">
        <v>77</v>
      </c>
      <c r="G1147" t="s">
        <v>83</v>
      </c>
      <c r="H1147" t="str" cm="1">
        <f t="array" ref="H1147">_xlfn.IFS(Grammys[[#This Row],[date]] &gt;= DATE(2022,2,1),"Grammys",TRUE,"Grammys TRA")</f>
        <v>Grammys TRA</v>
      </c>
      <c r="I1147">
        <f>_xlfn.XLOOKUP(Grammys[[#This Row],[date]],mobile_visits[date],mobile_visits[mobile_visitors],0)</f>
        <v>0</v>
      </c>
    </row>
    <row r="1148" spans="1:9">
      <c r="A1148" s="1">
        <v>43882</v>
      </c>
      <c r="B1148">
        <v>20345</v>
      </c>
      <c r="C1148">
        <v>28083</v>
      </c>
      <c r="D1148">
        <v>21325</v>
      </c>
      <c r="E1148">
        <v>10089</v>
      </c>
      <c r="F1148">
        <v>78</v>
      </c>
      <c r="G1148" t="s">
        <v>83</v>
      </c>
      <c r="H1148" t="str" cm="1">
        <f t="array" ref="H1148">_xlfn.IFS(Grammys[[#This Row],[date]] &gt;= DATE(2022,2,1),"Grammys",TRUE,"Grammys TRA")</f>
        <v>Grammys TRA</v>
      </c>
      <c r="I1148">
        <f>_xlfn.XLOOKUP(Grammys[[#This Row],[date]],mobile_visits[date],mobile_visits[mobile_visitors],0)</f>
        <v>0</v>
      </c>
    </row>
    <row r="1149" spans="1:9">
      <c r="A1149" s="1">
        <v>43883</v>
      </c>
      <c r="B1149">
        <v>58424</v>
      </c>
      <c r="C1149">
        <v>67710</v>
      </c>
      <c r="D1149">
        <v>62112</v>
      </c>
      <c r="E1149">
        <v>18261</v>
      </c>
      <c r="F1149">
        <v>135</v>
      </c>
      <c r="G1149" t="s">
        <v>83</v>
      </c>
      <c r="H1149" t="str" cm="1">
        <f t="array" ref="H1149">_xlfn.IFS(Grammys[[#This Row],[date]] &gt;= DATE(2022,2,1),"Grammys",TRUE,"Grammys TRA")</f>
        <v>Grammys TRA</v>
      </c>
      <c r="I1149">
        <f>_xlfn.XLOOKUP(Grammys[[#This Row],[date]],mobile_visits[date],mobile_visits[mobile_visitors],0)</f>
        <v>0</v>
      </c>
    </row>
    <row r="1150" spans="1:9">
      <c r="A1150" s="1">
        <v>43884</v>
      </c>
      <c r="B1150">
        <v>33560</v>
      </c>
      <c r="C1150">
        <v>41266</v>
      </c>
      <c r="D1150">
        <v>35563</v>
      </c>
      <c r="E1150">
        <v>14777</v>
      </c>
      <c r="F1150">
        <v>101</v>
      </c>
      <c r="G1150" t="s">
        <v>83</v>
      </c>
      <c r="H1150" t="str" cm="1">
        <f t="array" ref="H1150">_xlfn.IFS(Grammys[[#This Row],[date]] &gt;= DATE(2022,2,1),"Grammys",TRUE,"Grammys TRA")</f>
        <v>Grammys TRA</v>
      </c>
      <c r="I1150">
        <f>_xlfn.XLOOKUP(Grammys[[#This Row],[date]],mobile_visits[date],mobile_visits[mobile_visitors],0)</f>
        <v>0</v>
      </c>
    </row>
    <row r="1151" spans="1:9">
      <c r="A1151" s="1">
        <v>43885</v>
      </c>
      <c r="B1151">
        <v>30211</v>
      </c>
      <c r="C1151">
        <v>37848</v>
      </c>
      <c r="D1151">
        <v>31455</v>
      </c>
      <c r="E1151">
        <v>17427</v>
      </c>
      <c r="F1151">
        <v>67</v>
      </c>
      <c r="G1151" t="s">
        <v>83</v>
      </c>
      <c r="H1151" t="str" cm="1">
        <f t="array" ref="H1151">_xlfn.IFS(Grammys[[#This Row],[date]] &gt;= DATE(2022,2,1),"Grammys",TRUE,"Grammys TRA")</f>
        <v>Grammys TRA</v>
      </c>
      <c r="I1151">
        <f>_xlfn.XLOOKUP(Grammys[[#This Row],[date]],mobile_visits[date],mobile_visits[mobile_visitors],0)</f>
        <v>0</v>
      </c>
    </row>
    <row r="1152" spans="1:9">
      <c r="A1152" s="1">
        <v>43886</v>
      </c>
      <c r="B1152">
        <v>20889</v>
      </c>
      <c r="C1152">
        <v>27990</v>
      </c>
      <c r="D1152">
        <v>22033</v>
      </c>
      <c r="E1152">
        <v>10783</v>
      </c>
      <c r="F1152">
        <v>76</v>
      </c>
      <c r="G1152" t="s">
        <v>83</v>
      </c>
      <c r="H1152" t="str" cm="1">
        <f t="array" ref="H1152">_xlfn.IFS(Grammys[[#This Row],[date]] &gt;= DATE(2022,2,1),"Grammys",TRUE,"Grammys TRA")</f>
        <v>Grammys TRA</v>
      </c>
      <c r="I1152">
        <f>_xlfn.XLOOKUP(Grammys[[#This Row],[date]],mobile_visits[date],mobile_visits[mobile_visitors],0)</f>
        <v>0</v>
      </c>
    </row>
    <row r="1153" spans="1:9">
      <c r="A1153" s="1">
        <v>43887</v>
      </c>
      <c r="B1153">
        <v>18030</v>
      </c>
      <c r="C1153">
        <v>25466</v>
      </c>
      <c r="D1153">
        <v>18918</v>
      </c>
      <c r="E1153">
        <v>9448</v>
      </c>
      <c r="F1153">
        <v>80</v>
      </c>
      <c r="G1153" t="s">
        <v>83</v>
      </c>
      <c r="H1153" t="str" cm="1">
        <f t="array" ref="H1153">_xlfn.IFS(Grammys[[#This Row],[date]] &gt;= DATE(2022,2,1),"Grammys",TRUE,"Grammys TRA")</f>
        <v>Grammys TRA</v>
      </c>
      <c r="I1153">
        <f>_xlfn.XLOOKUP(Grammys[[#This Row],[date]],mobile_visits[date],mobile_visits[mobile_visitors],0)</f>
        <v>0</v>
      </c>
    </row>
    <row r="1154" spans="1:9">
      <c r="A1154" s="1">
        <v>43888</v>
      </c>
      <c r="B1154">
        <v>24088</v>
      </c>
      <c r="C1154">
        <v>30779</v>
      </c>
      <c r="D1154">
        <v>25444</v>
      </c>
      <c r="E1154">
        <v>10158</v>
      </c>
      <c r="F1154">
        <v>82</v>
      </c>
      <c r="G1154" t="s">
        <v>83</v>
      </c>
      <c r="H1154" t="str" cm="1">
        <f t="array" ref="H1154">_xlfn.IFS(Grammys[[#This Row],[date]] &gt;= DATE(2022,2,1),"Grammys",TRUE,"Grammys TRA")</f>
        <v>Grammys TRA</v>
      </c>
      <c r="I1154">
        <f>_xlfn.XLOOKUP(Grammys[[#This Row],[date]],mobile_visits[date],mobile_visits[mobile_visitors],0)</f>
        <v>0</v>
      </c>
    </row>
    <row r="1155" spans="1:9">
      <c r="A1155" s="1">
        <v>43889</v>
      </c>
      <c r="B1155">
        <v>23395</v>
      </c>
      <c r="C1155">
        <v>28951</v>
      </c>
      <c r="D1155">
        <v>25249</v>
      </c>
      <c r="E1155">
        <v>10009</v>
      </c>
      <c r="F1155">
        <v>81</v>
      </c>
      <c r="G1155" t="s">
        <v>83</v>
      </c>
      <c r="H1155" t="str" cm="1">
        <f t="array" ref="H1155">_xlfn.IFS(Grammys[[#This Row],[date]] &gt;= DATE(2022,2,1),"Grammys",TRUE,"Grammys TRA")</f>
        <v>Grammys TRA</v>
      </c>
      <c r="I1155">
        <f>_xlfn.XLOOKUP(Grammys[[#This Row],[date]],mobile_visits[date],mobile_visits[mobile_visitors],0)</f>
        <v>0</v>
      </c>
    </row>
    <row r="1156" spans="1:9">
      <c r="A1156" s="1">
        <v>43890</v>
      </c>
      <c r="B1156">
        <v>26798</v>
      </c>
      <c r="C1156">
        <v>31915</v>
      </c>
      <c r="D1156">
        <v>28524</v>
      </c>
      <c r="E1156">
        <v>9867</v>
      </c>
      <c r="F1156">
        <v>64</v>
      </c>
      <c r="G1156" t="s">
        <v>83</v>
      </c>
      <c r="H1156" t="str" cm="1">
        <f t="array" ref="H1156">_xlfn.IFS(Grammys[[#This Row],[date]] &gt;= DATE(2022,2,1),"Grammys",TRUE,"Grammys TRA")</f>
        <v>Grammys TRA</v>
      </c>
      <c r="I1156">
        <f>_xlfn.XLOOKUP(Grammys[[#This Row],[date]],mobile_visits[date],mobile_visits[mobile_visitors],0)</f>
        <v>0</v>
      </c>
    </row>
    <row r="1157" spans="1:9">
      <c r="A1157" s="1">
        <v>43891</v>
      </c>
      <c r="B1157">
        <v>22925</v>
      </c>
      <c r="C1157">
        <v>28553</v>
      </c>
      <c r="D1157">
        <v>23772</v>
      </c>
      <c r="E1157">
        <v>10522</v>
      </c>
      <c r="F1157">
        <v>67</v>
      </c>
      <c r="G1157" t="s">
        <v>83</v>
      </c>
      <c r="H1157" t="str" cm="1">
        <f t="array" ref="H1157">_xlfn.IFS(Grammys[[#This Row],[date]] &gt;= DATE(2022,2,1),"Grammys",TRUE,"Grammys TRA")</f>
        <v>Grammys TRA</v>
      </c>
      <c r="I1157">
        <f>_xlfn.XLOOKUP(Grammys[[#This Row],[date]],mobile_visits[date],mobile_visits[mobile_visitors],0)</f>
        <v>0</v>
      </c>
    </row>
    <row r="1158" spans="1:9">
      <c r="A1158" s="1">
        <v>43892</v>
      </c>
      <c r="B1158">
        <v>19381</v>
      </c>
      <c r="C1158">
        <v>25174</v>
      </c>
      <c r="D1158">
        <v>20194</v>
      </c>
      <c r="E1158">
        <v>10316</v>
      </c>
      <c r="F1158">
        <v>71</v>
      </c>
      <c r="G1158" t="s">
        <v>83</v>
      </c>
      <c r="H1158" t="str" cm="1">
        <f t="array" ref="H1158">_xlfn.IFS(Grammys[[#This Row],[date]] &gt;= DATE(2022,2,1),"Grammys",TRUE,"Grammys TRA")</f>
        <v>Grammys TRA</v>
      </c>
      <c r="I1158">
        <f>_xlfn.XLOOKUP(Grammys[[#This Row],[date]],mobile_visits[date],mobile_visits[mobile_visitors],0)</f>
        <v>0</v>
      </c>
    </row>
    <row r="1159" spans="1:9">
      <c r="A1159" s="1">
        <v>43893</v>
      </c>
      <c r="B1159">
        <v>15908</v>
      </c>
      <c r="C1159">
        <v>21840</v>
      </c>
      <c r="D1159">
        <v>16960</v>
      </c>
      <c r="E1159">
        <v>8569</v>
      </c>
      <c r="F1159">
        <v>79</v>
      </c>
      <c r="G1159" t="s">
        <v>83</v>
      </c>
      <c r="H1159" t="str" cm="1">
        <f t="array" ref="H1159">_xlfn.IFS(Grammys[[#This Row],[date]] &gt;= DATE(2022,2,1),"Grammys",TRUE,"Grammys TRA")</f>
        <v>Grammys TRA</v>
      </c>
      <c r="I1159">
        <f>_xlfn.XLOOKUP(Grammys[[#This Row],[date]],mobile_visits[date],mobile_visits[mobile_visitors],0)</f>
        <v>0</v>
      </c>
    </row>
    <row r="1160" spans="1:9">
      <c r="A1160" s="1">
        <v>43894</v>
      </c>
      <c r="B1160">
        <v>19766</v>
      </c>
      <c r="C1160">
        <v>25415</v>
      </c>
      <c r="D1160">
        <v>21044</v>
      </c>
      <c r="E1160">
        <v>8578</v>
      </c>
      <c r="F1160">
        <v>79</v>
      </c>
      <c r="G1160" t="s">
        <v>83</v>
      </c>
      <c r="H1160" t="str" cm="1">
        <f t="array" ref="H1160">_xlfn.IFS(Grammys[[#This Row],[date]] &gt;= DATE(2022,2,1),"Grammys",TRUE,"Grammys TRA")</f>
        <v>Grammys TRA</v>
      </c>
      <c r="I1160">
        <f>_xlfn.XLOOKUP(Grammys[[#This Row],[date]],mobile_visits[date],mobile_visits[mobile_visitors],0)</f>
        <v>0</v>
      </c>
    </row>
    <row r="1161" spans="1:9">
      <c r="A1161" s="1">
        <v>43895</v>
      </c>
      <c r="B1161">
        <v>19719</v>
      </c>
      <c r="C1161">
        <v>25816</v>
      </c>
      <c r="D1161">
        <v>20616</v>
      </c>
      <c r="E1161">
        <v>10162</v>
      </c>
      <c r="F1161">
        <v>74</v>
      </c>
      <c r="G1161" t="s">
        <v>83</v>
      </c>
      <c r="H1161" t="str" cm="1">
        <f t="array" ref="H1161">_xlfn.IFS(Grammys[[#This Row],[date]] &gt;= DATE(2022,2,1),"Grammys",TRUE,"Grammys TRA")</f>
        <v>Grammys TRA</v>
      </c>
      <c r="I1161">
        <f>_xlfn.XLOOKUP(Grammys[[#This Row],[date]],mobile_visits[date],mobile_visits[mobile_visitors],0)</f>
        <v>0</v>
      </c>
    </row>
    <row r="1162" spans="1:9">
      <c r="A1162" s="1">
        <v>43896</v>
      </c>
      <c r="B1162">
        <v>17548</v>
      </c>
      <c r="C1162">
        <v>22707</v>
      </c>
      <c r="D1162">
        <v>18565</v>
      </c>
      <c r="E1162">
        <v>9385</v>
      </c>
      <c r="F1162">
        <v>73</v>
      </c>
      <c r="G1162" t="s">
        <v>83</v>
      </c>
      <c r="H1162" t="str" cm="1">
        <f t="array" ref="H1162">_xlfn.IFS(Grammys[[#This Row],[date]] &gt;= DATE(2022,2,1),"Grammys",TRUE,"Grammys TRA")</f>
        <v>Grammys TRA</v>
      </c>
      <c r="I1162">
        <f>_xlfn.XLOOKUP(Grammys[[#This Row],[date]],mobile_visits[date],mobile_visits[mobile_visitors],0)</f>
        <v>0</v>
      </c>
    </row>
    <row r="1163" spans="1:9">
      <c r="A1163" s="1">
        <v>43897</v>
      </c>
      <c r="B1163">
        <v>16518</v>
      </c>
      <c r="C1163">
        <v>21999</v>
      </c>
      <c r="D1163">
        <v>17327</v>
      </c>
      <c r="E1163">
        <v>8775</v>
      </c>
      <c r="F1163">
        <v>73</v>
      </c>
      <c r="G1163" t="s">
        <v>83</v>
      </c>
      <c r="H1163" t="str" cm="1">
        <f t="array" ref="H1163">_xlfn.IFS(Grammys[[#This Row],[date]] &gt;= DATE(2022,2,1),"Grammys",TRUE,"Grammys TRA")</f>
        <v>Grammys TRA</v>
      </c>
      <c r="I1163">
        <f>_xlfn.XLOOKUP(Grammys[[#This Row],[date]],mobile_visits[date],mobile_visits[mobile_visitors],0)</f>
        <v>0</v>
      </c>
    </row>
    <row r="1164" spans="1:9">
      <c r="A1164" s="1">
        <v>43898</v>
      </c>
      <c r="B1164">
        <v>16027</v>
      </c>
      <c r="C1164">
        <v>20817</v>
      </c>
      <c r="D1164">
        <v>16535</v>
      </c>
      <c r="E1164">
        <v>8662</v>
      </c>
      <c r="F1164">
        <v>67</v>
      </c>
      <c r="G1164" t="s">
        <v>83</v>
      </c>
      <c r="H1164" t="str" cm="1">
        <f t="array" ref="H1164">_xlfn.IFS(Grammys[[#This Row],[date]] &gt;= DATE(2022,2,1),"Grammys",TRUE,"Grammys TRA")</f>
        <v>Grammys TRA</v>
      </c>
      <c r="I1164">
        <f>_xlfn.XLOOKUP(Grammys[[#This Row],[date]],mobile_visits[date],mobile_visits[mobile_visitors],0)</f>
        <v>0</v>
      </c>
    </row>
    <row r="1165" spans="1:9">
      <c r="A1165" s="1">
        <v>43899</v>
      </c>
      <c r="B1165">
        <v>15133</v>
      </c>
      <c r="C1165">
        <v>19590</v>
      </c>
      <c r="D1165">
        <v>15822</v>
      </c>
      <c r="E1165">
        <v>7646</v>
      </c>
      <c r="F1165">
        <v>77</v>
      </c>
      <c r="G1165" t="s">
        <v>83</v>
      </c>
      <c r="H1165" t="str" cm="1">
        <f t="array" ref="H1165">_xlfn.IFS(Grammys[[#This Row],[date]] &gt;= DATE(2022,2,1),"Grammys",TRUE,"Grammys TRA")</f>
        <v>Grammys TRA</v>
      </c>
      <c r="I1165">
        <f>_xlfn.XLOOKUP(Grammys[[#This Row],[date]],mobile_visits[date],mobile_visits[mobile_visitors],0)</f>
        <v>0</v>
      </c>
    </row>
    <row r="1166" spans="1:9">
      <c r="A1166" s="1">
        <v>43900</v>
      </c>
      <c r="B1166">
        <v>16815</v>
      </c>
      <c r="C1166">
        <v>21118</v>
      </c>
      <c r="D1166">
        <v>17430</v>
      </c>
      <c r="E1166">
        <v>7905</v>
      </c>
      <c r="F1166">
        <v>75</v>
      </c>
      <c r="G1166" t="s">
        <v>83</v>
      </c>
      <c r="H1166" t="str" cm="1">
        <f t="array" ref="H1166">_xlfn.IFS(Grammys[[#This Row],[date]] &gt;= DATE(2022,2,1),"Grammys",TRUE,"Grammys TRA")</f>
        <v>Grammys TRA</v>
      </c>
      <c r="I1166">
        <f>_xlfn.XLOOKUP(Grammys[[#This Row],[date]],mobile_visits[date],mobile_visits[mobile_visitors],0)</f>
        <v>0</v>
      </c>
    </row>
    <row r="1167" spans="1:9">
      <c r="A1167" s="1">
        <v>43901</v>
      </c>
      <c r="B1167">
        <v>15536</v>
      </c>
      <c r="C1167">
        <v>19998</v>
      </c>
      <c r="D1167">
        <v>16293</v>
      </c>
      <c r="E1167">
        <v>8383</v>
      </c>
      <c r="F1167">
        <v>70</v>
      </c>
      <c r="G1167" t="s">
        <v>83</v>
      </c>
      <c r="H1167" t="str" cm="1">
        <f t="array" ref="H1167">_xlfn.IFS(Grammys[[#This Row],[date]] &gt;= DATE(2022,2,1),"Grammys",TRUE,"Grammys TRA")</f>
        <v>Grammys TRA</v>
      </c>
      <c r="I1167">
        <f>_xlfn.XLOOKUP(Grammys[[#This Row],[date]],mobile_visits[date],mobile_visits[mobile_visitors],0)</f>
        <v>0</v>
      </c>
    </row>
    <row r="1168" spans="1:9">
      <c r="A1168" s="1">
        <v>43902</v>
      </c>
      <c r="B1168">
        <v>13219</v>
      </c>
      <c r="C1168">
        <v>17624</v>
      </c>
      <c r="D1168">
        <v>13890</v>
      </c>
      <c r="E1168">
        <v>7125</v>
      </c>
      <c r="F1168">
        <v>74</v>
      </c>
      <c r="G1168" t="s">
        <v>83</v>
      </c>
      <c r="H1168" t="str" cm="1">
        <f t="array" ref="H1168">_xlfn.IFS(Grammys[[#This Row],[date]] &gt;= DATE(2022,2,1),"Grammys",TRUE,"Grammys TRA")</f>
        <v>Grammys TRA</v>
      </c>
      <c r="I1168">
        <f>_xlfn.XLOOKUP(Grammys[[#This Row],[date]],mobile_visits[date],mobile_visits[mobile_visitors],0)</f>
        <v>0</v>
      </c>
    </row>
    <row r="1169" spans="1:9">
      <c r="A1169" s="1">
        <v>43903</v>
      </c>
      <c r="B1169">
        <v>12177</v>
      </c>
      <c r="C1169">
        <v>16851</v>
      </c>
      <c r="D1169">
        <v>12866</v>
      </c>
      <c r="E1169">
        <v>6059</v>
      </c>
      <c r="F1169">
        <v>77</v>
      </c>
      <c r="G1169" t="s">
        <v>83</v>
      </c>
      <c r="H1169" t="str" cm="1">
        <f t="array" ref="H1169">_xlfn.IFS(Grammys[[#This Row],[date]] &gt;= DATE(2022,2,1),"Grammys",TRUE,"Grammys TRA")</f>
        <v>Grammys TRA</v>
      </c>
      <c r="I1169">
        <f>_xlfn.XLOOKUP(Grammys[[#This Row],[date]],mobile_visits[date],mobile_visits[mobile_visitors],0)</f>
        <v>0</v>
      </c>
    </row>
    <row r="1170" spans="1:9">
      <c r="A1170" s="1">
        <v>43904</v>
      </c>
      <c r="B1170">
        <v>12401</v>
      </c>
      <c r="C1170">
        <v>16713</v>
      </c>
      <c r="D1170">
        <v>13104</v>
      </c>
      <c r="E1170">
        <v>6195</v>
      </c>
      <c r="F1170">
        <v>72</v>
      </c>
      <c r="G1170" t="s">
        <v>83</v>
      </c>
      <c r="H1170" t="str" cm="1">
        <f t="array" ref="H1170">_xlfn.IFS(Grammys[[#This Row],[date]] &gt;= DATE(2022,2,1),"Grammys",TRUE,"Grammys TRA")</f>
        <v>Grammys TRA</v>
      </c>
      <c r="I1170">
        <f>_xlfn.XLOOKUP(Grammys[[#This Row],[date]],mobile_visits[date],mobile_visits[mobile_visitors],0)</f>
        <v>0</v>
      </c>
    </row>
    <row r="1171" spans="1:9">
      <c r="A1171" s="1">
        <v>43905</v>
      </c>
      <c r="B1171">
        <v>11101</v>
      </c>
      <c r="C1171">
        <v>15447</v>
      </c>
      <c r="D1171">
        <v>11715</v>
      </c>
      <c r="E1171">
        <v>5660</v>
      </c>
      <c r="F1171">
        <v>78</v>
      </c>
      <c r="G1171" t="s">
        <v>83</v>
      </c>
      <c r="H1171" t="str" cm="1">
        <f t="array" ref="H1171">_xlfn.IFS(Grammys[[#This Row],[date]] &gt;= DATE(2022,2,1),"Grammys",TRUE,"Grammys TRA")</f>
        <v>Grammys TRA</v>
      </c>
      <c r="I1171">
        <f>_xlfn.XLOOKUP(Grammys[[#This Row],[date]],mobile_visits[date],mobile_visits[mobile_visitors],0)</f>
        <v>0</v>
      </c>
    </row>
    <row r="1172" spans="1:9">
      <c r="A1172" s="1">
        <v>43906</v>
      </c>
      <c r="B1172">
        <v>10969</v>
      </c>
      <c r="C1172">
        <v>15387</v>
      </c>
      <c r="D1172">
        <v>11642</v>
      </c>
      <c r="E1172">
        <v>5463</v>
      </c>
      <c r="F1172">
        <v>93</v>
      </c>
      <c r="G1172" t="s">
        <v>83</v>
      </c>
      <c r="H1172" t="str" cm="1">
        <f t="array" ref="H1172">_xlfn.IFS(Grammys[[#This Row],[date]] &gt;= DATE(2022,2,1),"Grammys",TRUE,"Grammys TRA")</f>
        <v>Grammys TRA</v>
      </c>
      <c r="I1172">
        <f>_xlfn.XLOOKUP(Grammys[[#This Row],[date]],mobile_visits[date],mobile_visits[mobile_visitors],0)</f>
        <v>0</v>
      </c>
    </row>
    <row r="1173" spans="1:9">
      <c r="A1173" s="1">
        <v>43907</v>
      </c>
      <c r="B1173">
        <v>12614</v>
      </c>
      <c r="C1173">
        <v>16372</v>
      </c>
      <c r="D1173">
        <v>13445</v>
      </c>
      <c r="E1173">
        <v>6340</v>
      </c>
      <c r="F1173">
        <v>88</v>
      </c>
      <c r="G1173" t="s">
        <v>83</v>
      </c>
      <c r="H1173" t="str" cm="1">
        <f t="array" ref="H1173">_xlfn.IFS(Grammys[[#This Row],[date]] &gt;= DATE(2022,2,1),"Grammys",TRUE,"Grammys TRA")</f>
        <v>Grammys TRA</v>
      </c>
      <c r="I1173">
        <f>_xlfn.XLOOKUP(Grammys[[#This Row],[date]],mobile_visits[date],mobile_visits[mobile_visitors],0)</f>
        <v>0</v>
      </c>
    </row>
    <row r="1174" spans="1:9">
      <c r="A1174" s="1">
        <v>43908</v>
      </c>
      <c r="B1174">
        <v>13580</v>
      </c>
      <c r="C1174">
        <v>17298</v>
      </c>
      <c r="D1174">
        <v>14544</v>
      </c>
      <c r="E1174">
        <v>6531</v>
      </c>
      <c r="F1174">
        <v>89</v>
      </c>
      <c r="G1174" t="s">
        <v>83</v>
      </c>
      <c r="H1174" t="str" cm="1">
        <f t="array" ref="H1174">_xlfn.IFS(Grammys[[#This Row],[date]] &gt;= DATE(2022,2,1),"Grammys",TRUE,"Grammys TRA")</f>
        <v>Grammys TRA</v>
      </c>
      <c r="I1174">
        <f>_xlfn.XLOOKUP(Grammys[[#This Row],[date]],mobile_visits[date],mobile_visits[mobile_visitors],0)</f>
        <v>0</v>
      </c>
    </row>
    <row r="1175" spans="1:9">
      <c r="A1175" s="1">
        <v>43909</v>
      </c>
      <c r="B1175">
        <v>13637</v>
      </c>
      <c r="C1175">
        <v>17323</v>
      </c>
      <c r="D1175">
        <v>14645</v>
      </c>
      <c r="E1175">
        <v>6661</v>
      </c>
      <c r="F1175">
        <v>81</v>
      </c>
      <c r="G1175" t="s">
        <v>83</v>
      </c>
      <c r="H1175" t="str" cm="1">
        <f t="array" ref="H1175">_xlfn.IFS(Grammys[[#This Row],[date]] &gt;= DATE(2022,2,1),"Grammys",TRUE,"Grammys TRA")</f>
        <v>Grammys TRA</v>
      </c>
      <c r="I1175">
        <f>_xlfn.XLOOKUP(Grammys[[#This Row],[date]],mobile_visits[date],mobile_visits[mobile_visitors],0)</f>
        <v>0</v>
      </c>
    </row>
    <row r="1176" spans="1:9">
      <c r="A1176" s="1">
        <v>43910</v>
      </c>
      <c r="B1176">
        <v>12790</v>
      </c>
      <c r="C1176">
        <v>16987</v>
      </c>
      <c r="D1176">
        <v>13633</v>
      </c>
      <c r="E1176">
        <v>6191</v>
      </c>
      <c r="F1176">
        <v>89</v>
      </c>
      <c r="G1176" t="s">
        <v>83</v>
      </c>
      <c r="H1176" t="str" cm="1">
        <f t="array" ref="H1176">_xlfn.IFS(Grammys[[#This Row],[date]] &gt;= DATE(2022,2,1),"Grammys",TRUE,"Grammys TRA")</f>
        <v>Grammys TRA</v>
      </c>
      <c r="I1176">
        <f>_xlfn.XLOOKUP(Grammys[[#This Row],[date]],mobile_visits[date],mobile_visits[mobile_visitors],0)</f>
        <v>0</v>
      </c>
    </row>
    <row r="1177" spans="1:9">
      <c r="A1177" s="1">
        <v>43911</v>
      </c>
      <c r="B1177">
        <v>13464</v>
      </c>
      <c r="C1177">
        <v>18264</v>
      </c>
      <c r="D1177">
        <v>14459</v>
      </c>
      <c r="E1177">
        <v>6831</v>
      </c>
      <c r="F1177">
        <v>84</v>
      </c>
      <c r="G1177" t="s">
        <v>83</v>
      </c>
      <c r="H1177" t="str" cm="1">
        <f t="array" ref="H1177">_xlfn.IFS(Grammys[[#This Row],[date]] &gt;= DATE(2022,2,1),"Grammys",TRUE,"Grammys TRA")</f>
        <v>Grammys TRA</v>
      </c>
      <c r="I1177">
        <f>_xlfn.XLOOKUP(Grammys[[#This Row],[date]],mobile_visits[date],mobile_visits[mobile_visitors],0)</f>
        <v>0</v>
      </c>
    </row>
    <row r="1178" spans="1:9">
      <c r="A1178" s="1">
        <v>43912</v>
      </c>
      <c r="B1178">
        <v>12115</v>
      </c>
      <c r="C1178">
        <v>16473</v>
      </c>
      <c r="D1178">
        <v>12827</v>
      </c>
      <c r="E1178">
        <v>6018</v>
      </c>
      <c r="F1178">
        <v>88</v>
      </c>
      <c r="G1178" t="s">
        <v>83</v>
      </c>
      <c r="H1178" t="str" cm="1">
        <f t="array" ref="H1178">_xlfn.IFS(Grammys[[#This Row],[date]] &gt;= DATE(2022,2,1),"Grammys",TRUE,"Grammys TRA")</f>
        <v>Grammys TRA</v>
      </c>
      <c r="I1178">
        <f>_xlfn.XLOOKUP(Grammys[[#This Row],[date]],mobile_visits[date],mobile_visits[mobile_visitors],0)</f>
        <v>0</v>
      </c>
    </row>
    <row r="1179" spans="1:9">
      <c r="A1179" s="1">
        <v>43913</v>
      </c>
      <c r="B1179">
        <v>12679</v>
      </c>
      <c r="C1179">
        <v>17714</v>
      </c>
      <c r="D1179">
        <v>13692</v>
      </c>
      <c r="E1179">
        <v>6140</v>
      </c>
      <c r="F1179">
        <v>105</v>
      </c>
      <c r="G1179" t="s">
        <v>83</v>
      </c>
      <c r="H1179" t="str" cm="1">
        <f t="array" ref="H1179">_xlfn.IFS(Grammys[[#This Row],[date]] &gt;= DATE(2022,2,1),"Grammys",TRUE,"Grammys TRA")</f>
        <v>Grammys TRA</v>
      </c>
      <c r="I1179">
        <f>_xlfn.XLOOKUP(Grammys[[#This Row],[date]],mobile_visits[date],mobile_visits[mobile_visitors],0)</f>
        <v>0</v>
      </c>
    </row>
    <row r="1180" spans="1:9">
      <c r="A1180" s="1">
        <v>43914</v>
      </c>
      <c r="B1180">
        <v>13124</v>
      </c>
      <c r="C1180">
        <v>18239</v>
      </c>
      <c r="D1180">
        <v>14214</v>
      </c>
      <c r="E1180">
        <v>6353</v>
      </c>
      <c r="F1180">
        <v>96</v>
      </c>
      <c r="G1180" t="s">
        <v>83</v>
      </c>
      <c r="H1180" t="str" cm="1">
        <f t="array" ref="H1180">_xlfn.IFS(Grammys[[#This Row],[date]] &gt;= DATE(2022,2,1),"Grammys",TRUE,"Grammys TRA")</f>
        <v>Grammys TRA</v>
      </c>
      <c r="I1180">
        <f>_xlfn.XLOOKUP(Grammys[[#This Row],[date]],mobile_visits[date],mobile_visits[mobile_visitors],0)</f>
        <v>0</v>
      </c>
    </row>
    <row r="1181" spans="1:9">
      <c r="A1181" s="1">
        <v>43915</v>
      </c>
      <c r="B1181">
        <v>15150</v>
      </c>
      <c r="C1181">
        <v>19976</v>
      </c>
      <c r="D1181">
        <v>16146</v>
      </c>
      <c r="E1181">
        <v>6585</v>
      </c>
      <c r="F1181">
        <v>87</v>
      </c>
      <c r="G1181" t="s">
        <v>83</v>
      </c>
      <c r="H1181" t="str" cm="1">
        <f t="array" ref="H1181">_xlfn.IFS(Grammys[[#This Row],[date]] &gt;= DATE(2022,2,1),"Grammys",TRUE,"Grammys TRA")</f>
        <v>Grammys TRA</v>
      </c>
      <c r="I1181">
        <f>_xlfn.XLOOKUP(Grammys[[#This Row],[date]],mobile_visits[date],mobile_visits[mobile_visitors],0)</f>
        <v>0</v>
      </c>
    </row>
    <row r="1182" spans="1:9">
      <c r="A1182" s="1">
        <v>43916</v>
      </c>
      <c r="B1182">
        <v>13628</v>
      </c>
      <c r="C1182">
        <v>18809</v>
      </c>
      <c r="D1182">
        <v>14732</v>
      </c>
      <c r="E1182">
        <v>6403</v>
      </c>
      <c r="F1182">
        <v>101</v>
      </c>
      <c r="G1182" t="s">
        <v>83</v>
      </c>
      <c r="H1182" t="str" cm="1">
        <f t="array" ref="H1182">_xlfn.IFS(Grammys[[#This Row],[date]] &gt;= DATE(2022,2,1),"Grammys",TRUE,"Grammys TRA")</f>
        <v>Grammys TRA</v>
      </c>
      <c r="I1182">
        <f>_xlfn.XLOOKUP(Grammys[[#This Row],[date]],mobile_visits[date],mobile_visits[mobile_visitors],0)</f>
        <v>0</v>
      </c>
    </row>
    <row r="1183" spans="1:9">
      <c r="A1183" s="1">
        <v>43917</v>
      </c>
      <c r="B1183">
        <v>14196</v>
      </c>
      <c r="C1183">
        <v>19066</v>
      </c>
      <c r="D1183">
        <v>15159</v>
      </c>
      <c r="E1183">
        <v>6534</v>
      </c>
      <c r="F1183">
        <v>96</v>
      </c>
      <c r="G1183" t="s">
        <v>83</v>
      </c>
      <c r="H1183" t="str" cm="1">
        <f t="array" ref="H1183">_xlfn.IFS(Grammys[[#This Row],[date]] &gt;= DATE(2022,2,1),"Grammys",TRUE,"Grammys TRA")</f>
        <v>Grammys TRA</v>
      </c>
      <c r="I1183">
        <f>_xlfn.XLOOKUP(Grammys[[#This Row],[date]],mobile_visits[date],mobile_visits[mobile_visitors],0)</f>
        <v>0</v>
      </c>
    </row>
    <row r="1184" spans="1:9">
      <c r="A1184" s="1">
        <v>43918</v>
      </c>
      <c r="B1184">
        <v>14730</v>
      </c>
      <c r="C1184">
        <v>19145</v>
      </c>
      <c r="D1184">
        <v>15784</v>
      </c>
      <c r="E1184">
        <v>6305</v>
      </c>
      <c r="F1184">
        <v>93</v>
      </c>
      <c r="G1184" t="s">
        <v>83</v>
      </c>
      <c r="H1184" t="str" cm="1">
        <f t="array" ref="H1184">_xlfn.IFS(Grammys[[#This Row],[date]] &gt;= DATE(2022,2,1),"Grammys",TRUE,"Grammys TRA")</f>
        <v>Grammys TRA</v>
      </c>
      <c r="I1184">
        <f>_xlfn.XLOOKUP(Grammys[[#This Row],[date]],mobile_visits[date],mobile_visits[mobile_visitors],0)</f>
        <v>0</v>
      </c>
    </row>
    <row r="1185" spans="1:9">
      <c r="A1185" s="1">
        <v>43919</v>
      </c>
      <c r="B1185">
        <v>15682</v>
      </c>
      <c r="C1185">
        <v>21407</v>
      </c>
      <c r="D1185">
        <v>16645</v>
      </c>
      <c r="E1185">
        <v>7208</v>
      </c>
      <c r="F1185">
        <v>97</v>
      </c>
      <c r="G1185" t="s">
        <v>83</v>
      </c>
      <c r="H1185" t="str" cm="1">
        <f t="array" ref="H1185">_xlfn.IFS(Grammys[[#This Row],[date]] &gt;= DATE(2022,2,1),"Grammys",TRUE,"Grammys TRA")</f>
        <v>Grammys TRA</v>
      </c>
      <c r="I1185">
        <f>_xlfn.XLOOKUP(Grammys[[#This Row],[date]],mobile_visits[date],mobile_visits[mobile_visitors],0)</f>
        <v>0</v>
      </c>
    </row>
    <row r="1186" spans="1:9">
      <c r="A1186" s="1">
        <v>43920</v>
      </c>
      <c r="B1186">
        <v>16101</v>
      </c>
      <c r="C1186">
        <v>21582</v>
      </c>
      <c r="D1186">
        <v>17169</v>
      </c>
      <c r="E1186">
        <v>7534</v>
      </c>
      <c r="F1186">
        <v>97</v>
      </c>
      <c r="G1186" t="s">
        <v>83</v>
      </c>
      <c r="H1186" t="str" cm="1">
        <f t="array" ref="H1186">_xlfn.IFS(Grammys[[#This Row],[date]] &gt;= DATE(2022,2,1),"Grammys",TRUE,"Grammys TRA")</f>
        <v>Grammys TRA</v>
      </c>
      <c r="I1186">
        <f>_xlfn.XLOOKUP(Grammys[[#This Row],[date]],mobile_visits[date],mobile_visits[mobile_visitors],0)</f>
        <v>0</v>
      </c>
    </row>
    <row r="1187" spans="1:9">
      <c r="A1187" s="1">
        <v>43921</v>
      </c>
      <c r="B1187">
        <v>20813</v>
      </c>
      <c r="C1187">
        <v>26030</v>
      </c>
      <c r="D1187">
        <v>22255</v>
      </c>
      <c r="E1187">
        <v>9314</v>
      </c>
      <c r="F1187">
        <v>107</v>
      </c>
      <c r="G1187" t="s">
        <v>83</v>
      </c>
      <c r="H1187" t="str" cm="1">
        <f t="array" ref="H1187">_xlfn.IFS(Grammys[[#This Row],[date]] &gt;= DATE(2022,2,1),"Grammys",TRUE,"Grammys TRA")</f>
        <v>Grammys TRA</v>
      </c>
      <c r="I1187">
        <f>_xlfn.XLOOKUP(Grammys[[#This Row],[date]],mobile_visits[date],mobile_visits[mobile_visitors],0)</f>
        <v>0</v>
      </c>
    </row>
    <row r="1188" spans="1:9">
      <c r="A1188" s="1">
        <v>43922</v>
      </c>
      <c r="B1188">
        <v>18988</v>
      </c>
      <c r="C1188">
        <v>24232</v>
      </c>
      <c r="D1188">
        <v>20242</v>
      </c>
      <c r="E1188">
        <v>9103</v>
      </c>
      <c r="F1188">
        <v>100</v>
      </c>
      <c r="G1188" t="s">
        <v>83</v>
      </c>
      <c r="H1188" t="str" cm="1">
        <f t="array" ref="H1188">_xlfn.IFS(Grammys[[#This Row],[date]] &gt;= DATE(2022,2,1),"Grammys",TRUE,"Grammys TRA")</f>
        <v>Grammys TRA</v>
      </c>
      <c r="I1188">
        <f>_xlfn.XLOOKUP(Grammys[[#This Row],[date]],mobile_visits[date],mobile_visits[mobile_visitors],0)</f>
        <v>0</v>
      </c>
    </row>
    <row r="1189" spans="1:9">
      <c r="A1189" s="1">
        <v>43923</v>
      </c>
      <c r="B1189">
        <v>16097</v>
      </c>
      <c r="C1189">
        <v>21916</v>
      </c>
      <c r="D1189">
        <v>17381</v>
      </c>
      <c r="E1189">
        <v>8095</v>
      </c>
      <c r="F1189">
        <v>89</v>
      </c>
      <c r="G1189" t="s">
        <v>83</v>
      </c>
      <c r="H1189" t="str" cm="1">
        <f t="array" ref="H1189">_xlfn.IFS(Grammys[[#This Row],[date]] &gt;= DATE(2022,2,1),"Grammys",TRUE,"Grammys TRA")</f>
        <v>Grammys TRA</v>
      </c>
      <c r="I1189">
        <f>_xlfn.XLOOKUP(Grammys[[#This Row],[date]],mobile_visits[date],mobile_visits[mobile_visitors],0)</f>
        <v>0</v>
      </c>
    </row>
    <row r="1190" spans="1:9">
      <c r="A1190" s="1">
        <v>43924</v>
      </c>
      <c r="B1190">
        <v>17584</v>
      </c>
      <c r="C1190">
        <v>22465</v>
      </c>
      <c r="D1190">
        <v>18822</v>
      </c>
      <c r="E1190">
        <v>8158</v>
      </c>
      <c r="F1190">
        <v>92</v>
      </c>
      <c r="G1190" t="s">
        <v>83</v>
      </c>
      <c r="H1190" t="str" cm="1">
        <f t="array" ref="H1190">_xlfn.IFS(Grammys[[#This Row],[date]] &gt;= DATE(2022,2,1),"Grammys",TRUE,"Grammys TRA")</f>
        <v>Grammys TRA</v>
      </c>
      <c r="I1190">
        <f>_xlfn.XLOOKUP(Grammys[[#This Row],[date]],mobile_visits[date],mobile_visits[mobile_visitors],0)</f>
        <v>0</v>
      </c>
    </row>
    <row r="1191" spans="1:9">
      <c r="A1191" s="1">
        <v>43925</v>
      </c>
      <c r="B1191">
        <v>15075</v>
      </c>
      <c r="C1191">
        <v>20446</v>
      </c>
      <c r="D1191">
        <v>16082</v>
      </c>
      <c r="E1191">
        <v>6945</v>
      </c>
      <c r="F1191">
        <v>91</v>
      </c>
      <c r="G1191" t="s">
        <v>83</v>
      </c>
      <c r="H1191" t="str" cm="1">
        <f t="array" ref="H1191">_xlfn.IFS(Grammys[[#This Row],[date]] &gt;= DATE(2022,2,1),"Grammys",TRUE,"Grammys TRA")</f>
        <v>Grammys TRA</v>
      </c>
      <c r="I1191">
        <f>_xlfn.XLOOKUP(Grammys[[#This Row],[date]],mobile_visits[date],mobile_visits[mobile_visitors],0)</f>
        <v>0</v>
      </c>
    </row>
    <row r="1192" spans="1:9">
      <c r="A1192" s="1">
        <v>43926</v>
      </c>
      <c r="B1192">
        <v>14318</v>
      </c>
      <c r="C1192">
        <v>20032</v>
      </c>
      <c r="D1192">
        <v>15247</v>
      </c>
      <c r="E1192">
        <v>6881</v>
      </c>
      <c r="F1192">
        <v>95</v>
      </c>
      <c r="G1192" t="s">
        <v>83</v>
      </c>
      <c r="H1192" t="str" cm="1">
        <f t="array" ref="H1192">_xlfn.IFS(Grammys[[#This Row],[date]] &gt;= DATE(2022,2,1),"Grammys",TRUE,"Grammys TRA")</f>
        <v>Grammys TRA</v>
      </c>
      <c r="I1192">
        <f>_xlfn.XLOOKUP(Grammys[[#This Row],[date]],mobile_visits[date],mobile_visits[mobile_visitors],0)</f>
        <v>0</v>
      </c>
    </row>
    <row r="1193" spans="1:9">
      <c r="A1193" s="1">
        <v>43927</v>
      </c>
      <c r="B1193">
        <v>16350</v>
      </c>
      <c r="C1193">
        <v>22036</v>
      </c>
      <c r="D1193">
        <v>17404</v>
      </c>
      <c r="E1193">
        <v>8274</v>
      </c>
      <c r="F1193">
        <v>92</v>
      </c>
      <c r="G1193" t="s">
        <v>83</v>
      </c>
      <c r="H1193" t="str" cm="1">
        <f t="array" ref="H1193">_xlfn.IFS(Grammys[[#This Row],[date]] &gt;= DATE(2022,2,1),"Grammys",TRUE,"Grammys TRA")</f>
        <v>Grammys TRA</v>
      </c>
      <c r="I1193">
        <f>_xlfn.XLOOKUP(Grammys[[#This Row],[date]],mobile_visits[date],mobile_visits[mobile_visitors],0)</f>
        <v>0</v>
      </c>
    </row>
    <row r="1194" spans="1:9">
      <c r="A1194" s="1">
        <v>43928</v>
      </c>
      <c r="B1194">
        <v>30882</v>
      </c>
      <c r="C1194">
        <v>32583</v>
      </c>
      <c r="D1194">
        <v>32742</v>
      </c>
      <c r="E1194">
        <v>13225</v>
      </c>
      <c r="F1194">
        <v>83</v>
      </c>
      <c r="G1194" t="s">
        <v>83</v>
      </c>
      <c r="H1194" t="str" cm="1">
        <f t="array" ref="H1194">_xlfn.IFS(Grammys[[#This Row],[date]] &gt;= DATE(2022,2,1),"Grammys",TRUE,"Grammys TRA")</f>
        <v>Grammys TRA</v>
      </c>
      <c r="I1194">
        <f>_xlfn.XLOOKUP(Grammys[[#This Row],[date]],mobile_visits[date],mobile_visits[mobile_visitors],0)</f>
        <v>0</v>
      </c>
    </row>
    <row r="1195" spans="1:9">
      <c r="A1195" s="1">
        <v>43929</v>
      </c>
      <c r="B1195">
        <v>23459</v>
      </c>
      <c r="C1195">
        <v>24826</v>
      </c>
      <c r="D1195">
        <v>24662</v>
      </c>
      <c r="E1195">
        <v>8982</v>
      </c>
      <c r="F1195">
        <v>96</v>
      </c>
      <c r="G1195" t="s">
        <v>83</v>
      </c>
      <c r="H1195" t="str" cm="1">
        <f t="array" ref="H1195">_xlfn.IFS(Grammys[[#This Row],[date]] &gt;= DATE(2022,2,1),"Grammys",TRUE,"Grammys TRA")</f>
        <v>Grammys TRA</v>
      </c>
      <c r="I1195">
        <f>_xlfn.XLOOKUP(Grammys[[#This Row],[date]],mobile_visits[date],mobile_visits[mobile_visitors],0)</f>
        <v>0</v>
      </c>
    </row>
    <row r="1196" spans="1:9">
      <c r="A1196" s="1">
        <v>43930</v>
      </c>
      <c r="B1196">
        <v>37775</v>
      </c>
      <c r="C1196">
        <v>41731</v>
      </c>
      <c r="D1196">
        <v>39371</v>
      </c>
      <c r="E1196">
        <v>14891</v>
      </c>
      <c r="F1196">
        <v>60</v>
      </c>
      <c r="G1196" t="s">
        <v>83</v>
      </c>
      <c r="H1196" t="str" cm="1">
        <f t="array" ref="H1196">_xlfn.IFS(Grammys[[#This Row],[date]] &gt;= DATE(2022,2,1),"Grammys",TRUE,"Grammys TRA")</f>
        <v>Grammys TRA</v>
      </c>
      <c r="I1196">
        <f>_xlfn.XLOOKUP(Grammys[[#This Row],[date]],mobile_visits[date],mobile_visits[mobile_visitors],0)</f>
        <v>0</v>
      </c>
    </row>
    <row r="1197" spans="1:9">
      <c r="A1197" s="1">
        <v>43931</v>
      </c>
      <c r="B1197">
        <v>59911</v>
      </c>
      <c r="C1197">
        <v>66116</v>
      </c>
      <c r="D1197">
        <v>62197</v>
      </c>
      <c r="E1197">
        <v>22995</v>
      </c>
      <c r="F1197">
        <v>54</v>
      </c>
      <c r="G1197" t="s">
        <v>83</v>
      </c>
      <c r="H1197" t="str" cm="1">
        <f t="array" ref="H1197">_xlfn.IFS(Grammys[[#This Row],[date]] &gt;= DATE(2022,2,1),"Grammys",TRUE,"Grammys TRA")</f>
        <v>Grammys TRA</v>
      </c>
      <c r="I1197">
        <f>_xlfn.XLOOKUP(Grammys[[#This Row],[date]],mobile_visits[date],mobile_visits[mobile_visitors],0)</f>
        <v>0</v>
      </c>
    </row>
    <row r="1198" spans="1:9">
      <c r="A1198" s="1">
        <v>43932</v>
      </c>
      <c r="B1198">
        <v>34484</v>
      </c>
      <c r="C1198">
        <v>41875</v>
      </c>
      <c r="D1198">
        <v>36325</v>
      </c>
      <c r="E1198">
        <v>14338</v>
      </c>
      <c r="F1198">
        <v>66</v>
      </c>
      <c r="G1198" t="s">
        <v>83</v>
      </c>
      <c r="H1198" t="str" cm="1">
        <f t="array" ref="H1198">_xlfn.IFS(Grammys[[#This Row],[date]] &gt;= DATE(2022,2,1),"Grammys",TRUE,"Grammys TRA")</f>
        <v>Grammys TRA</v>
      </c>
      <c r="I1198">
        <f>_xlfn.XLOOKUP(Grammys[[#This Row],[date]],mobile_visits[date],mobile_visits[mobile_visitors],0)</f>
        <v>0</v>
      </c>
    </row>
    <row r="1199" spans="1:9">
      <c r="A1199" s="1">
        <v>43933</v>
      </c>
      <c r="B1199">
        <v>29392</v>
      </c>
      <c r="C1199">
        <v>37028</v>
      </c>
      <c r="D1199">
        <v>31142</v>
      </c>
      <c r="E1199">
        <v>12003</v>
      </c>
      <c r="F1199">
        <v>79</v>
      </c>
      <c r="G1199" t="s">
        <v>83</v>
      </c>
      <c r="H1199" t="str" cm="1">
        <f t="array" ref="H1199">_xlfn.IFS(Grammys[[#This Row],[date]] &gt;= DATE(2022,2,1),"Grammys",TRUE,"Grammys TRA")</f>
        <v>Grammys TRA</v>
      </c>
      <c r="I1199">
        <f>_xlfn.XLOOKUP(Grammys[[#This Row],[date]],mobile_visits[date],mobile_visits[mobile_visitors],0)</f>
        <v>0</v>
      </c>
    </row>
    <row r="1200" spans="1:9">
      <c r="A1200" s="1">
        <v>43934</v>
      </c>
      <c r="B1200">
        <v>24009</v>
      </c>
      <c r="C1200">
        <v>30853</v>
      </c>
      <c r="D1200">
        <v>25702</v>
      </c>
      <c r="E1200">
        <v>10222</v>
      </c>
      <c r="F1200">
        <v>91</v>
      </c>
      <c r="G1200" t="s">
        <v>83</v>
      </c>
      <c r="H1200" t="str" cm="1">
        <f t="array" ref="H1200">_xlfn.IFS(Grammys[[#This Row],[date]] &gt;= DATE(2022,2,1),"Grammys",TRUE,"Grammys TRA")</f>
        <v>Grammys TRA</v>
      </c>
      <c r="I1200">
        <f>_xlfn.XLOOKUP(Grammys[[#This Row],[date]],mobile_visits[date],mobile_visits[mobile_visitors],0)</f>
        <v>0</v>
      </c>
    </row>
    <row r="1201" spans="1:9">
      <c r="A1201" s="1">
        <v>43935</v>
      </c>
      <c r="B1201">
        <v>21789</v>
      </c>
      <c r="C1201">
        <v>27991</v>
      </c>
      <c r="D1201">
        <v>23546</v>
      </c>
      <c r="E1201">
        <v>9360</v>
      </c>
      <c r="F1201">
        <v>87</v>
      </c>
      <c r="G1201" t="s">
        <v>83</v>
      </c>
      <c r="H1201" t="str" cm="1">
        <f t="array" ref="H1201">_xlfn.IFS(Grammys[[#This Row],[date]] &gt;= DATE(2022,2,1),"Grammys",TRUE,"Grammys TRA")</f>
        <v>Grammys TRA</v>
      </c>
      <c r="I1201">
        <f>_xlfn.XLOOKUP(Grammys[[#This Row],[date]],mobile_visits[date],mobile_visits[mobile_visitors],0)</f>
        <v>0</v>
      </c>
    </row>
    <row r="1202" spans="1:9">
      <c r="A1202" s="1">
        <v>43936</v>
      </c>
      <c r="B1202">
        <v>25039</v>
      </c>
      <c r="C1202">
        <v>31789</v>
      </c>
      <c r="D1202">
        <v>27023</v>
      </c>
      <c r="E1202">
        <v>9661</v>
      </c>
      <c r="F1202">
        <v>80</v>
      </c>
      <c r="G1202" t="s">
        <v>83</v>
      </c>
      <c r="H1202" t="str" cm="1">
        <f t="array" ref="H1202">_xlfn.IFS(Grammys[[#This Row],[date]] &gt;= DATE(2022,2,1),"Grammys",TRUE,"Grammys TRA")</f>
        <v>Grammys TRA</v>
      </c>
      <c r="I1202">
        <f>_xlfn.XLOOKUP(Grammys[[#This Row],[date]],mobile_visits[date],mobile_visits[mobile_visitors],0)</f>
        <v>0</v>
      </c>
    </row>
    <row r="1203" spans="1:9">
      <c r="A1203" s="1">
        <v>43937</v>
      </c>
      <c r="B1203">
        <v>24642</v>
      </c>
      <c r="C1203">
        <v>31949</v>
      </c>
      <c r="D1203">
        <v>26363</v>
      </c>
      <c r="E1203">
        <v>10575</v>
      </c>
      <c r="F1203">
        <v>82</v>
      </c>
      <c r="G1203" t="s">
        <v>83</v>
      </c>
      <c r="H1203" t="str" cm="1">
        <f t="array" ref="H1203">_xlfn.IFS(Grammys[[#This Row],[date]] &gt;= DATE(2022,2,1),"Grammys",TRUE,"Grammys TRA")</f>
        <v>Grammys TRA</v>
      </c>
      <c r="I1203">
        <f>_xlfn.XLOOKUP(Grammys[[#This Row],[date]],mobile_visits[date],mobile_visits[mobile_visitors],0)</f>
        <v>0</v>
      </c>
    </row>
    <row r="1204" spans="1:9">
      <c r="A1204" s="1">
        <v>43938</v>
      </c>
      <c r="B1204">
        <v>26872</v>
      </c>
      <c r="C1204">
        <v>33662</v>
      </c>
      <c r="D1204">
        <v>28514</v>
      </c>
      <c r="E1204">
        <v>11272</v>
      </c>
      <c r="F1204">
        <v>75</v>
      </c>
      <c r="G1204" t="s">
        <v>83</v>
      </c>
      <c r="H1204" t="str" cm="1">
        <f t="array" ref="H1204">_xlfn.IFS(Grammys[[#This Row],[date]] &gt;= DATE(2022,2,1),"Grammys",TRUE,"Grammys TRA")</f>
        <v>Grammys TRA</v>
      </c>
      <c r="I1204">
        <f>_xlfn.XLOOKUP(Grammys[[#This Row],[date]],mobile_visits[date],mobile_visits[mobile_visitors],0)</f>
        <v>0</v>
      </c>
    </row>
    <row r="1205" spans="1:9">
      <c r="A1205" s="1">
        <v>43939</v>
      </c>
      <c r="B1205">
        <v>28685</v>
      </c>
      <c r="C1205">
        <v>35680</v>
      </c>
      <c r="D1205">
        <v>30333</v>
      </c>
      <c r="E1205">
        <v>12798</v>
      </c>
      <c r="F1205">
        <v>70</v>
      </c>
      <c r="G1205" t="s">
        <v>83</v>
      </c>
      <c r="H1205" t="str" cm="1">
        <f t="array" ref="H1205">_xlfn.IFS(Grammys[[#This Row],[date]] &gt;= DATE(2022,2,1),"Grammys",TRUE,"Grammys TRA")</f>
        <v>Grammys TRA</v>
      </c>
      <c r="I1205">
        <f>_xlfn.XLOOKUP(Grammys[[#This Row],[date]],mobile_visits[date],mobile_visits[mobile_visitors],0)</f>
        <v>0</v>
      </c>
    </row>
    <row r="1206" spans="1:9">
      <c r="A1206" s="1">
        <v>43940</v>
      </c>
      <c r="B1206">
        <v>22772</v>
      </c>
      <c r="C1206">
        <v>29453</v>
      </c>
      <c r="D1206">
        <v>24265</v>
      </c>
      <c r="E1206">
        <v>10022</v>
      </c>
      <c r="F1206">
        <v>81</v>
      </c>
      <c r="G1206" t="s">
        <v>83</v>
      </c>
      <c r="H1206" t="str" cm="1">
        <f t="array" ref="H1206">_xlfn.IFS(Grammys[[#This Row],[date]] &gt;= DATE(2022,2,1),"Grammys",TRUE,"Grammys TRA")</f>
        <v>Grammys TRA</v>
      </c>
      <c r="I1206">
        <f>_xlfn.XLOOKUP(Grammys[[#This Row],[date]],mobile_visits[date],mobile_visits[mobile_visitors],0)</f>
        <v>0</v>
      </c>
    </row>
    <row r="1207" spans="1:9">
      <c r="A1207" s="1">
        <v>43941</v>
      </c>
      <c r="B1207">
        <v>23122</v>
      </c>
      <c r="C1207">
        <v>31876</v>
      </c>
      <c r="D1207">
        <v>24920</v>
      </c>
      <c r="E1207">
        <v>10778</v>
      </c>
      <c r="F1207">
        <v>90</v>
      </c>
      <c r="G1207" t="s">
        <v>83</v>
      </c>
      <c r="H1207" t="str" cm="1">
        <f t="array" ref="H1207">_xlfn.IFS(Grammys[[#This Row],[date]] &gt;= DATE(2022,2,1),"Grammys",TRUE,"Grammys TRA")</f>
        <v>Grammys TRA</v>
      </c>
      <c r="I1207">
        <f>_xlfn.XLOOKUP(Grammys[[#This Row],[date]],mobile_visits[date],mobile_visits[mobile_visitors],0)</f>
        <v>0</v>
      </c>
    </row>
    <row r="1208" spans="1:9">
      <c r="A1208" s="1">
        <v>43942</v>
      </c>
      <c r="B1208">
        <v>64079</v>
      </c>
      <c r="C1208">
        <v>84543</v>
      </c>
      <c r="D1208">
        <v>69876</v>
      </c>
      <c r="E1208">
        <v>23591</v>
      </c>
      <c r="F1208">
        <v>95</v>
      </c>
      <c r="G1208" t="s">
        <v>83</v>
      </c>
      <c r="H1208" t="str" cm="1">
        <f t="array" ref="H1208">_xlfn.IFS(Grammys[[#This Row],[date]] &gt;= DATE(2022,2,1),"Grammys",TRUE,"Grammys TRA")</f>
        <v>Grammys TRA</v>
      </c>
      <c r="I1208">
        <f>_xlfn.XLOOKUP(Grammys[[#This Row],[date]],mobile_visits[date],mobile_visits[mobile_visitors],0)</f>
        <v>0</v>
      </c>
    </row>
    <row r="1209" spans="1:9">
      <c r="A1209" s="1">
        <v>43943</v>
      </c>
      <c r="B1209">
        <v>46135</v>
      </c>
      <c r="C1209">
        <v>67713</v>
      </c>
      <c r="D1209">
        <v>49576</v>
      </c>
      <c r="E1209">
        <v>15805</v>
      </c>
      <c r="F1209">
        <v>116</v>
      </c>
      <c r="G1209" t="s">
        <v>83</v>
      </c>
      <c r="H1209" t="str" cm="1">
        <f t="array" ref="H1209">_xlfn.IFS(Grammys[[#This Row],[date]] &gt;= DATE(2022,2,1),"Grammys",TRUE,"Grammys TRA")</f>
        <v>Grammys TRA</v>
      </c>
      <c r="I1209">
        <f>_xlfn.XLOOKUP(Grammys[[#This Row],[date]],mobile_visits[date],mobile_visits[mobile_visitors],0)</f>
        <v>0</v>
      </c>
    </row>
    <row r="1210" spans="1:9">
      <c r="A1210" s="1">
        <v>43944</v>
      </c>
      <c r="B1210">
        <v>45185</v>
      </c>
      <c r="C1210">
        <v>68731</v>
      </c>
      <c r="D1210">
        <v>49096</v>
      </c>
      <c r="E1210">
        <v>15083</v>
      </c>
      <c r="F1210">
        <v>125</v>
      </c>
      <c r="G1210" t="s">
        <v>83</v>
      </c>
      <c r="H1210" t="str" cm="1">
        <f t="array" ref="H1210">_xlfn.IFS(Grammys[[#This Row],[date]] &gt;= DATE(2022,2,1),"Grammys",TRUE,"Grammys TRA")</f>
        <v>Grammys TRA</v>
      </c>
      <c r="I1210">
        <f>_xlfn.XLOOKUP(Grammys[[#This Row],[date]],mobile_visits[date],mobile_visits[mobile_visitors],0)</f>
        <v>0</v>
      </c>
    </row>
    <row r="1211" spans="1:9">
      <c r="A1211" s="1">
        <v>43945</v>
      </c>
      <c r="B1211">
        <v>35853</v>
      </c>
      <c r="C1211">
        <v>48940</v>
      </c>
      <c r="D1211">
        <v>39106</v>
      </c>
      <c r="E1211">
        <v>12988</v>
      </c>
      <c r="F1211">
        <v>103</v>
      </c>
      <c r="G1211" t="s">
        <v>83</v>
      </c>
      <c r="H1211" t="str" cm="1">
        <f t="array" ref="H1211">_xlfn.IFS(Grammys[[#This Row],[date]] &gt;= DATE(2022,2,1),"Grammys",TRUE,"Grammys TRA")</f>
        <v>Grammys TRA</v>
      </c>
      <c r="I1211">
        <f>_xlfn.XLOOKUP(Grammys[[#This Row],[date]],mobile_visits[date],mobile_visits[mobile_visitors],0)</f>
        <v>0</v>
      </c>
    </row>
    <row r="1212" spans="1:9">
      <c r="A1212" s="1">
        <v>43946</v>
      </c>
      <c r="B1212">
        <v>38782</v>
      </c>
      <c r="C1212">
        <v>54324</v>
      </c>
      <c r="D1212">
        <v>42047</v>
      </c>
      <c r="E1212">
        <v>12350</v>
      </c>
      <c r="F1212">
        <v>121</v>
      </c>
      <c r="G1212" t="s">
        <v>83</v>
      </c>
      <c r="H1212" t="str" cm="1">
        <f t="array" ref="H1212">_xlfn.IFS(Grammys[[#This Row],[date]] &gt;= DATE(2022,2,1),"Grammys",TRUE,"Grammys TRA")</f>
        <v>Grammys TRA</v>
      </c>
      <c r="I1212">
        <f>_xlfn.XLOOKUP(Grammys[[#This Row],[date]],mobile_visits[date],mobile_visits[mobile_visitors],0)</f>
        <v>0</v>
      </c>
    </row>
    <row r="1213" spans="1:9">
      <c r="A1213" s="1">
        <v>43947</v>
      </c>
      <c r="B1213">
        <v>31371</v>
      </c>
      <c r="C1213">
        <v>42570</v>
      </c>
      <c r="D1213">
        <v>33966</v>
      </c>
      <c r="E1213">
        <v>11559</v>
      </c>
      <c r="F1213">
        <v>112</v>
      </c>
      <c r="G1213" t="s">
        <v>83</v>
      </c>
      <c r="H1213" t="str" cm="1">
        <f t="array" ref="H1213">_xlfn.IFS(Grammys[[#This Row],[date]] &gt;= DATE(2022,2,1),"Grammys",TRUE,"Grammys TRA")</f>
        <v>Grammys TRA</v>
      </c>
      <c r="I1213">
        <f>_xlfn.XLOOKUP(Grammys[[#This Row],[date]],mobile_visits[date],mobile_visits[mobile_visitors],0)</f>
        <v>0</v>
      </c>
    </row>
    <row r="1214" spans="1:9">
      <c r="A1214" s="1">
        <v>43948</v>
      </c>
      <c r="B1214">
        <v>21492</v>
      </c>
      <c r="C1214">
        <v>30360</v>
      </c>
      <c r="D1214">
        <v>23091</v>
      </c>
      <c r="E1214">
        <v>8964</v>
      </c>
      <c r="F1214">
        <v>119</v>
      </c>
      <c r="G1214" t="s">
        <v>83</v>
      </c>
      <c r="H1214" t="str" cm="1">
        <f t="array" ref="H1214">_xlfn.IFS(Grammys[[#This Row],[date]] &gt;= DATE(2022,2,1),"Grammys",TRUE,"Grammys TRA")</f>
        <v>Grammys TRA</v>
      </c>
      <c r="I1214">
        <f>_xlfn.XLOOKUP(Grammys[[#This Row],[date]],mobile_visits[date],mobile_visits[mobile_visitors],0)</f>
        <v>0</v>
      </c>
    </row>
    <row r="1215" spans="1:9">
      <c r="A1215" s="1">
        <v>43949</v>
      </c>
      <c r="B1215">
        <v>20397</v>
      </c>
      <c r="C1215">
        <v>27741</v>
      </c>
      <c r="D1215">
        <v>22061</v>
      </c>
      <c r="E1215">
        <v>9769</v>
      </c>
      <c r="F1215">
        <v>103</v>
      </c>
      <c r="G1215" t="s">
        <v>83</v>
      </c>
      <c r="H1215" t="str" cm="1">
        <f t="array" ref="H1215">_xlfn.IFS(Grammys[[#This Row],[date]] &gt;= DATE(2022,2,1),"Grammys",TRUE,"Grammys TRA")</f>
        <v>Grammys TRA</v>
      </c>
      <c r="I1215">
        <f>_xlfn.XLOOKUP(Grammys[[#This Row],[date]],mobile_visits[date],mobile_visits[mobile_visitors],0)</f>
        <v>0</v>
      </c>
    </row>
    <row r="1216" spans="1:9">
      <c r="A1216" s="1">
        <v>43950</v>
      </c>
      <c r="B1216">
        <v>20771</v>
      </c>
      <c r="C1216">
        <v>28566</v>
      </c>
      <c r="D1216">
        <v>22195</v>
      </c>
      <c r="E1216">
        <v>9911</v>
      </c>
      <c r="F1216">
        <v>99</v>
      </c>
      <c r="G1216" t="s">
        <v>83</v>
      </c>
      <c r="H1216" t="str" cm="1">
        <f t="array" ref="H1216">_xlfn.IFS(Grammys[[#This Row],[date]] &gt;= DATE(2022,2,1),"Grammys",TRUE,"Grammys TRA")</f>
        <v>Grammys TRA</v>
      </c>
      <c r="I1216">
        <f>_xlfn.XLOOKUP(Grammys[[#This Row],[date]],mobile_visits[date],mobile_visits[mobile_visitors],0)</f>
        <v>0</v>
      </c>
    </row>
    <row r="1217" spans="1:9">
      <c r="A1217" s="1">
        <v>43951</v>
      </c>
      <c r="B1217">
        <v>19230</v>
      </c>
      <c r="C1217">
        <v>26856</v>
      </c>
      <c r="D1217">
        <v>20799</v>
      </c>
      <c r="E1217">
        <v>9038</v>
      </c>
      <c r="F1217">
        <v>97</v>
      </c>
      <c r="G1217" t="s">
        <v>83</v>
      </c>
      <c r="H1217" t="str" cm="1">
        <f t="array" ref="H1217">_xlfn.IFS(Grammys[[#This Row],[date]] &gt;= DATE(2022,2,1),"Grammys",TRUE,"Grammys TRA")</f>
        <v>Grammys TRA</v>
      </c>
      <c r="I1217">
        <f>_xlfn.XLOOKUP(Grammys[[#This Row],[date]],mobile_visits[date],mobile_visits[mobile_visitors],0)</f>
        <v>0</v>
      </c>
    </row>
    <row r="1218" spans="1:9">
      <c r="A1218" s="1">
        <v>43952</v>
      </c>
      <c r="B1218">
        <v>18276</v>
      </c>
      <c r="C1218">
        <v>25436</v>
      </c>
      <c r="D1218">
        <v>19412</v>
      </c>
      <c r="E1218">
        <v>8505</v>
      </c>
      <c r="F1218">
        <v>99</v>
      </c>
      <c r="G1218" t="s">
        <v>83</v>
      </c>
      <c r="H1218" t="str" cm="1">
        <f t="array" ref="H1218">_xlfn.IFS(Grammys[[#This Row],[date]] &gt;= DATE(2022,2,1),"Grammys",TRUE,"Grammys TRA")</f>
        <v>Grammys TRA</v>
      </c>
      <c r="I1218">
        <f>_xlfn.XLOOKUP(Grammys[[#This Row],[date]],mobile_visits[date],mobile_visits[mobile_visitors],0)</f>
        <v>0</v>
      </c>
    </row>
    <row r="1219" spans="1:9">
      <c r="A1219" s="1">
        <v>43953</v>
      </c>
      <c r="B1219">
        <v>17143</v>
      </c>
      <c r="C1219">
        <v>23845</v>
      </c>
      <c r="D1219">
        <v>18166</v>
      </c>
      <c r="E1219">
        <v>7561</v>
      </c>
      <c r="F1219">
        <v>99</v>
      </c>
      <c r="G1219" t="s">
        <v>83</v>
      </c>
      <c r="H1219" t="str" cm="1">
        <f t="array" ref="H1219">_xlfn.IFS(Grammys[[#This Row],[date]] &gt;= DATE(2022,2,1),"Grammys",TRUE,"Grammys TRA")</f>
        <v>Grammys TRA</v>
      </c>
      <c r="I1219">
        <f>_xlfn.XLOOKUP(Grammys[[#This Row],[date]],mobile_visits[date],mobile_visits[mobile_visitors],0)</f>
        <v>0</v>
      </c>
    </row>
    <row r="1220" spans="1:9">
      <c r="A1220" s="1">
        <v>43954</v>
      </c>
      <c r="B1220">
        <v>18068</v>
      </c>
      <c r="C1220">
        <v>24951</v>
      </c>
      <c r="D1220">
        <v>19365</v>
      </c>
      <c r="E1220">
        <v>7925</v>
      </c>
      <c r="F1220">
        <v>95</v>
      </c>
      <c r="G1220" t="s">
        <v>83</v>
      </c>
      <c r="H1220" t="str" cm="1">
        <f t="array" ref="H1220">_xlfn.IFS(Grammys[[#This Row],[date]] &gt;= DATE(2022,2,1),"Grammys",TRUE,"Grammys TRA")</f>
        <v>Grammys TRA</v>
      </c>
      <c r="I1220">
        <f>_xlfn.XLOOKUP(Grammys[[#This Row],[date]],mobile_visits[date],mobile_visits[mobile_visitors],0)</f>
        <v>0</v>
      </c>
    </row>
    <row r="1221" spans="1:9">
      <c r="A1221" s="1">
        <v>43955</v>
      </c>
      <c r="B1221">
        <v>18477</v>
      </c>
      <c r="C1221">
        <v>23477</v>
      </c>
      <c r="D1221">
        <v>19831</v>
      </c>
      <c r="E1221">
        <v>7814</v>
      </c>
      <c r="F1221">
        <v>100</v>
      </c>
      <c r="G1221" t="s">
        <v>83</v>
      </c>
      <c r="H1221" t="str" cm="1">
        <f t="array" ref="H1221">_xlfn.IFS(Grammys[[#This Row],[date]] &gt;= DATE(2022,2,1),"Grammys",TRUE,"Grammys TRA")</f>
        <v>Grammys TRA</v>
      </c>
      <c r="I1221">
        <f>_xlfn.XLOOKUP(Grammys[[#This Row],[date]],mobile_visits[date],mobile_visits[mobile_visitors],0)</f>
        <v>0</v>
      </c>
    </row>
    <row r="1222" spans="1:9">
      <c r="A1222" s="1">
        <v>43956</v>
      </c>
      <c r="B1222">
        <v>20217</v>
      </c>
      <c r="C1222">
        <v>35919</v>
      </c>
      <c r="D1222">
        <v>21935</v>
      </c>
      <c r="E1222">
        <v>9533</v>
      </c>
      <c r="F1222">
        <v>101</v>
      </c>
      <c r="G1222" t="s">
        <v>83</v>
      </c>
      <c r="H1222" t="str" cm="1">
        <f t="array" ref="H1222">_xlfn.IFS(Grammys[[#This Row],[date]] &gt;= DATE(2022,2,1),"Grammys",TRUE,"Grammys TRA")</f>
        <v>Grammys TRA</v>
      </c>
      <c r="I1222">
        <f>_xlfn.XLOOKUP(Grammys[[#This Row],[date]],mobile_visits[date],mobile_visits[mobile_visitors],0)</f>
        <v>0</v>
      </c>
    </row>
    <row r="1223" spans="1:9">
      <c r="A1223" s="1">
        <v>43957</v>
      </c>
      <c r="B1223">
        <v>25702</v>
      </c>
      <c r="C1223">
        <v>44704</v>
      </c>
      <c r="D1223">
        <v>27667</v>
      </c>
      <c r="E1223">
        <v>14833</v>
      </c>
      <c r="F1223">
        <v>84</v>
      </c>
      <c r="G1223" t="s">
        <v>83</v>
      </c>
      <c r="H1223" t="str" cm="1">
        <f t="array" ref="H1223">_xlfn.IFS(Grammys[[#This Row],[date]] &gt;= DATE(2022,2,1),"Grammys",TRUE,"Grammys TRA")</f>
        <v>Grammys TRA</v>
      </c>
      <c r="I1223">
        <f>_xlfn.XLOOKUP(Grammys[[#This Row],[date]],mobile_visits[date],mobile_visits[mobile_visitors],0)</f>
        <v>0</v>
      </c>
    </row>
    <row r="1224" spans="1:9">
      <c r="A1224" s="1">
        <v>43958</v>
      </c>
      <c r="B1224">
        <v>22901</v>
      </c>
      <c r="C1224">
        <v>41383</v>
      </c>
      <c r="D1224">
        <v>24346</v>
      </c>
      <c r="E1224">
        <v>11964</v>
      </c>
      <c r="F1224">
        <v>94</v>
      </c>
      <c r="G1224" t="s">
        <v>83</v>
      </c>
      <c r="H1224" t="str" cm="1">
        <f t="array" ref="H1224">_xlfn.IFS(Grammys[[#This Row],[date]] &gt;= DATE(2022,2,1),"Grammys",TRUE,"Grammys TRA")</f>
        <v>Grammys TRA</v>
      </c>
      <c r="I1224">
        <f>_xlfn.XLOOKUP(Grammys[[#This Row],[date]],mobile_visits[date],mobile_visits[mobile_visitors],0)</f>
        <v>0</v>
      </c>
    </row>
    <row r="1225" spans="1:9">
      <c r="A1225" s="1">
        <v>43959</v>
      </c>
      <c r="B1225">
        <v>20690</v>
      </c>
      <c r="C1225">
        <v>37348</v>
      </c>
      <c r="D1225">
        <v>22338</v>
      </c>
      <c r="E1225">
        <v>10535</v>
      </c>
      <c r="F1225">
        <v>103</v>
      </c>
      <c r="G1225" t="s">
        <v>83</v>
      </c>
      <c r="H1225" t="str" cm="1">
        <f t="array" ref="H1225">_xlfn.IFS(Grammys[[#This Row],[date]] &gt;= DATE(2022,2,1),"Grammys",TRUE,"Grammys TRA")</f>
        <v>Grammys TRA</v>
      </c>
      <c r="I1225">
        <f>_xlfn.XLOOKUP(Grammys[[#This Row],[date]],mobile_visits[date],mobile_visits[mobile_visitors],0)</f>
        <v>0</v>
      </c>
    </row>
    <row r="1226" spans="1:9">
      <c r="A1226" s="1">
        <v>43960</v>
      </c>
      <c r="B1226">
        <v>20417</v>
      </c>
      <c r="C1226">
        <v>36676</v>
      </c>
      <c r="D1226">
        <v>21986</v>
      </c>
      <c r="E1226">
        <v>9980</v>
      </c>
      <c r="F1226">
        <v>106</v>
      </c>
      <c r="G1226" t="s">
        <v>83</v>
      </c>
      <c r="H1226" t="str" cm="1">
        <f t="array" ref="H1226">_xlfn.IFS(Grammys[[#This Row],[date]] &gt;= DATE(2022,2,1),"Grammys",TRUE,"Grammys TRA")</f>
        <v>Grammys TRA</v>
      </c>
      <c r="I1226">
        <f>_xlfn.XLOOKUP(Grammys[[#This Row],[date]],mobile_visits[date],mobile_visits[mobile_visitors],0)</f>
        <v>0</v>
      </c>
    </row>
    <row r="1227" spans="1:9">
      <c r="A1227" s="1">
        <v>43961</v>
      </c>
      <c r="B1227">
        <v>18201</v>
      </c>
      <c r="C1227">
        <v>33186</v>
      </c>
      <c r="D1227">
        <v>19446</v>
      </c>
      <c r="E1227">
        <v>9360</v>
      </c>
      <c r="F1227">
        <v>94</v>
      </c>
      <c r="G1227" t="s">
        <v>83</v>
      </c>
      <c r="H1227" t="str" cm="1">
        <f t="array" ref="H1227">_xlfn.IFS(Grammys[[#This Row],[date]] &gt;= DATE(2022,2,1),"Grammys",TRUE,"Grammys TRA")</f>
        <v>Grammys TRA</v>
      </c>
      <c r="I1227">
        <f>_xlfn.XLOOKUP(Grammys[[#This Row],[date]],mobile_visits[date],mobile_visits[mobile_visitors],0)</f>
        <v>0</v>
      </c>
    </row>
    <row r="1228" spans="1:9">
      <c r="A1228" s="1">
        <v>43962</v>
      </c>
      <c r="B1228">
        <v>18382</v>
      </c>
      <c r="C1228">
        <v>33614</v>
      </c>
      <c r="D1228">
        <v>19754</v>
      </c>
      <c r="E1228">
        <v>9546</v>
      </c>
      <c r="F1228">
        <v>98</v>
      </c>
      <c r="G1228" t="s">
        <v>83</v>
      </c>
      <c r="H1228" t="str" cm="1">
        <f t="array" ref="H1228">_xlfn.IFS(Grammys[[#This Row],[date]] &gt;= DATE(2022,2,1),"Grammys",TRUE,"Grammys TRA")</f>
        <v>Grammys TRA</v>
      </c>
      <c r="I1228">
        <f>_xlfn.XLOOKUP(Grammys[[#This Row],[date]],mobile_visits[date],mobile_visits[mobile_visitors],0)</f>
        <v>0</v>
      </c>
    </row>
    <row r="1229" spans="1:9">
      <c r="A1229" s="1">
        <v>43963</v>
      </c>
      <c r="B1229">
        <v>17456</v>
      </c>
      <c r="C1229">
        <v>32518</v>
      </c>
      <c r="D1229">
        <v>18748</v>
      </c>
      <c r="E1229">
        <v>8827</v>
      </c>
      <c r="F1229">
        <v>95</v>
      </c>
      <c r="G1229" t="s">
        <v>83</v>
      </c>
      <c r="H1229" t="str" cm="1">
        <f t="array" ref="H1229">_xlfn.IFS(Grammys[[#This Row],[date]] &gt;= DATE(2022,2,1),"Grammys",TRUE,"Grammys TRA")</f>
        <v>Grammys TRA</v>
      </c>
      <c r="I1229">
        <f>_xlfn.XLOOKUP(Grammys[[#This Row],[date]],mobile_visits[date],mobile_visits[mobile_visitors],0)</f>
        <v>0</v>
      </c>
    </row>
    <row r="1230" spans="1:9">
      <c r="A1230" s="1">
        <v>43964</v>
      </c>
      <c r="B1230">
        <v>18307</v>
      </c>
      <c r="C1230">
        <v>34197</v>
      </c>
      <c r="D1230">
        <v>19862</v>
      </c>
      <c r="E1230">
        <v>8891</v>
      </c>
      <c r="F1230">
        <v>99</v>
      </c>
      <c r="G1230" t="s">
        <v>83</v>
      </c>
      <c r="H1230" t="str" cm="1">
        <f t="array" ref="H1230">_xlfn.IFS(Grammys[[#This Row],[date]] &gt;= DATE(2022,2,1),"Grammys",TRUE,"Grammys TRA")</f>
        <v>Grammys TRA</v>
      </c>
      <c r="I1230">
        <f>_xlfn.XLOOKUP(Grammys[[#This Row],[date]],mobile_visits[date],mobile_visits[mobile_visitors],0)</f>
        <v>0</v>
      </c>
    </row>
    <row r="1231" spans="1:9">
      <c r="A1231" s="1">
        <v>43965</v>
      </c>
      <c r="B1231">
        <v>23339</v>
      </c>
      <c r="C1231">
        <v>39684</v>
      </c>
      <c r="D1231">
        <v>24683</v>
      </c>
      <c r="E1231">
        <v>10886</v>
      </c>
      <c r="F1231">
        <v>85</v>
      </c>
      <c r="G1231" t="s">
        <v>83</v>
      </c>
      <c r="H1231" t="str" cm="1">
        <f t="array" ref="H1231">_xlfn.IFS(Grammys[[#This Row],[date]] &gt;= DATE(2022,2,1),"Grammys",TRUE,"Grammys TRA")</f>
        <v>Grammys TRA</v>
      </c>
      <c r="I1231">
        <f>_xlfn.XLOOKUP(Grammys[[#This Row],[date]],mobile_visits[date],mobile_visits[mobile_visitors],0)</f>
        <v>0</v>
      </c>
    </row>
    <row r="1232" spans="1:9">
      <c r="A1232" s="1">
        <v>43966</v>
      </c>
      <c r="B1232">
        <v>24307</v>
      </c>
      <c r="C1232">
        <v>40751</v>
      </c>
      <c r="D1232">
        <v>25877</v>
      </c>
      <c r="E1232">
        <v>10988</v>
      </c>
      <c r="F1232">
        <v>78</v>
      </c>
      <c r="G1232" t="s">
        <v>83</v>
      </c>
      <c r="H1232" t="str" cm="1">
        <f t="array" ref="H1232">_xlfn.IFS(Grammys[[#This Row],[date]] &gt;= DATE(2022,2,1),"Grammys",TRUE,"Grammys TRA")</f>
        <v>Grammys TRA</v>
      </c>
      <c r="I1232">
        <f>_xlfn.XLOOKUP(Grammys[[#This Row],[date]],mobile_visits[date],mobile_visits[mobile_visitors],0)</f>
        <v>0</v>
      </c>
    </row>
    <row r="1233" spans="1:9">
      <c r="A1233" s="1">
        <v>43967</v>
      </c>
      <c r="B1233">
        <v>22974</v>
      </c>
      <c r="C1233">
        <v>37936</v>
      </c>
      <c r="D1233">
        <v>24286</v>
      </c>
      <c r="E1233">
        <v>10477</v>
      </c>
      <c r="F1233">
        <v>77</v>
      </c>
      <c r="G1233" t="s">
        <v>83</v>
      </c>
      <c r="H1233" t="str" cm="1">
        <f t="array" ref="H1233">_xlfn.IFS(Grammys[[#This Row],[date]] &gt;= DATE(2022,2,1),"Grammys",TRUE,"Grammys TRA")</f>
        <v>Grammys TRA</v>
      </c>
      <c r="I1233">
        <f>_xlfn.XLOOKUP(Grammys[[#This Row],[date]],mobile_visits[date],mobile_visits[mobile_visitors],0)</f>
        <v>0</v>
      </c>
    </row>
    <row r="1234" spans="1:9">
      <c r="A1234" s="1">
        <v>43968</v>
      </c>
      <c r="B1234">
        <v>19652</v>
      </c>
      <c r="C1234">
        <v>33729</v>
      </c>
      <c r="D1234">
        <v>20745</v>
      </c>
      <c r="E1234">
        <v>8906</v>
      </c>
      <c r="F1234">
        <v>86</v>
      </c>
      <c r="G1234" t="s">
        <v>83</v>
      </c>
      <c r="H1234" t="str" cm="1">
        <f t="array" ref="H1234">_xlfn.IFS(Grammys[[#This Row],[date]] &gt;= DATE(2022,2,1),"Grammys",TRUE,"Grammys TRA")</f>
        <v>Grammys TRA</v>
      </c>
      <c r="I1234">
        <f>_xlfn.XLOOKUP(Grammys[[#This Row],[date]],mobile_visits[date],mobile_visits[mobile_visitors],0)</f>
        <v>0</v>
      </c>
    </row>
    <row r="1235" spans="1:9">
      <c r="A1235" s="1">
        <v>43969</v>
      </c>
      <c r="B1235">
        <v>17842</v>
      </c>
      <c r="C1235">
        <v>32873</v>
      </c>
      <c r="D1235">
        <v>19081</v>
      </c>
      <c r="E1235">
        <v>8961</v>
      </c>
      <c r="F1235">
        <v>93</v>
      </c>
      <c r="G1235" t="s">
        <v>83</v>
      </c>
      <c r="H1235" t="str" cm="1">
        <f t="array" ref="H1235">_xlfn.IFS(Grammys[[#This Row],[date]] &gt;= DATE(2022,2,1),"Grammys",TRUE,"Grammys TRA")</f>
        <v>Grammys TRA</v>
      </c>
      <c r="I1235">
        <f>_xlfn.XLOOKUP(Grammys[[#This Row],[date]],mobile_visits[date],mobile_visits[mobile_visitors],0)</f>
        <v>0</v>
      </c>
    </row>
    <row r="1236" spans="1:9">
      <c r="A1236" s="1">
        <v>43970</v>
      </c>
      <c r="B1236">
        <v>17582</v>
      </c>
      <c r="C1236">
        <v>32037</v>
      </c>
      <c r="D1236">
        <v>18723</v>
      </c>
      <c r="E1236">
        <v>8855</v>
      </c>
      <c r="F1236">
        <v>88</v>
      </c>
      <c r="G1236" t="s">
        <v>83</v>
      </c>
      <c r="H1236" t="str" cm="1">
        <f t="array" ref="H1236">_xlfn.IFS(Grammys[[#This Row],[date]] &gt;= DATE(2022,2,1),"Grammys",TRUE,"Grammys TRA")</f>
        <v>Grammys TRA</v>
      </c>
      <c r="I1236">
        <f>_xlfn.XLOOKUP(Grammys[[#This Row],[date]],mobile_visits[date],mobile_visits[mobile_visitors],0)</f>
        <v>0</v>
      </c>
    </row>
    <row r="1237" spans="1:9">
      <c r="A1237" s="1">
        <v>43971</v>
      </c>
      <c r="B1237">
        <v>18808</v>
      </c>
      <c r="C1237">
        <v>34488</v>
      </c>
      <c r="D1237">
        <v>20236</v>
      </c>
      <c r="E1237">
        <v>9522</v>
      </c>
      <c r="F1237">
        <v>93</v>
      </c>
      <c r="G1237" t="s">
        <v>83</v>
      </c>
      <c r="H1237" t="str" cm="1">
        <f t="array" ref="H1237">_xlfn.IFS(Grammys[[#This Row],[date]] &gt;= DATE(2022,2,1),"Grammys",TRUE,"Grammys TRA")</f>
        <v>Grammys TRA</v>
      </c>
      <c r="I1237">
        <f>_xlfn.XLOOKUP(Grammys[[#This Row],[date]],mobile_visits[date],mobile_visits[mobile_visitors],0)</f>
        <v>0</v>
      </c>
    </row>
    <row r="1238" spans="1:9">
      <c r="A1238" s="1">
        <v>43972</v>
      </c>
      <c r="B1238">
        <v>19197</v>
      </c>
      <c r="C1238">
        <v>34716</v>
      </c>
      <c r="D1238">
        <v>20620</v>
      </c>
      <c r="E1238">
        <v>9877</v>
      </c>
      <c r="F1238">
        <v>86</v>
      </c>
      <c r="G1238" t="s">
        <v>83</v>
      </c>
      <c r="H1238" t="str" cm="1">
        <f t="array" ref="H1238">_xlfn.IFS(Grammys[[#This Row],[date]] &gt;= DATE(2022,2,1),"Grammys",TRUE,"Grammys TRA")</f>
        <v>Grammys TRA</v>
      </c>
      <c r="I1238">
        <f>_xlfn.XLOOKUP(Grammys[[#This Row],[date]],mobile_visits[date],mobile_visits[mobile_visitors],0)</f>
        <v>0</v>
      </c>
    </row>
    <row r="1239" spans="1:9">
      <c r="A1239" s="1">
        <v>43973</v>
      </c>
      <c r="B1239">
        <v>18912</v>
      </c>
      <c r="C1239">
        <v>33561</v>
      </c>
      <c r="D1239">
        <v>20010</v>
      </c>
      <c r="E1239">
        <v>9487</v>
      </c>
      <c r="F1239">
        <v>84</v>
      </c>
      <c r="G1239" t="s">
        <v>83</v>
      </c>
      <c r="H1239" t="str" cm="1">
        <f t="array" ref="H1239">_xlfn.IFS(Grammys[[#This Row],[date]] &gt;= DATE(2022,2,1),"Grammys",TRUE,"Grammys TRA")</f>
        <v>Grammys TRA</v>
      </c>
      <c r="I1239">
        <f>_xlfn.XLOOKUP(Grammys[[#This Row],[date]],mobile_visits[date],mobile_visits[mobile_visitors],0)</f>
        <v>0</v>
      </c>
    </row>
    <row r="1240" spans="1:9">
      <c r="A1240" s="1">
        <v>43974</v>
      </c>
      <c r="B1240">
        <v>16808</v>
      </c>
      <c r="C1240">
        <v>30077</v>
      </c>
      <c r="D1240">
        <v>17918</v>
      </c>
      <c r="E1240">
        <v>8340</v>
      </c>
      <c r="F1240">
        <v>84</v>
      </c>
      <c r="G1240" t="s">
        <v>83</v>
      </c>
      <c r="H1240" t="str" cm="1">
        <f t="array" ref="H1240">_xlfn.IFS(Grammys[[#This Row],[date]] &gt;= DATE(2022,2,1),"Grammys",TRUE,"Grammys TRA")</f>
        <v>Grammys TRA</v>
      </c>
      <c r="I1240">
        <f>_xlfn.XLOOKUP(Grammys[[#This Row],[date]],mobile_visits[date],mobile_visits[mobile_visitors],0)</f>
        <v>0</v>
      </c>
    </row>
    <row r="1241" spans="1:9">
      <c r="A1241" s="1">
        <v>43975</v>
      </c>
      <c r="B1241">
        <v>16070</v>
      </c>
      <c r="C1241">
        <v>28483</v>
      </c>
      <c r="D1241">
        <v>16947</v>
      </c>
      <c r="E1241">
        <v>7859</v>
      </c>
      <c r="F1241">
        <v>85</v>
      </c>
      <c r="G1241" t="s">
        <v>83</v>
      </c>
      <c r="H1241" t="str" cm="1">
        <f t="array" ref="H1241">_xlfn.IFS(Grammys[[#This Row],[date]] &gt;= DATE(2022,2,1),"Grammys",TRUE,"Grammys TRA")</f>
        <v>Grammys TRA</v>
      </c>
      <c r="I1241">
        <f>_xlfn.XLOOKUP(Grammys[[#This Row],[date]],mobile_visits[date],mobile_visits[mobile_visitors],0)</f>
        <v>0</v>
      </c>
    </row>
    <row r="1242" spans="1:9">
      <c r="A1242" s="1">
        <v>43976</v>
      </c>
      <c r="B1242">
        <v>16047</v>
      </c>
      <c r="C1242">
        <v>29415</v>
      </c>
      <c r="D1242">
        <v>17177</v>
      </c>
      <c r="E1242">
        <v>7792</v>
      </c>
      <c r="F1242">
        <v>92</v>
      </c>
      <c r="G1242" t="s">
        <v>83</v>
      </c>
      <c r="H1242" t="str" cm="1">
        <f t="array" ref="H1242">_xlfn.IFS(Grammys[[#This Row],[date]] &gt;= DATE(2022,2,1),"Grammys",TRUE,"Grammys TRA")</f>
        <v>Grammys TRA</v>
      </c>
      <c r="I1242">
        <f>_xlfn.XLOOKUP(Grammys[[#This Row],[date]],mobile_visits[date],mobile_visits[mobile_visitors],0)</f>
        <v>0</v>
      </c>
    </row>
    <row r="1243" spans="1:9">
      <c r="A1243" s="1">
        <v>43977</v>
      </c>
      <c r="B1243">
        <v>26587</v>
      </c>
      <c r="C1243">
        <v>48552</v>
      </c>
      <c r="D1243">
        <v>28423</v>
      </c>
      <c r="E1243">
        <v>12160</v>
      </c>
      <c r="F1243">
        <v>106</v>
      </c>
      <c r="G1243" t="s">
        <v>83</v>
      </c>
      <c r="H1243" t="str" cm="1">
        <f t="array" ref="H1243">_xlfn.IFS(Grammys[[#This Row],[date]] &gt;= DATE(2022,2,1),"Grammys",TRUE,"Grammys TRA")</f>
        <v>Grammys TRA</v>
      </c>
      <c r="I1243">
        <f>_xlfn.XLOOKUP(Grammys[[#This Row],[date]],mobile_visits[date],mobile_visits[mobile_visitors],0)</f>
        <v>0</v>
      </c>
    </row>
    <row r="1244" spans="1:9">
      <c r="A1244" s="1">
        <v>43978</v>
      </c>
      <c r="B1244">
        <v>27123</v>
      </c>
      <c r="C1244">
        <v>44770</v>
      </c>
      <c r="D1244">
        <v>29156</v>
      </c>
      <c r="E1244">
        <v>14054</v>
      </c>
      <c r="F1244">
        <v>102</v>
      </c>
      <c r="G1244" t="s">
        <v>83</v>
      </c>
      <c r="H1244" t="str" cm="1">
        <f t="array" ref="H1244">_xlfn.IFS(Grammys[[#This Row],[date]] &gt;= DATE(2022,2,1),"Grammys",TRUE,"Grammys TRA")</f>
        <v>Grammys TRA</v>
      </c>
      <c r="I1244">
        <f>_xlfn.XLOOKUP(Grammys[[#This Row],[date]],mobile_visits[date],mobile_visits[mobile_visitors],0)</f>
        <v>0</v>
      </c>
    </row>
    <row r="1245" spans="1:9">
      <c r="A1245" s="1">
        <v>43979</v>
      </c>
      <c r="B1245">
        <v>20603</v>
      </c>
      <c r="C1245">
        <v>35983</v>
      </c>
      <c r="D1245">
        <v>22404</v>
      </c>
      <c r="E1245">
        <v>10795</v>
      </c>
      <c r="F1245">
        <v>90</v>
      </c>
      <c r="G1245" t="s">
        <v>83</v>
      </c>
      <c r="H1245" t="str" cm="1">
        <f t="array" ref="H1245">_xlfn.IFS(Grammys[[#This Row],[date]] &gt;= DATE(2022,2,1),"Grammys",TRUE,"Grammys TRA")</f>
        <v>Grammys TRA</v>
      </c>
      <c r="I1245">
        <f>_xlfn.XLOOKUP(Grammys[[#This Row],[date]],mobile_visits[date],mobile_visits[mobile_visitors],0)</f>
        <v>0</v>
      </c>
    </row>
    <row r="1246" spans="1:9">
      <c r="A1246" s="1">
        <v>43980</v>
      </c>
      <c r="B1246">
        <v>21668</v>
      </c>
      <c r="C1246">
        <v>37088</v>
      </c>
      <c r="D1246">
        <v>23274</v>
      </c>
      <c r="E1246">
        <v>9464</v>
      </c>
      <c r="F1246">
        <v>117</v>
      </c>
      <c r="G1246" t="s">
        <v>83</v>
      </c>
      <c r="H1246" t="str" cm="1">
        <f t="array" ref="H1246">_xlfn.IFS(Grammys[[#This Row],[date]] &gt;= DATE(2022,2,1),"Grammys",TRUE,"Grammys TRA")</f>
        <v>Grammys TRA</v>
      </c>
      <c r="I1246">
        <f>_xlfn.XLOOKUP(Grammys[[#This Row],[date]],mobile_visits[date],mobile_visits[mobile_visitors],0)</f>
        <v>0</v>
      </c>
    </row>
    <row r="1247" spans="1:9">
      <c r="A1247" s="1">
        <v>43981</v>
      </c>
      <c r="B1247">
        <v>21981</v>
      </c>
      <c r="C1247">
        <v>35284</v>
      </c>
      <c r="D1247">
        <v>23259</v>
      </c>
      <c r="E1247">
        <v>9860</v>
      </c>
      <c r="F1247">
        <v>102</v>
      </c>
      <c r="G1247" t="s">
        <v>83</v>
      </c>
      <c r="H1247" t="str" cm="1">
        <f t="array" ref="H1247">_xlfn.IFS(Grammys[[#This Row],[date]] &gt;= DATE(2022,2,1),"Grammys",TRUE,"Grammys TRA")</f>
        <v>Grammys TRA</v>
      </c>
      <c r="I1247">
        <f>_xlfn.XLOOKUP(Grammys[[#This Row],[date]],mobile_visits[date],mobile_visits[mobile_visitors],0)</f>
        <v>0</v>
      </c>
    </row>
    <row r="1248" spans="1:9">
      <c r="A1248" s="1">
        <v>43982</v>
      </c>
      <c r="B1248">
        <v>17602</v>
      </c>
      <c r="C1248">
        <v>29880</v>
      </c>
      <c r="D1248">
        <v>18760</v>
      </c>
      <c r="E1248">
        <v>7996</v>
      </c>
      <c r="F1248">
        <v>93</v>
      </c>
      <c r="G1248" t="s">
        <v>83</v>
      </c>
      <c r="H1248" t="str" cm="1">
        <f t="array" ref="H1248">_xlfn.IFS(Grammys[[#This Row],[date]] &gt;= DATE(2022,2,1),"Grammys",TRUE,"Grammys TRA")</f>
        <v>Grammys TRA</v>
      </c>
      <c r="I1248">
        <f>_xlfn.XLOOKUP(Grammys[[#This Row],[date]],mobile_visits[date],mobile_visits[mobile_visitors],0)</f>
        <v>0</v>
      </c>
    </row>
    <row r="1249" spans="1:9">
      <c r="A1249" s="1">
        <v>43983</v>
      </c>
      <c r="B1249">
        <v>15862</v>
      </c>
      <c r="C1249">
        <v>28598</v>
      </c>
      <c r="D1249">
        <v>17168</v>
      </c>
      <c r="E1249">
        <v>8114</v>
      </c>
      <c r="F1249">
        <v>91</v>
      </c>
      <c r="G1249" t="s">
        <v>83</v>
      </c>
      <c r="H1249" t="str" cm="1">
        <f t="array" ref="H1249">_xlfn.IFS(Grammys[[#This Row],[date]] &gt;= DATE(2022,2,1),"Grammys",TRUE,"Grammys TRA")</f>
        <v>Grammys TRA</v>
      </c>
      <c r="I1249">
        <f>_xlfn.XLOOKUP(Grammys[[#This Row],[date]],mobile_visits[date],mobile_visits[mobile_visitors],0)</f>
        <v>0</v>
      </c>
    </row>
    <row r="1250" spans="1:9">
      <c r="A1250" s="1">
        <v>43984</v>
      </c>
      <c r="B1250">
        <v>13375</v>
      </c>
      <c r="C1250">
        <v>23992</v>
      </c>
      <c r="D1250">
        <v>14175</v>
      </c>
      <c r="E1250">
        <v>6579</v>
      </c>
      <c r="F1250">
        <v>91</v>
      </c>
      <c r="G1250" t="s">
        <v>83</v>
      </c>
      <c r="H1250" t="str" cm="1">
        <f t="array" ref="H1250">_xlfn.IFS(Grammys[[#This Row],[date]] &gt;= DATE(2022,2,1),"Grammys",TRUE,"Grammys TRA")</f>
        <v>Grammys TRA</v>
      </c>
      <c r="I1250">
        <f>_xlfn.XLOOKUP(Grammys[[#This Row],[date]],mobile_visits[date],mobile_visits[mobile_visitors],0)</f>
        <v>0</v>
      </c>
    </row>
    <row r="1251" spans="1:9">
      <c r="A1251" s="1">
        <v>43985</v>
      </c>
      <c r="B1251">
        <v>13735</v>
      </c>
      <c r="C1251">
        <v>26006</v>
      </c>
      <c r="D1251">
        <v>14885</v>
      </c>
      <c r="E1251">
        <v>6606</v>
      </c>
      <c r="F1251">
        <v>95</v>
      </c>
      <c r="G1251" t="s">
        <v>83</v>
      </c>
      <c r="H1251" t="str" cm="1">
        <f t="array" ref="H1251">_xlfn.IFS(Grammys[[#This Row],[date]] &gt;= DATE(2022,2,1),"Grammys",TRUE,"Grammys TRA")</f>
        <v>Grammys TRA</v>
      </c>
      <c r="I1251">
        <f>_xlfn.XLOOKUP(Grammys[[#This Row],[date]],mobile_visits[date],mobile_visits[mobile_visitors],0)</f>
        <v>0</v>
      </c>
    </row>
    <row r="1252" spans="1:9">
      <c r="A1252" s="1">
        <v>43986</v>
      </c>
      <c r="B1252">
        <v>27496</v>
      </c>
      <c r="C1252">
        <v>45073</v>
      </c>
      <c r="D1252">
        <v>29073</v>
      </c>
      <c r="E1252">
        <v>11653</v>
      </c>
      <c r="F1252">
        <v>85</v>
      </c>
      <c r="G1252" t="s">
        <v>83</v>
      </c>
      <c r="H1252" t="str" cm="1">
        <f t="array" ref="H1252">_xlfn.IFS(Grammys[[#This Row],[date]] &gt;= DATE(2022,2,1),"Grammys",TRUE,"Grammys TRA")</f>
        <v>Grammys TRA</v>
      </c>
      <c r="I1252">
        <f>_xlfn.XLOOKUP(Grammys[[#This Row],[date]],mobile_visits[date],mobile_visits[mobile_visitors],0)</f>
        <v>0</v>
      </c>
    </row>
    <row r="1253" spans="1:9">
      <c r="A1253" s="1">
        <v>43987</v>
      </c>
      <c r="B1253">
        <v>48315</v>
      </c>
      <c r="C1253">
        <v>84975</v>
      </c>
      <c r="D1253">
        <v>61681</v>
      </c>
      <c r="E1253">
        <v>32944</v>
      </c>
      <c r="F1253">
        <v>119</v>
      </c>
      <c r="G1253" t="s">
        <v>83</v>
      </c>
      <c r="H1253" t="str" cm="1">
        <f t="array" ref="H1253">_xlfn.IFS(Grammys[[#This Row],[date]] &gt;= DATE(2022,2,1),"Grammys",TRUE,"Grammys TRA")</f>
        <v>Grammys TRA</v>
      </c>
      <c r="I1253">
        <f>_xlfn.XLOOKUP(Grammys[[#This Row],[date]],mobile_visits[date],mobile_visits[mobile_visitors],0)</f>
        <v>0</v>
      </c>
    </row>
    <row r="1254" spans="1:9">
      <c r="A1254" s="1">
        <v>43988</v>
      </c>
      <c r="B1254">
        <v>21293</v>
      </c>
      <c r="C1254">
        <v>34355</v>
      </c>
      <c r="D1254">
        <v>22312</v>
      </c>
      <c r="E1254">
        <v>8035</v>
      </c>
      <c r="F1254">
        <v>76</v>
      </c>
      <c r="G1254" t="s">
        <v>83</v>
      </c>
      <c r="H1254" t="str" cm="1">
        <f t="array" ref="H1254">_xlfn.IFS(Grammys[[#This Row],[date]] &gt;= DATE(2022,2,1),"Grammys",TRUE,"Grammys TRA")</f>
        <v>Grammys TRA</v>
      </c>
      <c r="I1254">
        <f>_xlfn.XLOOKUP(Grammys[[#This Row],[date]],mobile_visits[date],mobile_visits[mobile_visitors],0)</f>
        <v>0</v>
      </c>
    </row>
    <row r="1255" spans="1:9">
      <c r="A1255" s="1">
        <v>43989</v>
      </c>
      <c r="B1255">
        <v>16361</v>
      </c>
      <c r="C1255">
        <v>28845</v>
      </c>
      <c r="D1255">
        <v>17410</v>
      </c>
      <c r="E1255">
        <v>7710</v>
      </c>
      <c r="F1255">
        <v>85</v>
      </c>
      <c r="G1255" t="s">
        <v>83</v>
      </c>
      <c r="H1255" t="str" cm="1">
        <f t="array" ref="H1255">_xlfn.IFS(Grammys[[#This Row],[date]] &gt;= DATE(2022,2,1),"Grammys",TRUE,"Grammys TRA")</f>
        <v>Grammys TRA</v>
      </c>
      <c r="I1255">
        <f>_xlfn.XLOOKUP(Grammys[[#This Row],[date]],mobile_visits[date],mobile_visits[mobile_visitors],0)</f>
        <v>0</v>
      </c>
    </row>
    <row r="1256" spans="1:9">
      <c r="A1256" s="1">
        <v>43990</v>
      </c>
      <c r="B1256">
        <v>19655</v>
      </c>
      <c r="C1256">
        <v>34801</v>
      </c>
      <c r="D1256">
        <v>20928</v>
      </c>
      <c r="E1256">
        <v>8930</v>
      </c>
      <c r="F1256">
        <v>88</v>
      </c>
      <c r="G1256" t="s">
        <v>83</v>
      </c>
      <c r="H1256" t="str" cm="1">
        <f t="array" ref="H1256">_xlfn.IFS(Grammys[[#This Row],[date]] &gt;= DATE(2022,2,1),"Grammys",TRUE,"Grammys TRA")</f>
        <v>Grammys TRA</v>
      </c>
      <c r="I1256">
        <f>_xlfn.XLOOKUP(Grammys[[#This Row],[date]],mobile_visits[date],mobile_visits[mobile_visitors],0)</f>
        <v>0</v>
      </c>
    </row>
    <row r="1257" spans="1:9">
      <c r="A1257" s="1">
        <v>43991</v>
      </c>
      <c r="B1257">
        <v>23422</v>
      </c>
      <c r="C1257">
        <v>41381</v>
      </c>
      <c r="D1257">
        <v>25258</v>
      </c>
      <c r="E1257">
        <v>11857</v>
      </c>
      <c r="F1257">
        <v>88</v>
      </c>
      <c r="G1257" t="s">
        <v>83</v>
      </c>
      <c r="H1257" t="str" cm="1">
        <f t="array" ref="H1257">_xlfn.IFS(Grammys[[#This Row],[date]] &gt;= DATE(2022,2,1),"Grammys",TRUE,"Grammys TRA")</f>
        <v>Grammys TRA</v>
      </c>
      <c r="I1257">
        <f>_xlfn.XLOOKUP(Grammys[[#This Row],[date]],mobile_visits[date],mobile_visits[mobile_visitors],0)</f>
        <v>0</v>
      </c>
    </row>
    <row r="1258" spans="1:9">
      <c r="A1258" s="1">
        <v>43992</v>
      </c>
      <c r="B1258">
        <v>29706</v>
      </c>
      <c r="C1258">
        <v>53417</v>
      </c>
      <c r="D1258">
        <v>32190</v>
      </c>
      <c r="E1258">
        <v>13485</v>
      </c>
      <c r="F1258">
        <v>91</v>
      </c>
      <c r="G1258" t="s">
        <v>83</v>
      </c>
      <c r="H1258" t="str" cm="1">
        <f t="array" ref="H1258">_xlfn.IFS(Grammys[[#This Row],[date]] &gt;= DATE(2022,2,1),"Grammys",TRUE,"Grammys TRA")</f>
        <v>Grammys TRA</v>
      </c>
      <c r="I1258">
        <f>_xlfn.XLOOKUP(Grammys[[#This Row],[date]],mobile_visits[date],mobile_visits[mobile_visitors],0)</f>
        <v>0</v>
      </c>
    </row>
    <row r="1259" spans="1:9">
      <c r="A1259" s="1">
        <v>43993</v>
      </c>
      <c r="B1259">
        <v>24169</v>
      </c>
      <c r="C1259">
        <v>43314</v>
      </c>
      <c r="D1259">
        <v>25810</v>
      </c>
      <c r="E1259">
        <v>10792</v>
      </c>
      <c r="F1259">
        <v>88</v>
      </c>
      <c r="G1259" t="s">
        <v>83</v>
      </c>
      <c r="H1259" t="str" cm="1">
        <f t="array" ref="H1259">_xlfn.IFS(Grammys[[#This Row],[date]] &gt;= DATE(2022,2,1),"Grammys",TRUE,"Grammys TRA")</f>
        <v>Grammys TRA</v>
      </c>
      <c r="I1259">
        <f>_xlfn.XLOOKUP(Grammys[[#This Row],[date]],mobile_visits[date],mobile_visits[mobile_visitors],0)</f>
        <v>0</v>
      </c>
    </row>
    <row r="1260" spans="1:9">
      <c r="A1260" s="1">
        <v>43994</v>
      </c>
      <c r="B1260">
        <v>21841</v>
      </c>
      <c r="C1260">
        <v>37740</v>
      </c>
      <c r="D1260">
        <v>23290</v>
      </c>
      <c r="E1260">
        <v>10306</v>
      </c>
      <c r="F1260">
        <v>79</v>
      </c>
      <c r="G1260" t="s">
        <v>83</v>
      </c>
      <c r="H1260" t="str" cm="1">
        <f t="array" ref="H1260">_xlfn.IFS(Grammys[[#This Row],[date]] &gt;= DATE(2022,2,1),"Grammys",TRUE,"Grammys TRA")</f>
        <v>Grammys TRA</v>
      </c>
      <c r="I1260">
        <f>_xlfn.XLOOKUP(Grammys[[#This Row],[date]],mobile_visits[date],mobile_visits[mobile_visitors],0)</f>
        <v>0</v>
      </c>
    </row>
    <row r="1261" spans="1:9">
      <c r="A1261" s="1">
        <v>43995</v>
      </c>
      <c r="B1261">
        <v>18297</v>
      </c>
      <c r="C1261">
        <v>31078</v>
      </c>
      <c r="D1261">
        <v>19471</v>
      </c>
      <c r="E1261">
        <v>8648</v>
      </c>
      <c r="F1261">
        <v>76</v>
      </c>
      <c r="G1261" t="s">
        <v>83</v>
      </c>
      <c r="H1261" t="str" cm="1">
        <f t="array" ref="H1261">_xlfn.IFS(Grammys[[#This Row],[date]] &gt;= DATE(2022,2,1),"Grammys",TRUE,"Grammys TRA")</f>
        <v>Grammys TRA</v>
      </c>
      <c r="I1261">
        <f>_xlfn.XLOOKUP(Grammys[[#This Row],[date]],mobile_visits[date],mobile_visits[mobile_visitors],0)</f>
        <v>0</v>
      </c>
    </row>
    <row r="1262" spans="1:9">
      <c r="A1262" s="1">
        <v>43996</v>
      </c>
      <c r="B1262">
        <v>16177</v>
      </c>
      <c r="C1262">
        <v>28864</v>
      </c>
      <c r="D1262">
        <v>17332</v>
      </c>
      <c r="E1262">
        <v>7386</v>
      </c>
      <c r="F1262">
        <v>81</v>
      </c>
      <c r="G1262" t="s">
        <v>83</v>
      </c>
      <c r="H1262" t="str" cm="1">
        <f t="array" ref="H1262">_xlfn.IFS(Grammys[[#This Row],[date]] &gt;= DATE(2022,2,1),"Grammys",TRUE,"Grammys TRA")</f>
        <v>Grammys TRA</v>
      </c>
      <c r="I1262">
        <f>_xlfn.XLOOKUP(Grammys[[#This Row],[date]],mobile_visits[date],mobile_visits[mobile_visitors],0)</f>
        <v>0</v>
      </c>
    </row>
    <row r="1263" spans="1:9">
      <c r="A1263" s="1">
        <v>43997</v>
      </c>
      <c r="B1263">
        <v>20985</v>
      </c>
      <c r="C1263">
        <v>38959</v>
      </c>
      <c r="D1263">
        <v>22628</v>
      </c>
      <c r="E1263">
        <v>9764</v>
      </c>
      <c r="F1263">
        <v>88</v>
      </c>
      <c r="G1263" t="s">
        <v>83</v>
      </c>
      <c r="H1263" t="str" cm="1">
        <f t="array" ref="H1263">_xlfn.IFS(Grammys[[#This Row],[date]] &gt;= DATE(2022,2,1),"Grammys",TRUE,"Grammys TRA")</f>
        <v>Grammys TRA</v>
      </c>
      <c r="I1263">
        <f>_xlfn.XLOOKUP(Grammys[[#This Row],[date]],mobile_visits[date],mobile_visits[mobile_visitors],0)</f>
        <v>0</v>
      </c>
    </row>
    <row r="1264" spans="1:9">
      <c r="A1264" s="1">
        <v>43998</v>
      </c>
      <c r="B1264">
        <v>21380</v>
      </c>
      <c r="C1264">
        <v>39155</v>
      </c>
      <c r="D1264">
        <v>22994</v>
      </c>
      <c r="E1264">
        <v>10490</v>
      </c>
      <c r="F1264">
        <v>85</v>
      </c>
      <c r="G1264" t="s">
        <v>83</v>
      </c>
      <c r="H1264" t="str" cm="1">
        <f t="array" ref="H1264">_xlfn.IFS(Grammys[[#This Row],[date]] &gt;= DATE(2022,2,1),"Grammys",TRUE,"Grammys TRA")</f>
        <v>Grammys TRA</v>
      </c>
      <c r="I1264">
        <f>_xlfn.XLOOKUP(Grammys[[#This Row],[date]],mobile_visits[date],mobile_visits[mobile_visitors],0)</f>
        <v>0</v>
      </c>
    </row>
    <row r="1265" spans="1:9">
      <c r="A1265" s="1">
        <v>43999</v>
      </c>
      <c r="B1265">
        <v>22351</v>
      </c>
      <c r="C1265">
        <v>38691</v>
      </c>
      <c r="D1265">
        <v>24136</v>
      </c>
      <c r="E1265">
        <v>13242</v>
      </c>
      <c r="F1265">
        <v>79</v>
      </c>
      <c r="G1265" t="s">
        <v>83</v>
      </c>
      <c r="H1265" t="str" cm="1">
        <f t="array" ref="H1265">_xlfn.IFS(Grammys[[#This Row],[date]] &gt;= DATE(2022,2,1),"Grammys",TRUE,"Grammys TRA")</f>
        <v>Grammys TRA</v>
      </c>
      <c r="I1265">
        <f>_xlfn.XLOOKUP(Grammys[[#This Row],[date]],mobile_visits[date],mobile_visits[mobile_visitors],0)</f>
        <v>0</v>
      </c>
    </row>
    <row r="1266" spans="1:9">
      <c r="A1266" s="1">
        <v>44000</v>
      </c>
      <c r="B1266">
        <v>23241</v>
      </c>
      <c r="C1266">
        <v>40393</v>
      </c>
      <c r="D1266">
        <v>24778</v>
      </c>
      <c r="E1266">
        <v>13113</v>
      </c>
      <c r="F1266">
        <v>77</v>
      </c>
      <c r="G1266" t="s">
        <v>83</v>
      </c>
      <c r="H1266" t="str" cm="1">
        <f t="array" ref="H1266">_xlfn.IFS(Grammys[[#This Row],[date]] &gt;= DATE(2022,2,1),"Grammys",TRUE,"Grammys TRA")</f>
        <v>Grammys TRA</v>
      </c>
      <c r="I1266">
        <f>_xlfn.XLOOKUP(Grammys[[#This Row],[date]],mobile_visits[date],mobile_visits[mobile_visitors],0)</f>
        <v>0</v>
      </c>
    </row>
    <row r="1267" spans="1:9">
      <c r="A1267" s="1">
        <v>44001</v>
      </c>
      <c r="B1267">
        <v>23572</v>
      </c>
      <c r="C1267">
        <v>42255</v>
      </c>
      <c r="D1267">
        <v>25011</v>
      </c>
      <c r="E1267">
        <v>12206</v>
      </c>
      <c r="F1267">
        <v>72</v>
      </c>
      <c r="G1267" t="s">
        <v>83</v>
      </c>
      <c r="H1267" t="str" cm="1">
        <f t="array" ref="H1267">_xlfn.IFS(Grammys[[#This Row],[date]] &gt;= DATE(2022,2,1),"Grammys",TRUE,"Grammys TRA")</f>
        <v>Grammys TRA</v>
      </c>
      <c r="I1267">
        <f>_xlfn.XLOOKUP(Grammys[[#This Row],[date]],mobile_visits[date],mobile_visits[mobile_visitors],0)</f>
        <v>0</v>
      </c>
    </row>
    <row r="1268" spans="1:9">
      <c r="A1268" s="1">
        <v>44002</v>
      </c>
      <c r="B1268">
        <v>29808</v>
      </c>
      <c r="C1268">
        <v>52223</v>
      </c>
      <c r="D1268">
        <v>31650</v>
      </c>
      <c r="E1268">
        <v>15838</v>
      </c>
      <c r="F1268">
        <v>64</v>
      </c>
      <c r="G1268" t="s">
        <v>83</v>
      </c>
      <c r="H1268" t="str" cm="1">
        <f t="array" ref="H1268">_xlfn.IFS(Grammys[[#This Row],[date]] &gt;= DATE(2022,2,1),"Grammys",TRUE,"Grammys TRA")</f>
        <v>Grammys TRA</v>
      </c>
      <c r="I1268">
        <f>_xlfn.XLOOKUP(Grammys[[#This Row],[date]],mobile_visits[date],mobile_visits[mobile_visitors],0)</f>
        <v>0</v>
      </c>
    </row>
    <row r="1269" spans="1:9">
      <c r="A1269" s="1">
        <v>44003</v>
      </c>
      <c r="B1269">
        <v>27455</v>
      </c>
      <c r="C1269">
        <v>47797</v>
      </c>
      <c r="D1269">
        <v>28851</v>
      </c>
      <c r="E1269">
        <v>14363</v>
      </c>
      <c r="F1269">
        <v>65</v>
      </c>
      <c r="G1269" t="s">
        <v>83</v>
      </c>
      <c r="H1269" t="str" cm="1">
        <f t="array" ref="H1269">_xlfn.IFS(Grammys[[#This Row],[date]] &gt;= DATE(2022,2,1),"Grammys",TRUE,"Grammys TRA")</f>
        <v>Grammys TRA</v>
      </c>
      <c r="I1269">
        <f>_xlfn.XLOOKUP(Grammys[[#This Row],[date]],mobile_visits[date],mobile_visits[mobile_visitors],0)</f>
        <v>0</v>
      </c>
    </row>
    <row r="1270" spans="1:9">
      <c r="A1270" s="1">
        <v>44004</v>
      </c>
      <c r="B1270">
        <v>28339</v>
      </c>
      <c r="C1270">
        <v>52348</v>
      </c>
      <c r="D1270">
        <v>30352</v>
      </c>
      <c r="E1270">
        <v>14788</v>
      </c>
      <c r="F1270">
        <v>74</v>
      </c>
      <c r="G1270" t="s">
        <v>83</v>
      </c>
      <c r="H1270" t="str" cm="1">
        <f t="array" ref="H1270">_xlfn.IFS(Grammys[[#This Row],[date]] &gt;= DATE(2022,2,1),"Grammys",TRUE,"Grammys TRA")</f>
        <v>Grammys TRA</v>
      </c>
      <c r="I1270">
        <f>_xlfn.XLOOKUP(Grammys[[#This Row],[date]],mobile_visits[date],mobile_visits[mobile_visitors],0)</f>
        <v>0</v>
      </c>
    </row>
    <row r="1271" spans="1:9">
      <c r="A1271" s="1">
        <v>44005</v>
      </c>
      <c r="B1271">
        <v>24640</v>
      </c>
      <c r="C1271">
        <v>43860</v>
      </c>
      <c r="D1271">
        <v>26255</v>
      </c>
      <c r="E1271">
        <v>12763</v>
      </c>
      <c r="F1271">
        <v>74</v>
      </c>
      <c r="G1271" t="s">
        <v>83</v>
      </c>
      <c r="H1271" t="str" cm="1">
        <f t="array" ref="H1271">_xlfn.IFS(Grammys[[#This Row],[date]] &gt;= DATE(2022,2,1),"Grammys",TRUE,"Grammys TRA")</f>
        <v>Grammys TRA</v>
      </c>
      <c r="I1271">
        <f>_xlfn.XLOOKUP(Grammys[[#This Row],[date]],mobile_visits[date],mobile_visits[mobile_visitors],0)</f>
        <v>0</v>
      </c>
    </row>
    <row r="1272" spans="1:9">
      <c r="A1272" s="1">
        <v>44006</v>
      </c>
      <c r="B1272">
        <v>23164</v>
      </c>
      <c r="C1272">
        <v>40684</v>
      </c>
      <c r="D1272">
        <v>24684</v>
      </c>
      <c r="E1272">
        <v>11656</v>
      </c>
      <c r="F1272">
        <v>84</v>
      </c>
      <c r="G1272" t="s">
        <v>83</v>
      </c>
      <c r="H1272" t="str" cm="1">
        <f t="array" ref="H1272">_xlfn.IFS(Grammys[[#This Row],[date]] &gt;= DATE(2022,2,1),"Grammys",TRUE,"Grammys TRA")</f>
        <v>Grammys TRA</v>
      </c>
      <c r="I1272">
        <f>_xlfn.XLOOKUP(Grammys[[#This Row],[date]],mobile_visits[date],mobile_visits[mobile_visitors],0)</f>
        <v>0</v>
      </c>
    </row>
    <row r="1273" spans="1:9">
      <c r="A1273" s="1">
        <v>44007</v>
      </c>
      <c r="B1273">
        <v>20832</v>
      </c>
      <c r="C1273">
        <v>37499</v>
      </c>
      <c r="D1273">
        <v>22355</v>
      </c>
      <c r="E1273">
        <v>10823</v>
      </c>
      <c r="F1273">
        <v>81</v>
      </c>
      <c r="G1273" t="s">
        <v>83</v>
      </c>
      <c r="H1273" t="str" cm="1">
        <f t="array" ref="H1273">_xlfn.IFS(Grammys[[#This Row],[date]] &gt;= DATE(2022,2,1),"Grammys",TRUE,"Grammys TRA")</f>
        <v>Grammys TRA</v>
      </c>
      <c r="I1273">
        <f>_xlfn.XLOOKUP(Grammys[[#This Row],[date]],mobile_visits[date],mobile_visits[mobile_visitors],0)</f>
        <v>0</v>
      </c>
    </row>
    <row r="1274" spans="1:9">
      <c r="A1274" s="1">
        <v>44008</v>
      </c>
      <c r="B1274">
        <v>19324</v>
      </c>
      <c r="C1274">
        <v>34472</v>
      </c>
      <c r="D1274">
        <v>20770</v>
      </c>
      <c r="E1274">
        <v>9850</v>
      </c>
      <c r="F1274">
        <v>75</v>
      </c>
      <c r="G1274" t="s">
        <v>83</v>
      </c>
      <c r="H1274" t="str" cm="1">
        <f t="array" ref="H1274">_xlfn.IFS(Grammys[[#This Row],[date]] &gt;= DATE(2022,2,1),"Grammys",TRUE,"Grammys TRA")</f>
        <v>Grammys TRA</v>
      </c>
      <c r="I1274">
        <f>_xlfn.XLOOKUP(Grammys[[#This Row],[date]],mobile_visits[date],mobile_visits[mobile_visitors],0)</f>
        <v>0</v>
      </c>
    </row>
    <row r="1275" spans="1:9">
      <c r="A1275" s="1">
        <v>44009</v>
      </c>
      <c r="B1275">
        <v>18136</v>
      </c>
      <c r="C1275">
        <v>32023</v>
      </c>
      <c r="D1275">
        <v>19323</v>
      </c>
      <c r="E1275">
        <v>9264</v>
      </c>
      <c r="F1275">
        <v>75</v>
      </c>
      <c r="G1275" t="s">
        <v>83</v>
      </c>
      <c r="H1275" t="str" cm="1">
        <f t="array" ref="H1275">_xlfn.IFS(Grammys[[#This Row],[date]] &gt;= DATE(2022,2,1),"Grammys",TRUE,"Grammys TRA")</f>
        <v>Grammys TRA</v>
      </c>
      <c r="I1275">
        <f>_xlfn.XLOOKUP(Grammys[[#This Row],[date]],mobile_visits[date],mobile_visits[mobile_visitors],0)</f>
        <v>0</v>
      </c>
    </row>
    <row r="1276" spans="1:9">
      <c r="A1276" s="1">
        <v>44010</v>
      </c>
      <c r="B1276">
        <v>20536</v>
      </c>
      <c r="C1276">
        <v>36420</v>
      </c>
      <c r="D1276">
        <v>21772</v>
      </c>
      <c r="E1276">
        <v>10175</v>
      </c>
      <c r="F1276">
        <v>76</v>
      </c>
      <c r="G1276" t="s">
        <v>83</v>
      </c>
      <c r="H1276" t="str" cm="1">
        <f t="array" ref="H1276">_xlfn.IFS(Grammys[[#This Row],[date]] &gt;= DATE(2022,2,1),"Grammys",TRUE,"Grammys TRA")</f>
        <v>Grammys TRA</v>
      </c>
      <c r="I1276">
        <f>_xlfn.XLOOKUP(Grammys[[#This Row],[date]],mobile_visits[date],mobile_visits[mobile_visitors],0)</f>
        <v>0</v>
      </c>
    </row>
    <row r="1277" spans="1:9">
      <c r="A1277" s="1">
        <v>44011</v>
      </c>
      <c r="B1277">
        <v>26433</v>
      </c>
      <c r="C1277">
        <v>45409</v>
      </c>
      <c r="D1277">
        <v>27907</v>
      </c>
      <c r="E1277">
        <v>11459</v>
      </c>
      <c r="F1277">
        <v>87</v>
      </c>
      <c r="G1277" t="s">
        <v>83</v>
      </c>
      <c r="H1277" t="str" cm="1">
        <f t="array" ref="H1277">_xlfn.IFS(Grammys[[#This Row],[date]] &gt;= DATE(2022,2,1),"Grammys",TRUE,"Grammys TRA")</f>
        <v>Grammys TRA</v>
      </c>
      <c r="I1277">
        <f>_xlfn.XLOOKUP(Grammys[[#This Row],[date]],mobile_visits[date],mobile_visits[mobile_visitors],0)</f>
        <v>0</v>
      </c>
    </row>
    <row r="1278" spans="1:9">
      <c r="A1278" s="1">
        <v>44012</v>
      </c>
      <c r="B1278">
        <v>35064</v>
      </c>
      <c r="C1278">
        <v>56582</v>
      </c>
      <c r="D1278">
        <v>38086</v>
      </c>
      <c r="E1278">
        <v>14062</v>
      </c>
      <c r="F1278">
        <v>139</v>
      </c>
      <c r="G1278" t="s">
        <v>83</v>
      </c>
      <c r="H1278" t="str" cm="1">
        <f t="array" ref="H1278">_xlfn.IFS(Grammys[[#This Row],[date]] &gt;= DATE(2022,2,1),"Grammys",TRUE,"Grammys TRA")</f>
        <v>Grammys TRA</v>
      </c>
      <c r="I1278">
        <f>_xlfn.XLOOKUP(Grammys[[#This Row],[date]],mobile_visits[date],mobile_visits[mobile_visitors],0)</f>
        <v>0</v>
      </c>
    </row>
    <row r="1279" spans="1:9">
      <c r="A1279" s="1">
        <v>44013</v>
      </c>
      <c r="B1279">
        <v>24986</v>
      </c>
      <c r="C1279">
        <v>42994</v>
      </c>
      <c r="D1279">
        <v>26822</v>
      </c>
      <c r="E1279">
        <v>10981</v>
      </c>
      <c r="F1279">
        <v>107</v>
      </c>
      <c r="G1279" t="s">
        <v>83</v>
      </c>
      <c r="H1279" t="str" cm="1">
        <f t="array" ref="H1279">_xlfn.IFS(Grammys[[#This Row],[date]] &gt;= DATE(2022,2,1),"Grammys",TRUE,"Grammys TRA")</f>
        <v>Grammys TRA</v>
      </c>
      <c r="I1279">
        <f>_xlfn.XLOOKUP(Grammys[[#This Row],[date]],mobile_visits[date],mobile_visits[mobile_visitors],0)</f>
        <v>0</v>
      </c>
    </row>
    <row r="1280" spans="1:9">
      <c r="A1280" s="1">
        <v>44014</v>
      </c>
      <c r="B1280">
        <v>18807</v>
      </c>
      <c r="C1280">
        <v>33232</v>
      </c>
      <c r="D1280">
        <v>20055</v>
      </c>
      <c r="E1280">
        <v>8686</v>
      </c>
      <c r="F1280">
        <v>92</v>
      </c>
      <c r="G1280" t="s">
        <v>83</v>
      </c>
      <c r="H1280" t="str" cm="1">
        <f t="array" ref="H1280">_xlfn.IFS(Grammys[[#This Row],[date]] &gt;= DATE(2022,2,1),"Grammys",TRUE,"Grammys TRA")</f>
        <v>Grammys TRA</v>
      </c>
      <c r="I1280">
        <f>_xlfn.XLOOKUP(Grammys[[#This Row],[date]],mobile_visits[date],mobile_visits[mobile_visitors],0)</f>
        <v>0</v>
      </c>
    </row>
    <row r="1281" spans="1:9">
      <c r="A1281" s="1">
        <v>44015</v>
      </c>
      <c r="B1281">
        <v>17396</v>
      </c>
      <c r="C1281">
        <v>30603</v>
      </c>
      <c r="D1281">
        <v>18432</v>
      </c>
      <c r="E1281">
        <v>7959</v>
      </c>
      <c r="F1281">
        <v>84</v>
      </c>
      <c r="G1281" t="s">
        <v>83</v>
      </c>
      <c r="H1281" t="str" cm="1">
        <f t="array" ref="H1281">_xlfn.IFS(Grammys[[#This Row],[date]] &gt;= DATE(2022,2,1),"Grammys",TRUE,"Grammys TRA")</f>
        <v>Grammys TRA</v>
      </c>
      <c r="I1281">
        <f>_xlfn.XLOOKUP(Grammys[[#This Row],[date]],mobile_visits[date],mobile_visits[mobile_visitors],0)</f>
        <v>0</v>
      </c>
    </row>
    <row r="1282" spans="1:9">
      <c r="A1282" s="1">
        <v>44016</v>
      </c>
      <c r="B1282">
        <v>16752</v>
      </c>
      <c r="C1282">
        <v>28733</v>
      </c>
      <c r="D1282">
        <v>17608</v>
      </c>
      <c r="E1282">
        <v>8137</v>
      </c>
      <c r="F1282">
        <v>77</v>
      </c>
      <c r="G1282" t="s">
        <v>83</v>
      </c>
      <c r="H1282" t="str" cm="1">
        <f t="array" ref="H1282">_xlfn.IFS(Grammys[[#This Row],[date]] &gt;= DATE(2022,2,1),"Grammys",TRUE,"Grammys TRA")</f>
        <v>Grammys TRA</v>
      </c>
      <c r="I1282">
        <f>_xlfn.XLOOKUP(Grammys[[#This Row],[date]],mobile_visits[date],mobile_visits[mobile_visitors],0)</f>
        <v>0</v>
      </c>
    </row>
    <row r="1283" spans="1:9">
      <c r="A1283" s="1">
        <v>44017</v>
      </c>
      <c r="B1283">
        <v>16869</v>
      </c>
      <c r="C1283">
        <v>29572</v>
      </c>
      <c r="D1283">
        <v>18098</v>
      </c>
      <c r="E1283">
        <v>8552</v>
      </c>
      <c r="F1283">
        <v>78</v>
      </c>
      <c r="G1283" t="s">
        <v>83</v>
      </c>
      <c r="H1283" t="str" cm="1">
        <f t="array" ref="H1283">_xlfn.IFS(Grammys[[#This Row],[date]] &gt;= DATE(2022,2,1),"Grammys",TRUE,"Grammys TRA")</f>
        <v>Grammys TRA</v>
      </c>
      <c r="I1283">
        <f>_xlfn.XLOOKUP(Grammys[[#This Row],[date]],mobile_visits[date],mobile_visits[mobile_visitors],0)</f>
        <v>0</v>
      </c>
    </row>
    <row r="1284" spans="1:9">
      <c r="A1284" s="1">
        <v>44018</v>
      </c>
      <c r="B1284">
        <v>19477</v>
      </c>
      <c r="C1284">
        <v>35569</v>
      </c>
      <c r="D1284">
        <v>20966</v>
      </c>
      <c r="E1284">
        <v>9574</v>
      </c>
      <c r="F1284">
        <v>91</v>
      </c>
      <c r="G1284" t="s">
        <v>83</v>
      </c>
      <c r="H1284" t="str" cm="1">
        <f t="array" ref="H1284">_xlfn.IFS(Grammys[[#This Row],[date]] &gt;= DATE(2022,2,1),"Grammys",TRUE,"Grammys TRA")</f>
        <v>Grammys TRA</v>
      </c>
      <c r="I1284">
        <f>_xlfn.XLOOKUP(Grammys[[#This Row],[date]],mobile_visits[date],mobile_visits[mobile_visitors],0)</f>
        <v>0</v>
      </c>
    </row>
    <row r="1285" spans="1:9">
      <c r="A1285" s="1">
        <v>44019</v>
      </c>
      <c r="B1285">
        <v>17648</v>
      </c>
      <c r="C1285">
        <v>31629</v>
      </c>
      <c r="D1285">
        <v>18972</v>
      </c>
      <c r="E1285">
        <v>8722</v>
      </c>
      <c r="F1285">
        <v>90</v>
      </c>
      <c r="G1285" t="s">
        <v>83</v>
      </c>
      <c r="H1285" t="str" cm="1">
        <f t="array" ref="H1285">_xlfn.IFS(Grammys[[#This Row],[date]] &gt;= DATE(2022,2,1),"Grammys",TRUE,"Grammys TRA")</f>
        <v>Grammys TRA</v>
      </c>
      <c r="I1285">
        <f>_xlfn.XLOOKUP(Grammys[[#This Row],[date]],mobile_visits[date],mobile_visits[mobile_visitors],0)</f>
        <v>0</v>
      </c>
    </row>
    <row r="1286" spans="1:9">
      <c r="A1286" s="1">
        <v>44020</v>
      </c>
      <c r="B1286">
        <v>29782</v>
      </c>
      <c r="C1286">
        <v>60872</v>
      </c>
      <c r="D1286">
        <v>32323</v>
      </c>
      <c r="E1286">
        <v>12739</v>
      </c>
      <c r="F1286">
        <v>86</v>
      </c>
      <c r="G1286" t="s">
        <v>83</v>
      </c>
      <c r="H1286" t="str" cm="1">
        <f t="array" ref="H1286">_xlfn.IFS(Grammys[[#This Row],[date]] &gt;= DATE(2022,2,1),"Grammys",TRUE,"Grammys TRA")</f>
        <v>Grammys TRA</v>
      </c>
      <c r="I1286">
        <f>_xlfn.XLOOKUP(Grammys[[#This Row],[date]],mobile_visits[date],mobile_visits[mobile_visitors],0)</f>
        <v>0</v>
      </c>
    </row>
    <row r="1287" spans="1:9">
      <c r="A1287" s="1">
        <v>44021</v>
      </c>
      <c r="B1287">
        <v>21380</v>
      </c>
      <c r="C1287">
        <v>38811</v>
      </c>
      <c r="D1287">
        <v>22975</v>
      </c>
      <c r="E1287">
        <v>10551</v>
      </c>
      <c r="F1287">
        <v>89</v>
      </c>
      <c r="G1287" t="s">
        <v>83</v>
      </c>
      <c r="H1287" t="str" cm="1">
        <f t="array" ref="H1287">_xlfn.IFS(Grammys[[#This Row],[date]] &gt;= DATE(2022,2,1),"Grammys",TRUE,"Grammys TRA")</f>
        <v>Grammys TRA</v>
      </c>
      <c r="I1287">
        <f>_xlfn.XLOOKUP(Grammys[[#This Row],[date]],mobile_visits[date],mobile_visits[mobile_visitors],0)</f>
        <v>0</v>
      </c>
    </row>
    <row r="1288" spans="1:9">
      <c r="A1288" s="1">
        <v>44022</v>
      </c>
      <c r="B1288">
        <v>16371</v>
      </c>
      <c r="C1288">
        <v>28987</v>
      </c>
      <c r="D1288">
        <v>17417</v>
      </c>
      <c r="E1288">
        <v>8484</v>
      </c>
      <c r="F1288">
        <v>80</v>
      </c>
      <c r="G1288" t="s">
        <v>83</v>
      </c>
      <c r="H1288" t="str" cm="1">
        <f t="array" ref="H1288">_xlfn.IFS(Grammys[[#This Row],[date]] &gt;= DATE(2022,2,1),"Grammys",TRUE,"Grammys TRA")</f>
        <v>Grammys TRA</v>
      </c>
      <c r="I1288">
        <f>_xlfn.XLOOKUP(Grammys[[#This Row],[date]],mobile_visits[date],mobile_visits[mobile_visitors],0)</f>
        <v>0</v>
      </c>
    </row>
    <row r="1289" spans="1:9">
      <c r="A1289" s="1">
        <v>44023</v>
      </c>
      <c r="B1289">
        <v>14982</v>
      </c>
      <c r="C1289">
        <v>26435</v>
      </c>
      <c r="D1289">
        <v>16021</v>
      </c>
      <c r="E1289">
        <v>7747</v>
      </c>
      <c r="F1289">
        <v>82</v>
      </c>
      <c r="G1289" t="s">
        <v>83</v>
      </c>
      <c r="H1289" t="str" cm="1">
        <f t="array" ref="H1289">_xlfn.IFS(Grammys[[#This Row],[date]] &gt;= DATE(2022,2,1),"Grammys",TRUE,"Grammys TRA")</f>
        <v>Grammys TRA</v>
      </c>
      <c r="I1289">
        <f>_xlfn.XLOOKUP(Grammys[[#This Row],[date]],mobile_visits[date],mobile_visits[mobile_visitors],0)</f>
        <v>0</v>
      </c>
    </row>
    <row r="1290" spans="1:9">
      <c r="A1290" s="1">
        <v>44024</v>
      </c>
      <c r="B1290">
        <v>14076</v>
      </c>
      <c r="C1290">
        <v>25318</v>
      </c>
      <c r="D1290">
        <v>15095</v>
      </c>
      <c r="E1290">
        <v>7216</v>
      </c>
      <c r="F1290">
        <v>86</v>
      </c>
      <c r="G1290" t="s">
        <v>83</v>
      </c>
      <c r="H1290" t="str" cm="1">
        <f t="array" ref="H1290">_xlfn.IFS(Grammys[[#This Row],[date]] &gt;= DATE(2022,2,1),"Grammys",TRUE,"Grammys TRA")</f>
        <v>Grammys TRA</v>
      </c>
      <c r="I1290">
        <f>_xlfn.XLOOKUP(Grammys[[#This Row],[date]],mobile_visits[date],mobile_visits[mobile_visitors],0)</f>
        <v>0</v>
      </c>
    </row>
    <row r="1291" spans="1:9">
      <c r="A1291" s="1">
        <v>44025</v>
      </c>
      <c r="B1291">
        <v>14342</v>
      </c>
      <c r="C1291">
        <v>26365</v>
      </c>
      <c r="D1291">
        <v>15397</v>
      </c>
      <c r="E1291">
        <v>7242</v>
      </c>
      <c r="F1291">
        <v>90</v>
      </c>
      <c r="G1291" t="s">
        <v>83</v>
      </c>
      <c r="H1291" t="str" cm="1">
        <f t="array" ref="H1291">_xlfn.IFS(Grammys[[#This Row],[date]] &gt;= DATE(2022,2,1),"Grammys",TRUE,"Grammys TRA")</f>
        <v>Grammys TRA</v>
      </c>
      <c r="I1291">
        <f>_xlfn.XLOOKUP(Grammys[[#This Row],[date]],mobile_visits[date],mobile_visits[mobile_visitors],0)</f>
        <v>0</v>
      </c>
    </row>
    <row r="1292" spans="1:9">
      <c r="A1292" s="1">
        <v>44026</v>
      </c>
      <c r="B1292">
        <v>14802</v>
      </c>
      <c r="C1292">
        <v>27524</v>
      </c>
      <c r="D1292">
        <v>16145</v>
      </c>
      <c r="E1292">
        <v>7623</v>
      </c>
      <c r="F1292">
        <v>93</v>
      </c>
      <c r="G1292" t="s">
        <v>83</v>
      </c>
      <c r="H1292" t="str" cm="1">
        <f t="array" ref="H1292">_xlfn.IFS(Grammys[[#This Row],[date]] &gt;= DATE(2022,2,1),"Grammys",TRUE,"Grammys TRA")</f>
        <v>Grammys TRA</v>
      </c>
      <c r="I1292">
        <f>_xlfn.XLOOKUP(Grammys[[#This Row],[date]],mobile_visits[date],mobile_visits[mobile_visitors],0)</f>
        <v>0</v>
      </c>
    </row>
    <row r="1293" spans="1:9">
      <c r="A1293" s="1">
        <v>44027</v>
      </c>
      <c r="B1293">
        <v>15204</v>
      </c>
      <c r="C1293">
        <v>28213</v>
      </c>
      <c r="D1293">
        <v>16537</v>
      </c>
      <c r="E1293">
        <v>7856</v>
      </c>
      <c r="F1293">
        <v>93</v>
      </c>
      <c r="G1293" t="s">
        <v>83</v>
      </c>
      <c r="H1293" t="str" cm="1">
        <f t="array" ref="H1293">_xlfn.IFS(Grammys[[#This Row],[date]] &gt;= DATE(2022,2,1),"Grammys",TRUE,"Grammys TRA")</f>
        <v>Grammys TRA</v>
      </c>
      <c r="I1293">
        <f>_xlfn.XLOOKUP(Grammys[[#This Row],[date]],mobile_visits[date],mobile_visits[mobile_visitors],0)</f>
        <v>0</v>
      </c>
    </row>
    <row r="1294" spans="1:9">
      <c r="A1294" s="1">
        <v>44028</v>
      </c>
      <c r="B1294">
        <v>15185</v>
      </c>
      <c r="C1294">
        <v>27360</v>
      </c>
      <c r="D1294">
        <v>16590</v>
      </c>
      <c r="E1294">
        <v>8156</v>
      </c>
      <c r="F1294">
        <v>90</v>
      </c>
      <c r="G1294" t="s">
        <v>83</v>
      </c>
      <c r="H1294" t="str" cm="1">
        <f t="array" ref="H1294">_xlfn.IFS(Grammys[[#This Row],[date]] &gt;= DATE(2022,2,1),"Grammys",TRUE,"Grammys TRA")</f>
        <v>Grammys TRA</v>
      </c>
      <c r="I1294">
        <f>_xlfn.XLOOKUP(Grammys[[#This Row],[date]],mobile_visits[date],mobile_visits[mobile_visitors],0)</f>
        <v>0</v>
      </c>
    </row>
    <row r="1295" spans="1:9">
      <c r="A1295" s="1">
        <v>44029</v>
      </c>
      <c r="B1295">
        <v>18814</v>
      </c>
      <c r="C1295">
        <v>32114</v>
      </c>
      <c r="D1295">
        <v>20145</v>
      </c>
      <c r="E1295">
        <v>9745</v>
      </c>
      <c r="F1295">
        <v>103</v>
      </c>
      <c r="G1295" t="s">
        <v>83</v>
      </c>
      <c r="H1295" t="str" cm="1">
        <f t="array" ref="H1295">_xlfn.IFS(Grammys[[#This Row],[date]] &gt;= DATE(2022,2,1),"Grammys",TRUE,"Grammys TRA")</f>
        <v>Grammys TRA</v>
      </c>
      <c r="I1295">
        <f>_xlfn.XLOOKUP(Grammys[[#This Row],[date]],mobile_visits[date],mobile_visits[mobile_visitors],0)</f>
        <v>0</v>
      </c>
    </row>
    <row r="1296" spans="1:9">
      <c r="A1296" s="1">
        <v>44030</v>
      </c>
      <c r="B1296">
        <v>16224</v>
      </c>
      <c r="C1296">
        <v>27987</v>
      </c>
      <c r="D1296">
        <v>17553</v>
      </c>
      <c r="E1296">
        <v>8319</v>
      </c>
      <c r="F1296">
        <v>97</v>
      </c>
      <c r="G1296" t="s">
        <v>83</v>
      </c>
      <c r="H1296" t="str" cm="1">
        <f t="array" ref="H1296">_xlfn.IFS(Grammys[[#This Row],[date]] &gt;= DATE(2022,2,1),"Grammys",TRUE,"Grammys TRA")</f>
        <v>Grammys TRA</v>
      </c>
      <c r="I1296">
        <f>_xlfn.XLOOKUP(Grammys[[#This Row],[date]],mobile_visits[date],mobile_visits[mobile_visitors],0)</f>
        <v>0</v>
      </c>
    </row>
    <row r="1297" spans="1:9">
      <c r="A1297" s="1">
        <v>44031</v>
      </c>
      <c r="B1297">
        <v>17271</v>
      </c>
      <c r="C1297">
        <v>29618</v>
      </c>
      <c r="D1297">
        <v>18326</v>
      </c>
      <c r="E1297">
        <v>8267</v>
      </c>
      <c r="F1297">
        <v>88</v>
      </c>
      <c r="G1297" t="s">
        <v>83</v>
      </c>
      <c r="H1297" t="str" cm="1">
        <f t="array" ref="H1297">_xlfn.IFS(Grammys[[#This Row],[date]] &gt;= DATE(2022,2,1),"Grammys",TRUE,"Grammys TRA")</f>
        <v>Grammys TRA</v>
      </c>
      <c r="I1297">
        <f>_xlfn.XLOOKUP(Grammys[[#This Row],[date]],mobile_visits[date],mobile_visits[mobile_visitors],0)</f>
        <v>0</v>
      </c>
    </row>
    <row r="1298" spans="1:9">
      <c r="A1298" s="1">
        <v>44032</v>
      </c>
      <c r="B1298">
        <v>15790</v>
      </c>
      <c r="C1298">
        <v>29030</v>
      </c>
      <c r="D1298">
        <v>16990</v>
      </c>
      <c r="E1298">
        <v>7729</v>
      </c>
      <c r="F1298">
        <v>96</v>
      </c>
      <c r="G1298" t="s">
        <v>83</v>
      </c>
      <c r="H1298" t="str" cm="1">
        <f t="array" ref="H1298">_xlfn.IFS(Grammys[[#This Row],[date]] &gt;= DATE(2022,2,1),"Grammys",TRUE,"Grammys TRA")</f>
        <v>Grammys TRA</v>
      </c>
      <c r="I1298">
        <f>_xlfn.XLOOKUP(Grammys[[#This Row],[date]],mobile_visits[date],mobile_visits[mobile_visitors],0)</f>
        <v>0</v>
      </c>
    </row>
    <row r="1299" spans="1:9">
      <c r="A1299" s="1">
        <v>44033</v>
      </c>
      <c r="B1299">
        <v>17879</v>
      </c>
      <c r="C1299">
        <v>31519</v>
      </c>
      <c r="D1299">
        <v>18997</v>
      </c>
      <c r="E1299">
        <v>8143</v>
      </c>
      <c r="F1299">
        <v>104</v>
      </c>
      <c r="G1299" t="s">
        <v>83</v>
      </c>
      <c r="H1299" t="str" cm="1">
        <f t="array" ref="H1299">_xlfn.IFS(Grammys[[#This Row],[date]] &gt;= DATE(2022,2,1),"Grammys",TRUE,"Grammys TRA")</f>
        <v>Grammys TRA</v>
      </c>
      <c r="I1299">
        <f>_xlfn.XLOOKUP(Grammys[[#This Row],[date]],mobile_visits[date],mobile_visits[mobile_visitors],0)</f>
        <v>0</v>
      </c>
    </row>
    <row r="1300" spans="1:9">
      <c r="A1300" s="1">
        <v>44034</v>
      </c>
      <c r="B1300">
        <v>17955</v>
      </c>
      <c r="C1300">
        <v>31411</v>
      </c>
      <c r="D1300">
        <v>19111</v>
      </c>
      <c r="E1300">
        <v>8243</v>
      </c>
      <c r="F1300">
        <v>97</v>
      </c>
      <c r="G1300" t="s">
        <v>83</v>
      </c>
      <c r="H1300" t="str" cm="1">
        <f t="array" ref="H1300">_xlfn.IFS(Grammys[[#This Row],[date]] &gt;= DATE(2022,2,1),"Grammys",TRUE,"Grammys TRA")</f>
        <v>Grammys TRA</v>
      </c>
      <c r="I1300">
        <f>_xlfn.XLOOKUP(Grammys[[#This Row],[date]],mobile_visits[date],mobile_visits[mobile_visitors],0)</f>
        <v>0</v>
      </c>
    </row>
    <row r="1301" spans="1:9">
      <c r="A1301" s="1">
        <v>44035</v>
      </c>
      <c r="B1301">
        <v>22184</v>
      </c>
      <c r="C1301">
        <v>35867</v>
      </c>
      <c r="D1301">
        <v>23298</v>
      </c>
      <c r="E1301">
        <v>9166</v>
      </c>
      <c r="F1301">
        <v>81</v>
      </c>
      <c r="G1301" t="s">
        <v>83</v>
      </c>
      <c r="H1301" t="str" cm="1">
        <f t="array" ref="H1301">_xlfn.IFS(Grammys[[#This Row],[date]] &gt;= DATE(2022,2,1),"Grammys",TRUE,"Grammys TRA")</f>
        <v>Grammys TRA</v>
      </c>
      <c r="I1301">
        <f>_xlfn.XLOOKUP(Grammys[[#This Row],[date]],mobile_visits[date],mobile_visits[mobile_visitors],0)</f>
        <v>0</v>
      </c>
    </row>
    <row r="1302" spans="1:9">
      <c r="A1302" s="1">
        <v>44036</v>
      </c>
      <c r="B1302">
        <v>18907</v>
      </c>
      <c r="C1302">
        <v>32744</v>
      </c>
      <c r="D1302">
        <v>20051</v>
      </c>
      <c r="E1302">
        <v>9224</v>
      </c>
      <c r="F1302">
        <v>83</v>
      </c>
      <c r="G1302" t="s">
        <v>83</v>
      </c>
      <c r="H1302" t="str" cm="1">
        <f t="array" ref="H1302">_xlfn.IFS(Grammys[[#This Row],[date]] &gt;= DATE(2022,2,1),"Grammys",TRUE,"Grammys TRA")</f>
        <v>Grammys TRA</v>
      </c>
      <c r="I1302">
        <f>_xlfn.XLOOKUP(Grammys[[#This Row],[date]],mobile_visits[date],mobile_visits[mobile_visitors],0)</f>
        <v>0</v>
      </c>
    </row>
    <row r="1303" spans="1:9">
      <c r="A1303" s="1">
        <v>44037</v>
      </c>
      <c r="B1303">
        <v>17242</v>
      </c>
      <c r="C1303">
        <v>30466</v>
      </c>
      <c r="D1303">
        <v>18316</v>
      </c>
      <c r="E1303">
        <v>8327</v>
      </c>
      <c r="F1303">
        <v>88</v>
      </c>
      <c r="G1303" t="s">
        <v>83</v>
      </c>
      <c r="H1303" t="str" cm="1">
        <f t="array" ref="H1303">_xlfn.IFS(Grammys[[#This Row],[date]] &gt;= DATE(2022,2,1),"Grammys",TRUE,"Grammys TRA")</f>
        <v>Grammys TRA</v>
      </c>
      <c r="I1303">
        <f>_xlfn.XLOOKUP(Grammys[[#This Row],[date]],mobile_visits[date],mobile_visits[mobile_visitors],0)</f>
        <v>0</v>
      </c>
    </row>
    <row r="1304" spans="1:9">
      <c r="A1304" s="1">
        <v>44038</v>
      </c>
      <c r="B1304">
        <v>16431</v>
      </c>
      <c r="C1304">
        <v>28503</v>
      </c>
      <c r="D1304">
        <v>17479</v>
      </c>
      <c r="E1304">
        <v>8071</v>
      </c>
      <c r="F1304">
        <v>79</v>
      </c>
      <c r="G1304" t="s">
        <v>83</v>
      </c>
      <c r="H1304" t="str" cm="1">
        <f t="array" ref="H1304">_xlfn.IFS(Grammys[[#This Row],[date]] &gt;= DATE(2022,2,1),"Grammys",TRUE,"Grammys TRA")</f>
        <v>Grammys TRA</v>
      </c>
      <c r="I1304">
        <f>_xlfn.XLOOKUP(Grammys[[#This Row],[date]],mobile_visits[date],mobile_visits[mobile_visitors],0)</f>
        <v>0</v>
      </c>
    </row>
    <row r="1305" spans="1:9">
      <c r="A1305" s="1">
        <v>44039</v>
      </c>
      <c r="B1305">
        <v>15994</v>
      </c>
      <c r="C1305">
        <v>29142</v>
      </c>
      <c r="D1305">
        <v>17086</v>
      </c>
      <c r="E1305">
        <v>7747</v>
      </c>
      <c r="F1305">
        <v>90</v>
      </c>
      <c r="G1305" t="s">
        <v>83</v>
      </c>
      <c r="H1305" t="str" cm="1">
        <f t="array" ref="H1305">_xlfn.IFS(Grammys[[#This Row],[date]] &gt;= DATE(2022,2,1),"Grammys",TRUE,"Grammys TRA")</f>
        <v>Grammys TRA</v>
      </c>
      <c r="I1305">
        <f>_xlfn.XLOOKUP(Grammys[[#This Row],[date]],mobile_visits[date],mobile_visits[mobile_visitors],0)</f>
        <v>0</v>
      </c>
    </row>
    <row r="1306" spans="1:9">
      <c r="A1306" s="1">
        <v>44040</v>
      </c>
      <c r="B1306">
        <v>16399</v>
      </c>
      <c r="C1306">
        <v>30388</v>
      </c>
      <c r="D1306">
        <v>17477</v>
      </c>
      <c r="E1306">
        <v>7855</v>
      </c>
      <c r="F1306">
        <v>85</v>
      </c>
      <c r="G1306" t="s">
        <v>83</v>
      </c>
      <c r="H1306" t="str" cm="1">
        <f t="array" ref="H1306">_xlfn.IFS(Grammys[[#This Row],[date]] &gt;= DATE(2022,2,1),"Grammys",TRUE,"Grammys TRA")</f>
        <v>Grammys TRA</v>
      </c>
      <c r="I1306">
        <f>_xlfn.XLOOKUP(Grammys[[#This Row],[date]],mobile_visits[date],mobile_visits[mobile_visitors],0)</f>
        <v>0</v>
      </c>
    </row>
    <row r="1307" spans="1:9">
      <c r="A1307" s="1">
        <v>44041</v>
      </c>
      <c r="B1307">
        <v>18741</v>
      </c>
      <c r="C1307">
        <v>33459</v>
      </c>
      <c r="D1307">
        <v>19872</v>
      </c>
      <c r="E1307">
        <v>8796</v>
      </c>
      <c r="F1307">
        <v>84</v>
      </c>
      <c r="G1307" t="s">
        <v>83</v>
      </c>
      <c r="H1307" t="str" cm="1">
        <f t="array" ref="H1307">_xlfn.IFS(Grammys[[#This Row],[date]] &gt;= DATE(2022,2,1),"Grammys",TRUE,"Grammys TRA")</f>
        <v>Grammys TRA</v>
      </c>
      <c r="I1307">
        <f>_xlfn.XLOOKUP(Grammys[[#This Row],[date]],mobile_visits[date],mobile_visits[mobile_visitors],0)</f>
        <v>0</v>
      </c>
    </row>
    <row r="1308" spans="1:9">
      <c r="A1308" s="1">
        <v>44042</v>
      </c>
      <c r="B1308">
        <v>23396</v>
      </c>
      <c r="C1308">
        <v>39715</v>
      </c>
      <c r="D1308">
        <v>24676</v>
      </c>
      <c r="E1308">
        <v>9432</v>
      </c>
      <c r="F1308">
        <v>71</v>
      </c>
      <c r="G1308" t="s">
        <v>83</v>
      </c>
      <c r="H1308" t="str" cm="1">
        <f t="array" ref="H1308">_xlfn.IFS(Grammys[[#This Row],[date]] &gt;= DATE(2022,2,1),"Grammys",TRUE,"Grammys TRA")</f>
        <v>Grammys TRA</v>
      </c>
      <c r="I1308">
        <f>_xlfn.XLOOKUP(Grammys[[#This Row],[date]],mobile_visits[date],mobile_visits[mobile_visitors],0)</f>
        <v>0</v>
      </c>
    </row>
    <row r="1309" spans="1:9">
      <c r="A1309" s="1">
        <v>44043</v>
      </c>
      <c r="B1309">
        <v>18489</v>
      </c>
      <c r="C1309">
        <v>32087</v>
      </c>
      <c r="D1309">
        <v>19543</v>
      </c>
      <c r="E1309">
        <v>8148</v>
      </c>
      <c r="F1309">
        <v>74</v>
      </c>
      <c r="G1309" t="s">
        <v>83</v>
      </c>
      <c r="H1309" t="str" cm="1">
        <f t="array" ref="H1309">_xlfn.IFS(Grammys[[#This Row],[date]] &gt;= DATE(2022,2,1),"Grammys",TRUE,"Grammys TRA")</f>
        <v>Grammys TRA</v>
      </c>
      <c r="I1309">
        <f>_xlfn.XLOOKUP(Grammys[[#This Row],[date]],mobile_visits[date],mobile_visits[mobile_visitors],0)</f>
        <v>0</v>
      </c>
    </row>
    <row r="1310" spans="1:9">
      <c r="A1310" s="1">
        <v>44044</v>
      </c>
      <c r="B1310">
        <v>16783</v>
      </c>
      <c r="C1310">
        <v>28577</v>
      </c>
      <c r="D1310">
        <v>17593</v>
      </c>
      <c r="E1310">
        <v>7423</v>
      </c>
      <c r="F1310">
        <v>73</v>
      </c>
      <c r="G1310" t="s">
        <v>83</v>
      </c>
      <c r="H1310" t="str" cm="1">
        <f t="array" ref="H1310">_xlfn.IFS(Grammys[[#This Row],[date]] &gt;= DATE(2022,2,1),"Grammys",TRUE,"Grammys TRA")</f>
        <v>Grammys TRA</v>
      </c>
      <c r="I1310">
        <f>_xlfn.XLOOKUP(Grammys[[#This Row],[date]],mobile_visits[date],mobile_visits[mobile_visitors],0)</f>
        <v>0</v>
      </c>
    </row>
    <row r="1311" spans="1:9">
      <c r="A1311" s="1">
        <v>44045</v>
      </c>
      <c r="B1311">
        <v>15668</v>
      </c>
      <c r="C1311">
        <v>27637</v>
      </c>
      <c r="D1311">
        <v>16573</v>
      </c>
      <c r="E1311">
        <v>7352</v>
      </c>
      <c r="F1311">
        <v>76</v>
      </c>
      <c r="G1311" t="s">
        <v>83</v>
      </c>
      <c r="H1311" t="str" cm="1">
        <f t="array" ref="H1311">_xlfn.IFS(Grammys[[#This Row],[date]] &gt;= DATE(2022,2,1),"Grammys",TRUE,"Grammys TRA")</f>
        <v>Grammys TRA</v>
      </c>
      <c r="I1311">
        <f>_xlfn.XLOOKUP(Grammys[[#This Row],[date]],mobile_visits[date],mobile_visits[mobile_visitors],0)</f>
        <v>0</v>
      </c>
    </row>
    <row r="1312" spans="1:9">
      <c r="A1312" s="1">
        <v>44046</v>
      </c>
      <c r="B1312">
        <v>15107</v>
      </c>
      <c r="C1312">
        <v>28168</v>
      </c>
      <c r="D1312">
        <v>16213</v>
      </c>
      <c r="E1312">
        <v>7682</v>
      </c>
      <c r="F1312">
        <v>81</v>
      </c>
      <c r="G1312" t="s">
        <v>83</v>
      </c>
      <c r="H1312" t="str" cm="1">
        <f t="array" ref="H1312">_xlfn.IFS(Grammys[[#This Row],[date]] &gt;= DATE(2022,2,1),"Grammys",TRUE,"Grammys TRA")</f>
        <v>Grammys TRA</v>
      </c>
      <c r="I1312">
        <f>_xlfn.XLOOKUP(Grammys[[#This Row],[date]],mobile_visits[date],mobile_visits[mobile_visitors],0)</f>
        <v>0</v>
      </c>
    </row>
    <row r="1313" spans="1:9">
      <c r="A1313" s="1">
        <v>44047</v>
      </c>
      <c r="B1313">
        <v>15052</v>
      </c>
      <c r="C1313">
        <v>27217</v>
      </c>
      <c r="D1313">
        <v>16151</v>
      </c>
      <c r="E1313">
        <v>7666</v>
      </c>
      <c r="F1313">
        <v>89</v>
      </c>
      <c r="G1313" t="s">
        <v>83</v>
      </c>
      <c r="H1313" t="str" cm="1">
        <f t="array" ref="H1313">_xlfn.IFS(Grammys[[#This Row],[date]] &gt;= DATE(2022,2,1),"Grammys",TRUE,"Grammys TRA")</f>
        <v>Grammys TRA</v>
      </c>
      <c r="I1313">
        <f>_xlfn.XLOOKUP(Grammys[[#This Row],[date]],mobile_visits[date],mobile_visits[mobile_visitors],0)</f>
        <v>0</v>
      </c>
    </row>
    <row r="1314" spans="1:9">
      <c r="A1314" s="1">
        <v>44048</v>
      </c>
      <c r="B1314">
        <v>14392</v>
      </c>
      <c r="C1314">
        <v>26982</v>
      </c>
      <c r="D1314">
        <v>15454</v>
      </c>
      <c r="E1314">
        <v>7414</v>
      </c>
      <c r="F1314">
        <v>95</v>
      </c>
      <c r="G1314" t="s">
        <v>83</v>
      </c>
      <c r="H1314" t="str" cm="1">
        <f t="array" ref="H1314">_xlfn.IFS(Grammys[[#This Row],[date]] &gt;= DATE(2022,2,1),"Grammys",TRUE,"Grammys TRA")</f>
        <v>Grammys TRA</v>
      </c>
      <c r="I1314">
        <f>_xlfn.XLOOKUP(Grammys[[#This Row],[date]],mobile_visits[date],mobile_visits[mobile_visitors],0)</f>
        <v>0</v>
      </c>
    </row>
    <row r="1315" spans="1:9">
      <c r="A1315" s="1">
        <v>44049</v>
      </c>
      <c r="B1315">
        <v>15105</v>
      </c>
      <c r="C1315">
        <v>28705</v>
      </c>
      <c r="D1315">
        <v>16552</v>
      </c>
      <c r="E1315">
        <v>7696</v>
      </c>
      <c r="F1315">
        <v>94</v>
      </c>
      <c r="G1315" t="s">
        <v>83</v>
      </c>
      <c r="H1315" t="str" cm="1">
        <f t="array" ref="H1315">_xlfn.IFS(Grammys[[#This Row],[date]] &gt;= DATE(2022,2,1),"Grammys",TRUE,"Grammys TRA")</f>
        <v>Grammys TRA</v>
      </c>
      <c r="I1315">
        <f>_xlfn.XLOOKUP(Grammys[[#This Row],[date]],mobile_visits[date],mobile_visits[mobile_visitors],0)</f>
        <v>0</v>
      </c>
    </row>
    <row r="1316" spans="1:9">
      <c r="A1316" s="1">
        <v>44050</v>
      </c>
      <c r="B1316">
        <v>15608</v>
      </c>
      <c r="C1316">
        <v>28365</v>
      </c>
      <c r="D1316">
        <v>16562</v>
      </c>
      <c r="E1316">
        <v>7460</v>
      </c>
      <c r="F1316">
        <v>85</v>
      </c>
      <c r="G1316" t="s">
        <v>83</v>
      </c>
      <c r="H1316" t="str" cm="1">
        <f t="array" ref="H1316">_xlfn.IFS(Grammys[[#This Row],[date]] &gt;= DATE(2022,2,1),"Grammys",TRUE,"Grammys TRA")</f>
        <v>Grammys TRA</v>
      </c>
      <c r="I1316">
        <f>_xlfn.XLOOKUP(Grammys[[#This Row],[date]],mobile_visits[date],mobile_visits[mobile_visitors],0)</f>
        <v>0</v>
      </c>
    </row>
    <row r="1317" spans="1:9">
      <c r="A1317" s="1">
        <v>44051</v>
      </c>
      <c r="B1317">
        <v>18067</v>
      </c>
      <c r="C1317">
        <v>31331</v>
      </c>
      <c r="D1317">
        <v>19119</v>
      </c>
      <c r="E1317">
        <v>8656</v>
      </c>
      <c r="F1317">
        <v>76</v>
      </c>
      <c r="G1317" t="s">
        <v>83</v>
      </c>
      <c r="H1317" t="str" cm="1">
        <f t="array" ref="H1317">_xlfn.IFS(Grammys[[#This Row],[date]] &gt;= DATE(2022,2,1),"Grammys",TRUE,"Grammys TRA")</f>
        <v>Grammys TRA</v>
      </c>
      <c r="I1317">
        <f>_xlfn.XLOOKUP(Grammys[[#This Row],[date]],mobile_visits[date],mobile_visits[mobile_visitors],0)</f>
        <v>0</v>
      </c>
    </row>
    <row r="1318" spans="1:9">
      <c r="A1318" s="1">
        <v>44052</v>
      </c>
      <c r="B1318">
        <v>15609</v>
      </c>
      <c r="C1318">
        <v>27194</v>
      </c>
      <c r="D1318">
        <v>16507</v>
      </c>
      <c r="E1318">
        <v>7610</v>
      </c>
      <c r="F1318">
        <v>77</v>
      </c>
      <c r="G1318" t="s">
        <v>83</v>
      </c>
      <c r="H1318" t="str" cm="1">
        <f t="array" ref="H1318">_xlfn.IFS(Grammys[[#This Row],[date]] &gt;= DATE(2022,2,1),"Grammys",TRUE,"Grammys TRA")</f>
        <v>Grammys TRA</v>
      </c>
      <c r="I1318">
        <f>_xlfn.XLOOKUP(Grammys[[#This Row],[date]],mobile_visits[date],mobile_visits[mobile_visitors],0)</f>
        <v>0</v>
      </c>
    </row>
    <row r="1319" spans="1:9">
      <c r="A1319" s="1">
        <v>44053</v>
      </c>
      <c r="B1319">
        <v>15440</v>
      </c>
      <c r="C1319">
        <v>27626</v>
      </c>
      <c r="D1319">
        <v>16267</v>
      </c>
      <c r="E1319">
        <v>7480</v>
      </c>
      <c r="F1319">
        <v>83</v>
      </c>
      <c r="G1319" t="s">
        <v>83</v>
      </c>
      <c r="H1319" t="str" cm="1">
        <f t="array" ref="H1319">_xlfn.IFS(Grammys[[#This Row],[date]] &gt;= DATE(2022,2,1),"Grammys",TRUE,"Grammys TRA")</f>
        <v>Grammys TRA</v>
      </c>
      <c r="I1319">
        <f>_xlfn.XLOOKUP(Grammys[[#This Row],[date]],mobile_visits[date],mobile_visits[mobile_visitors],0)</f>
        <v>0</v>
      </c>
    </row>
    <row r="1320" spans="1:9">
      <c r="A1320" s="1">
        <v>44054</v>
      </c>
      <c r="B1320">
        <v>15179</v>
      </c>
      <c r="C1320">
        <v>28015</v>
      </c>
      <c r="D1320">
        <v>16243</v>
      </c>
      <c r="E1320">
        <v>7591</v>
      </c>
      <c r="F1320">
        <v>91</v>
      </c>
      <c r="G1320" t="s">
        <v>83</v>
      </c>
      <c r="H1320" t="str" cm="1">
        <f t="array" ref="H1320">_xlfn.IFS(Grammys[[#This Row],[date]] &gt;= DATE(2022,2,1),"Grammys",TRUE,"Grammys TRA")</f>
        <v>Grammys TRA</v>
      </c>
      <c r="I1320">
        <f>_xlfn.XLOOKUP(Grammys[[#This Row],[date]],mobile_visits[date],mobile_visits[mobile_visitors],0)</f>
        <v>0</v>
      </c>
    </row>
    <row r="1321" spans="1:9">
      <c r="A1321" s="1">
        <v>44055</v>
      </c>
      <c r="B1321">
        <v>15505</v>
      </c>
      <c r="C1321">
        <v>28978</v>
      </c>
      <c r="D1321">
        <v>16659</v>
      </c>
      <c r="E1321">
        <v>8012</v>
      </c>
      <c r="F1321">
        <v>89</v>
      </c>
      <c r="G1321" t="s">
        <v>83</v>
      </c>
      <c r="H1321" t="str" cm="1">
        <f t="array" ref="H1321">_xlfn.IFS(Grammys[[#This Row],[date]] &gt;= DATE(2022,2,1),"Grammys",TRUE,"Grammys TRA")</f>
        <v>Grammys TRA</v>
      </c>
      <c r="I1321">
        <f>_xlfn.XLOOKUP(Grammys[[#This Row],[date]],mobile_visits[date],mobile_visits[mobile_visitors],0)</f>
        <v>0</v>
      </c>
    </row>
    <row r="1322" spans="1:9">
      <c r="A1322" s="1">
        <v>44056</v>
      </c>
      <c r="B1322">
        <v>18518</v>
      </c>
      <c r="C1322">
        <v>34109</v>
      </c>
      <c r="D1322">
        <v>19966</v>
      </c>
      <c r="E1322">
        <v>8991</v>
      </c>
      <c r="F1322">
        <v>91</v>
      </c>
      <c r="G1322" t="s">
        <v>83</v>
      </c>
      <c r="H1322" t="str" cm="1">
        <f t="array" ref="H1322">_xlfn.IFS(Grammys[[#This Row],[date]] &gt;= DATE(2022,2,1),"Grammys",TRUE,"Grammys TRA")</f>
        <v>Grammys TRA</v>
      </c>
      <c r="I1322">
        <f>_xlfn.XLOOKUP(Grammys[[#This Row],[date]],mobile_visits[date],mobile_visits[mobile_visitors],0)</f>
        <v>0</v>
      </c>
    </row>
    <row r="1323" spans="1:9">
      <c r="A1323" s="1">
        <v>44057</v>
      </c>
      <c r="B1323">
        <v>17607</v>
      </c>
      <c r="C1323">
        <v>31522</v>
      </c>
      <c r="D1323">
        <v>18648</v>
      </c>
      <c r="E1323">
        <v>8549</v>
      </c>
      <c r="F1323">
        <v>84</v>
      </c>
      <c r="G1323" t="s">
        <v>83</v>
      </c>
      <c r="H1323" t="str" cm="1">
        <f t="array" ref="H1323">_xlfn.IFS(Grammys[[#This Row],[date]] &gt;= DATE(2022,2,1),"Grammys",TRUE,"Grammys TRA")</f>
        <v>Grammys TRA</v>
      </c>
      <c r="I1323">
        <f>_xlfn.XLOOKUP(Grammys[[#This Row],[date]],mobile_visits[date],mobile_visits[mobile_visitors],0)</f>
        <v>0</v>
      </c>
    </row>
    <row r="1324" spans="1:9">
      <c r="A1324" s="1">
        <v>44058</v>
      </c>
      <c r="B1324">
        <v>15198</v>
      </c>
      <c r="C1324">
        <v>26650</v>
      </c>
      <c r="D1324">
        <v>16221</v>
      </c>
      <c r="E1324">
        <v>7566</v>
      </c>
      <c r="F1324">
        <v>87</v>
      </c>
      <c r="G1324" t="s">
        <v>83</v>
      </c>
      <c r="H1324" t="str" cm="1">
        <f t="array" ref="H1324">_xlfn.IFS(Grammys[[#This Row],[date]] &gt;= DATE(2022,2,1),"Grammys",TRUE,"Grammys TRA")</f>
        <v>Grammys TRA</v>
      </c>
      <c r="I1324">
        <f>_xlfn.XLOOKUP(Grammys[[#This Row],[date]],mobile_visits[date],mobile_visits[mobile_visitors],0)</f>
        <v>0</v>
      </c>
    </row>
    <row r="1325" spans="1:9">
      <c r="A1325" s="1">
        <v>44059</v>
      </c>
      <c r="B1325">
        <v>18845</v>
      </c>
      <c r="C1325">
        <v>32584</v>
      </c>
      <c r="D1325">
        <v>19945</v>
      </c>
      <c r="E1325">
        <v>8830</v>
      </c>
      <c r="F1325">
        <v>82</v>
      </c>
      <c r="G1325" t="s">
        <v>83</v>
      </c>
      <c r="H1325" t="str" cm="1">
        <f t="array" ref="H1325">_xlfn.IFS(Grammys[[#This Row],[date]] &gt;= DATE(2022,2,1),"Grammys",TRUE,"Grammys TRA")</f>
        <v>Grammys TRA</v>
      </c>
      <c r="I1325">
        <f>_xlfn.XLOOKUP(Grammys[[#This Row],[date]],mobile_visits[date],mobile_visits[mobile_visitors],0)</f>
        <v>0</v>
      </c>
    </row>
    <row r="1326" spans="1:9">
      <c r="A1326" s="1">
        <v>44060</v>
      </c>
      <c r="B1326">
        <v>20149</v>
      </c>
      <c r="C1326">
        <v>34144</v>
      </c>
      <c r="D1326">
        <v>21464</v>
      </c>
      <c r="E1326">
        <v>10091</v>
      </c>
      <c r="F1326">
        <v>108</v>
      </c>
      <c r="G1326" t="s">
        <v>83</v>
      </c>
      <c r="H1326" t="str" cm="1">
        <f t="array" ref="H1326">_xlfn.IFS(Grammys[[#This Row],[date]] &gt;= DATE(2022,2,1),"Grammys",TRUE,"Grammys TRA")</f>
        <v>Grammys TRA</v>
      </c>
      <c r="I1326">
        <f>_xlfn.XLOOKUP(Grammys[[#This Row],[date]],mobile_visits[date],mobile_visits[mobile_visitors],0)</f>
        <v>0</v>
      </c>
    </row>
    <row r="1327" spans="1:9">
      <c r="A1327" s="1">
        <v>44061</v>
      </c>
      <c r="B1327">
        <v>16633</v>
      </c>
      <c r="C1327">
        <v>29941</v>
      </c>
      <c r="D1327">
        <v>17981</v>
      </c>
      <c r="E1327">
        <v>8407</v>
      </c>
      <c r="F1327">
        <v>100</v>
      </c>
      <c r="G1327" t="s">
        <v>83</v>
      </c>
      <c r="H1327" t="str" cm="1">
        <f t="array" ref="H1327">_xlfn.IFS(Grammys[[#This Row],[date]] &gt;= DATE(2022,2,1),"Grammys",TRUE,"Grammys TRA")</f>
        <v>Grammys TRA</v>
      </c>
      <c r="I1327">
        <f>_xlfn.XLOOKUP(Grammys[[#This Row],[date]],mobile_visits[date],mobile_visits[mobile_visitors],0)</f>
        <v>0</v>
      </c>
    </row>
    <row r="1328" spans="1:9">
      <c r="A1328" s="1">
        <v>44062</v>
      </c>
      <c r="B1328">
        <v>17390</v>
      </c>
      <c r="C1328">
        <v>30874</v>
      </c>
      <c r="D1328">
        <v>18507</v>
      </c>
      <c r="E1328">
        <v>8416</v>
      </c>
      <c r="F1328">
        <v>96</v>
      </c>
      <c r="G1328" t="s">
        <v>83</v>
      </c>
      <c r="H1328" t="str" cm="1">
        <f t="array" ref="H1328">_xlfn.IFS(Grammys[[#This Row],[date]] &gt;= DATE(2022,2,1),"Grammys",TRUE,"Grammys TRA")</f>
        <v>Grammys TRA</v>
      </c>
      <c r="I1328">
        <f>_xlfn.XLOOKUP(Grammys[[#This Row],[date]],mobile_visits[date],mobile_visits[mobile_visitors],0)</f>
        <v>0</v>
      </c>
    </row>
    <row r="1329" spans="1:9">
      <c r="A1329" s="1">
        <v>44063</v>
      </c>
      <c r="B1329">
        <v>23890</v>
      </c>
      <c r="C1329">
        <v>40386</v>
      </c>
      <c r="D1329">
        <v>25341</v>
      </c>
      <c r="E1329">
        <v>11052</v>
      </c>
      <c r="F1329">
        <v>106</v>
      </c>
      <c r="G1329" t="s">
        <v>83</v>
      </c>
      <c r="H1329" t="str" cm="1">
        <f t="array" ref="H1329">_xlfn.IFS(Grammys[[#This Row],[date]] &gt;= DATE(2022,2,1),"Grammys",TRUE,"Grammys TRA")</f>
        <v>Grammys TRA</v>
      </c>
      <c r="I1329">
        <f>_xlfn.XLOOKUP(Grammys[[#This Row],[date]],mobile_visits[date],mobile_visits[mobile_visitors],0)</f>
        <v>0</v>
      </c>
    </row>
    <row r="1330" spans="1:9">
      <c r="A1330" s="1">
        <v>44064</v>
      </c>
      <c r="B1330">
        <v>63836</v>
      </c>
      <c r="C1330">
        <v>99296</v>
      </c>
      <c r="D1330">
        <v>68023</v>
      </c>
      <c r="E1330">
        <v>22537</v>
      </c>
      <c r="F1330">
        <v>118</v>
      </c>
      <c r="G1330" t="s">
        <v>83</v>
      </c>
      <c r="H1330" t="str" cm="1">
        <f t="array" ref="H1330">_xlfn.IFS(Grammys[[#This Row],[date]] &gt;= DATE(2022,2,1),"Grammys",TRUE,"Grammys TRA")</f>
        <v>Grammys TRA</v>
      </c>
      <c r="I1330">
        <f>_xlfn.XLOOKUP(Grammys[[#This Row],[date]],mobile_visits[date],mobile_visits[mobile_visitors],0)</f>
        <v>0</v>
      </c>
    </row>
    <row r="1331" spans="1:9">
      <c r="A1331" s="1">
        <v>44065</v>
      </c>
      <c r="B1331">
        <v>31064</v>
      </c>
      <c r="C1331">
        <v>54059</v>
      </c>
      <c r="D1331">
        <v>32496</v>
      </c>
      <c r="E1331">
        <v>13005</v>
      </c>
      <c r="F1331">
        <v>99</v>
      </c>
      <c r="G1331" t="s">
        <v>83</v>
      </c>
      <c r="H1331" t="str" cm="1">
        <f t="array" ref="H1331">_xlfn.IFS(Grammys[[#This Row],[date]] &gt;= DATE(2022,2,1),"Grammys",TRUE,"Grammys TRA")</f>
        <v>Grammys TRA</v>
      </c>
      <c r="I1331">
        <f>_xlfn.XLOOKUP(Grammys[[#This Row],[date]],mobile_visits[date],mobile_visits[mobile_visitors],0)</f>
        <v>0</v>
      </c>
    </row>
    <row r="1332" spans="1:9">
      <c r="A1332" s="1">
        <v>44066</v>
      </c>
      <c r="B1332">
        <v>24374</v>
      </c>
      <c r="C1332">
        <v>47142</v>
      </c>
      <c r="D1332">
        <v>25923</v>
      </c>
      <c r="E1332">
        <v>10720</v>
      </c>
      <c r="F1332">
        <v>85</v>
      </c>
      <c r="G1332" t="s">
        <v>83</v>
      </c>
      <c r="H1332" t="str" cm="1">
        <f t="array" ref="H1332">_xlfn.IFS(Grammys[[#This Row],[date]] &gt;= DATE(2022,2,1),"Grammys",TRUE,"Grammys TRA")</f>
        <v>Grammys TRA</v>
      </c>
      <c r="I1332">
        <f>_xlfn.XLOOKUP(Grammys[[#This Row],[date]],mobile_visits[date],mobile_visits[mobile_visitors],0)</f>
        <v>0</v>
      </c>
    </row>
    <row r="1333" spans="1:9">
      <c r="A1333" s="1">
        <v>44067</v>
      </c>
      <c r="B1333">
        <v>19051</v>
      </c>
      <c r="C1333">
        <v>36209</v>
      </c>
      <c r="D1333">
        <v>20382</v>
      </c>
      <c r="E1333">
        <v>8789</v>
      </c>
      <c r="F1333">
        <v>82</v>
      </c>
      <c r="G1333" t="s">
        <v>83</v>
      </c>
      <c r="H1333" t="str" cm="1">
        <f t="array" ref="H1333">_xlfn.IFS(Grammys[[#This Row],[date]] &gt;= DATE(2022,2,1),"Grammys",TRUE,"Grammys TRA")</f>
        <v>Grammys TRA</v>
      </c>
      <c r="I1333">
        <f>_xlfn.XLOOKUP(Grammys[[#This Row],[date]],mobile_visits[date],mobile_visits[mobile_visitors],0)</f>
        <v>0</v>
      </c>
    </row>
    <row r="1334" spans="1:9">
      <c r="A1334" s="1">
        <v>44068</v>
      </c>
      <c r="B1334">
        <v>17617</v>
      </c>
      <c r="C1334">
        <v>32245</v>
      </c>
      <c r="D1334">
        <v>18817</v>
      </c>
      <c r="E1334">
        <v>8303</v>
      </c>
      <c r="F1334">
        <v>90</v>
      </c>
      <c r="G1334" t="s">
        <v>83</v>
      </c>
      <c r="H1334" t="str" cm="1">
        <f t="array" ref="H1334">_xlfn.IFS(Grammys[[#This Row],[date]] &gt;= DATE(2022,2,1),"Grammys",TRUE,"Grammys TRA")</f>
        <v>Grammys TRA</v>
      </c>
      <c r="I1334">
        <f>_xlfn.XLOOKUP(Grammys[[#This Row],[date]],mobile_visits[date],mobile_visits[mobile_visitors],0)</f>
        <v>0</v>
      </c>
    </row>
    <row r="1335" spans="1:9">
      <c r="A1335" s="1">
        <v>44069</v>
      </c>
      <c r="B1335">
        <v>16292</v>
      </c>
      <c r="C1335">
        <v>29901</v>
      </c>
      <c r="D1335">
        <v>17442</v>
      </c>
      <c r="E1335">
        <v>8001</v>
      </c>
      <c r="F1335">
        <v>82</v>
      </c>
      <c r="G1335" t="s">
        <v>83</v>
      </c>
      <c r="H1335" t="str" cm="1">
        <f t="array" ref="H1335">_xlfn.IFS(Grammys[[#This Row],[date]] &gt;= DATE(2022,2,1),"Grammys",TRUE,"Grammys TRA")</f>
        <v>Grammys TRA</v>
      </c>
      <c r="I1335">
        <f>_xlfn.XLOOKUP(Grammys[[#This Row],[date]],mobile_visits[date],mobile_visits[mobile_visitors],0)</f>
        <v>0</v>
      </c>
    </row>
    <row r="1336" spans="1:9">
      <c r="A1336" s="1">
        <v>44070</v>
      </c>
      <c r="B1336">
        <v>15185</v>
      </c>
      <c r="C1336">
        <v>28378</v>
      </c>
      <c r="D1336">
        <v>16268</v>
      </c>
      <c r="E1336">
        <v>7609</v>
      </c>
      <c r="F1336">
        <v>80</v>
      </c>
      <c r="G1336" t="s">
        <v>83</v>
      </c>
      <c r="H1336" t="str" cm="1">
        <f t="array" ref="H1336">_xlfn.IFS(Grammys[[#This Row],[date]] &gt;= DATE(2022,2,1),"Grammys",TRUE,"Grammys TRA")</f>
        <v>Grammys TRA</v>
      </c>
      <c r="I1336">
        <f>_xlfn.XLOOKUP(Grammys[[#This Row],[date]],mobile_visits[date],mobile_visits[mobile_visitors],0)</f>
        <v>0</v>
      </c>
    </row>
    <row r="1337" spans="1:9">
      <c r="A1337" s="1">
        <v>44071</v>
      </c>
      <c r="B1337">
        <v>15579</v>
      </c>
      <c r="C1337">
        <v>28805</v>
      </c>
      <c r="D1337">
        <v>16751</v>
      </c>
      <c r="E1337">
        <v>7599</v>
      </c>
      <c r="F1337">
        <v>84</v>
      </c>
      <c r="G1337" t="s">
        <v>83</v>
      </c>
      <c r="H1337" t="str" cm="1">
        <f t="array" ref="H1337">_xlfn.IFS(Grammys[[#This Row],[date]] &gt;= DATE(2022,2,1),"Grammys",TRUE,"Grammys TRA")</f>
        <v>Grammys TRA</v>
      </c>
      <c r="I1337">
        <f>_xlfn.XLOOKUP(Grammys[[#This Row],[date]],mobile_visits[date],mobile_visits[mobile_visitors],0)</f>
        <v>0</v>
      </c>
    </row>
    <row r="1338" spans="1:9">
      <c r="A1338" s="1">
        <v>44072</v>
      </c>
      <c r="B1338">
        <v>17340</v>
      </c>
      <c r="C1338">
        <v>29594</v>
      </c>
      <c r="D1338">
        <v>18249</v>
      </c>
      <c r="E1338">
        <v>8570</v>
      </c>
      <c r="F1338">
        <v>78</v>
      </c>
      <c r="G1338" t="s">
        <v>83</v>
      </c>
      <c r="H1338" t="str" cm="1">
        <f t="array" ref="H1338">_xlfn.IFS(Grammys[[#This Row],[date]] &gt;= DATE(2022,2,1),"Grammys",TRUE,"Grammys TRA")</f>
        <v>Grammys TRA</v>
      </c>
      <c r="I1338">
        <f>_xlfn.XLOOKUP(Grammys[[#This Row],[date]],mobile_visits[date],mobile_visits[mobile_visitors],0)</f>
        <v>0</v>
      </c>
    </row>
    <row r="1339" spans="1:9">
      <c r="A1339" s="1">
        <v>44073</v>
      </c>
      <c r="B1339">
        <v>26580</v>
      </c>
      <c r="C1339">
        <v>43533</v>
      </c>
      <c r="D1339">
        <v>27777</v>
      </c>
      <c r="E1339">
        <v>13342</v>
      </c>
      <c r="F1339">
        <v>77</v>
      </c>
      <c r="G1339" t="s">
        <v>83</v>
      </c>
      <c r="H1339" t="str" cm="1">
        <f t="array" ref="H1339">_xlfn.IFS(Grammys[[#This Row],[date]] &gt;= DATE(2022,2,1),"Grammys",TRUE,"Grammys TRA")</f>
        <v>Grammys TRA</v>
      </c>
      <c r="I1339">
        <f>_xlfn.XLOOKUP(Grammys[[#This Row],[date]],mobile_visits[date],mobile_visits[mobile_visitors],0)</f>
        <v>0</v>
      </c>
    </row>
    <row r="1340" spans="1:9">
      <c r="A1340" s="1">
        <v>44074</v>
      </c>
      <c r="B1340">
        <v>28489</v>
      </c>
      <c r="C1340">
        <v>49997</v>
      </c>
      <c r="D1340">
        <v>29939</v>
      </c>
      <c r="E1340">
        <v>12940</v>
      </c>
      <c r="F1340">
        <v>79</v>
      </c>
      <c r="G1340" t="s">
        <v>83</v>
      </c>
      <c r="H1340" t="str" cm="1">
        <f t="array" ref="H1340">_xlfn.IFS(Grammys[[#This Row],[date]] &gt;= DATE(2022,2,1),"Grammys",TRUE,"Grammys TRA")</f>
        <v>Grammys TRA</v>
      </c>
      <c r="I1340">
        <f>_xlfn.XLOOKUP(Grammys[[#This Row],[date]],mobile_visits[date],mobile_visits[mobile_visitors],0)</f>
        <v>0</v>
      </c>
    </row>
    <row r="1341" spans="1:9">
      <c r="A1341" s="1">
        <v>44075</v>
      </c>
      <c r="B1341">
        <v>24444</v>
      </c>
      <c r="C1341">
        <v>44794</v>
      </c>
      <c r="D1341">
        <v>26226</v>
      </c>
      <c r="E1341">
        <v>12022</v>
      </c>
      <c r="F1341">
        <v>86</v>
      </c>
      <c r="G1341" t="s">
        <v>83</v>
      </c>
      <c r="H1341" t="str" cm="1">
        <f t="array" ref="H1341">_xlfn.IFS(Grammys[[#This Row],[date]] &gt;= DATE(2022,2,1),"Grammys",TRUE,"Grammys TRA")</f>
        <v>Grammys TRA</v>
      </c>
      <c r="I1341">
        <f>_xlfn.XLOOKUP(Grammys[[#This Row],[date]],mobile_visits[date],mobile_visits[mobile_visitors],0)</f>
        <v>0</v>
      </c>
    </row>
    <row r="1342" spans="1:9">
      <c r="A1342" s="1">
        <v>44076</v>
      </c>
      <c r="B1342">
        <v>25389</v>
      </c>
      <c r="C1342">
        <v>47134</v>
      </c>
      <c r="D1342">
        <v>27168</v>
      </c>
      <c r="E1342">
        <v>12101</v>
      </c>
      <c r="F1342">
        <v>83</v>
      </c>
      <c r="G1342" t="s">
        <v>83</v>
      </c>
      <c r="H1342" t="str" cm="1">
        <f t="array" ref="H1342">_xlfn.IFS(Grammys[[#This Row],[date]] &gt;= DATE(2022,2,1),"Grammys",TRUE,"Grammys TRA")</f>
        <v>Grammys TRA</v>
      </c>
      <c r="I1342">
        <f>_xlfn.XLOOKUP(Grammys[[#This Row],[date]],mobile_visits[date],mobile_visits[mobile_visitors],0)</f>
        <v>0</v>
      </c>
    </row>
    <row r="1343" spans="1:9">
      <c r="A1343" s="1">
        <v>44077</v>
      </c>
      <c r="B1343">
        <v>25754</v>
      </c>
      <c r="C1343">
        <v>48723</v>
      </c>
      <c r="D1343">
        <v>27196</v>
      </c>
      <c r="E1343">
        <v>11619</v>
      </c>
      <c r="F1343">
        <v>85</v>
      </c>
      <c r="G1343" t="s">
        <v>83</v>
      </c>
      <c r="H1343" t="str" cm="1">
        <f t="array" ref="H1343">_xlfn.IFS(Grammys[[#This Row],[date]] &gt;= DATE(2022,2,1),"Grammys",TRUE,"Grammys TRA")</f>
        <v>Grammys TRA</v>
      </c>
      <c r="I1343">
        <f>_xlfn.XLOOKUP(Grammys[[#This Row],[date]],mobile_visits[date],mobile_visits[mobile_visitors],0)</f>
        <v>0</v>
      </c>
    </row>
    <row r="1344" spans="1:9">
      <c r="A1344" s="1">
        <v>44078</v>
      </c>
      <c r="B1344">
        <v>24490</v>
      </c>
      <c r="C1344">
        <v>44844</v>
      </c>
      <c r="D1344">
        <v>25848</v>
      </c>
      <c r="E1344">
        <v>11156</v>
      </c>
      <c r="F1344">
        <v>80</v>
      </c>
      <c r="G1344" t="s">
        <v>83</v>
      </c>
      <c r="H1344" t="str" cm="1">
        <f t="array" ref="H1344">_xlfn.IFS(Grammys[[#This Row],[date]] &gt;= DATE(2022,2,1),"Grammys",TRUE,"Grammys TRA")</f>
        <v>Grammys TRA</v>
      </c>
      <c r="I1344">
        <f>_xlfn.XLOOKUP(Grammys[[#This Row],[date]],mobile_visits[date],mobile_visits[mobile_visitors],0)</f>
        <v>0</v>
      </c>
    </row>
    <row r="1345" spans="1:9">
      <c r="A1345" s="1">
        <v>44079</v>
      </c>
      <c r="B1345">
        <v>20222</v>
      </c>
      <c r="C1345">
        <v>35989</v>
      </c>
      <c r="D1345">
        <v>21380</v>
      </c>
      <c r="E1345">
        <v>9530</v>
      </c>
      <c r="F1345">
        <v>81</v>
      </c>
      <c r="G1345" t="s">
        <v>83</v>
      </c>
      <c r="H1345" t="str" cm="1">
        <f t="array" ref="H1345">_xlfn.IFS(Grammys[[#This Row],[date]] &gt;= DATE(2022,2,1),"Grammys",TRUE,"Grammys TRA")</f>
        <v>Grammys TRA</v>
      </c>
      <c r="I1345">
        <f>_xlfn.XLOOKUP(Grammys[[#This Row],[date]],mobile_visits[date],mobile_visits[mobile_visitors],0)</f>
        <v>0</v>
      </c>
    </row>
    <row r="1346" spans="1:9">
      <c r="A1346" s="1">
        <v>44080</v>
      </c>
      <c r="B1346">
        <v>20543</v>
      </c>
      <c r="C1346">
        <v>34324</v>
      </c>
      <c r="D1346">
        <v>21443</v>
      </c>
      <c r="E1346">
        <v>9755</v>
      </c>
      <c r="F1346">
        <v>90</v>
      </c>
      <c r="G1346" t="s">
        <v>83</v>
      </c>
      <c r="H1346" t="str" cm="1">
        <f t="array" ref="H1346">_xlfn.IFS(Grammys[[#This Row],[date]] &gt;= DATE(2022,2,1),"Grammys",TRUE,"Grammys TRA")</f>
        <v>Grammys TRA</v>
      </c>
      <c r="I1346">
        <f>_xlfn.XLOOKUP(Grammys[[#This Row],[date]],mobile_visits[date],mobile_visits[mobile_visitors],0)</f>
        <v>0</v>
      </c>
    </row>
    <row r="1347" spans="1:9">
      <c r="A1347" s="1">
        <v>44081</v>
      </c>
      <c r="B1347">
        <v>18803</v>
      </c>
      <c r="C1347">
        <v>32470</v>
      </c>
      <c r="D1347">
        <v>19678</v>
      </c>
      <c r="E1347">
        <v>8551</v>
      </c>
      <c r="F1347">
        <v>95</v>
      </c>
      <c r="G1347" t="s">
        <v>83</v>
      </c>
      <c r="H1347" t="str" cm="1">
        <f t="array" ref="H1347">_xlfn.IFS(Grammys[[#This Row],[date]] &gt;= DATE(2022,2,1),"Grammys",TRUE,"Grammys TRA")</f>
        <v>Grammys TRA</v>
      </c>
      <c r="I1347">
        <f>_xlfn.XLOOKUP(Grammys[[#This Row],[date]],mobile_visits[date],mobile_visits[mobile_visitors],0)</f>
        <v>0</v>
      </c>
    </row>
    <row r="1348" spans="1:9">
      <c r="A1348" s="1">
        <v>44082</v>
      </c>
      <c r="B1348">
        <v>16430</v>
      </c>
      <c r="C1348">
        <v>30171</v>
      </c>
      <c r="D1348">
        <v>17492</v>
      </c>
      <c r="E1348">
        <v>8148</v>
      </c>
      <c r="F1348">
        <v>85</v>
      </c>
      <c r="G1348" t="s">
        <v>83</v>
      </c>
      <c r="H1348" t="str" cm="1">
        <f t="array" ref="H1348">_xlfn.IFS(Grammys[[#This Row],[date]] &gt;= DATE(2022,2,1),"Grammys",TRUE,"Grammys TRA")</f>
        <v>Grammys TRA</v>
      </c>
      <c r="I1348">
        <f>_xlfn.XLOOKUP(Grammys[[#This Row],[date]],mobile_visits[date],mobile_visits[mobile_visitors],0)</f>
        <v>0</v>
      </c>
    </row>
    <row r="1349" spans="1:9">
      <c r="A1349" s="1">
        <v>44083</v>
      </c>
      <c r="B1349">
        <v>24942</v>
      </c>
      <c r="C1349">
        <v>41787</v>
      </c>
      <c r="D1349">
        <v>25973</v>
      </c>
      <c r="E1349">
        <v>10268</v>
      </c>
      <c r="F1349">
        <v>88</v>
      </c>
      <c r="G1349" t="s">
        <v>83</v>
      </c>
      <c r="H1349" t="str" cm="1">
        <f t="array" ref="H1349">_xlfn.IFS(Grammys[[#This Row],[date]] &gt;= DATE(2022,2,1),"Grammys",TRUE,"Grammys TRA")</f>
        <v>Grammys TRA</v>
      </c>
      <c r="I1349">
        <f>_xlfn.XLOOKUP(Grammys[[#This Row],[date]],mobile_visits[date],mobile_visits[mobile_visitors],0)</f>
        <v>0</v>
      </c>
    </row>
    <row r="1350" spans="1:9">
      <c r="A1350" s="1">
        <v>44084</v>
      </c>
      <c r="B1350">
        <v>24601</v>
      </c>
      <c r="C1350">
        <v>42931</v>
      </c>
      <c r="D1350">
        <v>26156</v>
      </c>
      <c r="E1350">
        <v>11462</v>
      </c>
      <c r="F1350">
        <v>88</v>
      </c>
      <c r="G1350" t="s">
        <v>83</v>
      </c>
      <c r="H1350" t="str" cm="1">
        <f t="array" ref="H1350">_xlfn.IFS(Grammys[[#This Row],[date]] &gt;= DATE(2022,2,1),"Grammys",TRUE,"Grammys TRA")</f>
        <v>Grammys TRA</v>
      </c>
      <c r="I1350">
        <f>_xlfn.XLOOKUP(Grammys[[#This Row],[date]],mobile_visits[date],mobile_visits[mobile_visitors],0)</f>
        <v>0</v>
      </c>
    </row>
    <row r="1351" spans="1:9">
      <c r="A1351" s="1">
        <v>44085</v>
      </c>
      <c r="B1351">
        <v>19487</v>
      </c>
      <c r="C1351">
        <v>35094</v>
      </c>
      <c r="D1351">
        <v>20521</v>
      </c>
      <c r="E1351">
        <v>8385</v>
      </c>
      <c r="F1351">
        <v>83</v>
      </c>
      <c r="G1351" t="s">
        <v>83</v>
      </c>
      <c r="H1351" t="str" cm="1">
        <f t="array" ref="H1351">_xlfn.IFS(Grammys[[#This Row],[date]] &gt;= DATE(2022,2,1),"Grammys",TRUE,"Grammys TRA")</f>
        <v>Grammys TRA</v>
      </c>
      <c r="I1351">
        <f>_xlfn.XLOOKUP(Grammys[[#This Row],[date]],mobile_visits[date],mobile_visits[mobile_visitors],0)</f>
        <v>0</v>
      </c>
    </row>
    <row r="1352" spans="1:9">
      <c r="A1352" s="1">
        <v>44086</v>
      </c>
      <c r="B1352">
        <v>17581</v>
      </c>
      <c r="C1352">
        <v>30172</v>
      </c>
      <c r="D1352">
        <v>18700</v>
      </c>
      <c r="E1352">
        <v>7927</v>
      </c>
      <c r="F1352">
        <v>72</v>
      </c>
      <c r="G1352" t="s">
        <v>83</v>
      </c>
      <c r="H1352" t="str" cm="1">
        <f t="array" ref="H1352">_xlfn.IFS(Grammys[[#This Row],[date]] &gt;= DATE(2022,2,1),"Grammys",TRUE,"Grammys TRA")</f>
        <v>Grammys TRA</v>
      </c>
      <c r="I1352">
        <f>_xlfn.XLOOKUP(Grammys[[#This Row],[date]],mobile_visits[date],mobile_visits[mobile_visitors],0)</f>
        <v>0</v>
      </c>
    </row>
    <row r="1353" spans="1:9">
      <c r="A1353" s="1">
        <v>44087</v>
      </c>
      <c r="B1353">
        <v>16829</v>
      </c>
      <c r="C1353">
        <v>30457</v>
      </c>
      <c r="D1353">
        <v>17905</v>
      </c>
      <c r="E1353">
        <v>7891</v>
      </c>
      <c r="F1353">
        <v>79</v>
      </c>
      <c r="G1353" t="s">
        <v>83</v>
      </c>
      <c r="H1353" t="str" cm="1">
        <f t="array" ref="H1353">_xlfn.IFS(Grammys[[#This Row],[date]] &gt;= DATE(2022,2,1),"Grammys",TRUE,"Grammys TRA")</f>
        <v>Grammys TRA</v>
      </c>
      <c r="I1353">
        <f>_xlfn.XLOOKUP(Grammys[[#This Row],[date]],mobile_visits[date],mobile_visits[mobile_visitors],0)</f>
        <v>0</v>
      </c>
    </row>
    <row r="1354" spans="1:9">
      <c r="A1354" s="1">
        <v>44088</v>
      </c>
      <c r="B1354">
        <v>17142</v>
      </c>
      <c r="C1354">
        <v>32163</v>
      </c>
      <c r="D1354">
        <v>18301</v>
      </c>
      <c r="E1354">
        <v>8172</v>
      </c>
      <c r="F1354">
        <v>93</v>
      </c>
      <c r="G1354" t="s">
        <v>83</v>
      </c>
      <c r="H1354" t="str" cm="1">
        <f t="array" ref="H1354">_xlfn.IFS(Grammys[[#This Row],[date]] &gt;= DATE(2022,2,1),"Grammys",TRUE,"Grammys TRA")</f>
        <v>Grammys TRA</v>
      </c>
      <c r="I1354">
        <f>_xlfn.XLOOKUP(Grammys[[#This Row],[date]],mobile_visits[date],mobile_visits[mobile_visitors],0)</f>
        <v>0</v>
      </c>
    </row>
    <row r="1355" spans="1:9">
      <c r="A1355" s="1">
        <v>44089</v>
      </c>
      <c r="B1355">
        <v>16621</v>
      </c>
      <c r="C1355">
        <v>31054</v>
      </c>
      <c r="D1355">
        <v>17803</v>
      </c>
      <c r="E1355">
        <v>7855</v>
      </c>
      <c r="F1355">
        <v>94</v>
      </c>
      <c r="G1355" t="s">
        <v>83</v>
      </c>
      <c r="H1355" t="str" cm="1">
        <f t="array" ref="H1355">_xlfn.IFS(Grammys[[#This Row],[date]] &gt;= DATE(2022,2,1),"Grammys",TRUE,"Grammys TRA")</f>
        <v>Grammys TRA</v>
      </c>
      <c r="I1355">
        <f>_xlfn.XLOOKUP(Grammys[[#This Row],[date]],mobile_visits[date],mobile_visits[mobile_visitors],0)</f>
        <v>0</v>
      </c>
    </row>
    <row r="1356" spans="1:9">
      <c r="A1356" s="1">
        <v>44090</v>
      </c>
      <c r="B1356">
        <v>20877</v>
      </c>
      <c r="C1356">
        <v>38227</v>
      </c>
      <c r="D1356">
        <v>22222</v>
      </c>
      <c r="E1356">
        <v>10425</v>
      </c>
      <c r="F1356">
        <v>82</v>
      </c>
      <c r="G1356" t="s">
        <v>83</v>
      </c>
      <c r="H1356" t="str" cm="1">
        <f t="array" ref="H1356">_xlfn.IFS(Grammys[[#This Row],[date]] &gt;= DATE(2022,2,1),"Grammys",TRUE,"Grammys TRA")</f>
        <v>Grammys TRA</v>
      </c>
      <c r="I1356">
        <f>_xlfn.XLOOKUP(Grammys[[#This Row],[date]],mobile_visits[date],mobile_visits[mobile_visitors],0)</f>
        <v>0</v>
      </c>
    </row>
    <row r="1357" spans="1:9">
      <c r="A1357" s="1">
        <v>44091</v>
      </c>
      <c r="B1357">
        <v>20512</v>
      </c>
      <c r="C1357">
        <v>37859</v>
      </c>
      <c r="D1357">
        <v>21946</v>
      </c>
      <c r="E1357">
        <v>9766</v>
      </c>
      <c r="F1357">
        <v>81</v>
      </c>
      <c r="G1357" t="s">
        <v>83</v>
      </c>
      <c r="H1357" t="str" cm="1">
        <f t="array" ref="H1357">_xlfn.IFS(Grammys[[#This Row],[date]] &gt;= DATE(2022,2,1),"Grammys",TRUE,"Grammys TRA")</f>
        <v>Grammys TRA</v>
      </c>
      <c r="I1357">
        <f>_xlfn.XLOOKUP(Grammys[[#This Row],[date]],mobile_visits[date],mobile_visits[mobile_visitors],0)</f>
        <v>0</v>
      </c>
    </row>
    <row r="1358" spans="1:9">
      <c r="A1358" s="1">
        <v>44092</v>
      </c>
      <c r="B1358">
        <v>203599</v>
      </c>
      <c r="C1358">
        <v>382632</v>
      </c>
      <c r="D1358">
        <v>242593</v>
      </c>
      <c r="E1358">
        <v>29985</v>
      </c>
      <c r="F1358">
        <v>69</v>
      </c>
      <c r="G1358" t="s">
        <v>83</v>
      </c>
      <c r="H1358" t="str" cm="1">
        <f t="array" ref="H1358">_xlfn.IFS(Grammys[[#This Row],[date]] &gt;= DATE(2022,2,1),"Grammys",TRUE,"Grammys TRA")</f>
        <v>Grammys TRA</v>
      </c>
      <c r="I1358">
        <f>_xlfn.XLOOKUP(Grammys[[#This Row],[date]],mobile_visits[date],mobile_visits[mobile_visitors],0)</f>
        <v>0</v>
      </c>
    </row>
    <row r="1359" spans="1:9">
      <c r="A1359" s="1">
        <v>44093</v>
      </c>
      <c r="B1359">
        <v>98663</v>
      </c>
      <c r="C1359">
        <v>166622</v>
      </c>
      <c r="D1359">
        <v>108305</v>
      </c>
      <c r="E1359">
        <v>19506</v>
      </c>
      <c r="F1359">
        <v>59</v>
      </c>
      <c r="G1359" t="s">
        <v>83</v>
      </c>
      <c r="H1359" t="str" cm="1">
        <f t="array" ref="H1359">_xlfn.IFS(Grammys[[#This Row],[date]] &gt;= DATE(2022,2,1),"Grammys",TRUE,"Grammys TRA")</f>
        <v>Grammys TRA</v>
      </c>
      <c r="I1359">
        <f>_xlfn.XLOOKUP(Grammys[[#This Row],[date]],mobile_visits[date],mobile_visits[mobile_visitors],0)</f>
        <v>0</v>
      </c>
    </row>
    <row r="1360" spans="1:9">
      <c r="A1360" s="1">
        <v>44094</v>
      </c>
      <c r="B1360">
        <v>54400</v>
      </c>
      <c r="C1360">
        <v>93627</v>
      </c>
      <c r="D1360">
        <v>59552</v>
      </c>
      <c r="E1360">
        <v>15282</v>
      </c>
      <c r="F1360">
        <v>62</v>
      </c>
      <c r="G1360" t="s">
        <v>83</v>
      </c>
      <c r="H1360" t="str" cm="1">
        <f t="array" ref="H1360">_xlfn.IFS(Grammys[[#This Row],[date]] &gt;= DATE(2022,2,1),"Grammys",TRUE,"Grammys TRA")</f>
        <v>Grammys TRA</v>
      </c>
      <c r="I1360">
        <f>_xlfn.XLOOKUP(Grammys[[#This Row],[date]],mobile_visits[date],mobile_visits[mobile_visitors],0)</f>
        <v>0</v>
      </c>
    </row>
    <row r="1361" spans="1:9">
      <c r="A1361" s="1">
        <v>44095</v>
      </c>
      <c r="B1361">
        <v>38523</v>
      </c>
      <c r="C1361">
        <v>70581</v>
      </c>
      <c r="D1361">
        <v>42353</v>
      </c>
      <c r="E1361">
        <v>13990</v>
      </c>
      <c r="F1361">
        <v>76</v>
      </c>
      <c r="G1361" t="s">
        <v>83</v>
      </c>
      <c r="H1361" t="str" cm="1">
        <f t="array" ref="H1361">_xlfn.IFS(Grammys[[#This Row],[date]] &gt;= DATE(2022,2,1),"Grammys",TRUE,"Grammys TRA")</f>
        <v>Grammys TRA</v>
      </c>
      <c r="I1361">
        <f>_xlfn.XLOOKUP(Grammys[[#This Row],[date]],mobile_visits[date],mobile_visits[mobile_visitors],0)</f>
        <v>0</v>
      </c>
    </row>
    <row r="1362" spans="1:9">
      <c r="A1362" s="1">
        <v>44096</v>
      </c>
      <c r="B1362">
        <v>37235</v>
      </c>
      <c r="C1362">
        <v>63629</v>
      </c>
      <c r="D1362">
        <v>40488</v>
      </c>
      <c r="E1362">
        <v>13309</v>
      </c>
      <c r="F1362">
        <v>75</v>
      </c>
      <c r="G1362" t="s">
        <v>83</v>
      </c>
      <c r="H1362" t="str" cm="1">
        <f t="array" ref="H1362">_xlfn.IFS(Grammys[[#This Row],[date]] &gt;= DATE(2022,2,1),"Grammys",TRUE,"Grammys TRA")</f>
        <v>Grammys TRA</v>
      </c>
      <c r="I1362">
        <f>_xlfn.XLOOKUP(Grammys[[#This Row],[date]],mobile_visits[date],mobile_visits[mobile_visitors],0)</f>
        <v>0</v>
      </c>
    </row>
    <row r="1363" spans="1:9">
      <c r="A1363" s="1">
        <v>44097</v>
      </c>
      <c r="B1363">
        <v>26278</v>
      </c>
      <c r="C1363">
        <v>46667</v>
      </c>
      <c r="D1363">
        <v>28131</v>
      </c>
      <c r="E1363">
        <v>11410</v>
      </c>
      <c r="F1363">
        <v>87</v>
      </c>
      <c r="G1363" t="s">
        <v>83</v>
      </c>
      <c r="H1363" t="str" cm="1">
        <f t="array" ref="H1363">_xlfn.IFS(Grammys[[#This Row],[date]] &gt;= DATE(2022,2,1),"Grammys",TRUE,"Grammys TRA")</f>
        <v>Grammys TRA</v>
      </c>
      <c r="I1363">
        <f>_xlfn.XLOOKUP(Grammys[[#This Row],[date]],mobile_visits[date],mobile_visits[mobile_visitors],0)</f>
        <v>0</v>
      </c>
    </row>
    <row r="1364" spans="1:9">
      <c r="A1364" s="1">
        <v>44098</v>
      </c>
      <c r="B1364">
        <v>30034</v>
      </c>
      <c r="C1364">
        <v>52409</v>
      </c>
      <c r="D1364">
        <v>32376</v>
      </c>
      <c r="E1364">
        <v>12216</v>
      </c>
      <c r="F1364">
        <v>101</v>
      </c>
      <c r="G1364" t="s">
        <v>83</v>
      </c>
      <c r="H1364" t="str" cm="1">
        <f t="array" ref="H1364">_xlfn.IFS(Grammys[[#This Row],[date]] &gt;= DATE(2022,2,1),"Grammys",TRUE,"Grammys TRA")</f>
        <v>Grammys TRA</v>
      </c>
      <c r="I1364">
        <f>_xlfn.XLOOKUP(Grammys[[#This Row],[date]],mobile_visits[date],mobile_visits[mobile_visitors],0)</f>
        <v>0</v>
      </c>
    </row>
    <row r="1365" spans="1:9">
      <c r="A1365" s="1">
        <v>44099</v>
      </c>
      <c r="B1365">
        <v>37147</v>
      </c>
      <c r="C1365">
        <v>66274</v>
      </c>
      <c r="D1365">
        <v>42189</v>
      </c>
      <c r="E1365">
        <v>15956</v>
      </c>
      <c r="F1365">
        <v>142</v>
      </c>
      <c r="G1365" t="s">
        <v>83</v>
      </c>
      <c r="H1365" t="str" cm="1">
        <f t="array" ref="H1365">_xlfn.IFS(Grammys[[#This Row],[date]] &gt;= DATE(2022,2,1),"Grammys",TRUE,"Grammys TRA")</f>
        <v>Grammys TRA</v>
      </c>
      <c r="I1365">
        <f>_xlfn.XLOOKUP(Grammys[[#This Row],[date]],mobile_visits[date],mobile_visits[mobile_visitors],0)</f>
        <v>0</v>
      </c>
    </row>
    <row r="1366" spans="1:9">
      <c r="A1366" s="1">
        <v>44100</v>
      </c>
      <c r="B1366">
        <v>36219</v>
      </c>
      <c r="C1366">
        <v>58412</v>
      </c>
      <c r="D1366">
        <v>39910</v>
      </c>
      <c r="E1366">
        <v>16100</v>
      </c>
      <c r="F1366">
        <v>109</v>
      </c>
      <c r="G1366" t="s">
        <v>83</v>
      </c>
      <c r="H1366" t="str" cm="1">
        <f t="array" ref="H1366">_xlfn.IFS(Grammys[[#This Row],[date]] &gt;= DATE(2022,2,1),"Grammys",TRUE,"Grammys TRA")</f>
        <v>Grammys TRA</v>
      </c>
      <c r="I1366">
        <f>_xlfn.XLOOKUP(Grammys[[#This Row],[date]],mobile_visits[date],mobile_visits[mobile_visitors],0)</f>
        <v>0</v>
      </c>
    </row>
    <row r="1367" spans="1:9">
      <c r="A1367" s="1">
        <v>44101</v>
      </c>
      <c r="B1367">
        <v>24538</v>
      </c>
      <c r="C1367">
        <v>42013</v>
      </c>
      <c r="D1367">
        <v>26612</v>
      </c>
      <c r="E1367">
        <v>11412</v>
      </c>
      <c r="F1367">
        <v>101</v>
      </c>
      <c r="G1367" t="s">
        <v>83</v>
      </c>
      <c r="H1367" t="str" cm="1">
        <f t="array" ref="H1367">_xlfn.IFS(Grammys[[#This Row],[date]] &gt;= DATE(2022,2,1),"Grammys",TRUE,"Grammys TRA")</f>
        <v>Grammys TRA</v>
      </c>
      <c r="I1367">
        <f>_xlfn.XLOOKUP(Grammys[[#This Row],[date]],mobile_visits[date],mobile_visits[mobile_visitors],0)</f>
        <v>0</v>
      </c>
    </row>
    <row r="1368" spans="1:9">
      <c r="A1368" s="1">
        <v>44102</v>
      </c>
      <c r="B1368">
        <v>24366</v>
      </c>
      <c r="C1368">
        <v>44509</v>
      </c>
      <c r="D1368">
        <v>25932</v>
      </c>
      <c r="E1368">
        <v>10002</v>
      </c>
      <c r="F1368">
        <v>90</v>
      </c>
      <c r="G1368" t="s">
        <v>83</v>
      </c>
      <c r="H1368" t="str" cm="1">
        <f t="array" ref="H1368">_xlfn.IFS(Grammys[[#This Row],[date]] &gt;= DATE(2022,2,1),"Grammys",TRUE,"Grammys TRA")</f>
        <v>Grammys TRA</v>
      </c>
      <c r="I1368">
        <f>_xlfn.XLOOKUP(Grammys[[#This Row],[date]],mobile_visits[date],mobile_visits[mobile_visitors],0)</f>
        <v>0</v>
      </c>
    </row>
    <row r="1369" spans="1:9">
      <c r="A1369" s="1">
        <v>44103</v>
      </c>
      <c r="B1369">
        <v>75836</v>
      </c>
      <c r="C1369">
        <v>146462</v>
      </c>
      <c r="D1369">
        <v>81578</v>
      </c>
      <c r="E1369">
        <v>19204</v>
      </c>
      <c r="F1369">
        <v>171</v>
      </c>
      <c r="G1369" t="s">
        <v>83</v>
      </c>
      <c r="H1369" t="str" cm="1">
        <f t="array" ref="H1369">_xlfn.IFS(Grammys[[#This Row],[date]] &gt;= DATE(2022,2,1),"Grammys",TRUE,"Grammys TRA")</f>
        <v>Grammys TRA</v>
      </c>
      <c r="I1369">
        <f>_xlfn.XLOOKUP(Grammys[[#This Row],[date]],mobile_visits[date],mobile_visits[mobile_visitors],0)</f>
        <v>0</v>
      </c>
    </row>
    <row r="1370" spans="1:9">
      <c r="A1370" s="1">
        <v>44104</v>
      </c>
      <c r="B1370">
        <v>43438</v>
      </c>
      <c r="C1370">
        <v>91877</v>
      </c>
      <c r="D1370">
        <v>48359</v>
      </c>
      <c r="E1370">
        <v>17158</v>
      </c>
      <c r="F1370">
        <v>110</v>
      </c>
      <c r="G1370" t="s">
        <v>83</v>
      </c>
      <c r="H1370" t="str" cm="1">
        <f t="array" ref="H1370">_xlfn.IFS(Grammys[[#This Row],[date]] &gt;= DATE(2022,2,1),"Grammys",TRUE,"Grammys TRA")</f>
        <v>Grammys TRA</v>
      </c>
      <c r="I1370">
        <f>_xlfn.XLOOKUP(Grammys[[#This Row],[date]],mobile_visits[date],mobile_visits[mobile_visitors],0)</f>
        <v>0</v>
      </c>
    </row>
    <row r="1371" spans="1:9">
      <c r="A1371" s="1">
        <v>44105</v>
      </c>
      <c r="B1371">
        <v>41020</v>
      </c>
      <c r="C1371">
        <v>76997</v>
      </c>
      <c r="D1371">
        <v>43465</v>
      </c>
      <c r="E1371">
        <v>17799</v>
      </c>
      <c r="F1371">
        <v>85</v>
      </c>
      <c r="G1371" t="s">
        <v>83</v>
      </c>
      <c r="H1371" t="str" cm="1">
        <f t="array" ref="H1371">_xlfn.IFS(Grammys[[#This Row],[date]] &gt;= DATE(2022,2,1),"Grammys",TRUE,"Grammys TRA")</f>
        <v>Grammys TRA</v>
      </c>
      <c r="I1371">
        <f>_xlfn.XLOOKUP(Grammys[[#This Row],[date]],mobile_visits[date],mobile_visits[mobile_visitors],0)</f>
        <v>0</v>
      </c>
    </row>
    <row r="1372" spans="1:9">
      <c r="A1372" s="1">
        <v>44106</v>
      </c>
      <c r="B1372">
        <v>34921</v>
      </c>
      <c r="C1372">
        <v>67067</v>
      </c>
      <c r="D1372">
        <v>37492</v>
      </c>
      <c r="E1372">
        <v>16280</v>
      </c>
      <c r="F1372">
        <v>84</v>
      </c>
      <c r="G1372" t="s">
        <v>83</v>
      </c>
      <c r="H1372" t="str" cm="1">
        <f t="array" ref="H1372">_xlfn.IFS(Grammys[[#This Row],[date]] &gt;= DATE(2022,2,1),"Grammys",TRUE,"Grammys TRA")</f>
        <v>Grammys TRA</v>
      </c>
      <c r="I1372">
        <f>_xlfn.XLOOKUP(Grammys[[#This Row],[date]],mobile_visits[date],mobile_visits[mobile_visitors],0)</f>
        <v>0</v>
      </c>
    </row>
    <row r="1373" spans="1:9">
      <c r="A1373" s="1">
        <v>44107</v>
      </c>
      <c r="B1373">
        <v>28152</v>
      </c>
      <c r="C1373">
        <v>51979</v>
      </c>
      <c r="D1373">
        <v>29803</v>
      </c>
      <c r="E1373">
        <v>12449</v>
      </c>
      <c r="F1373">
        <v>79</v>
      </c>
      <c r="G1373" t="s">
        <v>83</v>
      </c>
      <c r="H1373" t="str" cm="1">
        <f t="array" ref="H1373">_xlfn.IFS(Grammys[[#This Row],[date]] &gt;= DATE(2022,2,1),"Grammys",TRUE,"Grammys TRA")</f>
        <v>Grammys TRA</v>
      </c>
      <c r="I1373">
        <f>_xlfn.XLOOKUP(Grammys[[#This Row],[date]],mobile_visits[date],mobile_visits[mobile_visitors],0)</f>
        <v>0</v>
      </c>
    </row>
    <row r="1374" spans="1:9">
      <c r="A1374" s="1">
        <v>44108</v>
      </c>
      <c r="B1374">
        <v>24607</v>
      </c>
      <c r="C1374">
        <v>45997</v>
      </c>
      <c r="D1374">
        <v>26375</v>
      </c>
      <c r="E1374">
        <v>10951</v>
      </c>
      <c r="F1374">
        <v>81</v>
      </c>
      <c r="G1374" t="s">
        <v>83</v>
      </c>
      <c r="H1374" t="str" cm="1">
        <f t="array" ref="H1374">_xlfn.IFS(Grammys[[#This Row],[date]] &gt;= DATE(2022,2,1),"Grammys",TRUE,"Grammys TRA")</f>
        <v>Grammys TRA</v>
      </c>
      <c r="I1374">
        <f>_xlfn.XLOOKUP(Grammys[[#This Row],[date]],mobile_visits[date],mobile_visits[mobile_visitors],0)</f>
        <v>0</v>
      </c>
    </row>
    <row r="1375" spans="1:9">
      <c r="A1375" s="1">
        <v>44109</v>
      </c>
      <c r="B1375">
        <v>22575</v>
      </c>
      <c r="C1375">
        <v>44417</v>
      </c>
      <c r="D1375">
        <v>24434</v>
      </c>
      <c r="E1375">
        <v>10485</v>
      </c>
      <c r="F1375">
        <v>90</v>
      </c>
      <c r="G1375" t="s">
        <v>83</v>
      </c>
      <c r="H1375" t="str" cm="1">
        <f t="array" ref="H1375">_xlfn.IFS(Grammys[[#This Row],[date]] &gt;= DATE(2022,2,1),"Grammys",TRUE,"Grammys TRA")</f>
        <v>Grammys TRA</v>
      </c>
      <c r="I1375">
        <f>_xlfn.XLOOKUP(Grammys[[#This Row],[date]],mobile_visits[date],mobile_visits[mobile_visitors],0)</f>
        <v>0</v>
      </c>
    </row>
    <row r="1376" spans="1:9">
      <c r="A1376" s="1">
        <v>44110</v>
      </c>
      <c r="B1376">
        <v>28241</v>
      </c>
      <c r="C1376">
        <v>52151</v>
      </c>
      <c r="D1376">
        <v>30107</v>
      </c>
      <c r="E1376">
        <v>12615</v>
      </c>
      <c r="F1376">
        <v>104</v>
      </c>
      <c r="G1376" t="s">
        <v>83</v>
      </c>
      <c r="H1376" t="str" cm="1">
        <f t="array" ref="H1376">_xlfn.IFS(Grammys[[#This Row],[date]] &gt;= DATE(2022,2,1),"Grammys",TRUE,"Grammys TRA")</f>
        <v>Grammys TRA</v>
      </c>
      <c r="I1376">
        <f>_xlfn.XLOOKUP(Grammys[[#This Row],[date]],mobile_visits[date],mobile_visits[mobile_visitors],0)</f>
        <v>0</v>
      </c>
    </row>
    <row r="1377" spans="1:9">
      <c r="A1377" s="1">
        <v>44111</v>
      </c>
      <c r="B1377">
        <v>37612</v>
      </c>
      <c r="C1377">
        <v>71687</v>
      </c>
      <c r="D1377">
        <v>40733</v>
      </c>
      <c r="E1377">
        <v>15389</v>
      </c>
      <c r="F1377">
        <v>144</v>
      </c>
      <c r="G1377" t="s">
        <v>83</v>
      </c>
      <c r="H1377" t="str" cm="1">
        <f t="array" ref="H1377">_xlfn.IFS(Grammys[[#This Row],[date]] &gt;= DATE(2022,2,1),"Grammys",TRUE,"Grammys TRA")</f>
        <v>Grammys TRA</v>
      </c>
      <c r="I1377">
        <f>_xlfn.XLOOKUP(Grammys[[#This Row],[date]],mobile_visits[date],mobile_visits[mobile_visitors],0)</f>
        <v>0</v>
      </c>
    </row>
    <row r="1378" spans="1:9">
      <c r="A1378" s="1">
        <v>44112</v>
      </c>
      <c r="B1378">
        <v>31984</v>
      </c>
      <c r="C1378">
        <v>58043</v>
      </c>
      <c r="D1378">
        <v>33973</v>
      </c>
      <c r="E1378">
        <v>14388</v>
      </c>
      <c r="F1378">
        <v>113</v>
      </c>
      <c r="G1378" t="s">
        <v>83</v>
      </c>
      <c r="H1378" t="str" cm="1">
        <f t="array" ref="H1378">_xlfn.IFS(Grammys[[#This Row],[date]] &gt;= DATE(2022,2,1),"Grammys",TRUE,"Grammys TRA")</f>
        <v>Grammys TRA</v>
      </c>
      <c r="I1378">
        <f>_xlfn.XLOOKUP(Grammys[[#This Row],[date]],mobile_visits[date],mobile_visits[mobile_visitors],0)</f>
        <v>0</v>
      </c>
    </row>
    <row r="1379" spans="1:9">
      <c r="A1379" s="1">
        <v>44113</v>
      </c>
      <c r="B1379">
        <v>25040</v>
      </c>
      <c r="C1379">
        <v>46936</v>
      </c>
      <c r="D1379">
        <v>27021</v>
      </c>
      <c r="E1379">
        <v>11422</v>
      </c>
      <c r="F1379">
        <v>97</v>
      </c>
      <c r="G1379" t="s">
        <v>83</v>
      </c>
      <c r="H1379" t="str" cm="1">
        <f t="array" ref="H1379">_xlfn.IFS(Grammys[[#This Row],[date]] &gt;= DATE(2022,2,1),"Grammys",TRUE,"Grammys TRA")</f>
        <v>Grammys TRA</v>
      </c>
      <c r="I1379">
        <f>_xlfn.XLOOKUP(Grammys[[#This Row],[date]],mobile_visits[date],mobile_visits[mobile_visitors],0)</f>
        <v>0</v>
      </c>
    </row>
    <row r="1380" spans="1:9">
      <c r="A1380" s="1">
        <v>44114</v>
      </c>
      <c r="B1380">
        <v>22129</v>
      </c>
      <c r="C1380">
        <v>39559</v>
      </c>
      <c r="D1380">
        <v>23781</v>
      </c>
      <c r="E1380">
        <v>9560</v>
      </c>
      <c r="F1380">
        <v>92</v>
      </c>
      <c r="G1380" t="s">
        <v>83</v>
      </c>
      <c r="H1380" t="str" cm="1">
        <f t="array" ref="H1380">_xlfn.IFS(Grammys[[#This Row],[date]] &gt;= DATE(2022,2,1),"Grammys",TRUE,"Grammys TRA")</f>
        <v>Grammys TRA</v>
      </c>
      <c r="I1380">
        <f>_xlfn.XLOOKUP(Grammys[[#This Row],[date]],mobile_visits[date],mobile_visits[mobile_visitors],0)</f>
        <v>0</v>
      </c>
    </row>
    <row r="1381" spans="1:9">
      <c r="A1381" s="1">
        <v>44115</v>
      </c>
      <c r="B1381">
        <v>21476</v>
      </c>
      <c r="C1381">
        <v>40992</v>
      </c>
      <c r="D1381">
        <v>23184</v>
      </c>
      <c r="E1381">
        <v>9302</v>
      </c>
      <c r="F1381">
        <v>93</v>
      </c>
      <c r="G1381" t="s">
        <v>83</v>
      </c>
      <c r="H1381" t="str" cm="1">
        <f t="array" ref="H1381">_xlfn.IFS(Grammys[[#This Row],[date]] &gt;= DATE(2022,2,1),"Grammys",TRUE,"Grammys TRA")</f>
        <v>Grammys TRA</v>
      </c>
      <c r="I1381">
        <f>_xlfn.XLOOKUP(Grammys[[#This Row],[date]],mobile_visits[date],mobile_visits[mobile_visitors],0)</f>
        <v>0</v>
      </c>
    </row>
    <row r="1382" spans="1:9">
      <c r="A1382" s="1">
        <v>44116</v>
      </c>
      <c r="B1382">
        <v>27364</v>
      </c>
      <c r="C1382">
        <v>53377</v>
      </c>
      <c r="D1382">
        <v>29733</v>
      </c>
      <c r="E1382">
        <v>12931</v>
      </c>
      <c r="F1382">
        <v>92</v>
      </c>
      <c r="G1382" t="s">
        <v>83</v>
      </c>
      <c r="H1382" t="str" cm="1">
        <f t="array" ref="H1382">_xlfn.IFS(Grammys[[#This Row],[date]] &gt;= DATE(2022,2,1),"Grammys",TRUE,"Grammys TRA")</f>
        <v>Grammys TRA</v>
      </c>
      <c r="I1382">
        <f>_xlfn.XLOOKUP(Grammys[[#This Row],[date]],mobile_visits[date],mobile_visits[mobile_visitors],0)</f>
        <v>0</v>
      </c>
    </row>
    <row r="1383" spans="1:9">
      <c r="A1383" s="1">
        <v>44117</v>
      </c>
      <c r="B1383">
        <v>23155</v>
      </c>
      <c r="C1383">
        <v>43879</v>
      </c>
      <c r="D1383">
        <v>24752</v>
      </c>
      <c r="E1383">
        <v>10711</v>
      </c>
      <c r="F1383">
        <v>82</v>
      </c>
      <c r="G1383" t="s">
        <v>83</v>
      </c>
      <c r="H1383" t="str" cm="1">
        <f t="array" ref="H1383">_xlfn.IFS(Grammys[[#This Row],[date]] &gt;= DATE(2022,2,1),"Grammys",TRUE,"Grammys TRA")</f>
        <v>Grammys TRA</v>
      </c>
      <c r="I1383">
        <f>_xlfn.XLOOKUP(Grammys[[#This Row],[date]],mobile_visits[date],mobile_visits[mobile_visitors],0)</f>
        <v>0</v>
      </c>
    </row>
    <row r="1384" spans="1:9">
      <c r="A1384" s="1">
        <v>44118</v>
      </c>
      <c r="B1384">
        <v>22916</v>
      </c>
      <c r="C1384">
        <v>43410</v>
      </c>
      <c r="D1384">
        <v>24444</v>
      </c>
      <c r="E1384">
        <v>10333</v>
      </c>
      <c r="F1384">
        <v>80</v>
      </c>
      <c r="G1384" t="s">
        <v>83</v>
      </c>
      <c r="H1384" t="str" cm="1">
        <f t="array" ref="H1384">_xlfn.IFS(Grammys[[#This Row],[date]] &gt;= DATE(2022,2,1),"Grammys",TRUE,"Grammys TRA")</f>
        <v>Grammys TRA</v>
      </c>
      <c r="I1384">
        <f>_xlfn.XLOOKUP(Grammys[[#This Row],[date]],mobile_visits[date],mobile_visits[mobile_visitors],0)</f>
        <v>0</v>
      </c>
    </row>
    <row r="1385" spans="1:9">
      <c r="A1385" s="1">
        <v>44119</v>
      </c>
      <c r="B1385">
        <v>21944</v>
      </c>
      <c r="C1385">
        <v>41694</v>
      </c>
      <c r="D1385">
        <v>23463</v>
      </c>
      <c r="E1385">
        <v>9970</v>
      </c>
      <c r="F1385">
        <v>86</v>
      </c>
      <c r="G1385" t="s">
        <v>83</v>
      </c>
      <c r="H1385" t="str" cm="1">
        <f t="array" ref="H1385">_xlfn.IFS(Grammys[[#This Row],[date]] &gt;= DATE(2022,2,1),"Grammys",TRUE,"Grammys TRA")</f>
        <v>Grammys TRA</v>
      </c>
      <c r="I1385">
        <f>_xlfn.XLOOKUP(Grammys[[#This Row],[date]],mobile_visits[date],mobile_visits[mobile_visitors],0)</f>
        <v>0</v>
      </c>
    </row>
    <row r="1386" spans="1:9">
      <c r="A1386" s="1">
        <v>44120</v>
      </c>
      <c r="B1386">
        <v>24022</v>
      </c>
      <c r="C1386">
        <v>44842</v>
      </c>
      <c r="D1386">
        <v>25633</v>
      </c>
      <c r="E1386">
        <v>11023</v>
      </c>
      <c r="F1386">
        <v>83</v>
      </c>
      <c r="G1386" t="s">
        <v>83</v>
      </c>
      <c r="H1386" t="str" cm="1">
        <f t="array" ref="H1386">_xlfn.IFS(Grammys[[#This Row],[date]] &gt;= DATE(2022,2,1),"Grammys",TRUE,"Grammys TRA")</f>
        <v>Grammys TRA</v>
      </c>
      <c r="I1386">
        <f>_xlfn.XLOOKUP(Grammys[[#This Row],[date]],mobile_visits[date],mobile_visits[mobile_visitors],0)</f>
        <v>0</v>
      </c>
    </row>
    <row r="1387" spans="1:9">
      <c r="A1387" s="1">
        <v>44121</v>
      </c>
      <c r="B1387">
        <v>20469</v>
      </c>
      <c r="C1387">
        <v>37718</v>
      </c>
      <c r="D1387">
        <v>21780</v>
      </c>
      <c r="E1387">
        <v>9216</v>
      </c>
      <c r="F1387">
        <v>80</v>
      </c>
      <c r="G1387" t="s">
        <v>83</v>
      </c>
      <c r="H1387" t="str" cm="1">
        <f t="array" ref="H1387">_xlfn.IFS(Grammys[[#This Row],[date]] &gt;= DATE(2022,2,1),"Grammys",TRUE,"Grammys TRA")</f>
        <v>Grammys TRA</v>
      </c>
      <c r="I1387">
        <f>_xlfn.XLOOKUP(Grammys[[#This Row],[date]],mobile_visits[date],mobile_visits[mobile_visitors],0)</f>
        <v>0</v>
      </c>
    </row>
    <row r="1388" spans="1:9">
      <c r="A1388" s="1">
        <v>44122</v>
      </c>
      <c r="B1388">
        <v>18254</v>
      </c>
      <c r="C1388">
        <v>34564</v>
      </c>
      <c r="D1388">
        <v>19425</v>
      </c>
      <c r="E1388">
        <v>8190</v>
      </c>
      <c r="F1388">
        <v>83</v>
      </c>
      <c r="G1388" t="s">
        <v>83</v>
      </c>
      <c r="H1388" t="str" cm="1">
        <f t="array" ref="H1388">_xlfn.IFS(Grammys[[#This Row],[date]] &gt;= DATE(2022,2,1),"Grammys",TRUE,"Grammys TRA")</f>
        <v>Grammys TRA</v>
      </c>
      <c r="I1388">
        <f>_xlfn.XLOOKUP(Grammys[[#This Row],[date]],mobile_visits[date],mobile_visits[mobile_visitors],0)</f>
        <v>0</v>
      </c>
    </row>
    <row r="1389" spans="1:9">
      <c r="A1389" s="1">
        <v>44123</v>
      </c>
      <c r="B1389">
        <v>17963</v>
      </c>
      <c r="C1389">
        <v>34833</v>
      </c>
      <c r="D1389">
        <v>19150</v>
      </c>
      <c r="E1389">
        <v>8151</v>
      </c>
      <c r="F1389">
        <v>87</v>
      </c>
      <c r="G1389" t="s">
        <v>83</v>
      </c>
      <c r="H1389" t="str" cm="1">
        <f t="array" ref="H1389">_xlfn.IFS(Grammys[[#This Row],[date]] &gt;= DATE(2022,2,1),"Grammys",TRUE,"Grammys TRA")</f>
        <v>Grammys TRA</v>
      </c>
      <c r="I1389">
        <f>_xlfn.XLOOKUP(Grammys[[#This Row],[date]],mobile_visits[date],mobile_visits[mobile_visitors],0)</f>
        <v>0</v>
      </c>
    </row>
    <row r="1390" spans="1:9">
      <c r="A1390" s="1">
        <v>44124</v>
      </c>
      <c r="B1390">
        <v>17177</v>
      </c>
      <c r="C1390">
        <v>33673</v>
      </c>
      <c r="D1390">
        <v>18261</v>
      </c>
      <c r="E1390">
        <v>8004</v>
      </c>
      <c r="F1390">
        <v>91</v>
      </c>
      <c r="G1390" t="s">
        <v>83</v>
      </c>
      <c r="H1390" t="str" cm="1">
        <f t="array" ref="H1390">_xlfn.IFS(Grammys[[#This Row],[date]] &gt;= DATE(2022,2,1),"Grammys",TRUE,"Grammys TRA")</f>
        <v>Grammys TRA</v>
      </c>
      <c r="I1390">
        <f>_xlfn.XLOOKUP(Grammys[[#This Row],[date]],mobile_visits[date],mobile_visits[mobile_visitors],0)</f>
        <v>0</v>
      </c>
    </row>
    <row r="1391" spans="1:9">
      <c r="A1391" s="1">
        <v>44125</v>
      </c>
      <c r="B1391">
        <v>34674</v>
      </c>
      <c r="C1391">
        <v>66396</v>
      </c>
      <c r="D1391">
        <v>37000</v>
      </c>
      <c r="E1391">
        <v>15189</v>
      </c>
      <c r="F1391">
        <v>77</v>
      </c>
      <c r="G1391" t="s">
        <v>83</v>
      </c>
      <c r="H1391" t="str" cm="1">
        <f t="array" ref="H1391">_xlfn.IFS(Grammys[[#This Row],[date]] &gt;= DATE(2022,2,1),"Grammys",TRUE,"Grammys TRA")</f>
        <v>Grammys TRA</v>
      </c>
      <c r="I1391">
        <f>_xlfn.XLOOKUP(Grammys[[#This Row],[date]],mobile_visits[date],mobile_visits[mobile_visitors],0)</f>
        <v>0</v>
      </c>
    </row>
    <row r="1392" spans="1:9">
      <c r="A1392" s="1">
        <v>44126</v>
      </c>
      <c r="B1392">
        <v>25334</v>
      </c>
      <c r="C1392">
        <v>48598</v>
      </c>
      <c r="D1392">
        <v>27390</v>
      </c>
      <c r="E1392">
        <v>11948</v>
      </c>
      <c r="F1392">
        <v>84</v>
      </c>
      <c r="G1392" t="s">
        <v>83</v>
      </c>
      <c r="H1392" t="str" cm="1">
        <f t="array" ref="H1392">_xlfn.IFS(Grammys[[#This Row],[date]] &gt;= DATE(2022,2,1),"Grammys",TRUE,"Grammys TRA")</f>
        <v>Grammys TRA</v>
      </c>
      <c r="I1392">
        <f>_xlfn.XLOOKUP(Grammys[[#This Row],[date]],mobile_visits[date],mobile_visits[mobile_visitors],0)</f>
        <v>0</v>
      </c>
    </row>
    <row r="1393" spans="1:9">
      <c r="A1393" s="1">
        <v>44127</v>
      </c>
      <c r="B1393">
        <v>20083</v>
      </c>
      <c r="C1393">
        <v>38755</v>
      </c>
      <c r="D1393">
        <v>21310</v>
      </c>
      <c r="E1393">
        <v>9068</v>
      </c>
      <c r="F1393">
        <v>83</v>
      </c>
      <c r="G1393" t="s">
        <v>83</v>
      </c>
      <c r="H1393" t="str" cm="1">
        <f t="array" ref="H1393">_xlfn.IFS(Grammys[[#This Row],[date]] &gt;= DATE(2022,2,1),"Grammys",TRUE,"Grammys TRA")</f>
        <v>Grammys TRA</v>
      </c>
      <c r="I1393">
        <f>_xlfn.XLOOKUP(Grammys[[#This Row],[date]],mobile_visits[date],mobile_visits[mobile_visitors],0)</f>
        <v>0</v>
      </c>
    </row>
    <row r="1394" spans="1:9">
      <c r="A1394" s="1">
        <v>44128</v>
      </c>
      <c r="B1394">
        <v>19208</v>
      </c>
      <c r="C1394">
        <v>37695</v>
      </c>
      <c r="D1394">
        <v>20524</v>
      </c>
      <c r="E1394">
        <v>8407</v>
      </c>
      <c r="F1394">
        <v>82</v>
      </c>
      <c r="G1394" t="s">
        <v>83</v>
      </c>
      <c r="H1394" t="str" cm="1">
        <f t="array" ref="H1394">_xlfn.IFS(Grammys[[#This Row],[date]] &gt;= DATE(2022,2,1),"Grammys",TRUE,"Grammys TRA")</f>
        <v>Grammys TRA</v>
      </c>
      <c r="I1394">
        <f>_xlfn.XLOOKUP(Grammys[[#This Row],[date]],mobile_visits[date],mobile_visits[mobile_visitors],0)</f>
        <v>0</v>
      </c>
    </row>
    <row r="1395" spans="1:9">
      <c r="A1395" s="1">
        <v>44129</v>
      </c>
      <c r="B1395">
        <v>17880</v>
      </c>
      <c r="C1395">
        <v>34580</v>
      </c>
      <c r="D1395">
        <v>19086</v>
      </c>
      <c r="E1395">
        <v>8108</v>
      </c>
      <c r="F1395">
        <v>79</v>
      </c>
      <c r="G1395" t="s">
        <v>83</v>
      </c>
      <c r="H1395" t="str" cm="1">
        <f t="array" ref="H1395">_xlfn.IFS(Grammys[[#This Row],[date]] &gt;= DATE(2022,2,1),"Grammys",TRUE,"Grammys TRA")</f>
        <v>Grammys TRA</v>
      </c>
      <c r="I1395">
        <f>_xlfn.XLOOKUP(Grammys[[#This Row],[date]],mobile_visits[date],mobile_visits[mobile_visitors],0)</f>
        <v>0</v>
      </c>
    </row>
    <row r="1396" spans="1:9">
      <c r="A1396" s="1">
        <v>44130</v>
      </c>
      <c r="B1396">
        <v>29907</v>
      </c>
      <c r="C1396">
        <v>53516</v>
      </c>
      <c r="D1396">
        <v>32148</v>
      </c>
      <c r="E1396">
        <v>13541</v>
      </c>
      <c r="F1396">
        <v>119</v>
      </c>
      <c r="G1396" t="s">
        <v>83</v>
      </c>
      <c r="H1396" t="str" cm="1">
        <f t="array" ref="H1396">_xlfn.IFS(Grammys[[#This Row],[date]] &gt;= DATE(2022,2,1),"Grammys",TRUE,"Grammys TRA")</f>
        <v>Grammys TRA</v>
      </c>
      <c r="I1396">
        <f>_xlfn.XLOOKUP(Grammys[[#This Row],[date]],mobile_visits[date],mobile_visits[mobile_visitors],0)</f>
        <v>0</v>
      </c>
    </row>
    <row r="1397" spans="1:9">
      <c r="A1397" s="1">
        <v>44131</v>
      </c>
      <c r="B1397">
        <v>20512</v>
      </c>
      <c r="C1397">
        <v>39791</v>
      </c>
      <c r="D1397">
        <v>22144</v>
      </c>
      <c r="E1397">
        <v>9857</v>
      </c>
      <c r="F1397">
        <v>90</v>
      </c>
      <c r="G1397" t="s">
        <v>83</v>
      </c>
      <c r="H1397" t="str" cm="1">
        <f t="array" ref="H1397">_xlfn.IFS(Grammys[[#This Row],[date]] &gt;= DATE(2022,2,1),"Grammys",TRUE,"Grammys TRA")</f>
        <v>Grammys TRA</v>
      </c>
      <c r="I1397">
        <f>_xlfn.XLOOKUP(Grammys[[#This Row],[date]],mobile_visits[date],mobile_visits[mobile_visitors],0)</f>
        <v>0</v>
      </c>
    </row>
    <row r="1398" spans="1:9">
      <c r="A1398" s="1">
        <v>44132</v>
      </c>
      <c r="B1398">
        <v>21173</v>
      </c>
      <c r="C1398">
        <v>43393</v>
      </c>
      <c r="D1398">
        <v>22735</v>
      </c>
      <c r="E1398">
        <v>9838</v>
      </c>
      <c r="F1398">
        <v>82</v>
      </c>
      <c r="G1398" t="s">
        <v>83</v>
      </c>
      <c r="H1398" t="str" cm="1">
        <f t="array" ref="H1398">_xlfn.IFS(Grammys[[#This Row],[date]] &gt;= DATE(2022,2,1),"Grammys",TRUE,"Grammys TRA")</f>
        <v>Grammys TRA</v>
      </c>
      <c r="I1398">
        <f>_xlfn.XLOOKUP(Grammys[[#This Row],[date]],mobile_visits[date],mobile_visits[mobile_visitors],0)</f>
        <v>0</v>
      </c>
    </row>
    <row r="1399" spans="1:9">
      <c r="A1399" s="1">
        <v>44133</v>
      </c>
      <c r="B1399">
        <v>19574</v>
      </c>
      <c r="C1399">
        <v>38305</v>
      </c>
      <c r="D1399">
        <v>20930</v>
      </c>
      <c r="E1399">
        <v>9339</v>
      </c>
      <c r="F1399">
        <v>86</v>
      </c>
      <c r="G1399" t="s">
        <v>83</v>
      </c>
      <c r="H1399" t="str" cm="1">
        <f t="array" ref="H1399">_xlfn.IFS(Grammys[[#This Row],[date]] &gt;= DATE(2022,2,1),"Grammys",TRUE,"Grammys TRA")</f>
        <v>Grammys TRA</v>
      </c>
      <c r="I1399">
        <f>_xlfn.XLOOKUP(Grammys[[#This Row],[date]],mobile_visits[date],mobile_visits[mobile_visitors],0)</f>
        <v>0</v>
      </c>
    </row>
    <row r="1400" spans="1:9">
      <c r="A1400" s="1">
        <v>44134</v>
      </c>
      <c r="B1400">
        <v>17623</v>
      </c>
      <c r="C1400">
        <v>32898</v>
      </c>
      <c r="D1400">
        <v>18684</v>
      </c>
      <c r="E1400">
        <v>8567</v>
      </c>
      <c r="F1400">
        <v>79</v>
      </c>
      <c r="G1400" t="s">
        <v>83</v>
      </c>
      <c r="H1400" t="str" cm="1">
        <f t="array" ref="H1400">_xlfn.IFS(Grammys[[#This Row],[date]] &gt;= DATE(2022,2,1),"Grammys",TRUE,"Grammys TRA")</f>
        <v>Grammys TRA</v>
      </c>
      <c r="I1400">
        <f>_xlfn.XLOOKUP(Grammys[[#This Row],[date]],mobile_visits[date],mobile_visits[mobile_visitors],0)</f>
        <v>0</v>
      </c>
    </row>
    <row r="1401" spans="1:9">
      <c r="A1401" s="1">
        <v>44135</v>
      </c>
      <c r="B1401">
        <v>13141</v>
      </c>
      <c r="C1401">
        <v>24495</v>
      </c>
      <c r="D1401">
        <v>14002</v>
      </c>
      <c r="E1401">
        <v>6157</v>
      </c>
      <c r="F1401">
        <v>76</v>
      </c>
      <c r="G1401" t="s">
        <v>83</v>
      </c>
      <c r="H1401" t="str" cm="1">
        <f t="array" ref="H1401">_xlfn.IFS(Grammys[[#This Row],[date]] &gt;= DATE(2022,2,1),"Grammys",TRUE,"Grammys TRA")</f>
        <v>Grammys TRA</v>
      </c>
      <c r="I1401">
        <f>_xlfn.XLOOKUP(Grammys[[#This Row],[date]],mobile_visits[date],mobile_visits[mobile_visitors],0)</f>
        <v>0</v>
      </c>
    </row>
    <row r="1402" spans="1:9">
      <c r="A1402" s="1">
        <v>44136</v>
      </c>
      <c r="B1402">
        <v>14584</v>
      </c>
      <c r="C1402">
        <v>27731</v>
      </c>
      <c r="D1402">
        <v>15478</v>
      </c>
      <c r="E1402">
        <v>6752</v>
      </c>
      <c r="F1402">
        <v>86</v>
      </c>
      <c r="G1402" t="s">
        <v>83</v>
      </c>
      <c r="H1402" t="str" cm="1">
        <f t="array" ref="H1402">_xlfn.IFS(Grammys[[#This Row],[date]] &gt;= DATE(2022,2,1),"Grammys",TRUE,"Grammys TRA")</f>
        <v>Grammys TRA</v>
      </c>
      <c r="I1402">
        <f>_xlfn.XLOOKUP(Grammys[[#This Row],[date]],mobile_visits[date],mobile_visits[mobile_visitors],0)</f>
        <v>0</v>
      </c>
    </row>
    <row r="1403" spans="1:9">
      <c r="A1403" s="1">
        <v>44137</v>
      </c>
      <c r="B1403">
        <v>15014</v>
      </c>
      <c r="C1403">
        <v>29404</v>
      </c>
      <c r="D1403">
        <v>16137</v>
      </c>
      <c r="E1403">
        <v>7112</v>
      </c>
      <c r="F1403">
        <v>85</v>
      </c>
      <c r="G1403" t="s">
        <v>83</v>
      </c>
      <c r="H1403" t="str" cm="1">
        <f t="array" ref="H1403">_xlfn.IFS(Grammys[[#This Row],[date]] &gt;= DATE(2022,2,1),"Grammys",TRUE,"Grammys TRA")</f>
        <v>Grammys TRA</v>
      </c>
      <c r="I1403">
        <f>_xlfn.XLOOKUP(Grammys[[#This Row],[date]],mobile_visits[date],mobile_visits[mobile_visitors],0)</f>
        <v>0</v>
      </c>
    </row>
    <row r="1404" spans="1:9">
      <c r="A1404" s="1">
        <v>44138</v>
      </c>
      <c r="B1404">
        <v>13986</v>
      </c>
      <c r="C1404">
        <v>26426</v>
      </c>
      <c r="D1404">
        <v>14984</v>
      </c>
      <c r="E1404">
        <v>6295</v>
      </c>
      <c r="F1404">
        <v>85</v>
      </c>
      <c r="G1404" t="s">
        <v>83</v>
      </c>
      <c r="H1404" t="str" cm="1">
        <f t="array" ref="H1404">_xlfn.IFS(Grammys[[#This Row],[date]] &gt;= DATE(2022,2,1),"Grammys",TRUE,"Grammys TRA")</f>
        <v>Grammys TRA</v>
      </c>
      <c r="I1404">
        <f>_xlfn.XLOOKUP(Grammys[[#This Row],[date]],mobile_visits[date],mobile_visits[mobile_visitors],0)</f>
        <v>0</v>
      </c>
    </row>
    <row r="1405" spans="1:9">
      <c r="A1405" s="1">
        <v>44139</v>
      </c>
      <c r="B1405">
        <v>13576</v>
      </c>
      <c r="C1405">
        <v>26365</v>
      </c>
      <c r="D1405">
        <v>14579</v>
      </c>
      <c r="E1405">
        <v>6487</v>
      </c>
      <c r="F1405">
        <v>83</v>
      </c>
      <c r="G1405" t="s">
        <v>83</v>
      </c>
      <c r="H1405" t="str" cm="1">
        <f t="array" ref="H1405">_xlfn.IFS(Grammys[[#This Row],[date]] &gt;= DATE(2022,2,1),"Grammys",TRUE,"Grammys TRA")</f>
        <v>Grammys TRA</v>
      </c>
      <c r="I1405">
        <f>_xlfn.XLOOKUP(Grammys[[#This Row],[date]],mobile_visits[date],mobile_visits[mobile_visitors],0)</f>
        <v>0</v>
      </c>
    </row>
    <row r="1406" spans="1:9">
      <c r="A1406" s="1">
        <v>44140</v>
      </c>
      <c r="B1406">
        <v>13514</v>
      </c>
      <c r="C1406">
        <v>27232</v>
      </c>
      <c r="D1406">
        <v>14694</v>
      </c>
      <c r="E1406">
        <v>6520</v>
      </c>
      <c r="F1406">
        <v>88</v>
      </c>
      <c r="G1406" t="s">
        <v>83</v>
      </c>
      <c r="H1406" t="str" cm="1">
        <f t="array" ref="H1406">_xlfn.IFS(Grammys[[#This Row],[date]] &gt;= DATE(2022,2,1),"Grammys",TRUE,"Grammys TRA")</f>
        <v>Grammys TRA</v>
      </c>
      <c r="I1406">
        <f>_xlfn.XLOOKUP(Grammys[[#This Row],[date]],mobile_visits[date],mobile_visits[mobile_visitors],0)</f>
        <v>0</v>
      </c>
    </row>
    <row r="1407" spans="1:9">
      <c r="A1407" s="1">
        <v>44141</v>
      </c>
      <c r="B1407">
        <v>14861</v>
      </c>
      <c r="C1407">
        <v>28090</v>
      </c>
      <c r="D1407">
        <v>15797</v>
      </c>
      <c r="E1407">
        <v>6872</v>
      </c>
      <c r="F1407">
        <v>81</v>
      </c>
      <c r="G1407" t="s">
        <v>83</v>
      </c>
      <c r="H1407" t="str" cm="1">
        <f t="array" ref="H1407">_xlfn.IFS(Grammys[[#This Row],[date]] &gt;= DATE(2022,2,1),"Grammys",TRUE,"Grammys TRA")</f>
        <v>Grammys TRA</v>
      </c>
      <c r="I1407">
        <f>_xlfn.XLOOKUP(Grammys[[#This Row],[date]],mobile_visits[date],mobile_visits[mobile_visitors],0)</f>
        <v>0</v>
      </c>
    </row>
    <row r="1408" spans="1:9">
      <c r="A1408" s="1">
        <v>44142</v>
      </c>
      <c r="B1408">
        <v>13135</v>
      </c>
      <c r="C1408">
        <v>25767</v>
      </c>
      <c r="D1408">
        <v>13984</v>
      </c>
      <c r="E1408">
        <v>5706</v>
      </c>
      <c r="F1408">
        <v>74</v>
      </c>
      <c r="G1408" t="s">
        <v>83</v>
      </c>
      <c r="H1408" t="str" cm="1">
        <f t="array" ref="H1408">_xlfn.IFS(Grammys[[#This Row],[date]] &gt;= DATE(2022,2,1),"Grammys",TRUE,"Grammys TRA")</f>
        <v>Grammys TRA</v>
      </c>
      <c r="I1408">
        <f>_xlfn.XLOOKUP(Grammys[[#This Row],[date]],mobile_visits[date],mobile_visits[mobile_visitors],0)</f>
        <v>0</v>
      </c>
    </row>
    <row r="1409" spans="1:9">
      <c r="A1409" s="1">
        <v>44143</v>
      </c>
      <c r="B1409">
        <v>13600</v>
      </c>
      <c r="C1409">
        <v>26410</v>
      </c>
      <c r="D1409">
        <v>14409</v>
      </c>
      <c r="E1409">
        <v>5996</v>
      </c>
      <c r="F1409">
        <v>85</v>
      </c>
      <c r="G1409" t="s">
        <v>83</v>
      </c>
      <c r="H1409" t="str" cm="1">
        <f t="array" ref="H1409">_xlfn.IFS(Grammys[[#This Row],[date]] &gt;= DATE(2022,2,1),"Grammys",TRUE,"Grammys TRA")</f>
        <v>Grammys TRA</v>
      </c>
      <c r="I1409">
        <f>_xlfn.XLOOKUP(Grammys[[#This Row],[date]],mobile_visits[date],mobile_visits[mobile_visitors],0)</f>
        <v>0</v>
      </c>
    </row>
    <row r="1410" spans="1:9">
      <c r="A1410" s="1">
        <v>44144</v>
      </c>
      <c r="B1410">
        <v>18814</v>
      </c>
      <c r="C1410">
        <v>34866</v>
      </c>
      <c r="D1410">
        <v>19966</v>
      </c>
      <c r="E1410">
        <v>8013</v>
      </c>
      <c r="F1410">
        <v>80</v>
      </c>
      <c r="G1410" t="s">
        <v>83</v>
      </c>
      <c r="H1410" t="str" cm="1">
        <f t="array" ref="H1410">_xlfn.IFS(Grammys[[#This Row],[date]] &gt;= DATE(2022,2,1),"Grammys",TRUE,"Grammys TRA")</f>
        <v>Grammys TRA</v>
      </c>
      <c r="I1410">
        <f>_xlfn.XLOOKUP(Grammys[[#This Row],[date]],mobile_visits[date],mobile_visits[mobile_visitors],0)</f>
        <v>0</v>
      </c>
    </row>
    <row r="1411" spans="1:9">
      <c r="A1411" s="1">
        <v>44145</v>
      </c>
      <c r="B1411">
        <v>16962</v>
      </c>
      <c r="C1411">
        <v>33261</v>
      </c>
      <c r="D1411">
        <v>18232</v>
      </c>
      <c r="E1411">
        <v>7649</v>
      </c>
      <c r="F1411">
        <v>83</v>
      </c>
      <c r="G1411" t="s">
        <v>83</v>
      </c>
      <c r="H1411" t="str" cm="1">
        <f t="array" ref="H1411">_xlfn.IFS(Grammys[[#This Row],[date]] &gt;= DATE(2022,2,1),"Grammys",TRUE,"Grammys TRA")</f>
        <v>Grammys TRA</v>
      </c>
      <c r="I1411">
        <f>_xlfn.XLOOKUP(Grammys[[#This Row],[date]],mobile_visits[date],mobile_visits[mobile_visitors],0)</f>
        <v>0</v>
      </c>
    </row>
    <row r="1412" spans="1:9">
      <c r="A1412" s="1">
        <v>44146</v>
      </c>
      <c r="B1412">
        <v>17079</v>
      </c>
      <c r="C1412">
        <v>33553</v>
      </c>
      <c r="D1412">
        <v>18490</v>
      </c>
      <c r="E1412">
        <v>7996</v>
      </c>
      <c r="F1412">
        <v>83</v>
      </c>
      <c r="G1412" t="s">
        <v>83</v>
      </c>
      <c r="H1412" t="str" cm="1">
        <f t="array" ref="H1412">_xlfn.IFS(Grammys[[#This Row],[date]] &gt;= DATE(2022,2,1),"Grammys",TRUE,"Grammys TRA")</f>
        <v>Grammys TRA</v>
      </c>
      <c r="I1412">
        <f>_xlfn.XLOOKUP(Grammys[[#This Row],[date]],mobile_visits[date],mobile_visits[mobile_visitors],0)</f>
        <v>0</v>
      </c>
    </row>
    <row r="1413" spans="1:9">
      <c r="A1413" s="1">
        <v>44147</v>
      </c>
      <c r="B1413">
        <v>18830</v>
      </c>
      <c r="C1413">
        <v>35501</v>
      </c>
      <c r="D1413">
        <v>20505</v>
      </c>
      <c r="E1413">
        <v>8873</v>
      </c>
      <c r="F1413">
        <v>89</v>
      </c>
      <c r="G1413" t="s">
        <v>83</v>
      </c>
      <c r="H1413" t="str" cm="1">
        <f t="array" ref="H1413">_xlfn.IFS(Grammys[[#This Row],[date]] &gt;= DATE(2022,2,1),"Grammys",TRUE,"Grammys TRA")</f>
        <v>Grammys TRA</v>
      </c>
      <c r="I1413">
        <f>_xlfn.XLOOKUP(Grammys[[#This Row],[date]],mobile_visits[date],mobile_visits[mobile_visitors],0)</f>
        <v>0</v>
      </c>
    </row>
    <row r="1414" spans="1:9">
      <c r="A1414" s="1">
        <v>44148</v>
      </c>
      <c r="B1414">
        <v>16319</v>
      </c>
      <c r="C1414">
        <v>30687</v>
      </c>
      <c r="D1414">
        <v>17412</v>
      </c>
      <c r="E1414">
        <v>7704</v>
      </c>
      <c r="F1414">
        <v>84</v>
      </c>
      <c r="G1414" t="s">
        <v>83</v>
      </c>
      <c r="H1414" t="str" cm="1">
        <f t="array" ref="H1414">_xlfn.IFS(Grammys[[#This Row],[date]] &gt;= DATE(2022,2,1),"Grammys",TRUE,"Grammys TRA")</f>
        <v>Grammys TRA</v>
      </c>
      <c r="I1414">
        <f>_xlfn.XLOOKUP(Grammys[[#This Row],[date]],mobile_visits[date],mobile_visits[mobile_visitors],0)</f>
        <v>0</v>
      </c>
    </row>
    <row r="1415" spans="1:9">
      <c r="A1415" s="1">
        <v>44149</v>
      </c>
      <c r="B1415">
        <v>15983</v>
      </c>
      <c r="C1415">
        <v>30682</v>
      </c>
      <c r="D1415">
        <v>17289</v>
      </c>
      <c r="E1415">
        <v>7405</v>
      </c>
      <c r="F1415">
        <v>78</v>
      </c>
      <c r="G1415" t="s">
        <v>83</v>
      </c>
      <c r="H1415" t="str" cm="1">
        <f t="array" ref="H1415">_xlfn.IFS(Grammys[[#This Row],[date]] &gt;= DATE(2022,2,1),"Grammys",TRUE,"Grammys TRA")</f>
        <v>Grammys TRA</v>
      </c>
      <c r="I1415">
        <f>_xlfn.XLOOKUP(Grammys[[#This Row],[date]],mobile_visits[date],mobile_visits[mobile_visitors],0)</f>
        <v>0</v>
      </c>
    </row>
    <row r="1416" spans="1:9">
      <c r="A1416" s="1">
        <v>44150</v>
      </c>
      <c r="B1416">
        <v>17175</v>
      </c>
      <c r="C1416">
        <v>32326</v>
      </c>
      <c r="D1416">
        <v>18273</v>
      </c>
      <c r="E1416">
        <v>7651</v>
      </c>
      <c r="F1416">
        <v>80</v>
      </c>
      <c r="G1416" t="s">
        <v>83</v>
      </c>
      <c r="H1416" t="str" cm="1">
        <f t="array" ref="H1416">_xlfn.IFS(Grammys[[#This Row],[date]] &gt;= DATE(2022,2,1),"Grammys",TRUE,"Grammys TRA")</f>
        <v>Grammys TRA</v>
      </c>
      <c r="I1416">
        <f>_xlfn.XLOOKUP(Grammys[[#This Row],[date]],mobile_visits[date],mobile_visits[mobile_visitors],0)</f>
        <v>0</v>
      </c>
    </row>
    <row r="1417" spans="1:9">
      <c r="A1417" s="1">
        <v>44151</v>
      </c>
      <c r="B1417">
        <v>20858</v>
      </c>
      <c r="C1417">
        <v>41662</v>
      </c>
      <c r="D1417">
        <v>22350</v>
      </c>
      <c r="E1417">
        <v>8925</v>
      </c>
      <c r="F1417">
        <v>88</v>
      </c>
      <c r="G1417" t="s">
        <v>83</v>
      </c>
      <c r="H1417" t="str" cm="1">
        <f t="array" ref="H1417">_xlfn.IFS(Grammys[[#This Row],[date]] &gt;= DATE(2022,2,1),"Grammys",TRUE,"Grammys TRA")</f>
        <v>Grammys TRA</v>
      </c>
      <c r="I1417">
        <f>_xlfn.XLOOKUP(Grammys[[#This Row],[date]],mobile_visits[date],mobile_visits[mobile_visitors],0)</f>
        <v>0</v>
      </c>
    </row>
    <row r="1418" spans="1:9">
      <c r="A1418" s="1">
        <v>44152</v>
      </c>
      <c r="B1418">
        <v>25041</v>
      </c>
      <c r="C1418">
        <v>51792</v>
      </c>
      <c r="D1418">
        <v>27188</v>
      </c>
      <c r="E1418">
        <v>10846</v>
      </c>
      <c r="F1418">
        <v>91</v>
      </c>
      <c r="G1418" t="s">
        <v>83</v>
      </c>
      <c r="H1418" t="str" cm="1">
        <f t="array" ref="H1418">_xlfn.IFS(Grammys[[#This Row],[date]] &gt;= DATE(2022,2,1),"Grammys",TRUE,"Grammys TRA")</f>
        <v>Grammys TRA</v>
      </c>
      <c r="I1418">
        <f>_xlfn.XLOOKUP(Grammys[[#This Row],[date]],mobile_visits[date],mobile_visits[mobile_visitors],0)</f>
        <v>0</v>
      </c>
    </row>
    <row r="1419" spans="1:9">
      <c r="A1419" s="1">
        <v>44153</v>
      </c>
      <c r="B1419">
        <v>25803</v>
      </c>
      <c r="C1419">
        <v>50872</v>
      </c>
      <c r="D1419">
        <v>27947</v>
      </c>
      <c r="E1419">
        <v>11378</v>
      </c>
      <c r="F1419">
        <v>80</v>
      </c>
      <c r="G1419" t="s">
        <v>83</v>
      </c>
      <c r="H1419" t="str" cm="1">
        <f t="array" ref="H1419">_xlfn.IFS(Grammys[[#This Row],[date]] &gt;= DATE(2022,2,1),"Grammys",TRUE,"Grammys TRA")</f>
        <v>Grammys TRA</v>
      </c>
      <c r="I1419">
        <f>_xlfn.XLOOKUP(Grammys[[#This Row],[date]],mobile_visits[date],mobile_visits[mobile_visitors],0)</f>
        <v>0</v>
      </c>
    </row>
    <row r="1420" spans="1:9">
      <c r="A1420" s="1">
        <v>44154</v>
      </c>
      <c r="B1420">
        <v>61532</v>
      </c>
      <c r="C1420">
        <v>106845</v>
      </c>
      <c r="D1420">
        <v>67141</v>
      </c>
      <c r="E1420">
        <v>25044</v>
      </c>
      <c r="F1420">
        <v>73</v>
      </c>
      <c r="G1420" t="s">
        <v>83</v>
      </c>
      <c r="H1420" t="str" cm="1">
        <f t="array" ref="H1420">_xlfn.IFS(Grammys[[#This Row],[date]] &gt;= DATE(2022,2,1),"Grammys",TRUE,"Grammys TRA")</f>
        <v>Grammys TRA</v>
      </c>
      <c r="I1420">
        <f>_xlfn.XLOOKUP(Grammys[[#This Row],[date]],mobile_visits[date],mobile_visits[mobile_visitors],0)</f>
        <v>0</v>
      </c>
    </row>
    <row r="1421" spans="1:9">
      <c r="A1421" s="1">
        <v>44155</v>
      </c>
      <c r="B1421">
        <v>42261</v>
      </c>
      <c r="C1421">
        <v>75620</v>
      </c>
      <c r="D1421">
        <v>44995</v>
      </c>
      <c r="E1421">
        <v>17967</v>
      </c>
      <c r="F1421">
        <v>65</v>
      </c>
      <c r="G1421" t="s">
        <v>83</v>
      </c>
      <c r="H1421" t="str" cm="1">
        <f t="array" ref="H1421">_xlfn.IFS(Grammys[[#This Row],[date]] &gt;= DATE(2022,2,1),"Grammys",TRUE,"Grammys TRA")</f>
        <v>Grammys TRA</v>
      </c>
      <c r="I1421">
        <f>_xlfn.XLOOKUP(Grammys[[#This Row],[date]],mobile_visits[date],mobile_visits[mobile_visitors],0)</f>
        <v>0</v>
      </c>
    </row>
    <row r="1422" spans="1:9">
      <c r="A1422" s="1">
        <v>44156</v>
      </c>
      <c r="B1422">
        <v>24891</v>
      </c>
      <c r="C1422">
        <v>48028</v>
      </c>
      <c r="D1422">
        <v>26896</v>
      </c>
      <c r="E1422">
        <v>11230</v>
      </c>
      <c r="F1422">
        <v>77</v>
      </c>
      <c r="G1422" t="s">
        <v>83</v>
      </c>
      <c r="H1422" t="str" cm="1">
        <f t="array" ref="H1422">_xlfn.IFS(Grammys[[#This Row],[date]] &gt;= DATE(2022,2,1),"Grammys",TRUE,"Grammys TRA")</f>
        <v>Grammys TRA</v>
      </c>
      <c r="I1422">
        <f>_xlfn.XLOOKUP(Grammys[[#This Row],[date]],mobile_visits[date],mobile_visits[mobile_visitors],0)</f>
        <v>0</v>
      </c>
    </row>
    <row r="1423" spans="1:9">
      <c r="A1423" s="1">
        <v>44157</v>
      </c>
      <c r="B1423">
        <v>32299</v>
      </c>
      <c r="C1423">
        <v>60680</v>
      </c>
      <c r="D1423">
        <v>34794</v>
      </c>
      <c r="E1423">
        <v>13323</v>
      </c>
      <c r="F1423">
        <v>69</v>
      </c>
      <c r="G1423" t="s">
        <v>83</v>
      </c>
      <c r="H1423" t="str" cm="1">
        <f t="array" ref="H1423">_xlfn.IFS(Grammys[[#This Row],[date]] &gt;= DATE(2022,2,1),"Grammys",TRUE,"Grammys TRA")</f>
        <v>Grammys TRA</v>
      </c>
      <c r="I1423">
        <f>_xlfn.XLOOKUP(Grammys[[#This Row],[date]],mobile_visits[date],mobile_visits[mobile_visitors],0)</f>
        <v>0</v>
      </c>
    </row>
    <row r="1424" spans="1:9">
      <c r="A1424" s="1">
        <v>44158</v>
      </c>
      <c r="B1424">
        <v>63653</v>
      </c>
      <c r="C1424">
        <v>140266</v>
      </c>
      <c r="D1424">
        <v>70828</v>
      </c>
      <c r="E1424">
        <v>26688</v>
      </c>
      <c r="F1424">
        <v>88</v>
      </c>
      <c r="G1424" t="s">
        <v>85</v>
      </c>
      <c r="H1424" t="str" cm="1">
        <f t="array" ref="H1424">_xlfn.IFS(Grammys[[#This Row],[date]] &gt;= DATE(2022,2,1),"Grammys",TRUE,"Grammys TRA")</f>
        <v>Grammys TRA</v>
      </c>
      <c r="I1424">
        <f>_xlfn.XLOOKUP(Grammys[[#This Row],[date]],mobile_visits[date],mobile_visits[mobile_visitors],0)</f>
        <v>0</v>
      </c>
    </row>
    <row r="1425" spans="1:9">
      <c r="A1425" s="1">
        <v>44159</v>
      </c>
      <c r="B1425">
        <v>1958933</v>
      </c>
      <c r="C1425">
        <v>4148435</v>
      </c>
      <c r="D1425">
        <v>2261918</v>
      </c>
      <c r="E1425">
        <v>630849</v>
      </c>
      <c r="F1425">
        <v>198</v>
      </c>
      <c r="G1425" t="s">
        <v>83</v>
      </c>
      <c r="H1425" t="str" cm="1">
        <f t="array" ref="H1425">_xlfn.IFS(Grammys[[#This Row],[date]] &gt;= DATE(2022,2,1),"Grammys",TRUE,"Grammys TRA")</f>
        <v>Grammys TRA</v>
      </c>
      <c r="I1425">
        <f>_xlfn.XLOOKUP(Grammys[[#This Row],[date]],mobile_visits[date],mobile_visits[mobile_visitors],0)</f>
        <v>0</v>
      </c>
    </row>
    <row r="1426" spans="1:9">
      <c r="A1426" s="1">
        <v>44160</v>
      </c>
      <c r="B1426">
        <v>762775</v>
      </c>
      <c r="C1426">
        <v>1441502</v>
      </c>
      <c r="D1426">
        <v>856904</v>
      </c>
      <c r="E1426">
        <v>330937</v>
      </c>
      <c r="F1426">
        <v>116</v>
      </c>
      <c r="G1426" t="s">
        <v>83</v>
      </c>
      <c r="H1426" t="str" cm="1">
        <f t="array" ref="H1426">_xlfn.IFS(Grammys[[#This Row],[date]] &gt;= DATE(2022,2,1),"Grammys",TRUE,"Grammys TRA")</f>
        <v>Grammys TRA</v>
      </c>
      <c r="I1426">
        <f>_xlfn.XLOOKUP(Grammys[[#This Row],[date]],mobile_visits[date],mobile_visits[mobile_visitors],0)</f>
        <v>0</v>
      </c>
    </row>
    <row r="1427" spans="1:9">
      <c r="A1427" s="1">
        <v>44161</v>
      </c>
      <c r="B1427">
        <v>260940</v>
      </c>
      <c r="C1427">
        <v>505559</v>
      </c>
      <c r="D1427">
        <v>290319</v>
      </c>
      <c r="E1427">
        <v>118915</v>
      </c>
      <c r="F1427">
        <v>109</v>
      </c>
      <c r="G1427" t="s">
        <v>83</v>
      </c>
      <c r="H1427" t="str" cm="1">
        <f t="array" ref="H1427">_xlfn.IFS(Grammys[[#This Row],[date]] &gt;= DATE(2022,2,1),"Grammys",TRUE,"Grammys TRA")</f>
        <v>Grammys TRA</v>
      </c>
      <c r="I1427">
        <f>_xlfn.XLOOKUP(Grammys[[#This Row],[date]],mobile_visits[date],mobile_visits[mobile_visitors],0)</f>
        <v>0</v>
      </c>
    </row>
    <row r="1428" spans="1:9">
      <c r="A1428" s="1">
        <v>44162</v>
      </c>
      <c r="B1428">
        <v>141310</v>
      </c>
      <c r="C1428">
        <v>283121</v>
      </c>
      <c r="D1428">
        <v>156211</v>
      </c>
      <c r="E1428">
        <v>62891</v>
      </c>
      <c r="F1428">
        <v>112</v>
      </c>
      <c r="G1428" t="s">
        <v>83</v>
      </c>
      <c r="H1428" t="str" cm="1">
        <f t="array" ref="H1428">_xlfn.IFS(Grammys[[#This Row],[date]] &gt;= DATE(2022,2,1),"Grammys",TRUE,"Grammys TRA")</f>
        <v>Grammys TRA</v>
      </c>
      <c r="I1428">
        <f>_xlfn.XLOOKUP(Grammys[[#This Row],[date]],mobile_visits[date],mobile_visits[mobile_visitors],0)</f>
        <v>0</v>
      </c>
    </row>
    <row r="1429" spans="1:9">
      <c r="A1429" s="1">
        <v>44163</v>
      </c>
      <c r="B1429">
        <v>113877</v>
      </c>
      <c r="C1429">
        <v>227719</v>
      </c>
      <c r="D1429">
        <v>125883</v>
      </c>
      <c r="E1429">
        <v>51071</v>
      </c>
      <c r="F1429">
        <v>112</v>
      </c>
      <c r="G1429" t="s">
        <v>83</v>
      </c>
      <c r="H1429" t="str" cm="1">
        <f t="array" ref="H1429">_xlfn.IFS(Grammys[[#This Row],[date]] &gt;= DATE(2022,2,1),"Grammys",TRUE,"Grammys TRA")</f>
        <v>Grammys TRA</v>
      </c>
      <c r="I1429">
        <f>_xlfn.XLOOKUP(Grammys[[#This Row],[date]],mobile_visits[date],mobile_visits[mobile_visitors],0)</f>
        <v>0</v>
      </c>
    </row>
    <row r="1430" spans="1:9">
      <c r="A1430" s="1">
        <v>44164</v>
      </c>
      <c r="B1430">
        <v>94497</v>
      </c>
      <c r="C1430">
        <v>189935</v>
      </c>
      <c r="D1430">
        <v>104784</v>
      </c>
      <c r="E1430">
        <v>41694</v>
      </c>
      <c r="F1430">
        <v>111</v>
      </c>
      <c r="G1430" t="s">
        <v>83</v>
      </c>
      <c r="H1430" t="str" cm="1">
        <f t="array" ref="H1430">_xlfn.IFS(Grammys[[#This Row],[date]] &gt;= DATE(2022,2,1),"Grammys",TRUE,"Grammys TRA")</f>
        <v>Grammys TRA</v>
      </c>
      <c r="I1430">
        <f>_xlfn.XLOOKUP(Grammys[[#This Row],[date]],mobile_visits[date],mobile_visits[mobile_visitors],0)</f>
        <v>0</v>
      </c>
    </row>
    <row r="1431" spans="1:9">
      <c r="A1431" s="1">
        <v>44165</v>
      </c>
      <c r="B1431">
        <v>92980</v>
      </c>
      <c r="C1431">
        <v>194194</v>
      </c>
      <c r="D1431">
        <v>100948</v>
      </c>
      <c r="E1431">
        <v>37331</v>
      </c>
      <c r="F1431">
        <v>105</v>
      </c>
      <c r="G1431" t="s">
        <v>83</v>
      </c>
      <c r="H1431" t="str" cm="1">
        <f t="array" ref="H1431">_xlfn.IFS(Grammys[[#This Row],[date]] &gt;= DATE(2022,2,1),"Grammys",TRUE,"Grammys TRA")</f>
        <v>Grammys TRA</v>
      </c>
      <c r="I1431">
        <f>_xlfn.XLOOKUP(Grammys[[#This Row],[date]],mobile_visits[date],mobile_visits[mobile_visitors],0)</f>
        <v>0</v>
      </c>
    </row>
    <row r="1432" spans="1:9">
      <c r="A1432" s="1">
        <v>44166</v>
      </c>
      <c r="B1432">
        <v>76758</v>
      </c>
      <c r="C1432">
        <v>163418</v>
      </c>
      <c r="D1432">
        <v>83983</v>
      </c>
      <c r="E1432">
        <v>32544</v>
      </c>
      <c r="F1432">
        <v>104</v>
      </c>
      <c r="G1432" t="s">
        <v>83</v>
      </c>
      <c r="H1432" t="str" cm="1">
        <f t="array" ref="H1432">_xlfn.IFS(Grammys[[#This Row],[date]] &gt;= DATE(2022,2,1),"Grammys",TRUE,"Grammys TRA")</f>
        <v>Grammys TRA</v>
      </c>
      <c r="I1432">
        <f>_xlfn.XLOOKUP(Grammys[[#This Row],[date]],mobile_visits[date],mobile_visits[mobile_visitors],0)</f>
        <v>0</v>
      </c>
    </row>
    <row r="1433" spans="1:9">
      <c r="A1433" s="1">
        <v>44167</v>
      </c>
      <c r="B1433">
        <v>63844</v>
      </c>
      <c r="C1433">
        <v>137753</v>
      </c>
      <c r="D1433">
        <v>71479</v>
      </c>
      <c r="E1433">
        <v>29650</v>
      </c>
      <c r="F1433">
        <v>103</v>
      </c>
      <c r="G1433" t="s">
        <v>83</v>
      </c>
      <c r="H1433" t="str" cm="1">
        <f t="array" ref="H1433">_xlfn.IFS(Grammys[[#This Row],[date]] &gt;= DATE(2022,2,1),"Grammys",TRUE,"Grammys TRA")</f>
        <v>Grammys TRA</v>
      </c>
      <c r="I1433">
        <f>_xlfn.XLOOKUP(Grammys[[#This Row],[date]],mobile_visits[date],mobile_visits[mobile_visitors],0)</f>
        <v>0</v>
      </c>
    </row>
    <row r="1434" spans="1:9">
      <c r="A1434" s="1">
        <v>44168</v>
      </c>
      <c r="B1434">
        <v>51087</v>
      </c>
      <c r="C1434">
        <v>107078</v>
      </c>
      <c r="D1434">
        <v>55955</v>
      </c>
      <c r="E1434">
        <v>23770</v>
      </c>
      <c r="F1434">
        <v>101</v>
      </c>
      <c r="G1434" t="s">
        <v>83</v>
      </c>
      <c r="H1434" t="str" cm="1">
        <f t="array" ref="H1434">_xlfn.IFS(Grammys[[#This Row],[date]] &gt;= DATE(2022,2,1),"Grammys",TRUE,"Grammys TRA")</f>
        <v>Grammys TRA</v>
      </c>
      <c r="I1434">
        <f>_xlfn.XLOOKUP(Grammys[[#This Row],[date]],mobile_visits[date],mobile_visits[mobile_visitors],0)</f>
        <v>0</v>
      </c>
    </row>
    <row r="1435" spans="1:9">
      <c r="A1435" s="1">
        <v>44169</v>
      </c>
      <c r="B1435">
        <v>48800</v>
      </c>
      <c r="C1435">
        <v>99890</v>
      </c>
      <c r="D1435">
        <v>52657</v>
      </c>
      <c r="E1435">
        <v>22701</v>
      </c>
      <c r="F1435">
        <v>100</v>
      </c>
      <c r="G1435" t="s">
        <v>83</v>
      </c>
      <c r="H1435" t="str" cm="1">
        <f t="array" ref="H1435">_xlfn.IFS(Grammys[[#This Row],[date]] &gt;= DATE(2022,2,1),"Grammys",TRUE,"Grammys TRA")</f>
        <v>Grammys TRA</v>
      </c>
      <c r="I1435">
        <f>_xlfn.XLOOKUP(Grammys[[#This Row],[date]],mobile_visits[date],mobile_visits[mobile_visitors],0)</f>
        <v>0</v>
      </c>
    </row>
    <row r="1436" spans="1:9">
      <c r="A1436" s="1">
        <v>44170</v>
      </c>
      <c r="B1436">
        <v>43764</v>
      </c>
      <c r="C1436">
        <v>87082</v>
      </c>
      <c r="D1436">
        <v>47498</v>
      </c>
      <c r="E1436">
        <v>20800</v>
      </c>
      <c r="F1436">
        <v>97</v>
      </c>
      <c r="G1436" t="s">
        <v>83</v>
      </c>
      <c r="H1436" t="str" cm="1">
        <f t="array" ref="H1436">_xlfn.IFS(Grammys[[#This Row],[date]] &gt;= DATE(2022,2,1),"Grammys",TRUE,"Grammys TRA")</f>
        <v>Grammys TRA</v>
      </c>
      <c r="I1436">
        <f>_xlfn.XLOOKUP(Grammys[[#This Row],[date]],mobile_visits[date],mobile_visits[mobile_visitors],0)</f>
        <v>0</v>
      </c>
    </row>
    <row r="1437" spans="1:9">
      <c r="A1437" s="1">
        <v>44171</v>
      </c>
      <c r="B1437">
        <v>42409</v>
      </c>
      <c r="C1437">
        <v>87619</v>
      </c>
      <c r="D1437">
        <v>46342</v>
      </c>
      <c r="E1437">
        <v>19515</v>
      </c>
      <c r="F1437">
        <v>96</v>
      </c>
      <c r="G1437" t="s">
        <v>83</v>
      </c>
      <c r="H1437" t="str" cm="1">
        <f t="array" ref="H1437">_xlfn.IFS(Grammys[[#This Row],[date]] &gt;= DATE(2022,2,1),"Grammys",TRUE,"Grammys TRA")</f>
        <v>Grammys TRA</v>
      </c>
      <c r="I1437">
        <f>_xlfn.XLOOKUP(Grammys[[#This Row],[date]],mobile_visits[date],mobile_visits[mobile_visitors],0)</f>
        <v>0</v>
      </c>
    </row>
    <row r="1438" spans="1:9">
      <c r="A1438" s="1">
        <v>44172</v>
      </c>
      <c r="B1438">
        <v>43390</v>
      </c>
      <c r="C1438">
        <v>96172</v>
      </c>
      <c r="D1438">
        <v>47278</v>
      </c>
      <c r="E1438">
        <v>19030</v>
      </c>
      <c r="F1438">
        <v>101</v>
      </c>
      <c r="G1438" t="s">
        <v>83</v>
      </c>
      <c r="H1438" t="str" cm="1">
        <f t="array" ref="H1438">_xlfn.IFS(Grammys[[#This Row],[date]] &gt;= DATE(2022,2,1),"Grammys",TRUE,"Grammys TRA")</f>
        <v>Grammys TRA</v>
      </c>
      <c r="I1438">
        <f>_xlfn.XLOOKUP(Grammys[[#This Row],[date]],mobile_visits[date],mobile_visits[mobile_visitors],0)</f>
        <v>0</v>
      </c>
    </row>
    <row r="1439" spans="1:9">
      <c r="A1439" s="1">
        <v>44173</v>
      </c>
      <c r="B1439">
        <v>43146</v>
      </c>
      <c r="C1439">
        <v>90214</v>
      </c>
      <c r="D1439">
        <v>46608</v>
      </c>
      <c r="E1439">
        <v>18737</v>
      </c>
      <c r="F1439">
        <v>98</v>
      </c>
      <c r="G1439" t="s">
        <v>83</v>
      </c>
      <c r="H1439" t="str" cm="1">
        <f t="array" ref="H1439">_xlfn.IFS(Grammys[[#This Row],[date]] &gt;= DATE(2022,2,1),"Grammys",TRUE,"Grammys TRA")</f>
        <v>Grammys TRA</v>
      </c>
      <c r="I1439">
        <f>_xlfn.XLOOKUP(Grammys[[#This Row],[date]],mobile_visits[date],mobile_visits[mobile_visitors],0)</f>
        <v>0</v>
      </c>
    </row>
    <row r="1440" spans="1:9">
      <c r="A1440" s="1">
        <v>44174</v>
      </c>
      <c r="B1440">
        <v>38797</v>
      </c>
      <c r="C1440">
        <v>83490</v>
      </c>
      <c r="D1440">
        <v>42421</v>
      </c>
      <c r="E1440">
        <v>17546</v>
      </c>
      <c r="F1440">
        <v>99</v>
      </c>
      <c r="G1440" t="s">
        <v>83</v>
      </c>
      <c r="H1440" t="str" cm="1">
        <f t="array" ref="H1440">_xlfn.IFS(Grammys[[#This Row],[date]] &gt;= DATE(2022,2,1),"Grammys",TRUE,"Grammys TRA")</f>
        <v>Grammys TRA</v>
      </c>
      <c r="I1440">
        <f>_xlfn.XLOOKUP(Grammys[[#This Row],[date]],mobile_visits[date],mobile_visits[mobile_visitors],0)</f>
        <v>0</v>
      </c>
    </row>
    <row r="1441" spans="1:9">
      <c r="A1441" s="1">
        <v>44175</v>
      </c>
      <c r="B1441">
        <v>44347</v>
      </c>
      <c r="C1441">
        <v>92506</v>
      </c>
      <c r="D1441">
        <v>47998</v>
      </c>
      <c r="E1441">
        <v>20500</v>
      </c>
      <c r="F1441">
        <v>96</v>
      </c>
      <c r="G1441" t="s">
        <v>83</v>
      </c>
      <c r="H1441" t="str" cm="1">
        <f t="array" ref="H1441">_xlfn.IFS(Grammys[[#This Row],[date]] &gt;= DATE(2022,2,1),"Grammys",TRUE,"Grammys TRA")</f>
        <v>Grammys TRA</v>
      </c>
      <c r="I1441">
        <f>_xlfn.XLOOKUP(Grammys[[#This Row],[date]],mobile_visits[date],mobile_visits[mobile_visitors],0)</f>
        <v>0</v>
      </c>
    </row>
    <row r="1442" spans="1:9">
      <c r="A1442" s="1">
        <v>44176</v>
      </c>
      <c r="B1442">
        <v>43634</v>
      </c>
      <c r="C1442">
        <v>97289</v>
      </c>
      <c r="D1442">
        <v>48654</v>
      </c>
      <c r="E1442">
        <v>19146</v>
      </c>
      <c r="F1442">
        <v>115</v>
      </c>
      <c r="G1442" t="s">
        <v>83</v>
      </c>
      <c r="H1442" t="str" cm="1">
        <f t="array" ref="H1442">_xlfn.IFS(Grammys[[#This Row],[date]] &gt;= DATE(2022,2,1),"Grammys",TRUE,"Grammys TRA")</f>
        <v>Grammys TRA</v>
      </c>
      <c r="I1442">
        <f>_xlfn.XLOOKUP(Grammys[[#This Row],[date]],mobile_visits[date],mobile_visits[mobile_visitors],0)</f>
        <v>0</v>
      </c>
    </row>
    <row r="1443" spans="1:9">
      <c r="A1443" s="1">
        <v>44177</v>
      </c>
      <c r="B1443">
        <v>37815</v>
      </c>
      <c r="C1443">
        <v>77135</v>
      </c>
      <c r="D1443">
        <v>41338</v>
      </c>
      <c r="E1443">
        <v>16978</v>
      </c>
      <c r="F1443">
        <v>99</v>
      </c>
      <c r="G1443" t="s">
        <v>83</v>
      </c>
      <c r="H1443" t="str" cm="1">
        <f t="array" ref="H1443">_xlfn.IFS(Grammys[[#This Row],[date]] &gt;= DATE(2022,2,1),"Grammys",TRUE,"Grammys TRA")</f>
        <v>Grammys TRA</v>
      </c>
      <c r="I1443">
        <f>_xlfn.XLOOKUP(Grammys[[#This Row],[date]],mobile_visits[date],mobile_visits[mobile_visitors],0)</f>
        <v>0</v>
      </c>
    </row>
    <row r="1444" spans="1:9">
      <c r="A1444" s="1">
        <v>44178</v>
      </c>
      <c r="B1444">
        <v>34527</v>
      </c>
      <c r="C1444">
        <v>68666</v>
      </c>
      <c r="D1444">
        <v>37085</v>
      </c>
      <c r="E1444">
        <v>15439</v>
      </c>
      <c r="F1444">
        <v>96</v>
      </c>
      <c r="G1444" t="s">
        <v>83</v>
      </c>
      <c r="H1444" t="str" cm="1">
        <f t="array" ref="H1444">_xlfn.IFS(Grammys[[#This Row],[date]] &gt;= DATE(2022,2,1),"Grammys",TRUE,"Grammys TRA")</f>
        <v>Grammys TRA</v>
      </c>
      <c r="I1444">
        <f>_xlfn.XLOOKUP(Grammys[[#This Row],[date]],mobile_visits[date],mobile_visits[mobile_visitors],0)</f>
        <v>0</v>
      </c>
    </row>
    <row r="1445" spans="1:9">
      <c r="A1445" s="1">
        <v>44179</v>
      </c>
      <c r="B1445">
        <v>32447</v>
      </c>
      <c r="C1445">
        <v>68981</v>
      </c>
      <c r="D1445">
        <v>35488</v>
      </c>
      <c r="E1445">
        <v>14451</v>
      </c>
      <c r="F1445">
        <v>102</v>
      </c>
      <c r="G1445" t="s">
        <v>83</v>
      </c>
      <c r="H1445" t="str" cm="1">
        <f t="array" ref="H1445">_xlfn.IFS(Grammys[[#This Row],[date]] &gt;= DATE(2022,2,1),"Grammys",TRUE,"Grammys TRA")</f>
        <v>Grammys TRA</v>
      </c>
      <c r="I1445">
        <f>_xlfn.XLOOKUP(Grammys[[#This Row],[date]],mobile_visits[date],mobile_visits[mobile_visitors],0)</f>
        <v>0</v>
      </c>
    </row>
    <row r="1446" spans="1:9">
      <c r="A1446" s="1">
        <v>44180</v>
      </c>
      <c r="B1446">
        <v>47318</v>
      </c>
      <c r="C1446">
        <v>103196</v>
      </c>
      <c r="D1446">
        <v>51756</v>
      </c>
      <c r="E1446">
        <v>20646</v>
      </c>
      <c r="F1446">
        <v>100</v>
      </c>
      <c r="G1446" t="s">
        <v>83</v>
      </c>
      <c r="H1446" t="str" cm="1">
        <f t="array" ref="H1446">_xlfn.IFS(Grammys[[#This Row],[date]] &gt;= DATE(2022,2,1),"Grammys",TRUE,"Grammys TRA")</f>
        <v>Grammys TRA</v>
      </c>
      <c r="I1446">
        <f>_xlfn.XLOOKUP(Grammys[[#This Row],[date]],mobile_visits[date],mobile_visits[mobile_visitors],0)</f>
        <v>0</v>
      </c>
    </row>
    <row r="1447" spans="1:9">
      <c r="A1447" s="1">
        <v>44181</v>
      </c>
      <c r="B1447">
        <v>39080</v>
      </c>
      <c r="C1447">
        <v>79662</v>
      </c>
      <c r="D1447">
        <v>43112</v>
      </c>
      <c r="E1447">
        <v>19629</v>
      </c>
      <c r="F1447">
        <v>96</v>
      </c>
      <c r="G1447" t="s">
        <v>83</v>
      </c>
      <c r="H1447" t="str" cm="1">
        <f t="array" ref="H1447">_xlfn.IFS(Grammys[[#This Row],[date]] &gt;= DATE(2022,2,1),"Grammys",TRUE,"Grammys TRA")</f>
        <v>Grammys TRA</v>
      </c>
      <c r="I1447">
        <f>_xlfn.XLOOKUP(Grammys[[#This Row],[date]],mobile_visits[date],mobile_visits[mobile_visitors],0)</f>
        <v>0</v>
      </c>
    </row>
    <row r="1448" spans="1:9">
      <c r="A1448" s="1">
        <v>44182</v>
      </c>
      <c r="B1448">
        <v>36052</v>
      </c>
      <c r="C1448">
        <v>72926</v>
      </c>
      <c r="D1448">
        <v>38693</v>
      </c>
      <c r="E1448">
        <v>17304</v>
      </c>
      <c r="F1448">
        <v>92</v>
      </c>
      <c r="G1448" t="s">
        <v>83</v>
      </c>
      <c r="H1448" t="str" cm="1">
        <f t="array" ref="H1448">_xlfn.IFS(Grammys[[#This Row],[date]] &gt;= DATE(2022,2,1),"Grammys",TRUE,"Grammys TRA")</f>
        <v>Grammys TRA</v>
      </c>
      <c r="I1448">
        <f>_xlfn.XLOOKUP(Grammys[[#This Row],[date]],mobile_visits[date],mobile_visits[mobile_visitors],0)</f>
        <v>0</v>
      </c>
    </row>
    <row r="1449" spans="1:9">
      <c r="A1449" s="1">
        <v>44183</v>
      </c>
      <c r="B1449">
        <v>34217</v>
      </c>
      <c r="C1449">
        <v>68546</v>
      </c>
      <c r="D1449">
        <v>36939</v>
      </c>
      <c r="E1449">
        <v>16220</v>
      </c>
      <c r="F1449">
        <v>91</v>
      </c>
      <c r="G1449" t="s">
        <v>83</v>
      </c>
      <c r="H1449" t="str" cm="1">
        <f t="array" ref="H1449">_xlfn.IFS(Grammys[[#This Row],[date]] &gt;= DATE(2022,2,1),"Grammys",TRUE,"Grammys TRA")</f>
        <v>Grammys TRA</v>
      </c>
      <c r="I1449">
        <f>_xlfn.XLOOKUP(Grammys[[#This Row],[date]],mobile_visits[date],mobile_visits[mobile_visitors],0)</f>
        <v>0</v>
      </c>
    </row>
    <row r="1450" spans="1:9">
      <c r="A1450" s="1">
        <v>44184</v>
      </c>
      <c r="B1450">
        <v>30628</v>
      </c>
      <c r="C1450">
        <v>60462</v>
      </c>
      <c r="D1450">
        <v>33394</v>
      </c>
      <c r="E1450">
        <v>14978</v>
      </c>
      <c r="F1450">
        <v>93</v>
      </c>
      <c r="G1450" t="s">
        <v>83</v>
      </c>
      <c r="H1450" t="str" cm="1">
        <f t="array" ref="H1450">_xlfn.IFS(Grammys[[#This Row],[date]] &gt;= DATE(2022,2,1),"Grammys",TRUE,"Grammys TRA")</f>
        <v>Grammys TRA</v>
      </c>
      <c r="I1450">
        <f>_xlfn.XLOOKUP(Grammys[[#This Row],[date]],mobile_visits[date],mobile_visits[mobile_visitors],0)</f>
        <v>0</v>
      </c>
    </row>
    <row r="1451" spans="1:9">
      <c r="A1451" s="1">
        <v>44185</v>
      </c>
      <c r="B1451">
        <v>32345</v>
      </c>
      <c r="C1451">
        <v>64112</v>
      </c>
      <c r="D1451">
        <v>35669</v>
      </c>
      <c r="E1451">
        <v>15991</v>
      </c>
      <c r="F1451">
        <v>97</v>
      </c>
      <c r="G1451" t="s">
        <v>83</v>
      </c>
      <c r="H1451" t="str" cm="1">
        <f t="array" ref="H1451">_xlfn.IFS(Grammys[[#This Row],[date]] &gt;= DATE(2022,2,1),"Grammys",TRUE,"Grammys TRA")</f>
        <v>Grammys TRA</v>
      </c>
      <c r="I1451">
        <f>_xlfn.XLOOKUP(Grammys[[#This Row],[date]],mobile_visits[date],mobile_visits[mobile_visitors],0)</f>
        <v>0</v>
      </c>
    </row>
    <row r="1452" spans="1:9">
      <c r="A1452" s="1">
        <v>44186</v>
      </c>
      <c r="B1452">
        <v>30430</v>
      </c>
      <c r="C1452">
        <v>60128</v>
      </c>
      <c r="D1452">
        <v>32715</v>
      </c>
      <c r="E1452">
        <v>14706</v>
      </c>
      <c r="F1452">
        <v>95</v>
      </c>
      <c r="G1452" t="s">
        <v>83</v>
      </c>
      <c r="H1452" t="str" cm="1">
        <f t="array" ref="H1452">_xlfn.IFS(Grammys[[#This Row],[date]] &gt;= DATE(2022,2,1),"Grammys",TRUE,"Grammys TRA")</f>
        <v>Grammys TRA</v>
      </c>
      <c r="I1452">
        <f>_xlfn.XLOOKUP(Grammys[[#This Row],[date]],mobile_visits[date],mobile_visits[mobile_visitors],0)</f>
        <v>0</v>
      </c>
    </row>
    <row r="1453" spans="1:9">
      <c r="A1453" s="1">
        <v>44187</v>
      </c>
      <c r="B1453">
        <v>30528</v>
      </c>
      <c r="C1453">
        <v>59146</v>
      </c>
      <c r="D1453">
        <v>33100</v>
      </c>
      <c r="E1453">
        <v>14919</v>
      </c>
      <c r="F1453">
        <v>92</v>
      </c>
      <c r="G1453" t="s">
        <v>83</v>
      </c>
      <c r="H1453" t="str" cm="1">
        <f t="array" ref="H1453">_xlfn.IFS(Grammys[[#This Row],[date]] &gt;= DATE(2022,2,1),"Grammys",TRUE,"Grammys TRA")</f>
        <v>Grammys TRA</v>
      </c>
      <c r="I1453">
        <f>_xlfn.XLOOKUP(Grammys[[#This Row],[date]],mobile_visits[date],mobile_visits[mobile_visitors],0)</f>
        <v>0</v>
      </c>
    </row>
    <row r="1454" spans="1:9">
      <c r="A1454" s="1">
        <v>44188</v>
      </c>
      <c r="B1454">
        <v>27639</v>
      </c>
      <c r="C1454">
        <v>52727</v>
      </c>
      <c r="D1454">
        <v>29873</v>
      </c>
      <c r="E1454">
        <v>13850</v>
      </c>
      <c r="F1454">
        <v>93</v>
      </c>
      <c r="G1454" t="s">
        <v>83</v>
      </c>
      <c r="H1454" t="str" cm="1">
        <f t="array" ref="H1454">_xlfn.IFS(Grammys[[#This Row],[date]] &gt;= DATE(2022,2,1),"Grammys",TRUE,"Grammys TRA")</f>
        <v>Grammys TRA</v>
      </c>
      <c r="I1454">
        <f>_xlfn.XLOOKUP(Grammys[[#This Row],[date]],mobile_visits[date],mobile_visits[mobile_visitors],0)</f>
        <v>0</v>
      </c>
    </row>
    <row r="1455" spans="1:9">
      <c r="A1455" s="1">
        <v>44189</v>
      </c>
      <c r="B1455">
        <v>24138</v>
      </c>
      <c r="C1455">
        <v>44714</v>
      </c>
      <c r="D1455">
        <v>25710</v>
      </c>
      <c r="E1455">
        <v>12130</v>
      </c>
      <c r="F1455">
        <v>87</v>
      </c>
      <c r="G1455" t="s">
        <v>83</v>
      </c>
      <c r="H1455" t="str" cm="1">
        <f t="array" ref="H1455">_xlfn.IFS(Grammys[[#This Row],[date]] &gt;= DATE(2022,2,1),"Grammys",TRUE,"Grammys TRA")</f>
        <v>Grammys TRA</v>
      </c>
      <c r="I1455">
        <f>_xlfn.XLOOKUP(Grammys[[#This Row],[date]],mobile_visits[date],mobile_visits[mobile_visitors],0)</f>
        <v>0</v>
      </c>
    </row>
    <row r="1456" spans="1:9">
      <c r="A1456" s="1">
        <v>44190</v>
      </c>
      <c r="B1456">
        <v>23066</v>
      </c>
      <c r="C1456">
        <v>42606</v>
      </c>
      <c r="D1456">
        <v>24926</v>
      </c>
      <c r="E1456">
        <v>12025</v>
      </c>
      <c r="F1456">
        <v>83</v>
      </c>
      <c r="G1456" t="s">
        <v>83</v>
      </c>
      <c r="H1456" t="str" cm="1">
        <f t="array" ref="H1456">_xlfn.IFS(Grammys[[#This Row],[date]] &gt;= DATE(2022,2,1),"Grammys",TRUE,"Grammys TRA")</f>
        <v>Grammys TRA</v>
      </c>
      <c r="I1456">
        <f>_xlfn.XLOOKUP(Grammys[[#This Row],[date]],mobile_visits[date],mobile_visits[mobile_visitors],0)</f>
        <v>0</v>
      </c>
    </row>
    <row r="1457" spans="1:9">
      <c r="A1457" s="1">
        <v>44191</v>
      </c>
      <c r="B1457">
        <v>27622</v>
      </c>
      <c r="C1457">
        <v>53539</v>
      </c>
      <c r="D1457">
        <v>30223</v>
      </c>
      <c r="E1457">
        <v>14003</v>
      </c>
      <c r="F1457">
        <v>90</v>
      </c>
      <c r="G1457" t="s">
        <v>83</v>
      </c>
      <c r="H1457" t="str" cm="1">
        <f t="array" ref="H1457">_xlfn.IFS(Grammys[[#This Row],[date]] &gt;= DATE(2022,2,1),"Grammys",TRUE,"Grammys TRA")</f>
        <v>Grammys TRA</v>
      </c>
      <c r="I1457">
        <f>_xlfn.XLOOKUP(Grammys[[#This Row],[date]],mobile_visits[date],mobile_visits[mobile_visitors],0)</f>
        <v>0</v>
      </c>
    </row>
    <row r="1458" spans="1:9">
      <c r="A1458" s="1">
        <v>44192</v>
      </c>
      <c r="B1458">
        <v>31899</v>
      </c>
      <c r="C1458">
        <v>59573</v>
      </c>
      <c r="D1458">
        <v>33770</v>
      </c>
      <c r="E1458">
        <v>15484</v>
      </c>
      <c r="F1458">
        <v>96</v>
      </c>
      <c r="G1458" t="s">
        <v>83</v>
      </c>
      <c r="H1458" t="str" cm="1">
        <f t="array" ref="H1458">_xlfn.IFS(Grammys[[#This Row],[date]] &gt;= DATE(2022,2,1),"Grammys",TRUE,"Grammys TRA")</f>
        <v>Grammys TRA</v>
      </c>
      <c r="I1458">
        <f>_xlfn.XLOOKUP(Grammys[[#This Row],[date]],mobile_visits[date],mobile_visits[mobile_visitors],0)</f>
        <v>0</v>
      </c>
    </row>
    <row r="1459" spans="1:9">
      <c r="A1459" s="1">
        <v>44193</v>
      </c>
      <c r="B1459">
        <v>34809</v>
      </c>
      <c r="C1459">
        <v>67685</v>
      </c>
      <c r="D1459">
        <v>37855</v>
      </c>
      <c r="E1459">
        <v>17296</v>
      </c>
      <c r="F1459">
        <v>89</v>
      </c>
      <c r="G1459" t="s">
        <v>83</v>
      </c>
      <c r="H1459" t="str" cm="1">
        <f t="array" ref="H1459">_xlfn.IFS(Grammys[[#This Row],[date]] &gt;= DATE(2022,2,1),"Grammys",TRUE,"Grammys TRA")</f>
        <v>Grammys TRA</v>
      </c>
      <c r="I1459">
        <f>_xlfn.XLOOKUP(Grammys[[#This Row],[date]],mobile_visits[date],mobile_visits[mobile_visitors],0)</f>
        <v>0</v>
      </c>
    </row>
    <row r="1460" spans="1:9">
      <c r="A1460" s="1">
        <v>44194</v>
      </c>
      <c r="B1460">
        <v>37251</v>
      </c>
      <c r="C1460">
        <v>70736</v>
      </c>
      <c r="D1460">
        <v>39980</v>
      </c>
      <c r="E1460">
        <v>16888</v>
      </c>
      <c r="F1460">
        <v>99</v>
      </c>
      <c r="G1460" t="s">
        <v>83</v>
      </c>
      <c r="H1460" t="str" cm="1">
        <f t="array" ref="H1460">_xlfn.IFS(Grammys[[#This Row],[date]] &gt;= DATE(2022,2,1),"Grammys",TRUE,"Grammys TRA")</f>
        <v>Grammys TRA</v>
      </c>
      <c r="I1460">
        <f>_xlfn.XLOOKUP(Grammys[[#This Row],[date]],mobile_visits[date],mobile_visits[mobile_visitors],0)</f>
        <v>0</v>
      </c>
    </row>
    <row r="1461" spans="1:9">
      <c r="A1461" s="1">
        <v>44195</v>
      </c>
      <c r="B1461">
        <v>47761</v>
      </c>
      <c r="C1461">
        <v>84979</v>
      </c>
      <c r="D1461">
        <v>50686</v>
      </c>
      <c r="E1461">
        <v>22769</v>
      </c>
      <c r="F1461">
        <v>97</v>
      </c>
      <c r="G1461" t="s">
        <v>83</v>
      </c>
      <c r="H1461" t="str" cm="1">
        <f t="array" ref="H1461">_xlfn.IFS(Grammys[[#This Row],[date]] &gt;= DATE(2022,2,1),"Grammys",TRUE,"Grammys TRA")</f>
        <v>Grammys TRA</v>
      </c>
      <c r="I1461">
        <f>_xlfn.XLOOKUP(Grammys[[#This Row],[date]],mobile_visits[date],mobile_visits[mobile_visitors],0)</f>
        <v>0</v>
      </c>
    </row>
    <row r="1462" spans="1:9">
      <c r="A1462" s="1">
        <v>44196</v>
      </c>
      <c r="B1462">
        <v>60092</v>
      </c>
      <c r="C1462">
        <v>104198</v>
      </c>
      <c r="D1462">
        <v>64141</v>
      </c>
      <c r="E1462">
        <v>26542</v>
      </c>
      <c r="F1462">
        <v>97</v>
      </c>
      <c r="G1462" t="s">
        <v>83</v>
      </c>
      <c r="H1462" t="str" cm="1">
        <f t="array" ref="H1462">_xlfn.IFS(Grammys[[#This Row],[date]] &gt;= DATE(2022,2,1),"Grammys",TRUE,"Grammys TRA")</f>
        <v>Grammys TRA</v>
      </c>
      <c r="I1462">
        <f>_xlfn.XLOOKUP(Grammys[[#This Row],[date]],mobile_visits[date],mobile_visits[mobile_visitors],0)</f>
        <v>0</v>
      </c>
    </row>
    <row r="1463" spans="1:9">
      <c r="A1463" s="1">
        <v>44197</v>
      </c>
      <c r="B1463">
        <v>40258</v>
      </c>
      <c r="C1463">
        <v>73036</v>
      </c>
      <c r="D1463">
        <v>42932</v>
      </c>
      <c r="E1463">
        <v>18659</v>
      </c>
      <c r="F1463">
        <v>105</v>
      </c>
      <c r="G1463" t="s">
        <v>83</v>
      </c>
      <c r="H1463" t="str" cm="1">
        <f t="array" ref="H1463">_xlfn.IFS(Grammys[[#This Row],[date]] &gt;= DATE(2022,2,1),"Grammys",TRUE,"Grammys TRA")</f>
        <v>Grammys TRA</v>
      </c>
      <c r="I1463">
        <f>_xlfn.XLOOKUP(Grammys[[#This Row],[date]],mobile_visits[date],mobile_visits[mobile_visitors],0)</f>
        <v>0</v>
      </c>
    </row>
    <row r="1464" spans="1:9">
      <c r="A1464" s="1">
        <v>44198</v>
      </c>
      <c r="B1464">
        <v>37616</v>
      </c>
      <c r="C1464">
        <v>72572</v>
      </c>
      <c r="D1464">
        <v>41253</v>
      </c>
      <c r="E1464">
        <v>19229</v>
      </c>
      <c r="F1464">
        <v>91</v>
      </c>
      <c r="G1464" t="s">
        <v>83</v>
      </c>
      <c r="H1464" t="str" cm="1">
        <f t="array" ref="H1464">_xlfn.IFS(Grammys[[#This Row],[date]] &gt;= DATE(2022,2,1),"Grammys",TRUE,"Grammys TRA")</f>
        <v>Grammys TRA</v>
      </c>
      <c r="I1464">
        <f>_xlfn.XLOOKUP(Grammys[[#This Row],[date]],mobile_visits[date],mobile_visits[mobile_visitors],0)</f>
        <v>0</v>
      </c>
    </row>
    <row r="1465" spans="1:9">
      <c r="A1465" s="1">
        <v>44199</v>
      </c>
      <c r="B1465">
        <v>52820</v>
      </c>
      <c r="C1465">
        <v>97686</v>
      </c>
      <c r="D1465">
        <v>57161</v>
      </c>
      <c r="E1465">
        <v>27524</v>
      </c>
      <c r="F1465">
        <v>89</v>
      </c>
      <c r="G1465" t="s">
        <v>83</v>
      </c>
      <c r="H1465" t="str" cm="1">
        <f t="array" ref="H1465">_xlfn.IFS(Grammys[[#This Row],[date]] &gt;= DATE(2022,2,1),"Grammys",TRUE,"Grammys TRA")</f>
        <v>Grammys TRA</v>
      </c>
      <c r="I1465">
        <f>_xlfn.XLOOKUP(Grammys[[#This Row],[date]],mobile_visits[date],mobile_visits[mobile_visitors],0)</f>
        <v>0</v>
      </c>
    </row>
    <row r="1466" spans="1:9">
      <c r="A1466" s="1">
        <v>44200</v>
      </c>
      <c r="B1466">
        <v>51998</v>
      </c>
      <c r="C1466">
        <v>111180</v>
      </c>
      <c r="D1466">
        <v>56799</v>
      </c>
      <c r="E1466">
        <v>23163</v>
      </c>
      <c r="F1466">
        <v>99</v>
      </c>
      <c r="G1466" t="s">
        <v>83</v>
      </c>
      <c r="H1466" t="str" cm="1">
        <f t="array" ref="H1466">_xlfn.IFS(Grammys[[#This Row],[date]] &gt;= DATE(2022,2,1),"Grammys",TRUE,"Grammys TRA")</f>
        <v>Grammys TRA</v>
      </c>
      <c r="I1466">
        <f>_xlfn.XLOOKUP(Grammys[[#This Row],[date]],mobile_visits[date],mobile_visits[mobile_visitors],0)</f>
        <v>0</v>
      </c>
    </row>
    <row r="1467" spans="1:9">
      <c r="A1467" s="1">
        <v>44201</v>
      </c>
      <c r="B1467">
        <v>68607</v>
      </c>
      <c r="C1467">
        <v>134845</v>
      </c>
      <c r="D1467">
        <v>73893</v>
      </c>
      <c r="E1467">
        <v>28169</v>
      </c>
      <c r="F1467">
        <v>113</v>
      </c>
      <c r="G1467" t="s">
        <v>83</v>
      </c>
      <c r="H1467" t="str" cm="1">
        <f t="array" ref="H1467">_xlfn.IFS(Grammys[[#This Row],[date]] &gt;= DATE(2022,2,1),"Grammys",TRUE,"Grammys TRA")</f>
        <v>Grammys TRA</v>
      </c>
      <c r="I1467">
        <f>_xlfn.XLOOKUP(Grammys[[#This Row],[date]],mobile_visits[date],mobile_visits[mobile_visitors],0)</f>
        <v>0</v>
      </c>
    </row>
    <row r="1468" spans="1:9">
      <c r="A1468" s="1">
        <v>44202</v>
      </c>
      <c r="B1468">
        <v>42536</v>
      </c>
      <c r="C1468">
        <v>89142</v>
      </c>
      <c r="D1468">
        <v>46318</v>
      </c>
      <c r="E1468">
        <v>18472</v>
      </c>
      <c r="F1468">
        <v>99</v>
      </c>
      <c r="G1468" t="s">
        <v>83</v>
      </c>
      <c r="H1468" t="str" cm="1">
        <f t="array" ref="H1468">_xlfn.IFS(Grammys[[#This Row],[date]] &gt;= DATE(2022,2,1),"Grammys",TRUE,"Grammys TRA")</f>
        <v>Grammys TRA</v>
      </c>
      <c r="I1468">
        <f>_xlfn.XLOOKUP(Grammys[[#This Row],[date]],mobile_visits[date],mobile_visits[mobile_visitors],0)</f>
        <v>0</v>
      </c>
    </row>
    <row r="1469" spans="1:9">
      <c r="A1469" s="1">
        <v>44203</v>
      </c>
      <c r="B1469">
        <v>53905</v>
      </c>
      <c r="C1469">
        <v>101276</v>
      </c>
      <c r="D1469">
        <v>58359</v>
      </c>
      <c r="E1469">
        <v>21045</v>
      </c>
      <c r="F1469">
        <v>121</v>
      </c>
      <c r="G1469" t="s">
        <v>83</v>
      </c>
      <c r="H1469" t="str" cm="1">
        <f t="array" ref="H1469">_xlfn.IFS(Grammys[[#This Row],[date]] &gt;= DATE(2022,2,1),"Grammys",TRUE,"Grammys TRA")</f>
        <v>Grammys TRA</v>
      </c>
      <c r="I1469">
        <f>_xlfn.XLOOKUP(Grammys[[#This Row],[date]],mobile_visits[date],mobile_visits[mobile_visitors],0)</f>
        <v>0</v>
      </c>
    </row>
    <row r="1470" spans="1:9">
      <c r="A1470" s="1">
        <v>44204</v>
      </c>
      <c r="B1470">
        <v>46932</v>
      </c>
      <c r="C1470">
        <v>84378</v>
      </c>
      <c r="D1470">
        <v>50215</v>
      </c>
      <c r="E1470">
        <v>20086</v>
      </c>
      <c r="F1470">
        <v>101</v>
      </c>
      <c r="G1470" t="s">
        <v>83</v>
      </c>
      <c r="H1470" t="str" cm="1">
        <f t="array" ref="H1470">_xlfn.IFS(Grammys[[#This Row],[date]] &gt;= DATE(2022,2,1),"Grammys",TRUE,"Grammys TRA")</f>
        <v>Grammys TRA</v>
      </c>
      <c r="I1470">
        <f>_xlfn.XLOOKUP(Grammys[[#This Row],[date]],mobile_visits[date],mobile_visits[mobile_visitors],0)</f>
        <v>0</v>
      </c>
    </row>
    <row r="1471" spans="1:9">
      <c r="A1471" s="1">
        <v>44205</v>
      </c>
      <c r="B1471">
        <v>33569</v>
      </c>
      <c r="C1471">
        <v>61814</v>
      </c>
      <c r="D1471">
        <v>35796</v>
      </c>
      <c r="E1471">
        <v>15661</v>
      </c>
      <c r="F1471">
        <v>95</v>
      </c>
      <c r="G1471" t="s">
        <v>83</v>
      </c>
      <c r="H1471" t="str" cm="1">
        <f t="array" ref="H1471">_xlfn.IFS(Grammys[[#This Row],[date]] &gt;= DATE(2022,2,1),"Grammys",TRUE,"Grammys TRA")</f>
        <v>Grammys TRA</v>
      </c>
      <c r="I1471">
        <f>_xlfn.XLOOKUP(Grammys[[#This Row],[date]],mobile_visits[date],mobile_visits[mobile_visitors],0)</f>
        <v>0</v>
      </c>
    </row>
    <row r="1472" spans="1:9">
      <c r="A1472" s="1">
        <v>44206</v>
      </c>
      <c r="B1472">
        <v>29415</v>
      </c>
      <c r="C1472">
        <v>58413</v>
      </c>
      <c r="D1472">
        <v>31787</v>
      </c>
      <c r="E1472">
        <v>14232</v>
      </c>
      <c r="F1472">
        <v>94</v>
      </c>
      <c r="G1472" t="s">
        <v>83</v>
      </c>
      <c r="H1472" t="str" cm="1">
        <f t="array" ref="H1472">_xlfn.IFS(Grammys[[#This Row],[date]] &gt;= DATE(2022,2,1),"Grammys",TRUE,"Grammys TRA")</f>
        <v>Grammys TRA</v>
      </c>
      <c r="I1472">
        <f>_xlfn.XLOOKUP(Grammys[[#This Row],[date]],mobile_visits[date],mobile_visits[mobile_visitors],0)</f>
        <v>0</v>
      </c>
    </row>
    <row r="1473" spans="1:9">
      <c r="A1473" s="1">
        <v>44207</v>
      </c>
      <c r="B1473">
        <v>28714</v>
      </c>
      <c r="C1473">
        <v>58685</v>
      </c>
      <c r="D1473">
        <v>30709</v>
      </c>
      <c r="E1473">
        <v>14130</v>
      </c>
      <c r="F1473">
        <v>92</v>
      </c>
      <c r="G1473" t="s">
        <v>83</v>
      </c>
      <c r="H1473" t="str" cm="1">
        <f t="array" ref="H1473">_xlfn.IFS(Grammys[[#This Row],[date]] &gt;= DATE(2022,2,1),"Grammys",TRUE,"Grammys TRA")</f>
        <v>Grammys TRA</v>
      </c>
      <c r="I1473">
        <f>_xlfn.XLOOKUP(Grammys[[#This Row],[date]],mobile_visits[date],mobile_visits[mobile_visitors],0)</f>
        <v>0</v>
      </c>
    </row>
    <row r="1474" spans="1:9">
      <c r="A1474" s="1">
        <v>44208</v>
      </c>
      <c r="B1474">
        <v>64897</v>
      </c>
      <c r="C1474">
        <v>110033</v>
      </c>
      <c r="D1474">
        <v>69036</v>
      </c>
      <c r="E1474">
        <v>28961</v>
      </c>
      <c r="F1474">
        <v>129</v>
      </c>
      <c r="G1474" t="s">
        <v>83</v>
      </c>
      <c r="H1474" t="str" cm="1">
        <f t="array" ref="H1474">_xlfn.IFS(Grammys[[#This Row],[date]] &gt;= DATE(2022,2,1),"Grammys",TRUE,"Grammys TRA")</f>
        <v>Grammys TRA</v>
      </c>
      <c r="I1474">
        <f>_xlfn.XLOOKUP(Grammys[[#This Row],[date]],mobile_visits[date],mobile_visits[mobile_visitors],0)</f>
        <v>0</v>
      </c>
    </row>
    <row r="1475" spans="1:9">
      <c r="A1475" s="1">
        <v>44209</v>
      </c>
      <c r="B1475">
        <v>39162</v>
      </c>
      <c r="C1475">
        <v>73050</v>
      </c>
      <c r="D1475">
        <v>42086</v>
      </c>
      <c r="E1475">
        <v>18603</v>
      </c>
      <c r="F1475">
        <v>98</v>
      </c>
      <c r="G1475" t="s">
        <v>83</v>
      </c>
      <c r="H1475" t="str" cm="1">
        <f t="array" ref="H1475">_xlfn.IFS(Grammys[[#This Row],[date]] &gt;= DATE(2022,2,1),"Grammys",TRUE,"Grammys TRA")</f>
        <v>Grammys TRA</v>
      </c>
      <c r="I1475">
        <f>_xlfn.XLOOKUP(Grammys[[#This Row],[date]],mobile_visits[date],mobile_visits[mobile_visitors],0)</f>
        <v>0</v>
      </c>
    </row>
    <row r="1476" spans="1:9">
      <c r="A1476" s="1">
        <v>44210</v>
      </c>
      <c r="B1476">
        <v>29025</v>
      </c>
      <c r="C1476">
        <v>56357</v>
      </c>
      <c r="D1476">
        <v>31616</v>
      </c>
      <c r="E1476">
        <v>14215</v>
      </c>
      <c r="F1476">
        <v>96</v>
      </c>
      <c r="G1476" t="s">
        <v>83</v>
      </c>
      <c r="H1476" t="str" cm="1">
        <f t="array" ref="H1476">_xlfn.IFS(Grammys[[#This Row],[date]] &gt;= DATE(2022,2,1),"Grammys",TRUE,"Grammys TRA")</f>
        <v>Grammys TRA</v>
      </c>
      <c r="I1476">
        <f>_xlfn.XLOOKUP(Grammys[[#This Row],[date]],mobile_visits[date],mobile_visits[mobile_visitors],0)</f>
        <v>0</v>
      </c>
    </row>
    <row r="1477" spans="1:9">
      <c r="A1477" s="1">
        <v>44211</v>
      </c>
      <c r="B1477">
        <v>27081</v>
      </c>
      <c r="C1477">
        <v>52345</v>
      </c>
      <c r="D1477">
        <v>28903</v>
      </c>
      <c r="E1477">
        <v>13042</v>
      </c>
      <c r="F1477">
        <v>94</v>
      </c>
      <c r="G1477" t="s">
        <v>83</v>
      </c>
      <c r="H1477" t="str" cm="1">
        <f t="array" ref="H1477">_xlfn.IFS(Grammys[[#This Row],[date]] &gt;= DATE(2022,2,1),"Grammys",TRUE,"Grammys TRA")</f>
        <v>Grammys TRA</v>
      </c>
      <c r="I1477">
        <f>_xlfn.XLOOKUP(Grammys[[#This Row],[date]],mobile_visits[date],mobile_visits[mobile_visitors],0)</f>
        <v>0</v>
      </c>
    </row>
    <row r="1478" spans="1:9">
      <c r="A1478" s="1">
        <v>44212</v>
      </c>
      <c r="B1478">
        <v>35318</v>
      </c>
      <c r="C1478">
        <v>68794</v>
      </c>
      <c r="D1478">
        <v>37345</v>
      </c>
      <c r="E1478">
        <v>14479</v>
      </c>
      <c r="F1478">
        <v>91</v>
      </c>
      <c r="G1478" t="s">
        <v>83</v>
      </c>
      <c r="H1478" t="str" cm="1">
        <f t="array" ref="H1478">_xlfn.IFS(Grammys[[#This Row],[date]] &gt;= DATE(2022,2,1),"Grammys",TRUE,"Grammys TRA")</f>
        <v>Grammys TRA</v>
      </c>
      <c r="I1478">
        <f>_xlfn.XLOOKUP(Grammys[[#This Row],[date]],mobile_visits[date],mobile_visits[mobile_visitors],0)</f>
        <v>0</v>
      </c>
    </row>
    <row r="1479" spans="1:9">
      <c r="A1479" s="1">
        <v>44213</v>
      </c>
      <c r="B1479">
        <v>30540</v>
      </c>
      <c r="C1479">
        <v>59273</v>
      </c>
      <c r="D1479">
        <v>33259</v>
      </c>
      <c r="E1479">
        <v>14774</v>
      </c>
      <c r="F1479">
        <v>88</v>
      </c>
      <c r="G1479" t="s">
        <v>83</v>
      </c>
      <c r="H1479" t="str" cm="1">
        <f t="array" ref="H1479">_xlfn.IFS(Grammys[[#This Row],[date]] &gt;= DATE(2022,2,1),"Grammys",TRUE,"Grammys TRA")</f>
        <v>Grammys TRA</v>
      </c>
      <c r="I1479">
        <f>_xlfn.XLOOKUP(Grammys[[#This Row],[date]],mobile_visits[date],mobile_visits[mobile_visitors],0)</f>
        <v>0</v>
      </c>
    </row>
    <row r="1480" spans="1:9">
      <c r="A1480" s="1">
        <v>44214</v>
      </c>
      <c r="B1480">
        <v>27897</v>
      </c>
      <c r="C1480">
        <v>56048</v>
      </c>
      <c r="D1480">
        <v>30360</v>
      </c>
      <c r="E1480">
        <v>13708</v>
      </c>
      <c r="F1480">
        <v>90</v>
      </c>
      <c r="G1480" t="s">
        <v>83</v>
      </c>
      <c r="H1480" t="str" cm="1">
        <f t="array" ref="H1480">_xlfn.IFS(Grammys[[#This Row],[date]] &gt;= DATE(2022,2,1),"Grammys",TRUE,"Grammys TRA")</f>
        <v>Grammys TRA</v>
      </c>
      <c r="I1480">
        <f>_xlfn.XLOOKUP(Grammys[[#This Row],[date]],mobile_visits[date],mobile_visits[mobile_visitors],0)</f>
        <v>0</v>
      </c>
    </row>
    <row r="1481" spans="1:9">
      <c r="A1481" s="1">
        <v>44215</v>
      </c>
      <c r="B1481">
        <v>30789</v>
      </c>
      <c r="C1481">
        <v>62492</v>
      </c>
      <c r="D1481">
        <v>33507</v>
      </c>
      <c r="E1481">
        <v>15243</v>
      </c>
      <c r="F1481">
        <v>94</v>
      </c>
      <c r="G1481" t="s">
        <v>83</v>
      </c>
      <c r="H1481" t="str" cm="1">
        <f t="array" ref="H1481">_xlfn.IFS(Grammys[[#This Row],[date]] &gt;= DATE(2022,2,1),"Grammys",TRUE,"Grammys TRA")</f>
        <v>Grammys TRA</v>
      </c>
      <c r="I1481">
        <f>_xlfn.XLOOKUP(Grammys[[#This Row],[date]],mobile_visits[date],mobile_visits[mobile_visitors],0)</f>
        <v>0</v>
      </c>
    </row>
    <row r="1482" spans="1:9">
      <c r="A1482" s="1">
        <v>44216</v>
      </c>
      <c r="B1482">
        <v>34055</v>
      </c>
      <c r="C1482">
        <v>73428</v>
      </c>
      <c r="D1482">
        <v>36975</v>
      </c>
      <c r="E1482">
        <v>14949</v>
      </c>
      <c r="F1482">
        <v>89</v>
      </c>
      <c r="G1482" t="s">
        <v>83</v>
      </c>
      <c r="H1482" t="str" cm="1">
        <f t="array" ref="H1482">_xlfn.IFS(Grammys[[#This Row],[date]] &gt;= DATE(2022,2,1),"Grammys",TRUE,"Grammys TRA")</f>
        <v>Grammys TRA</v>
      </c>
      <c r="I1482">
        <f>_xlfn.XLOOKUP(Grammys[[#This Row],[date]],mobile_visits[date],mobile_visits[mobile_visitors],0)</f>
        <v>0</v>
      </c>
    </row>
    <row r="1483" spans="1:9">
      <c r="A1483" s="1">
        <v>44217</v>
      </c>
      <c r="B1483">
        <v>28723</v>
      </c>
      <c r="C1483">
        <v>66901</v>
      </c>
      <c r="D1483">
        <v>31016</v>
      </c>
      <c r="E1483">
        <v>12205</v>
      </c>
      <c r="F1483">
        <v>91</v>
      </c>
      <c r="G1483" t="s">
        <v>83</v>
      </c>
      <c r="H1483" t="str" cm="1">
        <f t="array" ref="H1483">_xlfn.IFS(Grammys[[#This Row],[date]] &gt;= DATE(2022,2,1),"Grammys",TRUE,"Grammys TRA")</f>
        <v>Grammys TRA</v>
      </c>
      <c r="I1483">
        <f>_xlfn.XLOOKUP(Grammys[[#This Row],[date]],mobile_visits[date],mobile_visits[mobile_visitors],0)</f>
        <v>0</v>
      </c>
    </row>
    <row r="1484" spans="1:9">
      <c r="A1484" s="1">
        <v>44218</v>
      </c>
      <c r="B1484">
        <v>26986</v>
      </c>
      <c r="C1484">
        <v>55672</v>
      </c>
      <c r="D1484">
        <v>29219</v>
      </c>
      <c r="E1484">
        <v>12915</v>
      </c>
      <c r="F1484">
        <v>91</v>
      </c>
      <c r="G1484" t="s">
        <v>83</v>
      </c>
      <c r="H1484" t="str" cm="1">
        <f t="array" ref="H1484">_xlfn.IFS(Grammys[[#This Row],[date]] &gt;= DATE(2022,2,1),"Grammys",TRUE,"Grammys TRA")</f>
        <v>Grammys TRA</v>
      </c>
      <c r="I1484">
        <f>_xlfn.XLOOKUP(Grammys[[#This Row],[date]],mobile_visits[date],mobile_visits[mobile_visitors],0)</f>
        <v>0</v>
      </c>
    </row>
    <row r="1485" spans="1:9">
      <c r="A1485" s="1">
        <v>44219</v>
      </c>
      <c r="B1485">
        <v>26181</v>
      </c>
      <c r="C1485">
        <v>50255</v>
      </c>
      <c r="D1485">
        <v>28164</v>
      </c>
      <c r="E1485">
        <v>12559</v>
      </c>
      <c r="F1485">
        <v>85</v>
      </c>
      <c r="G1485" t="s">
        <v>83</v>
      </c>
      <c r="H1485" t="str" cm="1">
        <f t="array" ref="H1485">_xlfn.IFS(Grammys[[#This Row],[date]] &gt;= DATE(2022,2,1),"Grammys",TRUE,"Grammys TRA")</f>
        <v>Grammys TRA</v>
      </c>
      <c r="I1485">
        <f>_xlfn.XLOOKUP(Grammys[[#This Row],[date]],mobile_visits[date],mobile_visits[mobile_visitors],0)</f>
        <v>0</v>
      </c>
    </row>
    <row r="1486" spans="1:9">
      <c r="A1486" s="1">
        <v>44220</v>
      </c>
      <c r="B1486">
        <v>27607</v>
      </c>
      <c r="C1486">
        <v>54100</v>
      </c>
      <c r="D1486">
        <v>30227</v>
      </c>
      <c r="E1486">
        <v>13606</v>
      </c>
      <c r="F1486">
        <v>94</v>
      </c>
      <c r="G1486" t="s">
        <v>83</v>
      </c>
      <c r="H1486" t="str" cm="1">
        <f t="array" ref="H1486">_xlfn.IFS(Grammys[[#This Row],[date]] &gt;= DATE(2022,2,1),"Grammys",TRUE,"Grammys TRA")</f>
        <v>Grammys TRA</v>
      </c>
      <c r="I1486">
        <f>_xlfn.XLOOKUP(Grammys[[#This Row],[date]],mobile_visits[date],mobile_visits[mobile_visitors],0)</f>
        <v>0</v>
      </c>
    </row>
    <row r="1487" spans="1:9">
      <c r="A1487" s="1">
        <v>44221</v>
      </c>
      <c r="B1487">
        <v>28697</v>
      </c>
      <c r="C1487">
        <v>61356</v>
      </c>
      <c r="D1487">
        <v>31127</v>
      </c>
      <c r="E1487">
        <v>13236</v>
      </c>
      <c r="F1487">
        <v>96</v>
      </c>
      <c r="G1487" t="s">
        <v>83</v>
      </c>
      <c r="H1487" t="str" cm="1">
        <f t="array" ref="H1487">_xlfn.IFS(Grammys[[#This Row],[date]] &gt;= DATE(2022,2,1),"Grammys",TRUE,"Grammys TRA")</f>
        <v>Grammys TRA</v>
      </c>
      <c r="I1487">
        <f>_xlfn.XLOOKUP(Grammys[[#This Row],[date]],mobile_visits[date],mobile_visits[mobile_visitors],0)</f>
        <v>0</v>
      </c>
    </row>
    <row r="1488" spans="1:9">
      <c r="A1488" s="1">
        <v>44222</v>
      </c>
      <c r="B1488">
        <v>30624</v>
      </c>
      <c r="C1488">
        <v>64845</v>
      </c>
      <c r="D1488">
        <v>33059</v>
      </c>
      <c r="E1488">
        <v>14735</v>
      </c>
      <c r="F1488">
        <v>95</v>
      </c>
      <c r="G1488" t="s">
        <v>83</v>
      </c>
      <c r="H1488" t="str" cm="1">
        <f t="array" ref="H1488">_xlfn.IFS(Grammys[[#This Row],[date]] &gt;= DATE(2022,2,1),"Grammys",TRUE,"Grammys TRA")</f>
        <v>Grammys TRA</v>
      </c>
      <c r="I1488">
        <f>_xlfn.XLOOKUP(Grammys[[#This Row],[date]],mobile_visits[date],mobile_visits[mobile_visitors],0)</f>
        <v>0</v>
      </c>
    </row>
    <row r="1489" spans="1:9">
      <c r="A1489" s="1">
        <v>44223</v>
      </c>
      <c r="B1489">
        <v>28918</v>
      </c>
      <c r="C1489">
        <v>61156</v>
      </c>
      <c r="D1489">
        <v>31438</v>
      </c>
      <c r="E1489">
        <v>14387</v>
      </c>
      <c r="F1489">
        <v>93</v>
      </c>
      <c r="G1489" t="s">
        <v>83</v>
      </c>
      <c r="H1489" t="str" cm="1">
        <f t="array" ref="H1489">_xlfn.IFS(Grammys[[#This Row],[date]] &gt;= DATE(2022,2,1),"Grammys",TRUE,"Grammys TRA")</f>
        <v>Grammys TRA</v>
      </c>
      <c r="I1489">
        <f>_xlfn.XLOOKUP(Grammys[[#This Row],[date]],mobile_visits[date],mobile_visits[mobile_visitors],0)</f>
        <v>0</v>
      </c>
    </row>
    <row r="1490" spans="1:9">
      <c r="A1490" s="1">
        <v>44224</v>
      </c>
      <c r="B1490">
        <v>29339</v>
      </c>
      <c r="C1490">
        <v>62821</v>
      </c>
      <c r="D1490">
        <v>32152</v>
      </c>
      <c r="E1490">
        <v>14411</v>
      </c>
      <c r="F1490">
        <v>97</v>
      </c>
      <c r="G1490" t="s">
        <v>83</v>
      </c>
      <c r="H1490" t="str" cm="1">
        <f t="array" ref="H1490">_xlfn.IFS(Grammys[[#This Row],[date]] &gt;= DATE(2022,2,1),"Grammys",TRUE,"Grammys TRA")</f>
        <v>Grammys TRA</v>
      </c>
      <c r="I1490">
        <f>_xlfn.XLOOKUP(Grammys[[#This Row],[date]],mobile_visits[date],mobile_visits[mobile_visitors],0)</f>
        <v>0</v>
      </c>
    </row>
    <row r="1491" spans="1:9">
      <c r="A1491" s="1">
        <v>44225</v>
      </c>
      <c r="B1491">
        <v>32113</v>
      </c>
      <c r="C1491">
        <v>66109</v>
      </c>
      <c r="D1491">
        <v>34666</v>
      </c>
      <c r="E1491">
        <v>15562</v>
      </c>
      <c r="F1491">
        <v>93</v>
      </c>
      <c r="G1491" t="s">
        <v>83</v>
      </c>
      <c r="H1491" t="str" cm="1">
        <f t="array" ref="H1491">_xlfn.IFS(Grammys[[#This Row],[date]] &gt;= DATE(2022,2,1),"Grammys",TRUE,"Grammys TRA")</f>
        <v>Grammys TRA</v>
      </c>
      <c r="I1491">
        <f>_xlfn.XLOOKUP(Grammys[[#This Row],[date]],mobile_visits[date],mobile_visits[mobile_visitors],0)</f>
        <v>0</v>
      </c>
    </row>
    <row r="1492" spans="1:9">
      <c r="A1492" s="1">
        <v>44226</v>
      </c>
      <c r="B1492">
        <v>39955</v>
      </c>
      <c r="C1492">
        <v>75401</v>
      </c>
      <c r="D1492">
        <v>42248</v>
      </c>
      <c r="E1492">
        <v>20516</v>
      </c>
      <c r="F1492">
        <v>83</v>
      </c>
      <c r="G1492" t="s">
        <v>83</v>
      </c>
      <c r="H1492" t="str" cm="1">
        <f t="array" ref="H1492">_xlfn.IFS(Grammys[[#This Row],[date]] &gt;= DATE(2022,2,1),"Grammys",TRUE,"Grammys TRA")</f>
        <v>Grammys TRA</v>
      </c>
      <c r="I1492">
        <f>_xlfn.XLOOKUP(Grammys[[#This Row],[date]],mobile_visits[date],mobile_visits[mobile_visitors],0)</f>
        <v>0</v>
      </c>
    </row>
    <row r="1493" spans="1:9">
      <c r="A1493" s="1">
        <v>44227</v>
      </c>
      <c r="B1493">
        <v>45327</v>
      </c>
      <c r="C1493">
        <v>88713</v>
      </c>
      <c r="D1493">
        <v>49140</v>
      </c>
      <c r="E1493">
        <v>23632</v>
      </c>
      <c r="F1493">
        <v>83</v>
      </c>
      <c r="G1493" t="s">
        <v>83</v>
      </c>
      <c r="H1493" t="str" cm="1">
        <f t="array" ref="H1493">_xlfn.IFS(Grammys[[#This Row],[date]] &gt;= DATE(2022,2,1),"Grammys",TRUE,"Grammys TRA")</f>
        <v>Grammys TRA</v>
      </c>
      <c r="I1493">
        <f>_xlfn.XLOOKUP(Grammys[[#This Row],[date]],mobile_visits[date],mobile_visits[mobile_visitors],0)</f>
        <v>0</v>
      </c>
    </row>
    <row r="1494" spans="1:9">
      <c r="A1494" s="1">
        <v>44228</v>
      </c>
      <c r="B1494">
        <v>36153</v>
      </c>
      <c r="C1494">
        <v>74128</v>
      </c>
      <c r="D1494">
        <v>38762</v>
      </c>
      <c r="E1494">
        <v>17273</v>
      </c>
      <c r="F1494">
        <v>89</v>
      </c>
      <c r="G1494" t="s">
        <v>83</v>
      </c>
      <c r="H1494" t="str" cm="1">
        <f t="array" ref="H1494">_xlfn.IFS(Grammys[[#This Row],[date]] &gt;= DATE(2022,2,1),"Grammys",TRUE,"Grammys TRA")</f>
        <v>Grammys TRA</v>
      </c>
      <c r="I1494">
        <f>_xlfn.XLOOKUP(Grammys[[#This Row],[date]],mobile_visits[date],mobile_visits[mobile_visitors],0)</f>
        <v>0</v>
      </c>
    </row>
    <row r="1495" spans="1:9">
      <c r="A1495" s="1">
        <v>44229</v>
      </c>
      <c r="B1495">
        <v>32165</v>
      </c>
      <c r="C1495">
        <v>65706</v>
      </c>
      <c r="D1495">
        <v>34989</v>
      </c>
      <c r="E1495">
        <v>15735</v>
      </c>
      <c r="F1495">
        <v>90</v>
      </c>
      <c r="G1495" t="s">
        <v>83</v>
      </c>
      <c r="H1495" t="str" cm="1">
        <f t="array" ref="H1495">_xlfn.IFS(Grammys[[#This Row],[date]] &gt;= DATE(2022,2,1),"Grammys",TRUE,"Grammys TRA")</f>
        <v>Grammys TRA</v>
      </c>
      <c r="I1495">
        <f>_xlfn.XLOOKUP(Grammys[[#This Row],[date]],mobile_visits[date],mobile_visits[mobile_visitors],0)</f>
        <v>0</v>
      </c>
    </row>
    <row r="1496" spans="1:9">
      <c r="A1496" s="1">
        <v>44230</v>
      </c>
      <c r="B1496">
        <v>37163</v>
      </c>
      <c r="C1496">
        <v>73039</v>
      </c>
      <c r="D1496">
        <v>39661</v>
      </c>
      <c r="E1496">
        <v>18114</v>
      </c>
      <c r="F1496">
        <v>88</v>
      </c>
      <c r="G1496" t="s">
        <v>83</v>
      </c>
      <c r="H1496" t="str" cm="1">
        <f t="array" ref="H1496">_xlfn.IFS(Grammys[[#This Row],[date]] &gt;= DATE(2022,2,1),"Grammys",TRUE,"Grammys TRA")</f>
        <v>Grammys TRA</v>
      </c>
      <c r="I1496">
        <f>_xlfn.XLOOKUP(Grammys[[#This Row],[date]],mobile_visits[date],mobile_visits[mobile_visitors],0)</f>
        <v>0</v>
      </c>
    </row>
    <row r="1497" spans="1:9">
      <c r="A1497" s="1">
        <v>44231</v>
      </c>
      <c r="B1497">
        <v>32797</v>
      </c>
      <c r="C1497">
        <v>65509</v>
      </c>
      <c r="D1497">
        <v>35561</v>
      </c>
      <c r="E1497">
        <v>16202</v>
      </c>
      <c r="F1497">
        <v>95</v>
      </c>
      <c r="G1497" t="s">
        <v>83</v>
      </c>
      <c r="H1497" t="str" cm="1">
        <f t="array" ref="H1497">_xlfn.IFS(Grammys[[#This Row],[date]] &gt;= DATE(2022,2,1),"Grammys",TRUE,"Grammys TRA")</f>
        <v>Grammys TRA</v>
      </c>
      <c r="I1497">
        <f>_xlfn.XLOOKUP(Grammys[[#This Row],[date]],mobile_visits[date],mobile_visits[mobile_visitors],0)</f>
        <v>0</v>
      </c>
    </row>
    <row r="1498" spans="1:9">
      <c r="A1498" s="1">
        <v>44232</v>
      </c>
      <c r="B1498">
        <v>33624</v>
      </c>
      <c r="C1498">
        <v>66410</v>
      </c>
      <c r="D1498">
        <v>36262</v>
      </c>
      <c r="E1498">
        <v>16532</v>
      </c>
      <c r="F1498">
        <v>92</v>
      </c>
      <c r="G1498" t="s">
        <v>83</v>
      </c>
      <c r="H1498" t="str" cm="1">
        <f t="array" ref="H1498">_xlfn.IFS(Grammys[[#This Row],[date]] &gt;= DATE(2022,2,1),"Grammys",TRUE,"Grammys TRA")</f>
        <v>Grammys TRA</v>
      </c>
      <c r="I1498">
        <f>_xlfn.XLOOKUP(Grammys[[#This Row],[date]],mobile_visits[date],mobile_visits[mobile_visitors],0)</f>
        <v>0</v>
      </c>
    </row>
    <row r="1499" spans="1:9">
      <c r="A1499" s="1">
        <v>44233</v>
      </c>
      <c r="B1499">
        <v>33292</v>
      </c>
      <c r="C1499">
        <v>63643</v>
      </c>
      <c r="D1499">
        <v>35552</v>
      </c>
      <c r="E1499">
        <v>16248</v>
      </c>
      <c r="F1499">
        <v>88</v>
      </c>
      <c r="G1499" t="s">
        <v>83</v>
      </c>
      <c r="H1499" t="str" cm="1">
        <f t="array" ref="H1499">_xlfn.IFS(Grammys[[#This Row],[date]] &gt;= DATE(2022,2,1),"Grammys",TRUE,"Grammys TRA")</f>
        <v>Grammys TRA</v>
      </c>
      <c r="I1499">
        <f>_xlfn.XLOOKUP(Grammys[[#This Row],[date]],mobile_visits[date],mobile_visits[mobile_visitors],0)</f>
        <v>0</v>
      </c>
    </row>
    <row r="1500" spans="1:9">
      <c r="A1500" s="1">
        <v>44234</v>
      </c>
      <c r="B1500">
        <v>46467</v>
      </c>
      <c r="C1500">
        <v>86636</v>
      </c>
      <c r="D1500">
        <v>49416</v>
      </c>
      <c r="E1500">
        <v>23241</v>
      </c>
      <c r="F1500">
        <v>91</v>
      </c>
      <c r="G1500" t="s">
        <v>83</v>
      </c>
      <c r="H1500" t="str" cm="1">
        <f t="array" ref="H1500">_xlfn.IFS(Grammys[[#This Row],[date]] &gt;= DATE(2022,2,1),"Grammys",TRUE,"Grammys TRA")</f>
        <v>Grammys TRA</v>
      </c>
      <c r="I1500">
        <f>_xlfn.XLOOKUP(Grammys[[#This Row],[date]],mobile_visits[date],mobile_visits[mobile_visitors],0)</f>
        <v>0</v>
      </c>
    </row>
    <row r="1501" spans="1:9">
      <c r="A1501" s="1">
        <v>44235</v>
      </c>
      <c r="B1501">
        <v>36737</v>
      </c>
      <c r="C1501">
        <v>78679</v>
      </c>
      <c r="D1501">
        <v>40407</v>
      </c>
      <c r="E1501">
        <v>18075</v>
      </c>
      <c r="F1501">
        <v>92</v>
      </c>
      <c r="G1501" t="s">
        <v>83</v>
      </c>
      <c r="H1501" t="str" cm="1">
        <f t="array" ref="H1501">_xlfn.IFS(Grammys[[#This Row],[date]] &gt;= DATE(2022,2,1),"Grammys",TRUE,"Grammys TRA")</f>
        <v>Grammys TRA</v>
      </c>
      <c r="I1501">
        <f>_xlfn.XLOOKUP(Grammys[[#This Row],[date]],mobile_visits[date],mobile_visits[mobile_visitors],0)</f>
        <v>0</v>
      </c>
    </row>
    <row r="1502" spans="1:9">
      <c r="A1502" s="1">
        <v>44236</v>
      </c>
      <c r="B1502">
        <v>33478</v>
      </c>
      <c r="C1502">
        <v>69823</v>
      </c>
      <c r="D1502">
        <v>36131</v>
      </c>
      <c r="E1502">
        <v>16476</v>
      </c>
      <c r="F1502">
        <v>91</v>
      </c>
      <c r="G1502" t="s">
        <v>83</v>
      </c>
      <c r="H1502" t="str" cm="1">
        <f t="array" ref="H1502">_xlfn.IFS(Grammys[[#This Row],[date]] &gt;= DATE(2022,2,1),"Grammys",TRUE,"Grammys TRA")</f>
        <v>Grammys TRA</v>
      </c>
      <c r="I1502">
        <f>_xlfn.XLOOKUP(Grammys[[#This Row],[date]],mobile_visits[date],mobile_visits[mobile_visitors],0)</f>
        <v>0</v>
      </c>
    </row>
    <row r="1503" spans="1:9">
      <c r="A1503" s="1">
        <v>44237</v>
      </c>
      <c r="B1503">
        <v>36115</v>
      </c>
      <c r="C1503">
        <v>74597</v>
      </c>
      <c r="D1503">
        <v>39444</v>
      </c>
      <c r="E1503">
        <v>18086</v>
      </c>
      <c r="F1503">
        <v>80</v>
      </c>
      <c r="G1503" t="s">
        <v>83</v>
      </c>
      <c r="H1503" t="str" cm="1">
        <f t="array" ref="H1503">_xlfn.IFS(Grammys[[#This Row],[date]] &gt;= DATE(2022,2,1),"Grammys",TRUE,"Grammys TRA")</f>
        <v>Grammys TRA</v>
      </c>
      <c r="I1503">
        <f>_xlfn.XLOOKUP(Grammys[[#This Row],[date]],mobile_visits[date],mobile_visits[mobile_visitors],0)</f>
        <v>0</v>
      </c>
    </row>
    <row r="1504" spans="1:9">
      <c r="A1504" s="1">
        <v>44238</v>
      </c>
      <c r="B1504">
        <v>35117</v>
      </c>
      <c r="C1504">
        <v>73269</v>
      </c>
      <c r="D1504">
        <v>38237</v>
      </c>
      <c r="E1504">
        <v>17345</v>
      </c>
      <c r="F1504">
        <v>88</v>
      </c>
      <c r="G1504" t="s">
        <v>83</v>
      </c>
      <c r="H1504" t="str" cm="1">
        <f t="array" ref="H1504">_xlfn.IFS(Grammys[[#This Row],[date]] &gt;= DATE(2022,2,1),"Grammys",TRUE,"Grammys TRA")</f>
        <v>Grammys TRA</v>
      </c>
      <c r="I1504">
        <f>_xlfn.XLOOKUP(Grammys[[#This Row],[date]],mobile_visits[date],mobile_visits[mobile_visitors],0)</f>
        <v>0</v>
      </c>
    </row>
    <row r="1505" spans="1:9">
      <c r="A1505" s="1">
        <v>44239</v>
      </c>
      <c r="B1505">
        <v>31024</v>
      </c>
      <c r="C1505">
        <v>62657</v>
      </c>
      <c r="D1505">
        <v>33771</v>
      </c>
      <c r="E1505">
        <v>15457</v>
      </c>
      <c r="F1505">
        <v>94</v>
      </c>
      <c r="G1505" t="s">
        <v>83</v>
      </c>
      <c r="H1505" t="str" cm="1">
        <f t="array" ref="H1505">_xlfn.IFS(Grammys[[#This Row],[date]] &gt;= DATE(2022,2,1),"Grammys",TRUE,"Grammys TRA")</f>
        <v>Grammys TRA</v>
      </c>
      <c r="I1505">
        <f>_xlfn.XLOOKUP(Grammys[[#This Row],[date]],mobile_visits[date],mobile_visits[mobile_visitors],0)</f>
        <v>0</v>
      </c>
    </row>
    <row r="1506" spans="1:9">
      <c r="A1506" s="1">
        <v>44240</v>
      </c>
      <c r="B1506">
        <v>43253</v>
      </c>
      <c r="C1506">
        <v>78489</v>
      </c>
      <c r="D1506">
        <v>47351</v>
      </c>
      <c r="E1506">
        <v>24850</v>
      </c>
      <c r="F1506">
        <v>66</v>
      </c>
      <c r="G1506" t="s">
        <v>83</v>
      </c>
      <c r="H1506" t="str" cm="1">
        <f t="array" ref="H1506">_xlfn.IFS(Grammys[[#This Row],[date]] &gt;= DATE(2022,2,1),"Grammys",TRUE,"Grammys TRA")</f>
        <v>Grammys TRA</v>
      </c>
      <c r="I1506">
        <f>_xlfn.XLOOKUP(Grammys[[#This Row],[date]],mobile_visits[date],mobile_visits[mobile_visitors],0)</f>
        <v>0</v>
      </c>
    </row>
    <row r="1507" spans="1:9">
      <c r="A1507" s="1">
        <v>44241</v>
      </c>
      <c r="B1507">
        <v>27848</v>
      </c>
      <c r="C1507">
        <v>54855</v>
      </c>
      <c r="D1507">
        <v>30274</v>
      </c>
      <c r="E1507">
        <v>14029</v>
      </c>
      <c r="F1507">
        <v>88</v>
      </c>
      <c r="G1507" t="s">
        <v>83</v>
      </c>
      <c r="H1507" t="str" cm="1">
        <f t="array" ref="H1507">_xlfn.IFS(Grammys[[#This Row],[date]] &gt;= DATE(2022,2,1),"Grammys",TRUE,"Grammys TRA")</f>
        <v>Grammys TRA</v>
      </c>
      <c r="I1507">
        <f>_xlfn.XLOOKUP(Grammys[[#This Row],[date]],mobile_visits[date],mobile_visits[mobile_visitors],0)</f>
        <v>0</v>
      </c>
    </row>
    <row r="1508" spans="1:9">
      <c r="A1508" s="1">
        <v>44242</v>
      </c>
      <c r="B1508">
        <v>30025</v>
      </c>
      <c r="C1508">
        <v>61121</v>
      </c>
      <c r="D1508">
        <v>32589</v>
      </c>
      <c r="E1508">
        <v>14734</v>
      </c>
      <c r="F1508">
        <v>89</v>
      </c>
      <c r="G1508" t="s">
        <v>83</v>
      </c>
      <c r="H1508" t="str" cm="1">
        <f t="array" ref="H1508">_xlfn.IFS(Grammys[[#This Row],[date]] &gt;= DATE(2022,2,1),"Grammys",TRUE,"Grammys TRA")</f>
        <v>Grammys TRA</v>
      </c>
      <c r="I1508">
        <f>_xlfn.XLOOKUP(Grammys[[#This Row],[date]],mobile_visits[date],mobile_visits[mobile_visitors],0)</f>
        <v>0</v>
      </c>
    </row>
    <row r="1509" spans="1:9">
      <c r="A1509" s="1">
        <v>44243</v>
      </c>
      <c r="B1509">
        <v>40727</v>
      </c>
      <c r="C1509">
        <v>82037</v>
      </c>
      <c r="D1509">
        <v>44217</v>
      </c>
      <c r="E1509">
        <v>21180</v>
      </c>
      <c r="F1509">
        <v>87</v>
      </c>
      <c r="G1509" t="s">
        <v>83</v>
      </c>
      <c r="H1509" t="str" cm="1">
        <f t="array" ref="H1509">_xlfn.IFS(Grammys[[#This Row],[date]] &gt;= DATE(2022,2,1),"Grammys",TRUE,"Grammys TRA")</f>
        <v>Grammys TRA</v>
      </c>
      <c r="I1509">
        <f>_xlfn.XLOOKUP(Grammys[[#This Row],[date]],mobile_visits[date],mobile_visits[mobile_visitors],0)</f>
        <v>0</v>
      </c>
    </row>
    <row r="1510" spans="1:9">
      <c r="A1510" s="1">
        <v>44244</v>
      </c>
      <c r="B1510">
        <v>36765</v>
      </c>
      <c r="C1510">
        <v>74326</v>
      </c>
      <c r="D1510">
        <v>39900</v>
      </c>
      <c r="E1510">
        <v>19579</v>
      </c>
      <c r="F1510">
        <v>88</v>
      </c>
      <c r="G1510" t="s">
        <v>83</v>
      </c>
      <c r="H1510" t="str" cm="1">
        <f t="array" ref="H1510">_xlfn.IFS(Grammys[[#This Row],[date]] &gt;= DATE(2022,2,1),"Grammys",TRUE,"Grammys TRA")</f>
        <v>Grammys TRA</v>
      </c>
      <c r="I1510">
        <f>_xlfn.XLOOKUP(Grammys[[#This Row],[date]],mobile_visits[date],mobile_visits[mobile_visitors],0)</f>
        <v>0</v>
      </c>
    </row>
    <row r="1511" spans="1:9">
      <c r="A1511" s="1">
        <v>44245</v>
      </c>
      <c r="B1511">
        <v>41094</v>
      </c>
      <c r="C1511">
        <v>79060</v>
      </c>
      <c r="D1511">
        <v>44632</v>
      </c>
      <c r="E1511">
        <v>22062</v>
      </c>
      <c r="F1511">
        <v>90</v>
      </c>
      <c r="G1511" t="s">
        <v>83</v>
      </c>
      <c r="H1511" t="str" cm="1">
        <f t="array" ref="H1511">_xlfn.IFS(Grammys[[#This Row],[date]] &gt;= DATE(2022,2,1),"Grammys",TRUE,"Grammys TRA")</f>
        <v>Grammys TRA</v>
      </c>
      <c r="I1511">
        <f>_xlfn.XLOOKUP(Grammys[[#This Row],[date]],mobile_visits[date],mobile_visits[mobile_visitors],0)</f>
        <v>0</v>
      </c>
    </row>
    <row r="1512" spans="1:9">
      <c r="A1512" s="1">
        <v>44246</v>
      </c>
      <c r="B1512">
        <v>40017</v>
      </c>
      <c r="C1512">
        <v>77273</v>
      </c>
      <c r="D1512">
        <v>43171</v>
      </c>
      <c r="E1512">
        <v>21409</v>
      </c>
      <c r="F1512">
        <v>81</v>
      </c>
      <c r="G1512" t="s">
        <v>83</v>
      </c>
      <c r="H1512" t="str" cm="1">
        <f t="array" ref="H1512">_xlfn.IFS(Grammys[[#This Row],[date]] &gt;= DATE(2022,2,1),"Grammys",TRUE,"Grammys TRA")</f>
        <v>Grammys TRA</v>
      </c>
      <c r="I1512">
        <f>_xlfn.XLOOKUP(Grammys[[#This Row],[date]],mobile_visits[date],mobile_visits[mobile_visitors],0)</f>
        <v>0</v>
      </c>
    </row>
    <row r="1513" spans="1:9">
      <c r="A1513" s="1">
        <v>44247</v>
      </c>
      <c r="B1513">
        <v>39861</v>
      </c>
      <c r="C1513">
        <v>73759</v>
      </c>
      <c r="D1513">
        <v>43075</v>
      </c>
      <c r="E1513">
        <v>19173</v>
      </c>
      <c r="F1513">
        <v>86</v>
      </c>
      <c r="G1513" t="s">
        <v>83</v>
      </c>
      <c r="H1513" t="str" cm="1">
        <f t="array" ref="H1513">_xlfn.IFS(Grammys[[#This Row],[date]] &gt;= DATE(2022,2,1),"Grammys",TRUE,"Grammys TRA")</f>
        <v>Grammys TRA</v>
      </c>
      <c r="I1513">
        <f>_xlfn.XLOOKUP(Grammys[[#This Row],[date]],mobile_visits[date],mobile_visits[mobile_visitors],0)</f>
        <v>0</v>
      </c>
    </row>
    <row r="1514" spans="1:9">
      <c r="A1514" s="1">
        <v>44248</v>
      </c>
      <c r="B1514">
        <v>39107</v>
      </c>
      <c r="C1514">
        <v>77081</v>
      </c>
      <c r="D1514">
        <v>42827</v>
      </c>
      <c r="E1514">
        <v>19662</v>
      </c>
      <c r="F1514">
        <v>86</v>
      </c>
      <c r="G1514" t="s">
        <v>83</v>
      </c>
      <c r="H1514" t="str" cm="1">
        <f t="array" ref="H1514">_xlfn.IFS(Grammys[[#This Row],[date]] &gt;= DATE(2022,2,1),"Grammys",TRUE,"Grammys TRA")</f>
        <v>Grammys TRA</v>
      </c>
      <c r="I1514">
        <f>_xlfn.XLOOKUP(Grammys[[#This Row],[date]],mobile_visits[date],mobile_visits[mobile_visitors],0)</f>
        <v>0</v>
      </c>
    </row>
    <row r="1515" spans="1:9">
      <c r="A1515" s="1">
        <v>44249</v>
      </c>
      <c r="B1515">
        <v>44411</v>
      </c>
      <c r="C1515">
        <v>91137</v>
      </c>
      <c r="D1515">
        <v>48047</v>
      </c>
      <c r="E1515">
        <v>21708</v>
      </c>
      <c r="F1515">
        <v>90</v>
      </c>
      <c r="G1515" t="s">
        <v>83</v>
      </c>
      <c r="H1515" t="str" cm="1">
        <f t="array" ref="H1515">_xlfn.IFS(Grammys[[#This Row],[date]] &gt;= DATE(2022,2,1),"Grammys",TRUE,"Grammys TRA")</f>
        <v>Grammys TRA</v>
      </c>
      <c r="I1515">
        <f>_xlfn.XLOOKUP(Grammys[[#This Row],[date]],mobile_visits[date],mobile_visits[mobile_visitors],0)</f>
        <v>0</v>
      </c>
    </row>
    <row r="1516" spans="1:9">
      <c r="A1516" s="1">
        <v>44250</v>
      </c>
      <c r="B1516">
        <v>40381</v>
      </c>
      <c r="C1516">
        <v>82465</v>
      </c>
      <c r="D1516">
        <v>43739</v>
      </c>
      <c r="E1516">
        <v>20584</v>
      </c>
      <c r="F1516">
        <v>89</v>
      </c>
      <c r="G1516" t="s">
        <v>83</v>
      </c>
      <c r="H1516" t="str" cm="1">
        <f t="array" ref="H1516">_xlfn.IFS(Grammys[[#This Row],[date]] &gt;= DATE(2022,2,1),"Grammys",TRUE,"Grammys TRA")</f>
        <v>Grammys TRA</v>
      </c>
      <c r="I1516">
        <f>_xlfn.XLOOKUP(Grammys[[#This Row],[date]],mobile_visits[date],mobile_visits[mobile_visitors],0)</f>
        <v>0</v>
      </c>
    </row>
    <row r="1517" spans="1:9">
      <c r="A1517" s="1">
        <v>44251</v>
      </c>
      <c r="B1517">
        <v>41689</v>
      </c>
      <c r="C1517">
        <v>84093</v>
      </c>
      <c r="D1517">
        <v>45637</v>
      </c>
      <c r="E1517">
        <v>21929</v>
      </c>
      <c r="F1517">
        <v>89</v>
      </c>
      <c r="G1517" t="s">
        <v>83</v>
      </c>
      <c r="H1517" t="str" cm="1">
        <f t="array" ref="H1517">_xlfn.IFS(Grammys[[#This Row],[date]] &gt;= DATE(2022,2,1),"Grammys",TRUE,"Grammys TRA")</f>
        <v>Grammys TRA</v>
      </c>
      <c r="I1517">
        <f>_xlfn.XLOOKUP(Grammys[[#This Row],[date]],mobile_visits[date],mobile_visits[mobile_visitors],0)</f>
        <v>0</v>
      </c>
    </row>
    <row r="1518" spans="1:9">
      <c r="A1518" s="1">
        <v>44252</v>
      </c>
      <c r="B1518">
        <v>44507</v>
      </c>
      <c r="C1518">
        <v>92221</v>
      </c>
      <c r="D1518">
        <v>49002</v>
      </c>
      <c r="E1518">
        <v>23815</v>
      </c>
      <c r="F1518">
        <v>89</v>
      </c>
      <c r="G1518" t="s">
        <v>83</v>
      </c>
      <c r="H1518" t="str" cm="1">
        <f t="array" ref="H1518">_xlfn.IFS(Grammys[[#This Row],[date]] &gt;= DATE(2022,2,1),"Grammys",TRUE,"Grammys TRA")</f>
        <v>Grammys TRA</v>
      </c>
      <c r="I1518">
        <f>_xlfn.XLOOKUP(Grammys[[#This Row],[date]],mobile_visits[date],mobile_visits[mobile_visitors],0)</f>
        <v>0</v>
      </c>
    </row>
    <row r="1519" spans="1:9">
      <c r="A1519" s="1">
        <v>44253</v>
      </c>
      <c r="B1519">
        <v>50087</v>
      </c>
      <c r="C1519">
        <v>97920</v>
      </c>
      <c r="D1519">
        <v>53820</v>
      </c>
      <c r="E1519">
        <v>26082</v>
      </c>
      <c r="F1519">
        <v>82</v>
      </c>
      <c r="G1519" t="s">
        <v>83</v>
      </c>
      <c r="H1519" t="str" cm="1">
        <f t="array" ref="H1519">_xlfn.IFS(Grammys[[#This Row],[date]] &gt;= DATE(2022,2,1),"Grammys",TRUE,"Grammys TRA")</f>
        <v>Grammys TRA</v>
      </c>
      <c r="I1519">
        <f>_xlfn.XLOOKUP(Grammys[[#This Row],[date]],mobile_visits[date],mobile_visits[mobile_visitors],0)</f>
        <v>0</v>
      </c>
    </row>
    <row r="1520" spans="1:9">
      <c r="A1520" s="1">
        <v>44254</v>
      </c>
      <c r="B1520">
        <v>41470</v>
      </c>
      <c r="C1520">
        <v>76732</v>
      </c>
      <c r="D1520">
        <v>44062</v>
      </c>
      <c r="E1520">
        <v>21463</v>
      </c>
      <c r="F1520">
        <v>87</v>
      </c>
      <c r="G1520" t="s">
        <v>83</v>
      </c>
      <c r="H1520" t="str" cm="1">
        <f t="array" ref="H1520">_xlfn.IFS(Grammys[[#This Row],[date]] &gt;= DATE(2022,2,1),"Grammys",TRUE,"Grammys TRA")</f>
        <v>Grammys TRA</v>
      </c>
      <c r="I1520">
        <f>_xlfn.XLOOKUP(Grammys[[#This Row],[date]],mobile_visits[date],mobile_visits[mobile_visitors],0)</f>
        <v>0</v>
      </c>
    </row>
    <row r="1521" spans="1:9">
      <c r="A1521" s="1">
        <v>44255</v>
      </c>
      <c r="B1521">
        <v>57598</v>
      </c>
      <c r="C1521">
        <v>109205</v>
      </c>
      <c r="D1521">
        <v>62383</v>
      </c>
      <c r="E1521">
        <v>30549</v>
      </c>
      <c r="F1521">
        <v>87</v>
      </c>
      <c r="G1521" t="s">
        <v>83</v>
      </c>
      <c r="H1521" t="str" cm="1">
        <f t="array" ref="H1521">_xlfn.IFS(Grammys[[#This Row],[date]] &gt;= DATE(2022,2,1),"Grammys",TRUE,"Grammys TRA")</f>
        <v>Grammys TRA</v>
      </c>
      <c r="I1521">
        <f>_xlfn.XLOOKUP(Grammys[[#This Row],[date]],mobile_visits[date],mobile_visits[mobile_visitors],0)</f>
        <v>0</v>
      </c>
    </row>
    <row r="1522" spans="1:9">
      <c r="A1522" s="1">
        <v>44256</v>
      </c>
      <c r="B1522">
        <v>60583</v>
      </c>
      <c r="C1522">
        <v>128453</v>
      </c>
      <c r="D1522">
        <v>66476</v>
      </c>
      <c r="E1522">
        <v>31145</v>
      </c>
      <c r="F1522">
        <v>92</v>
      </c>
      <c r="G1522" t="s">
        <v>83</v>
      </c>
      <c r="H1522" t="str" cm="1">
        <f t="array" ref="H1522">_xlfn.IFS(Grammys[[#This Row],[date]] &gt;= DATE(2022,2,1),"Grammys",TRUE,"Grammys TRA")</f>
        <v>Grammys TRA</v>
      </c>
      <c r="I1522">
        <f>_xlfn.XLOOKUP(Grammys[[#This Row],[date]],mobile_visits[date],mobile_visits[mobile_visitors],0)</f>
        <v>0</v>
      </c>
    </row>
    <row r="1523" spans="1:9">
      <c r="A1523" s="1">
        <v>44257</v>
      </c>
      <c r="B1523">
        <v>72866</v>
      </c>
      <c r="C1523">
        <v>145950</v>
      </c>
      <c r="D1523">
        <v>79774</v>
      </c>
      <c r="E1523">
        <v>36090</v>
      </c>
      <c r="F1523">
        <v>91</v>
      </c>
      <c r="G1523" t="s">
        <v>83</v>
      </c>
      <c r="H1523" t="str" cm="1">
        <f t="array" ref="H1523">_xlfn.IFS(Grammys[[#This Row],[date]] &gt;= DATE(2022,2,1),"Grammys",TRUE,"Grammys TRA")</f>
        <v>Grammys TRA</v>
      </c>
      <c r="I1523">
        <f>_xlfn.XLOOKUP(Grammys[[#This Row],[date]],mobile_visits[date],mobile_visits[mobile_visitors],0)</f>
        <v>0</v>
      </c>
    </row>
    <row r="1524" spans="1:9">
      <c r="A1524" s="1">
        <v>44258</v>
      </c>
      <c r="B1524">
        <v>81467</v>
      </c>
      <c r="C1524">
        <v>162861</v>
      </c>
      <c r="D1524">
        <v>87919</v>
      </c>
      <c r="E1524">
        <v>38650</v>
      </c>
      <c r="F1524">
        <v>88</v>
      </c>
      <c r="G1524" t="s">
        <v>83</v>
      </c>
      <c r="H1524" t="str" cm="1">
        <f t="array" ref="H1524">_xlfn.IFS(Grammys[[#This Row],[date]] &gt;= DATE(2022,2,1),"Grammys",TRUE,"Grammys TRA")</f>
        <v>Grammys TRA</v>
      </c>
      <c r="I1524">
        <f>_xlfn.XLOOKUP(Grammys[[#This Row],[date]],mobile_visits[date],mobile_visits[mobile_visitors],0)</f>
        <v>0</v>
      </c>
    </row>
    <row r="1525" spans="1:9">
      <c r="A1525" s="1">
        <v>44259</v>
      </c>
      <c r="B1525">
        <v>94367</v>
      </c>
      <c r="C1525">
        <v>189496</v>
      </c>
      <c r="D1525">
        <v>103438</v>
      </c>
      <c r="E1525">
        <v>44106</v>
      </c>
      <c r="F1525">
        <v>88</v>
      </c>
      <c r="G1525" t="s">
        <v>83</v>
      </c>
      <c r="H1525" t="str" cm="1">
        <f t="array" ref="H1525">_xlfn.IFS(Grammys[[#This Row],[date]] &gt;= DATE(2022,2,1),"Grammys",TRUE,"Grammys TRA")</f>
        <v>Grammys TRA</v>
      </c>
      <c r="I1525">
        <f>_xlfn.XLOOKUP(Grammys[[#This Row],[date]],mobile_visits[date],mobile_visits[mobile_visitors],0)</f>
        <v>0</v>
      </c>
    </row>
    <row r="1526" spans="1:9">
      <c r="A1526" s="1">
        <v>44260</v>
      </c>
      <c r="B1526">
        <v>92324</v>
      </c>
      <c r="C1526">
        <v>183052</v>
      </c>
      <c r="D1526">
        <v>102226</v>
      </c>
      <c r="E1526">
        <v>47996</v>
      </c>
      <c r="F1526">
        <v>88</v>
      </c>
      <c r="G1526" t="s">
        <v>83</v>
      </c>
      <c r="H1526" t="str" cm="1">
        <f t="array" ref="H1526">_xlfn.IFS(Grammys[[#This Row],[date]] &gt;= DATE(2022,2,1),"Grammys",TRUE,"Grammys TRA")</f>
        <v>Grammys TRA</v>
      </c>
      <c r="I1526">
        <f>_xlfn.XLOOKUP(Grammys[[#This Row],[date]],mobile_visits[date],mobile_visits[mobile_visitors],0)</f>
        <v>0</v>
      </c>
    </row>
    <row r="1527" spans="1:9">
      <c r="A1527" s="1">
        <v>44261</v>
      </c>
      <c r="B1527">
        <v>97176</v>
      </c>
      <c r="C1527">
        <v>187155</v>
      </c>
      <c r="D1527">
        <v>109275</v>
      </c>
      <c r="E1527">
        <v>54179</v>
      </c>
      <c r="F1527">
        <v>85</v>
      </c>
      <c r="G1527" t="s">
        <v>83</v>
      </c>
      <c r="H1527" t="str" cm="1">
        <f t="array" ref="H1527">_xlfn.IFS(Grammys[[#This Row],[date]] &gt;= DATE(2022,2,1),"Grammys",TRUE,"Grammys TRA")</f>
        <v>Grammys TRA</v>
      </c>
      <c r="I1527">
        <f>_xlfn.XLOOKUP(Grammys[[#This Row],[date]],mobile_visits[date],mobile_visits[mobile_visitors],0)</f>
        <v>0</v>
      </c>
    </row>
    <row r="1528" spans="1:9">
      <c r="A1528" s="1">
        <v>44262</v>
      </c>
      <c r="B1528">
        <v>582099</v>
      </c>
      <c r="C1528">
        <v>1115885</v>
      </c>
      <c r="D1528">
        <v>665492</v>
      </c>
      <c r="E1528">
        <v>285563</v>
      </c>
      <c r="F1528">
        <v>79</v>
      </c>
      <c r="G1528" t="s">
        <v>83</v>
      </c>
      <c r="H1528" t="str" cm="1">
        <f t="array" ref="H1528">_xlfn.IFS(Grammys[[#This Row],[date]] &gt;= DATE(2022,2,1),"Grammys",TRUE,"Grammys TRA")</f>
        <v>Grammys TRA</v>
      </c>
      <c r="I1528">
        <f>_xlfn.XLOOKUP(Grammys[[#This Row],[date]],mobile_visits[date],mobile_visits[mobile_visitors],0)</f>
        <v>0</v>
      </c>
    </row>
    <row r="1529" spans="1:9">
      <c r="A1529" s="1">
        <v>44263</v>
      </c>
      <c r="B1529">
        <v>324136</v>
      </c>
      <c r="C1529">
        <v>652820</v>
      </c>
      <c r="D1529">
        <v>363088</v>
      </c>
      <c r="E1529">
        <v>147087</v>
      </c>
      <c r="F1529">
        <v>79</v>
      </c>
      <c r="G1529" t="s">
        <v>83</v>
      </c>
      <c r="H1529" t="str" cm="1">
        <f t="array" ref="H1529">_xlfn.IFS(Grammys[[#This Row],[date]] &gt;= DATE(2022,2,1),"Grammys",TRUE,"Grammys TRA")</f>
        <v>Grammys TRA</v>
      </c>
      <c r="I1529">
        <f>_xlfn.XLOOKUP(Grammys[[#This Row],[date]],mobile_visits[date],mobile_visits[mobile_visitors],0)</f>
        <v>0</v>
      </c>
    </row>
    <row r="1530" spans="1:9">
      <c r="A1530" s="1">
        <v>44264</v>
      </c>
      <c r="B1530">
        <v>251019</v>
      </c>
      <c r="C1530">
        <v>524922</v>
      </c>
      <c r="D1530">
        <v>279366</v>
      </c>
      <c r="E1530">
        <v>116692</v>
      </c>
      <c r="F1530">
        <v>88</v>
      </c>
      <c r="G1530" t="s">
        <v>83</v>
      </c>
      <c r="H1530" t="str" cm="1">
        <f t="array" ref="H1530">_xlfn.IFS(Grammys[[#This Row],[date]] &gt;= DATE(2022,2,1),"Grammys",TRUE,"Grammys TRA")</f>
        <v>Grammys TRA</v>
      </c>
      <c r="I1530">
        <f>_xlfn.XLOOKUP(Grammys[[#This Row],[date]],mobile_visits[date],mobile_visits[mobile_visitors],0)</f>
        <v>0</v>
      </c>
    </row>
    <row r="1531" spans="1:9">
      <c r="A1531" s="1">
        <v>44265</v>
      </c>
      <c r="B1531">
        <v>246802</v>
      </c>
      <c r="C1531">
        <v>507277</v>
      </c>
      <c r="D1531">
        <v>273740</v>
      </c>
      <c r="E1531">
        <v>109934</v>
      </c>
      <c r="F1531">
        <v>108</v>
      </c>
      <c r="G1531" t="s">
        <v>83</v>
      </c>
      <c r="H1531" t="str" cm="1">
        <f t="array" ref="H1531">_xlfn.IFS(Grammys[[#This Row],[date]] &gt;= DATE(2022,2,1),"Grammys",TRUE,"Grammys TRA")</f>
        <v>Grammys TRA</v>
      </c>
      <c r="I1531">
        <f>_xlfn.XLOOKUP(Grammys[[#This Row],[date]],mobile_visits[date],mobile_visits[mobile_visitors],0)</f>
        <v>0</v>
      </c>
    </row>
    <row r="1532" spans="1:9">
      <c r="A1532" s="1">
        <v>44266</v>
      </c>
      <c r="B1532">
        <v>278768</v>
      </c>
      <c r="C1532">
        <v>607396</v>
      </c>
      <c r="D1532">
        <v>314160</v>
      </c>
      <c r="E1532">
        <v>129654</v>
      </c>
      <c r="F1532">
        <v>100</v>
      </c>
      <c r="G1532" t="s">
        <v>83</v>
      </c>
      <c r="H1532" t="str" cm="1">
        <f t="array" ref="H1532">_xlfn.IFS(Grammys[[#This Row],[date]] &gt;= DATE(2022,2,1),"Grammys",TRUE,"Grammys TRA")</f>
        <v>Grammys TRA</v>
      </c>
      <c r="I1532">
        <f>_xlfn.XLOOKUP(Grammys[[#This Row],[date]],mobile_visits[date],mobile_visits[mobile_visitors],0)</f>
        <v>0</v>
      </c>
    </row>
    <row r="1533" spans="1:9">
      <c r="A1533" s="1">
        <v>44267</v>
      </c>
      <c r="B1533">
        <v>450745</v>
      </c>
      <c r="C1533">
        <v>958929</v>
      </c>
      <c r="D1533">
        <v>503666</v>
      </c>
      <c r="E1533">
        <v>187868</v>
      </c>
      <c r="F1533">
        <v>91</v>
      </c>
      <c r="G1533" t="s">
        <v>83</v>
      </c>
      <c r="H1533" t="str" cm="1">
        <f t="array" ref="H1533">_xlfn.IFS(Grammys[[#This Row],[date]] &gt;= DATE(2022,2,1),"Grammys",TRUE,"Grammys TRA")</f>
        <v>Grammys TRA</v>
      </c>
      <c r="I1533">
        <f>_xlfn.XLOOKUP(Grammys[[#This Row],[date]],mobile_visits[date],mobile_visits[mobile_visitors],0)</f>
        <v>0</v>
      </c>
    </row>
    <row r="1534" spans="1:9">
      <c r="A1534" s="1">
        <v>44268</v>
      </c>
      <c r="B1534">
        <v>615568</v>
      </c>
      <c r="C1534">
        <v>1393434</v>
      </c>
      <c r="D1534">
        <v>713174</v>
      </c>
      <c r="E1534">
        <v>256173</v>
      </c>
      <c r="F1534">
        <v>98</v>
      </c>
      <c r="G1534" t="s">
        <v>83</v>
      </c>
      <c r="H1534" t="str" cm="1">
        <f t="array" ref="H1534">_xlfn.IFS(Grammys[[#This Row],[date]] &gt;= DATE(2022,2,1),"Grammys",TRUE,"Grammys TRA")</f>
        <v>Grammys TRA</v>
      </c>
      <c r="I1534">
        <f>_xlfn.XLOOKUP(Grammys[[#This Row],[date]],mobile_visits[date],mobile_visits[mobile_visitors],0)</f>
        <v>0</v>
      </c>
    </row>
    <row r="1535" spans="1:9">
      <c r="A1535" s="1">
        <v>44269</v>
      </c>
      <c r="B1535">
        <v>3241751</v>
      </c>
      <c r="C1535">
        <v>8182910</v>
      </c>
      <c r="D1535">
        <v>4255163</v>
      </c>
      <c r="E1535">
        <v>1276549</v>
      </c>
      <c r="F1535">
        <v>246</v>
      </c>
      <c r="G1535" t="s">
        <v>85</v>
      </c>
      <c r="H1535" t="str" cm="1">
        <f t="array" ref="H1535">_xlfn.IFS(Grammys[[#This Row],[date]] &gt;= DATE(2022,2,1),"Grammys",TRUE,"Grammys TRA")</f>
        <v>Grammys TRA</v>
      </c>
      <c r="I1535">
        <f>_xlfn.XLOOKUP(Grammys[[#This Row],[date]],mobile_visits[date],mobile_visits[mobile_visitors],0)</f>
        <v>0</v>
      </c>
    </row>
    <row r="1536" spans="1:9">
      <c r="A1536" s="1">
        <v>44270</v>
      </c>
      <c r="B1536">
        <v>642500</v>
      </c>
      <c r="C1536">
        <v>812061</v>
      </c>
      <c r="D1536">
        <v>693603</v>
      </c>
      <c r="E1536">
        <v>238392</v>
      </c>
      <c r="F1536">
        <v>112</v>
      </c>
      <c r="G1536" t="s">
        <v>83</v>
      </c>
      <c r="H1536" t="str" cm="1">
        <f t="array" ref="H1536">_xlfn.IFS(Grammys[[#This Row],[date]] &gt;= DATE(2022,2,1),"Grammys",TRUE,"Grammys TRA")</f>
        <v>Grammys TRA</v>
      </c>
      <c r="I1536">
        <f>_xlfn.XLOOKUP(Grammys[[#This Row],[date]],mobile_visits[date],mobile_visits[mobile_visitors],0)</f>
        <v>0</v>
      </c>
    </row>
    <row r="1537" spans="1:9">
      <c r="A1537" s="1">
        <v>44271</v>
      </c>
      <c r="B1537">
        <v>613586</v>
      </c>
      <c r="C1537">
        <v>1077837</v>
      </c>
      <c r="D1537">
        <v>674664</v>
      </c>
      <c r="E1537">
        <v>208404</v>
      </c>
      <c r="F1537">
        <v>197</v>
      </c>
      <c r="G1537" t="s">
        <v>83</v>
      </c>
      <c r="H1537" t="str" cm="1">
        <f t="array" ref="H1537">_xlfn.IFS(Grammys[[#This Row],[date]] &gt;= DATE(2022,2,1),"Grammys",TRUE,"Grammys TRA")</f>
        <v>Grammys TRA</v>
      </c>
      <c r="I1537">
        <f>_xlfn.XLOOKUP(Grammys[[#This Row],[date]],mobile_visits[date],mobile_visits[mobile_visitors],0)</f>
        <v>0</v>
      </c>
    </row>
    <row r="1538" spans="1:9">
      <c r="A1538" s="1">
        <v>44272</v>
      </c>
      <c r="B1538">
        <v>441504</v>
      </c>
      <c r="C1538">
        <v>767342</v>
      </c>
      <c r="D1538">
        <v>480114</v>
      </c>
      <c r="E1538">
        <v>159302</v>
      </c>
      <c r="F1538">
        <v>177</v>
      </c>
      <c r="G1538" t="s">
        <v>83</v>
      </c>
      <c r="H1538" t="str" cm="1">
        <f t="array" ref="H1538">_xlfn.IFS(Grammys[[#This Row],[date]] &gt;= DATE(2022,2,1),"Grammys",TRUE,"Grammys TRA")</f>
        <v>Grammys TRA</v>
      </c>
      <c r="I1538">
        <f>_xlfn.XLOOKUP(Grammys[[#This Row],[date]],mobile_visits[date],mobile_visits[mobile_visitors],0)</f>
        <v>0</v>
      </c>
    </row>
    <row r="1539" spans="1:9">
      <c r="A1539" s="1">
        <v>44273</v>
      </c>
      <c r="B1539">
        <v>272107</v>
      </c>
      <c r="C1539">
        <v>497278</v>
      </c>
      <c r="D1539">
        <v>296177</v>
      </c>
      <c r="E1539">
        <v>113703</v>
      </c>
      <c r="F1539">
        <v>148</v>
      </c>
      <c r="G1539" t="s">
        <v>83</v>
      </c>
      <c r="H1539" t="str" cm="1">
        <f t="array" ref="H1539">_xlfn.IFS(Grammys[[#This Row],[date]] &gt;= DATE(2022,2,1),"Grammys",TRUE,"Grammys TRA")</f>
        <v>Grammys TRA</v>
      </c>
      <c r="I1539">
        <f>_xlfn.XLOOKUP(Grammys[[#This Row],[date]],mobile_visits[date],mobile_visits[mobile_visitors],0)</f>
        <v>0</v>
      </c>
    </row>
    <row r="1540" spans="1:9">
      <c r="A1540" s="1">
        <v>44274</v>
      </c>
      <c r="B1540">
        <v>226618</v>
      </c>
      <c r="C1540">
        <v>394333</v>
      </c>
      <c r="D1540">
        <v>240710</v>
      </c>
      <c r="E1540">
        <v>109933</v>
      </c>
      <c r="F1540">
        <v>125</v>
      </c>
      <c r="G1540" t="s">
        <v>83</v>
      </c>
      <c r="H1540" t="str" cm="1">
        <f t="array" ref="H1540">_xlfn.IFS(Grammys[[#This Row],[date]] &gt;= DATE(2022,2,1),"Grammys",TRUE,"Grammys TRA")</f>
        <v>Grammys TRA</v>
      </c>
      <c r="I1540">
        <f>_xlfn.XLOOKUP(Grammys[[#This Row],[date]],mobile_visits[date],mobile_visits[mobile_visitors],0)</f>
        <v>0</v>
      </c>
    </row>
    <row r="1541" spans="1:9">
      <c r="A1541" s="1">
        <v>44275</v>
      </c>
      <c r="B1541">
        <v>152729</v>
      </c>
      <c r="C1541">
        <v>273866</v>
      </c>
      <c r="D1541">
        <v>166331</v>
      </c>
      <c r="E1541">
        <v>73070</v>
      </c>
      <c r="F1541">
        <v>128</v>
      </c>
      <c r="G1541" t="s">
        <v>83</v>
      </c>
      <c r="H1541" t="str" cm="1">
        <f t="array" ref="H1541">_xlfn.IFS(Grammys[[#This Row],[date]] &gt;= DATE(2022,2,1),"Grammys",TRUE,"Grammys TRA")</f>
        <v>Grammys TRA</v>
      </c>
      <c r="I1541">
        <f>_xlfn.XLOOKUP(Grammys[[#This Row],[date]],mobile_visits[date],mobile_visits[mobile_visitors],0)</f>
        <v>0</v>
      </c>
    </row>
    <row r="1542" spans="1:9">
      <c r="A1542" s="1">
        <v>44276</v>
      </c>
      <c r="B1542">
        <v>104240</v>
      </c>
      <c r="C1542">
        <v>195150</v>
      </c>
      <c r="D1542">
        <v>113248</v>
      </c>
      <c r="E1542">
        <v>48788</v>
      </c>
      <c r="F1542">
        <v>128</v>
      </c>
      <c r="G1542" t="s">
        <v>83</v>
      </c>
      <c r="H1542" t="str" cm="1">
        <f t="array" ref="H1542">_xlfn.IFS(Grammys[[#This Row],[date]] &gt;= DATE(2022,2,1),"Grammys",TRUE,"Grammys TRA")</f>
        <v>Grammys TRA</v>
      </c>
      <c r="I1542">
        <f>_xlfn.XLOOKUP(Grammys[[#This Row],[date]],mobile_visits[date],mobile_visits[mobile_visitors],0)</f>
        <v>0</v>
      </c>
    </row>
    <row r="1543" spans="1:9">
      <c r="A1543" s="1">
        <v>44277</v>
      </c>
      <c r="B1543">
        <v>80498</v>
      </c>
      <c r="C1543">
        <v>155519</v>
      </c>
      <c r="D1543">
        <v>86778</v>
      </c>
      <c r="E1543">
        <v>37445</v>
      </c>
      <c r="F1543">
        <v>121</v>
      </c>
      <c r="G1543" t="s">
        <v>83</v>
      </c>
      <c r="H1543" t="str" cm="1">
        <f t="array" ref="H1543">_xlfn.IFS(Grammys[[#This Row],[date]] &gt;= DATE(2022,2,1),"Grammys",TRUE,"Grammys TRA")</f>
        <v>Grammys TRA</v>
      </c>
      <c r="I1543">
        <f>_xlfn.XLOOKUP(Grammys[[#This Row],[date]],mobile_visits[date],mobile_visits[mobile_visitors],0)</f>
        <v>0</v>
      </c>
    </row>
    <row r="1544" spans="1:9">
      <c r="A1544" s="1">
        <v>44278</v>
      </c>
      <c r="B1544">
        <v>64607</v>
      </c>
      <c r="C1544">
        <v>126309</v>
      </c>
      <c r="D1544">
        <v>70251</v>
      </c>
      <c r="E1544">
        <v>32211</v>
      </c>
      <c r="F1544">
        <v>113</v>
      </c>
      <c r="G1544" t="s">
        <v>83</v>
      </c>
      <c r="H1544" t="str" cm="1">
        <f t="array" ref="H1544">_xlfn.IFS(Grammys[[#This Row],[date]] &gt;= DATE(2022,2,1),"Grammys",TRUE,"Grammys TRA")</f>
        <v>Grammys TRA</v>
      </c>
      <c r="I1544">
        <f>_xlfn.XLOOKUP(Grammys[[#This Row],[date]],mobile_visits[date],mobile_visits[mobile_visitors],0)</f>
        <v>0</v>
      </c>
    </row>
    <row r="1545" spans="1:9">
      <c r="A1545" s="1">
        <v>44279</v>
      </c>
      <c r="B1545">
        <v>58285</v>
      </c>
      <c r="C1545">
        <v>112012</v>
      </c>
      <c r="D1545">
        <v>62957</v>
      </c>
      <c r="E1545">
        <v>29131</v>
      </c>
      <c r="F1545">
        <v>103</v>
      </c>
      <c r="G1545" t="s">
        <v>83</v>
      </c>
      <c r="H1545" t="str" cm="1">
        <f t="array" ref="H1545">_xlfn.IFS(Grammys[[#This Row],[date]] &gt;= DATE(2022,2,1),"Grammys",TRUE,"Grammys TRA")</f>
        <v>Grammys TRA</v>
      </c>
      <c r="I1545">
        <f>_xlfn.XLOOKUP(Grammys[[#This Row],[date]],mobile_visits[date],mobile_visits[mobile_visitors],0)</f>
        <v>0</v>
      </c>
    </row>
    <row r="1546" spans="1:9">
      <c r="A1546" s="1">
        <v>44280</v>
      </c>
      <c r="B1546">
        <v>62862</v>
      </c>
      <c r="C1546">
        <v>110626</v>
      </c>
      <c r="D1546">
        <v>67395</v>
      </c>
      <c r="E1546">
        <v>29951</v>
      </c>
      <c r="F1546">
        <v>111</v>
      </c>
      <c r="G1546" t="s">
        <v>83</v>
      </c>
      <c r="H1546" t="str" cm="1">
        <f t="array" ref="H1546">_xlfn.IFS(Grammys[[#This Row],[date]] &gt;= DATE(2022,2,1),"Grammys",TRUE,"Grammys TRA")</f>
        <v>Grammys TRA</v>
      </c>
      <c r="I1546">
        <f>_xlfn.XLOOKUP(Grammys[[#This Row],[date]],mobile_visits[date],mobile_visits[mobile_visitors],0)</f>
        <v>0</v>
      </c>
    </row>
    <row r="1547" spans="1:9">
      <c r="A1547" s="1">
        <v>44281</v>
      </c>
      <c r="B1547">
        <v>64985</v>
      </c>
      <c r="C1547">
        <v>103938</v>
      </c>
      <c r="D1547">
        <v>69565</v>
      </c>
      <c r="E1547">
        <v>30922</v>
      </c>
      <c r="F1547">
        <v>105</v>
      </c>
      <c r="G1547" t="s">
        <v>83</v>
      </c>
      <c r="H1547" t="str" cm="1">
        <f t="array" ref="H1547">_xlfn.IFS(Grammys[[#This Row],[date]] &gt;= DATE(2022,2,1),"Grammys",TRUE,"Grammys TRA")</f>
        <v>Grammys TRA</v>
      </c>
      <c r="I1547">
        <f>_xlfn.XLOOKUP(Grammys[[#This Row],[date]],mobile_visits[date],mobile_visits[mobile_visitors],0)</f>
        <v>0</v>
      </c>
    </row>
    <row r="1548" spans="1:9">
      <c r="A1548" s="1">
        <v>44282</v>
      </c>
      <c r="B1548">
        <v>47201</v>
      </c>
      <c r="C1548">
        <v>79078</v>
      </c>
      <c r="D1548">
        <v>50797</v>
      </c>
      <c r="E1548">
        <v>24429</v>
      </c>
      <c r="F1548">
        <v>101</v>
      </c>
      <c r="G1548" t="s">
        <v>83</v>
      </c>
      <c r="H1548" t="str" cm="1">
        <f t="array" ref="H1548">_xlfn.IFS(Grammys[[#This Row],[date]] &gt;= DATE(2022,2,1),"Grammys",TRUE,"Grammys TRA")</f>
        <v>Grammys TRA</v>
      </c>
      <c r="I1548">
        <f>_xlfn.XLOOKUP(Grammys[[#This Row],[date]],mobile_visits[date],mobile_visits[mobile_visitors],0)</f>
        <v>0</v>
      </c>
    </row>
    <row r="1549" spans="1:9">
      <c r="A1549" s="1">
        <v>44283</v>
      </c>
      <c r="B1549">
        <v>42852</v>
      </c>
      <c r="C1549">
        <v>76808</v>
      </c>
      <c r="D1549">
        <v>46500</v>
      </c>
      <c r="E1549">
        <v>22093</v>
      </c>
      <c r="F1549">
        <v>101</v>
      </c>
      <c r="G1549" t="s">
        <v>83</v>
      </c>
      <c r="H1549" t="str" cm="1">
        <f t="array" ref="H1549">_xlfn.IFS(Grammys[[#This Row],[date]] &gt;= DATE(2022,2,1),"Grammys",TRUE,"Grammys TRA")</f>
        <v>Grammys TRA</v>
      </c>
      <c r="I1549">
        <f>_xlfn.XLOOKUP(Grammys[[#This Row],[date]],mobile_visits[date],mobile_visits[mobile_visitors],0)</f>
        <v>0</v>
      </c>
    </row>
    <row r="1550" spans="1:9">
      <c r="A1550" s="1">
        <v>44284</v>
      </c>
      <c r="B1550">
        <v>40352</v>
      </c>
      <c r="C1550">
        <v>73935</v>
      </c>
      <c r="D1550">
        <v>43221</v>
      </c>
      <c r="E1550">
        <v>20193</v>
      </c>
      <c r="F1550">
        <v>106</v>
      </c>
      <c r="G1550" t="s">
        <v>83</v>
      </c>
      <c r="H1550" t="str" cm="1">
        <f t="array" ref="H1550">_xlfn.IFS(Grammys[[#This Row],[date]] &gt;= DATE(2022,2,1),"Grammys",TRUE,"Grammys TRA")</f>
        <v>Grammys TRA</v>
      </c>
      <c r="I1550">
        <f>_xlfn.XLOOKUP(Grammys[[#This Row],[date]],mobile_visits[date],mobile_visits[mobile_visitors],0)</f>
        <v>0</v>
      </c>
    </row>
    <row r="1551" spans="1:9">
      <c r="A1551" s="1">
        <v>44285</v>
      </c>
      <c r="B1551">
        <v>40188</v>
      </c>
      <c r="C1551">
        <v>72635</v>
      </c>
      <c r="D1551">
        <v>43001</v>
      </c>
      <c r="E1551">
        <v>19630</v>
      </c>
      <c r="F1551">
        <v>107</v>
      </c>
      <c r="G1551" t="s">
        <v>83</v>
      </c>
      <c r="H1551" t="str" cm="1">
        <f t="array" ref="H1551">_xlfn.IFS(Grammys[[#This Row],[date]] &gt;= DATE(2022,2,1),"Grammys",TRUE,"Grammys TRA")</f>
        <v>Grammys TRA</v>
      </c>
      <c r="I1551">
        <f>_xlfn.XLOOKUP(Grammys[[#This Row],[date]],mobile_visits[date],mobile_visits[mobile_visitors],0)</f>
        <v>0</v>
      </c>
    </row>
    <row r="1552" spans="1:9">
      <c r="A1552" s="1">
        <v>44286</v>
      </c>
      <c r="B1552">
        <v>45491</v>
      </c>
      <c r="C1552">
        <v>77430</v>
      </c>
      <c r="D1552">
        <v>48744</v>
      </c>
      <c r="E1552">
        <v>23383</v>
      </c>
      <c r="F1552">
        <v>96</v>
      </c>
      <c r="G1552" t="s">
        <v>83</v>
      </c>
      <c r="H1552" t="str" cm="1">
        <f t="array" ref="H1552">_xlfn.IFS(Grammys[[#This Row],[date]] &gt;= DATE(2022,2,1),"Grammys",TRUE,"Grammys TRA")</f>
        <v>Grammys TRA</v>
      </c>
      <c r="I1552">
        <f>_xlfn.XLOOKUP(Grammys[[#This Row],[date]],mobile_visits[date],mobile_visits[mobile_visitors],0)</f>
        <v>0</v>
      </c>
    </row>
    <row r="1553" spans="1:9">
      <c r="A1553" s="1">
        <v>44287</v>
      </c>
      <c r="B1553">
        <v>45032</v>
      </c>
      <c r="C1553">
        <v>75574</v>
      </c>
      <c r="D1553">
        <v>48641</v>
      </c>
      <c r="E1553">
        <v>23475</v>
      </c>
      <c r="F1553">
        <v>103</v>
      </c>
      <c r="G1553" t="s">
        <v>83</v>
      </c>
      <c r="H1553" t="str" cm="1">
        <f t="array" ref="H1553">_xlfn.IFS(Grammys[[#This Row],[date]] &gt;= DATE(2022,2,1),"Grammys",TRUE,"Grammys TRA")</f>
        <v>Grammys TRA</v>
      </c>
      <c r="I1553">
        <f>_xlfn.XLOOKUP(Grammys[[#This Row],[date]],mobile_visits[date],mobile_visits[mobile_visitors],0)</f>
        <v>0</v>
      </c>
    </row>
    <row r="1554" spans="1:9">
      <c r="A1554" s="1">
        <v>44288</v>
      </c>
      <c r="B1554">
        <v>39160</v>
      </c>
      <c r="C1554">
        <v>65835</v>
      </c>
      <c r="D1554">
        <v>42204</v>
      </c>
      <c r="E1554">
        <v>20377</v>
      </c>
      <c r="F1554">
        <v>96</v>
      </c>
      <c r="G1554" t="s">
        <v>83</v>
      </c>
      <c r="H1554" t="str" cm="1">
        <f t="array" ref="H1554">_xlfn.IFS(Grammys[[#This Row],[date]] &gt;= DATE(2022,2,1),"Grammys",TRUE,"Grammys TRA")</f>
        <v>Grammys TRA</v>
      </c>
      <c r="I1554">
        <f>_xlfn.XLOOKUP(Grammys[[#This Row],[date]],mobile_visits[date],mobile_visits[mobile_visitors],0)</f>
        <v>0</v>
      </c>
    </row>
    <row r="1555" spans="1:9">
      <c r="A1555" s="1">
        <v>44289</v>
      </c>
      <c r="B1555">
        <v>36510</v>
      </c>
      <c r="C1555">
        <v>60600</v>
      </c>
      <c r="D1555">
        <v>38740</v>
      </c>
      <c r="E1555">
        <v>18487</v>
      </c>
      <c r="F1555">
        <v>94</v>
      </c>
      <c r="G1555" t="s">
        <v>83</v>
      </c>
      <c r="H1555" t="str" cm="1">
        <f t="array" ref="H1555">_xlfn.IFS(Grammys[[#This Row],[date]] &gt;= DATE(2022,2,1),"Grammys",TRUE,"Grammys TRA")</f>
        <v>Grammys TRA</v>
      </c>
      <c r="I1555">
        <f>_xlfn.XLOOKUP(Grammys[[#This Row],[date]],mobile_visits[date],mobile_visits[mobile_visitors],0)</f>
        <v>0</v>
      </c>
    </row>
    <row r="1556" spans="1:9">
      <c r="A1556" s="1">
        <v>44290</v>
      </c>
      <c r="B1556">
        <v>32923</v>
      </c>
      <c r="C1556">
        <v>55530</v>
      </c>
      <c r="D1556">
        <v>35243</v>
      </c>
      <c r="E1556">
        <v>17270</v>
      </c>
      <c r="F1556">
        <v>91</v>
      </c>
      <c r="G1556" t="s">
        <v>83</v>
      </c>
      <c r="H1556" t="str" cm="1">
        <f t="array" ref="H1556">_xlfn.IFS(Grammys[[#This Row],[date]] &gt;= DATE(2022,2,1),"Grammys",TRUE,"Grammys TRA")</f>
        <v>Grammys TRA</v>
      </c>
      <c r="I1556">
        <f>_xlfn.XLOOKUP(Grammys[[#This Row],[date]],mobile_visits[date],mobile_visits[mobile_visitors],0)</f>
        <v>0</v>
      </c>
    </row>
    <row r="1557" spans="1:9">
      <c r="A1557" s="1">
        <v>44291</v>
      </c>
      <c r="B1557">
        <v>29312</v>
      </c>
      <c r="C1557">
        <v>53494</v>
      </c>
      <c r="D1557">
        <v>31728</v>
      </c>
      <c r="E1557">
        <v>15411</v>
      </c>
      <c r="F1557">
        <v>97</v>
      </c>
      <c r="G1557" t="s">
        <v>83</v>
      </c>
      <c r="H1557" t="str" cm="1">
        <f t="array" ref="H1557">_xlfn.IFS(Grammys[[#This Row],[date]] &gt;= DATE(2022,2,1),"Grammys",TRUE,"Grammys TRA")</f>
        <v>Grammys TRA</v>
      </c>
      <c r="I1557">
        <f>_xlfn.XLOOKUP(Grammys[[#This Row],[date]],mobile_visits[date],mobile_visits[mobile_visitors],0)</f>
        <v>0</v>
      </c>
    </row>
    <row r="1558" spans="1:9">
      <c r="A1558" s="1">
        <v>44292</v>
      </c>
      <c r="B1558">
        <v>29227</v>
      </c>
      <c r="C1558">
        <v>53140</v>
      </c>
      <c r="D1558">
        <v>31497</v>
      </c>
      <c r="E1558">
        <v>14949</v>
      </c>
      <c r="F1558">
        <v>104</v>
      </c>
      <c r="G1558" t="s">
        <v>83</v>
      </c>
      <c r="H1558" t="str" cm="1">
        <f t="array" ref="H1558">_xlfn.IFS(Grammys[[#This Row],[date]] &gt;= DATE(2022,2,1),"Grammys",TRUE,"Grammys TRA")</f>
        <v>Grammys TRA</v>
      </c>
      <c r="I1558">
        <f>_xlfn.XLOOKUP(Grammys[[#This Row],[date]],mobile_visits[date],mobile_visits[mobile_visitors],0)</f>
        <v>0</v>
      </c>
    </row>
    <row r="1559" spans="1:9">
      <c r="A1559" s="1">
        <v>44293</v>
      </c>
      <c r="B1559">
        <v>27971</v>
      </c>
      <c r="C1559">
        <v>50761</v>
      </c>
      <c r="D1559">
        <v>30287</v>
      </c>
      <c r="E1559">
        <v>14771</v>
      </c>
      <c r="F1559">
        <v>95</v>
      </c>
      <c r="G1559" t="s">
        <v>83</v>
      </c>
      <c r="H1559" t="str" cm="1">
        <f t="array" ref="H1559">_xlfn.IFS(Grammys[[#This Row],[date]] &gt;= DATE(2022,2,1),"Grammys",TRUE,"Grammys TRA")</f>
        <v>Grammys TRA</v>
      </c>
      <c r="I1559">
        <f>_xlfn.XLOOKUP(Grammys[[#This Row],[date]],mobile_visits[date],mobile_visits[mobile_visitors],0)</f>
        <v>0</v>
      </c>
    </row>
    <row r="1560" spans="1:9">
      <c r="A1560" s="1">
        <v>44294</v>
      </c>
      <c r="B1560">
        <v>29506</v>
      </c>
      <c r="C1560">
        <v>52622</v>
      </c>
      <c r="D1560">
        <v>31627</v>
      </c>
      <c r="E1560">
        <v>14941</v>
      </c>
      <c r="F1560">
        <v>88</v>
      </c>
      <c r="G1560" t="s">
        <v>83</v>
      </c>
      <c r="H1560" t="str" cm="1">
        <f t="array" ref="H1560">_xlfn.IFS(Grammys[[#This Row],[date]] &gt;= DATE(2022,2,1),"Grammys",TRUE,"Grammys TRA")</f>
        <v>Grammys TRA</v>
      </c>
      <c r="I1560">
        <f>_xlfn.XLOOKUP(Grammys[[#This Row],[date]],mobile_visits[date],mobile_visits[mobile_visitors],0)</f>
        <v>0</v>
      </c>
    </row>
    <row r="1561" spans="1:9">
      <c r="A1561" s="1">
        <v>44295</v>
      </c>
      <c r="B1561">
        <v>29088</v>
      </c>
      <c r="C1561">
        <v>50349</v>
      </c>
      <c r="D1561">
        <v>30865</v>
      </c>
      <c r="E1561">
        <v>14822</v>
      </c>
      <c r="F1561">
        <v>83</v>
      </c>
      <c r="G1561" t="s">
        <v>83</v>
      </c>
      <c r="H1561" t="str" cm="1">
        <f t="array" ref="H1561">_xlfn.IFS(Grammys[[#This Row],[date]] &gt;= DATE(2022,2,1),"Grammys",TRUE,"Grammys TRA")</f>
        <v>Grammys TRA</v>
      </c>
      <c r="I1561">
        <f>_xlfn.XLOOKUP(Grammys[[#This Row],[date]],mobile_visits[date],mobile_visits[mobile_visitors],0)</f>
        <v>0</v>
      </c>
    </row>
    <row r="1562" spans="1:9">
      <c r="A1562" s="1">
        <v>44296</v>
      </c>
      <c r="B1562">
        <v>23738</v>
      </c>
      <c r="C1562">
        <v>41628</v>
      </c>
      <c r="D1562">
        <v>25574</v>
      </c>
      <c r="E1562">
        <v>12629</v>
      </c>
      <c r="F1562">
        <v>85</v>
      </c>
      <c r="G1562" t="s">
        <v>83</v>
      </c>
      <c r="H1562" t="str" cm="1">
        <f t="array" ref="H1562">_xlfn.IFS(Grammys[[#This Row],[date]] &gt;= DATE(2022,2,1),"Grammys",TRUE,"Grammys TRA")</f>
        <v>Grammys TRA</v>
      </c>
      <c r="I1562">
        <f>_xlfn.XLOOKUP(Grammys[[#This Row],[date]],mobile_visits[date],mobile_visits[mobile_visitors],0)</f>
        <v>0</v>
      </c>
    </row>
    <row r="1563" spans="1:9">
      <c r="A1563" s="1">
        <v>44297</v>
      </c>
      <c r="B1563">
        <v>22651</v>
      </c>
      <c r="C1563">
        <v>40486</v>
      </c>
      <c r="D1563">
        <v>24187</v>
      </c>
      <c r="E1563">
        <v>12092</v>
      </c>
      <c r="F1563">
        <v>89</v>
      </c>
      <c r="G1563" t="s">
        <v>83</v>
      </c>
      <c r="H1563" t="str" cm="1">
        <f t="array" ref="H1563">_xlfn.IFS(Grammys[[#This Row],[date]] &gt;= DATE(2022,2,1),"Grammys",TRUE,"Grammys TRA")</f>
        <v>Grammys TRA</v>
      </c>
      <c r="I1563">
        <f>_xlfn.XLOOKUP(Grammys[[#This Row],[date]],mobile_visits[date],mobile_visits[mobile_visitors],0)</f>
        <v>0</v>
      </c>
    </row>
    <row r="1564" spans="1:9">
      <c r="A1564" s="1">
        <v>44298</v>
      </c>
      <c r="B1564">
        <v>25217</v>
      </c>
      <c r="C1564">
        <v>45187</v>
      </c>
      <c r="D1564">
        <v>26958</v>
      </c>
      <c r="E1564">
        <v>13684</v>
      </c>
      <c r="F1564">
        <v>86</v>
      </c>
      <c r="G1564" t="s">
        <v>83</v>
      </c>
      <c r="H1564" t="str" cm="1">
        <f t="array" ref="H1564">_xlfn.IFS(Grammys[[#This Row],[date]] &gt;= DATE(2022,2,1),"Grammys",TRUE,"Grammys TRA")</f>
        <v>Grammys TRA</v>
      </c>
      <c r="I1564">
        <f>_xlfn.XLOOKUP(Grammys[[#This Row],[date]],mobile_visits[date],mobile_visits[mobile_visitors],0)</f>
        <v>0</v>
      </c>
    </row>
    <row r="1565" spans="1:9">
      <c r="A1565" s="1">
        <v>44299</v>
      </c>
      <c r="B1565">
        <v>24729</v>
      </c>
      <c r="C1565">
        <v>44086</v>
      </c>
      <c r="D1565">
        <v>26468</v>
      </c>
      <c r="E1565">
        <v>13849</v>
      </c>
      <c r="F1565">
        <v>87</v>
      </c>
      <c r="G1565" t="s">
        <v>83</v>
      </c>
      <c r="H1565" t="str" cm="1">
        <f t="array" ref="H1565">_xlfn.IFS(Grammys[[#This Row],[date]] &gt;= DATE(2022,2,1),"Grammys",TRUE,"Grammys TRA")</f>
        <v>Grammys TRA</v>
      </c>
      <c r="I1565">
        <f>_xlfn.XLOOKUP(Grammys[[#This Row],[date]],mobile_visits[date],mobile_visits[mobile_visitors],0)</f>
        <v>0</v>
      </c>
    </row>
    <row r="1566" spans="1:9">
      <c r="A1566" s="1">
        <v>44300</v>
      </c>
      <c r="B1566">
        <v>22644</v>
      </c>
      <c r="C1566">
        <v>41598</v>
      </c>
      <c r="D1566">
        <v>24550</v>
      </c>
      <c r="E1566">
        <v>12671</v>
      </c>
      <c r="F1566">
        <v>95</v>
      </c>
      <c r="G1566" t="s">
        <v>83</v>
      </c>
      <c r="H1566" t="str" cm="1">
        <f t="array" ref="H1566">_xlfn.IFS(Grammys[[#This Row],[date]] &gt;= DATE(2022,2,1),"Grammys",TRUE,"Grammys TRA")</f>
        <v>Grammys TRA</v>
      </c>
      <c r="I1566">
        <f>_xlfn.XLOOKUP(Grammys[[#This Row],[date]],mobile_visits[date],mobile_visits[mobile_visitors],0)</f>
        <v>0</v>
      </c>
    </row>
    <row r="1567" spans="1:9">
      <c r="A1567" s="1">
        <v>44301</v>
      </c>
      <c r="B1567">
        <v>24493</v>
      </c>
      <c r="C1567">
        <v>43446</v>
      </c>
      <c r="D1567">
        <v>26273</v>
      </c>
      <c r="E1567">
        <v>13313</v>
      </c>
      <c r="F1567">
        <v>94</v>
      </c>
      <c r="G1567" t="s">
        <v>83</v>
      </c>
      <c r="H1567" t="str" cm="1">
        <f t="array" ref="H1567">_xlfn.IFS(Grammys[[#This Row],[date]] &gt;= DATE(2022,2,1),"Grammys",TRUE,"Grammys TRA")</f>
        <v>Grammys TRA</v>
      </c>
      <c r="I1567">
        <f>_xlfn.XLOOKUP(Grammys[[#This Row],[date]],mobile_visits[date],mobile_visits[mobile_visitors],0)</f>
        <v>0</v>
      </c>
    </row>
    <row r="1568" spans="1:9">
      <c r="A1568" s="1">
        <v>44302</v>
      </c>
      <c r="B1568">
        <v>23283</v>
      </c>
      <c r="C1568">
        <v>41595</v>
      </c>
      <c r="D1568">
        <v>24807</v>
      </c>
      <c r="E1568">
        <v>12379</v>
      </c>
      <c r="F1568">
        <v>92</v>
      </c>
      <c r="G1568" t="s">
        <v>83</v>
      </c>
      <c r="H1568" t="str" cm="1">
        <f t="array" ref="H1568">_xlfn.IFS(Grammys[[#This Row],[date]] &gt;= DATE(2022,2,1),"Grammys",TRUE,"Grammys TRA")</f>
        <v>Grammys TRA</v>
      </c>
      <c r="I1568">
        <f>_xlfn.XLOOKUP(Grammys[[#This Row],[date]],mobile_visits[date],mobile_visits[mobile_visitors],0)</f>
        <v>0</v>
      </c>
    </row>
    <row r="1569" spans="1:9">
      <c r="A1569" s="1">
        <v>44303</v>
      </c>
      <c r="B1569">
        <v>22982</v>
      </c>
      <c r="C1569">
        <v>38317</v>
      </c>
      <c r="D1569">
        <v>24274</v>
      </c>
      <c r="E1569">
        <v>11198</v>
      </c>
      <c r="F1569">
        <v>78</v>
      </c>
      <c r="G1569" t="s">
        <v>83</v>
      </c>
      <c r="H1569" t="str" cm="1">
        <f t="array" ref="H1569">_xlfn.IFS(Grammys[[#This Row],[date]] &gt;= DATE(2022,2,1),"Grammys",TRUE,"Grammys TRA")</f>
        <v>Grammys TRA</v>
      </c>
      <c r="I1569">
        <f>_xlfn.XLOOKUP(Grammys[[#This Row],[date]],mobile_visits[date],mobile_visits[mobile_visitors],0)</f>
        <v>0</v>
      </c>
    </row>
    <row r="1570" spans="1:9">
      <c r="A1570" s="1">
        <v>44304</v>
      </c>
      <c r="B1570">
        <v>20971</v>
      </c>
      <c r="C1570">
        <v>36750</v>
      </c>
      <c r="D1570">
        <v>22295</v>
      </c>
      <c r="E1570">
        <v>11181</v>
      </c>
      <c r="F1570">
        <v>85</v>
      </c>
      <c r="G1570" t="s">
        <v>83</v>
      </c>
      <c r="H1570" t="str" cm="1">
        <f t="array" ref="H1570">_xlfn.IFS(Grammys[[#This Row],[date]] &gt;= DATE(2022,2,1),"Grammys",TRUE,"Grammys TRA")</f>
        <v>Grammys TRA</v>
      </c>
      <c r="I1570">
        <f>_xlfn.XLOOKUP(Grammys[[#This Row],[date]],mobile_visits[date],mobile_visits[mobile_visitors],0)</f>
        <v>0</v>
      </c>
    </row>
    <row r="1571" spans="1:9">
      <c r="A1571" s="1">
        <v>44305</v>
      </c>
      <c r="B1571">
        <v>25846</v>
      </c>
      <c r="C1571">
        <v>44808</v>
      </c>
      <c r="D1571">
        <v>27556</v>
      </c>
      <c r="E1571">
        <v>15699</v>
      </c>
      <c r="F1571">
        <v>77</v>
      </c>
      <c r="G1571" t="s">
        <v>83</v>
      </c>
      <c r="H1571" t="str" cm="1">
        <f t="array" ref="H1571">_xlfn.IFS(Grammys[[#This Row],[date]] &gt;= DATE(2022,2,1),"Grammys",TRUE,"Grammys TRA")</f>
        <v>Grammys TRA</v>
      </c>
      <c r="I1571">
        <f>_xlfn.XLOOKUP(Grammys[[#This Row],[date]],mobile_visits[date],mobile_visits[mobile_visitors],0)</f>
        <v>0</v>
      </c>
    </row>
    <row r="1572" spans="1:9">
      <c r="A1572" s="1">
        <v>44306</v>
      </c>
      <c r="B1572">
        <v>26076</v>
      </c>
      <c r="C1572">
        <v>44591</v>
      </c>
      <c r="D1572">
        <v>27668</v>
      </c>
      <c r="E1572">
        <v>15802</v>
      </c>
      <c r="F1572">
        <v>77</v>
      </c>
      <c r="G1572" t="s">
        <v>83</v>
      </c>
      <c r="H1572" t="str" cm="1">
        <f t="array" ref="H1572">_xlfn.IFS(Grammys[[#This Row],[date]] &gt;= DATE(2022,2,1),"Grammys",TRUE,"Grammys TRA")</f>
        <v>Grammys TRA</v>
      </c>
      <c r="I1572">
        <f>_xlfn.XLOOKUP(Grammys[[#This Row],[date]],mobile_visits[date],mobile_visits[mobile_visitors],0)</f>
        <v>0</v>
      </c>
    </row>
    <row r="1573" spans="1:9">
      <c r="A1573" s="1">
        <v>44307</v>
      </c>
      <c r="B1573">
        <v>22104</v>
      </c>
      <c r="C1573">
        <v>40237</v>
      </c>
      <c r="D1573">
        <v>23719</v>
      </c>
      <c r="E1573">
        <v>11661</v>
      </c>
      <c r="F1573">
        <v>88</v>
      </c>
      <c r="G1573" t="s">
        <v>83</v>
      </c>
      <c r="H1573" t="str" cm="1">
        <f t="array" ref="H1573">_xlfn.IFS(Grammys[[#This Row],[date]] &gt;= DATE(2022,2,1),"Grammys",TRUE,"Grammys TRA")</f>
        <v>Grammys TRA</v>
      </c>
      <c r="I1573">
        <f>_xlfn.XLOOKUP(Grammys[[#This Row],[date]],mobile_visits[date],mobile_visits[mobile_visitors],0)</f>
        <v>0</v>
      </c>
    </row>
    <row r="1574" spans="1:9">
      <c r="A1574" s="1">
        <v>44308</v>
      </c>
      <c r="B1574">
        <v>21250</v>
      </c>
      <c r="C1574">
        <v>39483</v>
      </c>
      <c r="D1574">
        <v>23004</v>
      </c>
      <c r="E1574">
        <v>11169</v>
      </c>
      <c r="F1574">
        <v>96</v>
      </c>
      <c r="G1574" t="s">
        <v>83</v>
      </c>
      <c r="H1574" t="str" cm="1">
        <f t="array" ref="H1574">_xlfn.IFS(Grammys[[#This Row],[date]] &gt;= DATE(2022,2,1),"Grammys",TRUE,"Grammys TRA")</f>
        <v>Grammys TRA</v>
      </c>
      <c r="I1574">
        <f>_xlfn.XLOOKUP(Grammys[[#This Row],[date]],mobile_visits[date],mobile_visits[mobile_visitors],0)</f>
        <v>0</v>
      </c>
    </row>
    <row r="1575" spans="1:9">
      <c r="A1575" s="1">
        <v>44309</v>
      </c>
      <c r="B1575">
        <v>27086</v>
      </c>
      <c r="C1575">
        <v>48969</v>
      </c>
      <c r="D1575">
        <v>29119</v>
      </c>
      <c r="E1575">
        <v>15579</v>
      </c>
      <c r="F1575">
        <v>85</v>
      </c>
      <c r="G1575" t="s">
        <v>83</v>
      </c>
      <c r="H1575" t="str" cm="1">
        <f t="array" ref="H1575">_xlfn.IFS(Grammys[[#This Row],[date]] &gt;= DATE(2022,2,1),"Grammys",TRUE,"Grammys TRA")</f>
        <v>Grammys TRA</v>
      </c>
      <c r="I1575">
        <f>_xlfn.XLOOKUP(Grammys[[#This Row],[date]],mobile_visits[date],mobile_visits[mobile_visitors],0)</f>
        <v>0</v>
      </c>
    </row>
    <row r="1576" spans="1:9">
      <c r="A1576" s="1">
        <v>44310</v>
      </c>
      <c r="B1576">
        <v>29414</v>
      </c>
      <c r="C1576">
        <v>50866</v>
      </c>
      <c r="D1576">
        <v>31838</v>
      </c>
      <c r="E1576">
        <v>16333</v>
      </c>
      <c r="F1576">
        <v>91</v>
      </c>
      <c r="G1576" t="s">
        <v>83</v>
      </c>
      <c r="H1576" t="str" cm="1">
        <f t="array" ref="H1576">_xlfn.IFS(Grammys[[#This Row],[date]] &gt;= DATE(2022,2,1),"Grammys",TRUE,"Grammys TRA")</f>
        <v>Grammys TRA</v>
      </c>
      <c r="I1576">
        <f>_xlfn.XLOOKUP(Grammys[[#This Row],[date]],mobile_visits[date],mobile_visits[mobile_visitors],0)</f>
        <v>0</v>
      </c>
    </row>
    <row r="1577" spans="1:9">
      <c r="A1577" s="1">
        <v>44311</v>
      </c>
      <c r="B1577">
        <v>33957</v>
      </c>
      <c r="C1577">
        <v>59096</v>
      </c>
      <c r="D1577">
        <v>36257</v>
      </c>
      <c r="E1577">
        <v>18745</v>
      </c>
      <c r="F1577">
        <v>80</v>
      </c>
      <c r="G1577" t="s">
        <v>83</v>
      </c>
      <c r="H1577" t="str" cm="1">
        <f t="array" ref="H1577">_xlfn.IFS(Grammys[[#This Row],[date]] &gt;= DATE(2022,2,1),"Grammys",TRUE,"Grammys TRA")</f>
        <v>Grammys TRA</v>
      </c>
      <c r="I1577">
        <f>_xlfn.XLOOKUP(Grammys[[#This Row],[date]],mobile_visits[date],mobile_visits[mobile_visitors],0)</f>
        <v>0</v>
      </c>
    </row>
    <row r="1578" spans="1:9">
      <c r="A1578" s="1">
        <v>44312</v>
      </c>
      <c r="B1578">
        <v>36892</v>
      </c>
      <c r="C1578">
        <v>66310</v>
      </c>
      <c r="D1578">
        <v>38977</v>
      </c>
      <c r="E1578">
        <v>18807</v>
      </c>
      <c r="F1578">
        <v>83</v>
      </c>
      <c r="G1578" t="s">
        <v>83</v>
      </c>
      <c r="H1578" t="str" cm="1">
        <f t="array" ref="H1578">_xlfn.IFS(Grammys[[#This Row],[date]] &gt;= DATE(2022,2,1),"Grammys",TRUE,"Grammys TRA")</f>
        <v>Grammys TRA</v>
      </c>
      <c r="I1578">
        <f>_xlfn.XLOOKUP(Grammys[[#This Row],[date]],mobile_visits[date],mobile_visits[mobile_visitors],0)</f>
        <v>0</v>
      </c>
    </row>
    <row r="1579" spans="1:9">
      <c r="A1579" s="1">
        <v>44313</v>
      </c>
      <c r="B1579">
        <v>25989</v>
      </c>
      <c r="C1579">
        <v>47810</v>
      </c>
      <c r="D1579">
        <v>27922</v>
      </c>
      <c r="E1579">
        <v>13869</v>
      </c>
      <c r="F1579">
        <v>90</v>
      </c>
      <c r="G1579" t="s">
        <v>83</v>
      </c>
      <c r="H1579" t="str" cm="1">
        <f t="array" ref="H1579">_xlfn.IFS(Grammys[[#This Row],[date]] &gt;= DATE(2022,2,1),"Grammys",TRUE,"Grammys TRA")</f>
        <v>Grammys TRA</v>
      </c>
      <c r="I1579">
        <f>_xlfn.XLOOKUP(Grammys[[#This Row],[date]],mobile_visits[date],mobile_visits[mobile_visitors],0)</f>
        <v>0</v>
      </c>
    </row>
    <row r="1580" spans="1:9">
      <c r="A1580" s="1">
        <v>44314</v>
      </c>
      <c r="B1580">
        <v>25358</v>
      </c>
      <c r="C1580">
        <v>46269</v>
      </c>
      <c r="D1580">
        <v>27380</v>
      </c>
      <c r="E1580">
        <v>13474</v>
      </c>
      <c r="F1580">
        <v>95</v>
      </c>
      <c r="G1580" t="s">
        <v>83</v>
      </c>
      <c r="H1580" t="str" cm="1">
        <f t="array" ref="H1580">_xlfn.IFS(Grammys[[#This Row],[date]] &gt;= DATE(2022,2,1),"Grammys",TRUE,"Grammys TRA")</f>
        <v>Grammys TRA</v>
      </c>
      <c r="I1580">
        <f>_xlfn.XLOOKUP(Grammys[[#This Row],[date]],mobile_visits[date],mobile_visits[mobile_visitors],0)</f>
        <v>0</v>
      </c>
    </row>
    <row r="1581" spans="1:9">
      <c r="A1581" s="1">
        <v>44315</v>
      </c>
      <c r="B1581">
        <v>21759</v>
      </c>
      <c r="C1581">
        <v>40180</v>
      </c>
      <c r="D1581">
        <v>23695</v>
      </c>
      <c r="E1581">
        <v>11639</v>
      </c>
      <c r="F1581">
        <v>93</v>
      </c>
      <c r="G1581" t="s">
        <v>83</v>
      </c>
      <c r="H1581" t="str" cm="1">
        <f t="array" ref="H1581">_xlfn.IFS(Grammys[[#This Row],[date]] &gt;= DATE(2022,2,1),"Grammys",TRUE,"Grammys TRA")</f>
        <v>Grammys TRA</v>
      </c>
      <c r="I1581">
        <f>_xlfn.XLOOKUP(Grammys[[#This Row],[date]],mobile_visits[date],mobile_visits[mobile_visitors],0)</f>
        <v>0</v>
      </c>
    </row>
    <row r="1582" spans="1:9">
      <c r="A1582" s="1">
        <v>44316</v>
      </c>
      <c r="B1582">
        <v>25030</v>
      </c>
      <c r="C1582">
        <v>44062</v>
      </c>
      <c r="D1582">
        <v>26698</v>
      </c>
      <c r="E1582">
        <v>13010</v>
      </c>
      <c r="F1582">
        <v>93</v>
      </c>
      <c r="G1582" t="s">
        <v>83</v>
      </c>
      <c r="H1582" t="str" cm="1">
        <f t="array" ref="H1582">_xlfn.IFS(Grammys[[#This Row],[date]] &gt;= DATE(2022,2,1),"Grammys",TRUE,"Grammys TRA")</f>
        <v>Grammys TRA</v>
      </c>
      <c r="I1582">
        <f>_xlfn.XLOOKUP(Grammys[[#This Row],[date]],mobile_visits[date],mobile_visits[mobile_visitors],0)</f>
        <v>0</v>
      </c>
    </row>
    <row r="1583" spans="1:9">
      <c r="A1583" s="1">
        <v>44317</v>
      </c>
      <c r="B1583">
        <v>22972</v>
      </c>
      <c r="C1583">
        <v>39628</v>
      </c>
      <c r="D1583">
        <v>24539</v>
      </c>
      <c r="E1583">
        <v>11519</v>
      </c>
      <c r="F1583">
        <v>87</v>
      </c>
      <c r="G1583" t="s">
        <v>83</v>
      </c>
      <c r="H1583" t="str" cm="1">
        <f t="array" ref="H1583">_xlfn.IFS(Grammys[[#This Row],[date]] &gt;= DATE(2022,2,1),"Grammys",TRUE,"Grammys TRA")</f>
        <v>Grammys TRA</v>
      </c>
      <c r="I1583">
        <f>_xlfn.XLOOKUP(Grammys[[#This Row],[date]],mobile_visits[date],mobile_visits[mobile_visitors],0)</f>
        <v>0</v>
      </c>
    </row>
    <row r="1584" spans="1:9">
      <c r="A1584" s="1">
        <v>44318</v>
      </c>
      <c r="B1584">
        <v>21619</v>
      </c>
      <c r="C1584">
        <v>37451</v>
      </c>
      <c r="D1584">
        <v>22833</v>
      </c>
      <c r="E1584">
        <v>10801</v>
      </c>
      <c r="F1584">
        <v>89</v>
      </c>
      <c r="G1584" t="s">
        <v>83</v>
      </c>
      <c r="H1584" t="str" cm="1">
        <f t="array" ref="H1584">_xlfn.IFS(Grammys[[#This Row],[date]] &gt;= DATE(2022,2,1),"Grammys",TRUE,"Grammys TRA")</f>
        <v>Grammys TRA</v>
      </c>
      <c r="I1584">
        <f>_xlfn.XLOOKUP(Grammys[[#This Row],[date]],mobile_visits[date],mobile_visits[mobile_visitors],0)</f>
        <v>0</v>
      </c>
    </row>
    <row r="1585" spans="1:9">
      <c r="A1585" s="1">
        <v>44319</v>
      </c>
      <c r="B1585">
        <v>22124</v>
      </c>
      <c r="C1585">
        <v>40817</v>
      </c>
      <c r="D1585">
        <v>23727</v>
      </c>
      <c r="E1585">
        <v>11537</v>
      </c>
      <c r="F1585">
        <v>92</v>
      </c>
      <c r="G1585" t="s">
        <v>83</v>
      </c>
      <c r="H1585" t="str" cm="1">
        <f t="array" ref="H1585">_xlfn.IFS(Grammys[[#This Row],[date]] &gt;= DATE(2022,2,1),"Grammys",TRUE,"Grammys TRA")</f>
        <v>Grammys TRA</v>
      </c>
      <c r="I1585">
        <f>_xlfn.XLOOKUP(Grammys[[#This Row],[date]],mobile_visits[date],mobile_visits[mobile_visitors],0)</f>
        <v>0</v>
      </c>
    </row>
    <row r="1586" spans="1:9">
      <c r="A1586" s="1">
        <v>44320</v>
      </c>
      <c r="B1586">
        <v>21448</v>
      </c>
      <c r="C1586">
        <v>39030</v>
      </c>
      <c r="D1586">
        <v>23172</v>
      </c>
      <c r="E1586">
        <v>11452</v>
      </c>
      <c r="F1586">
        <v>86</v>
      </c>
      <c r="G1586" t="s">
        <v>83</v>
      </c>
      <c r="H1586" t="str" cm="1">
        <f t="array" ref="H1586">_xlfn.IFS(Grammys[[#This Row],[date]] &gt;= DATE(2022,2,1),"Grammys",TRUE,"Grammys TRA")</f>
        <v>Grammys TRA</v>
      </c>
      <c r="I1586">
        <f>_xlfn.XLOOKUP(Grammys[[#This Row],[date]],mobile_visits[date],mobile_visits[mobile_visitors],0)</f>
        <v>0</v>
      </c>
    </row>
    <row r="1587" spans="1:9">
      <c r="A1587" s="1">
        <v>44321</v>
      </c>
      <c r="B1587">
        <v>20466</v>
      </c>
      <c r="C1587">
        <v>36675</v>
      </c>
      <c r="D1587">
        <v>22102</v>
      </c>
      <c r="E1587">
        <v>10556</v>
      </c>
      <c r="F1587">
        <v>85</v>
      </c>
      <c r="G1587" t="s">
        <v>83</v>
      </c>
      <c r="H1587" t="str" cm="1">
        <f t="array" ref="H1587">_xlfn.IFS(Grammys[[#This Row],[date]] &gt;= DATE(2022,2,1),"Grammys",TRUE,"Grammys TRA")</f>
        <v>Grammys TRA</v>
      </c>
      <c r="I1587">
        <f>_xlfn.XLOOKUP(Grammys[[#This Row],[date]],mobile_visits[date],mobile_visits[mobile_visitors],0)</f>
        <v>0</v>
      </c>
    </row>
    <row r="1588" spans="1:9">
      <c r="A1588" s="1">
        <v>44322</v>
      </c>
      <c r="B1588">
        <v>20035</v>
      </c>
      <c r="C1588">
        <v>35707</v>
      </c>
      <c r="D1588">
        <v>21535</v>
      </c>
      <c r="E1588">
        <v>10066</v>
      </c>
      <c r="F1588">
        <v>89</v>
      </c>
      <c r="G1588" t="s">
        <v>83</v>
      </c>
      <c r="H1588" t="str" cm="1">
        <f t="array" ref="H1588">_xlfn.IFS(Grammys[[#This Row],[date]] &gt;= DATE(2022,2,1),"Grammys",TRUE,"Grammys TRA")</f>
        <v>Grammys TRA</v>
      </c>
      <c r="I1588">
        <f>_xlfn.XLOOKUP(Grammys[[#This Row],[date]],mobile_visits[date],mobile_visits[mobile_visitors],0)</f>
        <v>0</v>
      </c>
    </row>
    <row r="1589" spans="1:9">
      <c r="A1589" s="1">
        <v>44323</v>
      </c>
      <c r="B1589">
        <v>19315</v>
      </c>
      <c r="C1589">
        <v>34128</v>
      </c>
      <c r="D1589">
        <v>20661</v>
      </c>
      <c r="E1589">
        <v>9790</v>
      </c>
      <c r="F1589">
        <v>85</v>
      </c>
      <c r="G1589" t="s">
        <v>83</v>
      </c>
      <c r="H1589" t="str" cm="1">
        <f t="array" ref="H1589">_xlfn.IFS(Grammys[[#This Row],[date]] &gt;= DATE(2022,2,1),"Grammys",TRUE,"Grammys TRA")</f>
        <v>Grammys TRA</v>
      </c>
      <c r="I1589">
        <f>_xlfn.XLOOKUP(Grammys[[#This Row],[date]],mobile_visits[date],mobile_visits[mobile_visitors],0)</f>
        <v>0</v>
      </c>
    </row>
    <row r="1590" spans="1:9">
      <c r="A1590" s="1">
        <v>44324</v>
      </c>
      <c r="B1590">
        <v>18516</v>
      </c>
      <c r="C1590">
        <v>31694</v>
      </c>
      <c r="D1590">
        <v>19520</v>
      </c>
      <c r="E1590">
        <v>9138</v>
      </c>
      <c r="F1590">
        <v>84</v>
      </c>
      <c r="G1590" t="s">
        <v>83</v>
      </c>
      <c r="H1590" t="str" cm="1">
        <f t="array" ref="H1590">_xlfn.IFS(Grammys[[#This Row],[date]] &gt;= DATE(2022,2,1),"Grammys",TRUE,"Grammys TRA")</f>
        <v>Grammys TRA</v>
      </c>
      <c r="I1590">
        <f>_xlfn.XLOOKUP(Grammys[[#This Row],[date]],mobile_visits[date],mobile_visits[mobile_visitors],0)</f>
        <v>0</v>
      </c>
    </row>
    <row r="1591" spans="1:9">
      <c r="A1591" s="1">
        <v>44325</v>
      </c>
      <c r="B1591">
        <v>20668</v>
      </c>
      <c r="C1591">
        <v>35942</v>
      </c>
      <c r="D1591">
        <v>22195</v>
      </c>
      <c r="E1591">
        <v>10308</v>
      </c>
      <c r="F1591">
        <v>86</v>
      </c>
      <c r="G1591" t="s">
        <v>83</v>
      </c>
      <c r="H1591" t="str" cm="1">
        <f t="array" ref="H1591">_xlfn.IFS(Grammys[[#This Row],[date]] &gt;= DATE(2022,2,1),"Grammys",TRUE,"Grammys TRA")</f>
        <v>Grammys TRA</v>
      </c>
      <c r="I1591">
        <f>_xlfn.XLOOKUP(Grammys[[#This Row],[date]],mobile_visits[date],mobile_visits[mobile_visitors],0)</f>
        <v>0</v>
      </c>
    </row>
    <row r="1592" spans="1:9">
      <c r="A1592" s="1">
        <v>44326</v>
      </c>
      <c r="B1592">
        <v>22768</v>
      </c>
      <c r="C1592">
        <v>40232</v>
      </c>
      <c r="D1592">
        <v>24365</v>
      </c>
      <c r="E1592">
        <v>10909</v>
      </c>
      <c r="F1592">
        <v>91</v>
      </c>
      <c r="G1592" t="s">
        <v>83</v>
      </c>
      <c r="H1592" t="str" cm="1">
        <f t="array" ref="H1592">_xlfn.IFS(Grammys[[#This Row],[date]] &gt;= DATE(2022,2,1),"Grammys",TRUE,"Grammys TRA")</f>
        <v>Grammys TRA</v>
      </c>
      <c r="I1592">
        <f>_xlfn.XLOOKUP(Grammys[[#This Row],[date]],mobile_visits[date],mobile_visits[mobile_visitors],0)</f>
        <v>0</v>
      </c>
    </row>
    <row r="1593" spans="1:9">
      <c r="A1593" s="1">
        <v>44327</v>
      </c>
      <c r="B1593">
        <v>23819</v>
      </c>
      <c r="C1593">
        <v>41665</v>
      </c>
      <c r="D1593">
        <v>25206</v>
      </c>
      <c r="E1593">
        <v>11631</v>
      </c>
      <c r="F1593">
        <v>87</v>
      </c>
      <c r="G1593" t="s">
        <v>83</v>
      </c>
      <c r="H1593" t="str" cm="1">
        <f t="array" ref="H1593">_xlfn.IFS(Grammys[[#This Row],[date]] &gt;= DATE(2022,2,1),"Grammys",TRUE,"Grammys TRA")</f>
        <v>Grammys TRA</v>
      </c>
      <c r="I1593">
        <f>_xlfn.XLOOKUP(Grammys[[#This Row],[date]],mobile_visits[date],mobile_visits[mobile_visitors],0)</f>
        <v>0</v>
      </c>
    </row>
    <row r="1594" spans="1:9">
      <c r="A1594" s="1">
        <v>44328</v>
      </c>
      <c r="B1594">
        <v>20173</v>
      </c>
      <c r="C1594">
        <v>36872</v>
      </c>
      <c r="D1594">
        <v>21761</v>
      </c>
      <c r="E1594">
        <v>10524</v>
      </c>
      <c r="F1594">
        <v>87</v>
      </c>
      <c r="G1594" t="s">
        <v>83</v>
      </c>
      <c r="H1594" t="str" cm="1">
        <f t="array" ref="H1594">_xlfn.IFS(Grammys[[#This Row],[date]] &gt;= DATE(2022,2,1),"Grammys",TRUE,"Grammys TRA")</f>
        <v>Grammys TRA</v>
      </c>
      <c r="I1594">
        <f>_xlfn.XLOOKUP(Grammys[[#This Row],[date]],mobile_visits[date],mobile_visits[mobile_visitors],0)</f>
        <v>0</v>
      </c>
    </row>
    <row r="1595" spans="1:9">
      <c r="A1595" s="1">
        <v>44329</v>
      </c>
      <c r="B1595">
        <v>18788</v>
      </c>
      <c r="C1595">
        <v>33973</v>
      </c>
      <c r="D1595">
        <v>20233</v>
      </c>
      <c r="E1595">
        <v>9872</v>
      </c>
      <c r="F1595">
        <v>93</v>
      </c>
      <c r="G1595" t="s">
        <v>83</v>
      </c>
      <c r="H1595" t="str" cm="1">
        <f t="array" ref="H1595">_xlfn.IFS(Grammys[[#This Row],[date]] &gt;= DATE(2022,2,1),"Grammys",TRUE,"Grammys TRA")</f>
        <v>Grammys TRA</v>
      </c>
      <c r="I1595">
        <f>_xlfn.XLOOKUP(Grammys[[#This Row],[date]],mobile_visits[date],mobile_visits[mobile_visitors],0)</f>
        <v>0</v>
      </c>
    </row>
    <row r="1596" spans="1:9">
      <c r="A1596" s="1">
        <v>44330</v>
      </c>
      <c r="B1596">
        <v>18778</v>
      </c>
      <c r="C1596">
        <v>33005</v>
      </c>
      <c r="D1596">
        <v>20082</v>
      </c>
      <c r="E1596">
        <v>9849</v>
      </c>
      <c r="F1596">
        <v>87</v>
      </c>
      <c r="G1596" t="s">
        <v>83</v>
      </c>
      <c r="H1596" t="str" cm="1">
        <f t="array" ref="H1596">_xlfn.IFS(Grammys[[#This Row],[date]] &gt;= DATE(2022,2,1),"Grammys",TRUE,"Grammys TRA")</f>
        <v>Grammys TRA</v>
      </c>
      <c r="I1596">
        <f>_xlfn.XLOOKUP(Grammys[[#This Row],[date]],mobile_visits[date],mobile_visits[mobile_visitors],0)</f>
        <v>0</v>
      </c>
    </row>
    <row r="1597" spans="1:9">
      <c r="A1597" s="1">
        <v>44331</v>
      </c>
      <c r="B1597">
        <v>16338</v>
      </c>
      <c r="C1597">
        <v>27774</v>
      </c>
      <c r="D1597">
        <v>17358</v>
      </c>
      <c r="E1597">
        <v>8320</v>
      </c>
      <c r="F1597">
        <v>80</v>
      </c>
      <c r="G1597" t="s">
        <v>83</v>
      </c>
      <c r="H1597" t="str" cm="1">
        <f t="array" ref="H1597">_xlfn.IFS(Grammys[[#This Row],[date]] &gt;= DATE(2022,2,1),"Grammys",TRUE,"Grammys TRA")</f>
        <v>Grammys TRA</v>
      </c>
      <c r="I1597">
        <f>_xlfn.XLOOKUP(Grammys[[#This Row],[date]],mobile_visits[date],mobile_visits[mobile_visitors],0)</f>
        <v>0</v>
      </c>
    </row>
    <row r="1598" spans="1:9">
      <c r="A1598" s="1">
        <v>44332</v>
      </c>
      <c r="B1598">
        <v>16910</v>
      </c>
      <c r="C1598">
        <v>29617</v>
      </c>
      <c r="D1598">
        <v>17988</v>
      </c>
      <c r="E1598">
        <v>8699</v>
      </c>
      <c r="F1598">
        <v>85</v>
      </c>
      <c r="G1598" t="s">
        <v>83</v>
      </c>
      <c r="H1598" t="str" cm="1">
        <f t="array" ref="H1598">_xlfn.IFS(Grammys[[#This Row],[date]] &gt;= DATE(2022,2,1),"Grammys",TRUE,"Grammys TRA")</f>
        <v>Grammys TRA</v>
      </c>
      <c r="I1598">
        <f>_xlfn.XLOOKUP(Grammys[[#This Row],[date]],mobile_visits[date],mobile_visits[mobile_visitors],0)</f>
        <v>0</v>
      </c>
    </row>
    <row r="1599" spans="1:9">
      <c r="A1599" s="1">
        <v>44333</v>
      </c>
      <c r="B1599">
        <v>16762</v>
      </c>
      <c r="C1599">
        <v>31251</v>
      </c>
      <c r="D1599">
        <v>18179</v>
      </c>
      <c r="E1599">
        <v>9048</v>
      </c>
      <c r="F1599">
        <v>91</v>
      </c>
      <c r="G1599" t="s">
        <v>83</v>
      </c>
      <c r="H1599" t="str" cm="1">
        <f t="array" ref="H1599">_xlfn.IFS(Grammys[[#This Row],[date]] &gt;= DATE(2022,2,1),"Grammys",TRUE,"Grammys TRA")</f>
        <v>Grammys TRA</v>
      </c>
      <c r="I1599">
        <f>_xlfn.XLOOKUP(Grammys[[#This Row],[date]],mobile_visits[date],mobile_visits[mobile_visitors],0)</f>
        <v>0</v>
      </c>
    </row>
    <row r="1600" spans="1:9">
      <c r="A1600" s="1">
        <v>44334</v>
      </c>
      <c r="B1600">
        <v>18661</v>
      </c>
      <c r="C1600">
        <v>33123</v>
      </c>
      <c r="D1600">
        <v>19866</v>
      </c>
      <c r="E1600">
        <v>9508</v>
      </c>
      <c r="F1600">
        <v>95</v>
      </c>
      <c r="G1600" t="s">
        <v>83</v>
      </c>
      <c r="H1600" t="str" cm="1">
        <f t="array" ref="H1600">_xlfn.IFS(Grammys[[#This Row],[date]] &gt;= DATE(2022,2,1),"Grammys",TRUE,"Grammys TRA")</f>
        <v>Grammys TRA</v>
      </c>
      <c r="I1600">
        <f>_xlfn.XLOOKUP(Grammys[[#This Row],[date]],mobile_visits[date],mobile_visits[mobile_visitors],0)</f>
        <v>0</v>
      </c>
    </row>
    <row r="1601" spans="1:9">
      <c r="A1601" s="1">
        <v>44335</v>
      </c>
      <c r="B1601">
        <v>17979</v>
      </c>
      <c r="C1601">
        <v>31983</v>
      </c>
      <c r="D1601">
        <v>19099</v>
      </c>
      <c r="E1601">
        <v>9573</v>
      </c>
      <c r="F1601">
        <v>90</v>
      </c>
      <c r="G1601" t="s">
        <v>83</v>
      </c>
      <c r="H1601" t="str" cm="1">
        <f t="array" ref="H1601">_xlfn.IFS(Grammys[[#This Row],[date]] &gt;= DATE(2022,2,1),"Grammys",TRUE,"Grammys TRA")</f>
        <v>Grammys TRA</v>
      </c>
      <c r="I1601">
        <f>_xlfn.XLOOKUP(Grammys[[#This Row],[date]],mobile_visits[date],mobile_visits[mobile_visitors],0)</f>
        <v>0</v>
      </c>
    </row>
    <row r="1602" spans="1:9">
      <c r="A1602" s="1">
        <v>44336</v>
      </c>
      <c r="B1602">
        <v>18174</v>
      </c>
      <c r="C1602">
        <v>32219</v>
      </c>
      <c r="D1602">
        <v>19518</v>
      </c>
      <c r="E1602">
        <v>9902</v>
      </c>
      <c r="F1602">
        <v>84</v>
      </c>
      <c r="G1602" t="s">
        <v>83</v>
      </c>
      <c r="H1602" t="str" cm="1">
        <f t="array" ref="H1602">_xlfn.IFS(Grammys[[#This Row],[date]] &gt;= DATE(2022,2,1),"Grammys",TRUE,"Grammys TRA")</f>
        <v>Grammys TRA</v>
      </c>
      <c r="I1602">
        <f>_xlfn.XLOOKUP(Grammys[[#This Row],[date]],mobile_visits[date],mobile_visits[mobile_visitors],0)</f>
        <v>0</v>
      </c>
    </row>
    <row r="1603" spans="1:9">
      <c r="A1603" s="1">
        <v>44337</v>
      </c>
      <c r="B1603">
        <v>18530</v>
      </c>
      <c r="C1603">
        <v>32337</v>
      </c>
      <c r="D1603">
        <v>19690</v>
      </c>
      <c r="E1603">
        <v>9676</v>
      </c>
      <c r="F1603">
        <v>82</v>
      </c>
      <c r="G1603" t="s">
        <v>83</v>
      </c>
      <c r="H1603" t="str" cm="1">
        <f t="array" ref="H1603">_xlfn.IFS(Grammys[[#This Row],[date]] &gt;= DATE(2022,2,1),"Grammys",TRUE,"Grammys TRA")</f>
        <v>Grammys TRA</v>
      </c>
      <c r="I1603">
        <f>_xlfn.XLOOKUP(Grammys[[#This Row],[date]],mobile_visits[date],mobile_visits[mobile_visitors],0)</f>
        <v>0</v>
      </c>
    </row>
    <row r="1604" spans="1:9">
      <c r="A1604" s="1">
        <v>44338</v>
      </c>
      <c r="B1604">
        <v>16691</v>
      </c>
      <c r="C1604">
        <v>28378</v>
      </c>
      <c r="D1604">
        <v>17546</v>
      </c>
      <c r="E1604">
        <v>8573</v>
      </c>
      <c r="F1604">
        <v>82</v>
      </c>
      <c r="G1604" t="s">
        <v>83</v>
      </c>
      <c r="H1604" t="str" cm="1">
        <f t="array" ref="H1604">_xlfn.IFS(Grammys[[#This Row],[date]] &gt;= DATE(2022,2,1),"Grammys",TRUE,"Grammys TRA")</f>
        <v>Grammys TRA</v>
      </c>
      <c r="I1604">
        <f>_xlfn.XLOOKUP(Grammys[[#This Row],[date]],mobile_visits[date],mobile_visits[mobile_visitors],0)</f>
        <v>0</v>
      </c>
    </row>
    <row r="1605" spans="1:9">
      <c r="A1605" s="1">
        <v>44339</v>
      </c>
      <c r="B1605">
        <v>19341</v>
      </c>
      <c r="C1605">
        <v>33611</v>
      </c>
      <c r="D1605">
        <v>20525</v>
      </c>
      <c r="E1605">
        <v>10146</v>
      </c>
      <c r="F1605">
        <v>82</v>
      </c>
      <c r="G1605" t="s">
        <v>83</v>
      </c>
      <c r="H1605" t="str" cm="1">
        <f t="array" ref="H1605">_xlfn.IFS(Grammys[[#This Row],[date]] &gt;= DATE(2022,2,1),"Grammys",TRUE,"Grammys TRA")</f>
        <v>Grammys TRA</v>
      </c>
      <c r="I1605">
        <f>_xlfn.XLOOKUP(Grammys[[#This Row],[date]],mobile_visits[date],mobile_visits[mobile_visitors],0)</f>
        <v>0</v>
      </c>
    </row>
    <row r="1606" spans="1:9">
      <c r="A1606" s="1">
        <v>44340</v>
      </c>
      <c r="B1606">
        <v>19598</v>
      </c>
      <c r="C1606">
        <v>34816</v>
      </c>
      <c r="D1606">
        <v>20857</v>
      </c>
      <c r="E1606">
        <v>10702</v>
      </c>
      <c r="F1606">
        <v>79</v>
      </c>
      <c r="G1606" t="s">
        <v>83</v>
      </c>
      <c r="H1606" t="str" cm="1">
        <f t="array" ref="H1606">_xlfn.IFS(Grammys[[#This Row],[date]] &gt;= DATE(2022,2,1),"Grammys",TRUE,"Grammys TRA")</f>
        <v>Grammys TRA</v>
      </c>
      <c r="I1606">
        <f>_xlfn.XLOOKUP(Grammys[[#This Row],[date]],mobile_visits[date],mobile_visits[mobile_visitors],0)</f>
        <v>0</v>
      </c>
    </row>
    <row r="1607" spans="1:9">
      <c r="A1607" s="1">
        <v>44341</v>
      </c>
      <c r="B1607">
        <v>16854</v>
      </c>
      <c r="C1607">
        <v>30591</v>
      </c>
      <c r="D1607">
        <v>18145</v>
      </c>
      <c r="E1607">
        <v>9173</v>
      </c>
      <c r="F1607">
        <v>87</v>
      </c>
      <c r="G1607" t="s">
        <v>83</v>
      </c>
      <c r="H1607" t="str" cm="1">
        <f t="array" ref="H1607">_xlfn.IFS(Grammys[[#This Row],[date]] &gt;= DATE(2022,2,1),"Grammys",TRUE,"Grammys TRA")</f>
        <v>Grammys TRA</v>
      </c>
      <c r="I1607">
        <f>_xlfn.XLOOKUP(Grammys[[#This Row],[date]],mobile_visits[date],mobile_visits[mobile_visitors],0)</f>
        <v>0</v>
      </c>
    </row>
    <row r="1608" spans="1:9">
      <c r="A1608" s="1">
        <v>44342</v>
      </c>
      <c r="B1608">
        <v>38717</v>
      </c>
      <c r="C1608">
        <v>65080</v>
      </c>
      <c r="D1608">
        <v>41699</v>
      </c>
      <c r="E1608">
        <v>19178</v>
      </c>
      <c r="F1608">
        <v>72</v>
      </c>
      <c r="G1608" t="s">
        <v>83</v>
      </c>
      <c r="H1608" t="str" cm="1">
        <f t="array" ref="H1608">_xlfn.IFS(Grammys[[#This Row],[date]] &gt;= DATE(2022,2,1),"Grammys",TRUE,"Grammys TRA")</f>
        <v>Grammys TRA</v>
      </c>
      <c r="I1608">
        <f>_xlfn.XLOOKUP(Grammys[[#This Row],[date]],mobile_visits[date],mobile_visits[mobile_visitors],0)</f>
        <v>0</v>
      </c>
    </row>
    <row r="1609" spans="1:9">
      <c r="A1609" s="1">
        <v>44343</v>
      </c>
      <c r="B1609">
        <v>24019</v>
      </c>
      <c r="C1609">
        <v>42916</v>
      </c>
      <c r="D1609">
        <v>25833</v>
      </c>
      <c r="E1609">
        <v>12845</v>
      </c>
      <c r="F1609">
        <v>80</v>
      </c>
      <c r="G1609" t="s">
        <v>83</v>
      </c>
      <c r="H1609" t="str" cm="1">
        <f t="array" ref="H1609">_xlfn.IFS(Grammys[[#This Row],[date]] &gt;= DATE(2022,2,1),"Grammys",TRUE,"Grammys TRA")</f>
        <v>Grammys TRA</v>
      </c>
      <c r="I1609">
        <f>_xlfn.XLOOKUP(Grammys[[#This Row],[date]],mobile_visits[date],mobile_visits[mobile_visitors],0)</f>
        <v>0</v>
      </c>
    </row>
    <row r="1610" spans="1:9">
      <c r="A1610" s="1">
        <v>44344</v>
      </c>
      <c r="B1610">
        <v>20149</v>
      </c>
      <c r="C1610">
        <v>35235</v>
      </c>
      <c r="D1610">
        <v>21362</v>
      </c>
      <c r="E1610">
        <v>10718</v>
      </c>
      <c r="F1610">
        <v>84</v>
      </c>
      <c r="G1610" t="s">
        <v>83</v>
      </c>
      <c r="H1610" t="str" cm="1">
        <f t="array" ref="H1610">_xlfn.IFS(Grammys[[#This Row],[date]] &gt;= DATE(2022,2,1),"Grammys",TRUE,"Grammys TRA")</f>
        <v>Grammys TRA</v>
      </c>
      <c r="I1610">
        <f>_xlfn.XLOOKUP(Grammys[[#This Row],[date]],mobile_visits[date],mobile_visits[mobile_visitors],0)</f>
        <v>0</v>
      </c>
    </row>
    <row r="1611" spans="1:9">
      <c r="A1611" s="1">
        <v>44345</v>
      </c>
      <c r="B1611">
        <v>16924</v>
      </c>
      <c r="C1611">
        <v>29265</v>
      </c>
      <c r="D1611">
        <v>17905</v>
      </c>
      <c r="E1611">
        <v>9288</v>
      </c>
      <c r="F1611">
        <v>83</v>
      </c>
      <c r="G1611" t="s">
        <v>83</v>
      </c>
      <c r="H1611" t="str" cm="1">
        <f t="array" ref="H1611">_xlfn.IFS(Grammys[[#This Row],[date]] &gt;= DATE(2022,2,1),"Grammys",TRUE,"Grammys TRA")</f>
        <v>Grammys TRA</v>
      </c>
      <c r="I1611">
        <f>_xlfn.XLOOKUP(Grammys[[#This Row],[date]],mobile_visits[date],mobile_visits[mobile_visitors],0)</f>
        <v>0</v>
      </c>
    </row>
    <row r="1612" spans="1:9">
      <c r="A1612" s="1">
        <v>44346</v>
      </c>
      <c r="B1612">
        <v>34487</v>
      </c>
      <c r="C1612">
        <v>58234</v>
      </c>
      <c r="D1612">
        <v>36626</v>
      </c>
      <c r="E1612">
        <v>13849</v>
      </c>
      <c r="F1612">
        <v>90</v>
      </c>
      <c r="G1612" t="s">
        <v>83</v>
      </c>
      <c r="H1612" t="str" cm="1">
        <f t="array" ref="H1612">_xlfn.IFS(Grammys[[#This Row],[date]] &gt;= DATE(2022,2,1),"Grammys",TRUE,"Grammys TRA")</f>
        <v>Grammys TRA</v>
      </c>
      <c r="I1612">
        <f>_xlfn.XLOOKUP(Grammys[[#This Row],[date]],mobile_visits[date],mobile_visits[mobile_visitors],0)</f>
        <v>0</v>
      </c>
    </row>
    <row r="1613" spans="1:9">
      <c r="A1613" s="1">
        <v>44347</v>
      </c>
      <c r="B1613">
        <v>24687</v>
      </c>
      <c r="C1613">
        <v>42693</v>
      </c>
      <c r="D1613">
        <v>25674</v>
      </c>
      <c r="E1613">
        <v>10771</v>
      </c>
      <c r="F1613">
        <v>89</v>
      </c>
      <c r="G1613" t="s">
        <v>83</v>
      </c>
      <c r="H1613" t="str" cm="1">
        <f t="array" ref="H1613">_xlfn.IFS(Grammys[[#This Row],[date]] &gt;= DATE(2022,2,1),"Grammys",TRUE,"Grammys TRA")</f>
        <v>Grammys TRA</v>
      </c>
      <c r="I1613">
        <f>_xlfn.XLOOKUP(Grammys[[#This Row],[date]],mobile_visits[date],mobile_visits[mobile_visitors],0)</f>
        <v>0</v>
      </c>
    </row>
    <row r="1614" spans="1:9">
      <c r="A1614" s="1">
        <v>44348</v>
      </c>
      <c r="B1614">
        <v>25628</v>
      </c>
      <c r="C1614">
        <v>46403</v>
      </c>
      <c r="D1614">
        <v>27420</v>
      </c>
      <c r="E1614">
        <v>11160</v>
      </c>
      <c r="F1614">
        <v>84</v>
      </c>
      <c r="G1614" t="s">
        <v>83</v>
      </c>
      <c r="H1614" t="str" cm="1">
        <f t="array" ref="H1614">_xlfn.IFS(Grammys[[#This Row],[date]] &gt;= DATE(2022,2,1),"Grammys",TRUE,"Grammys TRA")</f>
        <v>Grammys TRA</v>
      </c>
      <c r="I1614">
        <f>_xlfn.XLOOKUP(Grammys[[#This Row],[date]],mobile_visits[date],mobile_visits[mobile_visitors],0)</f>
        <v>0</v>
      </c>
    </row>
    <row r="1615" spans="1:9">
      <c r="A1615" s="1">
        <v>44349</v>
      </c>
      <c r="B1615">
        <v>25640</v>
      </c>
      <c r="C1615">
        <v>49256</v>
      </c>
      <c r="D1615">
        <v>28061</v>
      </c>
      <c r="E1615">
        <v>11144</v>
      </c>
      <c r="F1615">
        <v>76</v>
      </c>
      <c r="G1615" t="s">
        <v>83</v>
      </c>
      <c r="H1615" t="str" cm="1">
        <f t="array" ref="H1615">_xlfn.IFS(Grammys[[#This Row],[date]] &gt;= DATE(2022,2,1),"Grammys",TRUE,"Grammys TRA")</f>
        <v>Grammys TRA</v>
      </c>
      <c r="I1615">
        <f>_xlfn.XLOOKUP(Grammys[[#This Row],[date]],mobile_visits[date],mobile_visits[mobile_visitors],0)</f>
        <v>0</v>
      </c>
    </row>
    <row r="1616" spans="1:9">
      <c r="A1616" s="1">
        <v>44350</v>
      </c>
      <c r="B1616">
        <v>20496</v>
      </c>
      <c r="C1616">
        <v>38476</v>
      </c>
      <c r="D1616">
        <v>21876</v>
      </c>
      <c r="E1616">
        <v>9326</v>
      </c>
      <c r="F1616">
        <v>79</v>
      </c>
      <c r="G1616" t="s">
        <v>83</v>
      </c>
      <c r="H1616" t="str" cm="1">
        <f t="array" ref="H1616">_xlfn.IFS(Grammys[[#This Row],[date]] &gt;= DATE(2022,2,1),"Grammys",TRUE,"Grammys TRA")</f>
        <v>Grammys TRA</v>
      </c>
      <c r="I1616">
        <f>_xlfn.XLOOKUP(Grammys[[#This Row],[date]],mobile_visits[date],mobile_visits[mobile_visitors],0)</f>
        <v>0</v>
      </c>
    </row>
    <row r="1617" spans="1:9">
      <c r="A1617" s="1">
        <v>44351</v>
      </c>
      <c r="B1617">
        <v>19591</v>
      </c>
      <c r="C1617">
        <v>35236</v>
      </c>
      <c r="D1617">
        <v>20845</v>
      </c>
      <c r="E1617">
        <v>9447</v>
      </c>
      <c r="F1617">
        <v>82</v>
      </c>
      <c r="G1617" t="s">
        <v>83</v>
      </c>
      <c r="H1617" t="str" cm="1">
        <f t="array" ref="H1617">_xlfn.IFS(Grammys[[#This Row],[date]] &gt;= DATE(2022,2,1),"Grammys",TRUE,"Grammys TRA")</f>
        <v>Grammys TRA</v>
      </c>
      <c r="I1617">
        <f>_xlfn.XLOOKUP(Grammys[[#This Row],[date]],mobile_visits[date],mobile_visits[mobile_visitors],0)</f>
        <v>0</v>
      </c>
    </row>
    <row r="1618" spans="1:9">
      <c r="A1618" s="1">
        <v>44352</v>
      </c>
      <c r="B1618">
        <v>19252</v>
      </c>
      <c r="C1618">
        <v>32828</v>
      </c>
      <c r="D1618">
        <v>20618</v>
      </c>
      <c r="E1618">
        <v>10489</v>
      </c>
      <c r="F1618">
        <v>77</v>
      </c>
      <c r="G1618" t="s">
        <v>83</v>
      </c>
      <c r="H1618" t="str" cm="1">
        <f t="array" ref="H1618">_xlfn.IFS(Grammys[[#This Row],[date]] &gt;= DATE(2022,2,1),"Grammys",TRUE,"Grammys TRA")</f>
        <v>Grammys TRA</v>
      </c>
      <c r="I1618">
        <f>_xlfn.XLOOKUP(Grammys[[#This Row],[date]],mobile_visits[date],mobile_visits[mobile_visitors],0)</f>
        <v>0</v>
      </c>
    </row>
    <row r="1619" spans="1:9">
      <c r="A1619" s="1">
        <v>44353</v>
      </c>
      <c r="B1619">
        <v>17668</v>
      </c>
      <c r="C1619">
        <v>30073</v>
      </c>
      <c r="D1619">
        <v>19000</v>
      </c>
      <c r="E1619">
        <v>9265</v>
      </c>
      <c r="F1619">
        <v>91</v>
      </c>
      <c r="G1619" t="s">
        <v>83</v>
      </c>
      <c r="H1619" t="str" cm="1">
        <f t="array" ref="H1619">_xlfn.IFS(Grammys[[#This Row],[date]] &gt;= DATE(2022,2,1),"Grammys",TRUE,"Grammys TRA")</f>
        <v>Grammys TRA</v>
      </c>
      <c r="I1619">
        <f>_xlfn.XLOOKUP(Grammys[[#This Row],[date]],mobile_visits[date],mobile_visits[mobile_visitors],0)</f>
        <v>0</v>
      </c>
    </row>
    <row r="1620" spans="1:9">
      <c r="A1620" s="1">
        <v>44354</v>
      </c>
      <c r="B1620">
        <v>18146</v>
      </c>
      <c r="C1620">
        <v>32246</v>
      </c>
      <c r="D1620">
        <v>19561</v>
      </c>
      <c r="E1620">
        <v>9785</v>
      </c>
      <c r="F1620">
        <v>89</v>
      </c>
      <c r="G1620" t="s">
        <v>83</v>
      </c>
      <c r="H1620" t="str" cm="1">
        <f t="array" ref="H1620">_xlfn.IFS(Grammys[[#This Row],[date]] &gt;= DATE(2022,2,1),"Grammys",TRUE,"Grammys TRA")</f>
        <v>Grammys TRA</v>
      </c>
      <c r="I1620">
        <f>_xlfn.XLOOKUP(Grammys[[#This Row],[date]],mobile_visits[date],mobile_visits[mobile_visitors],0)</f>
        <v>0</v>
      </c>
    </row>
    <row r="1621" spans="1:9">
      <c r="A1621" s="1">
        <v>44355</v>
      </c>
      <c r="B1621">
        <v>23362</v>
      </c>
      <c r="C1621">
        <v>41135</v>
      </c>
      <c r="D1621">
        <v>25255</v>
      </c>
      <c r="E1621">
        <v>10956</v>
      </c>
      <c r="F1621">
        <v>129</v>
      </c>
      <c r="G1621" t="s">
        <v>83</v>
      </c>
      <c r="H1621" t="str" cm="1">
        <f t="array" ref="H1621">_xlfn.IFS(Grammys[[#This Row],[date]] &gt;= DATE(2022,2,1),"Grammys",TRUE,"Grammys TRA")</f>
        <v>Grammys TRA</v>
      </c>
      <c r="I1621">
        <f>_xlfn.XLOOKUP(Grammys[[#This Row],[date]],mobile_visits[date],mobile_visits[mobile_visitors],0)</f>
        <v>0</v>
      </c>
    </row>
    <row r="1622" spans="1:9">
      <c r="A1622" s="1">
        <v>44356</v>
      </c>
      <c r="B1622">
        <v>19686</v>
      </c>
      <c r="C1622">
        <v>34375</v>
      </c>
      <c r="D1622">
        <v>21182</v>
      </c>
      <c r="E1622">
        <v>10045</v>
      </c>
      <c r="F1622">
        <v>102</v>
      </c>
      <c r="G1622" t="s">
        <v>83</v>
      </c>
      <c r="H1622" t="str" cm="1">
        <f t="array" ref="H1622">_xlfn.IFS(Grammys[[#This Row],[date]] &gt;= DATE(2022,2,1),"Grammys",TRUE,"Grammys TRA")</f>
        <v>Grammys TRA</v>
      </c>
      <c r="I1622">
        <f>_xlfn.XLOOKUP(Grammys[[#This Row],[date]],mobile_visits[date],mobile_visits[mobile_visitors],0)</f>
        <v>0</v>
      </c>
    </row>
    <row r="1623" spans="1:9">
      <c r="A1623" s="1">
        <v>44357</v>
      </c>
      <c r="B1623">
        <v>19228</v>
      </c>
      <c r="C1623">
        <v>33348</v>
      </c>
      <c r="D1623">
        <v>20648</v>
      </c>
      <c r="E1623">
        <v>10097</v>
      </c>
      <c r="F1623">
        <v>95</v>
      </c>
      <c r="G1623" t="s">
        <v>83</v>
      </c>
      <c r="H1623" t="str" cm="1">
        <f t="array" ref="H1623">_xlfn.IFS(Grammys[[#This Row],[date]] &gt;= DATE(2022,2,1),"Grammys",TRUE,"Grammys TRA")</f>
        <v>Grammys TRA</v>
      </c>
      <c r="I1623">
        <f>_xlfn.XLOOKUP(Grammys[[#This Row],[date]],mobile_visits[date],mobile_visits[mobile_visitors],0)</f>
        <v>0</v>
      </c>
    </row>
    <row r="1624" spans="1:9">
      <c r="A1624" s="1">
        <v>44358</v>
      </c>
      <c r="B1624">
        <v>16768</v>
      </c>
      <c r="C1624">
        <v>29449</v>
      </c>
      <c r="D1624">
        <v>17886</v>
      </c>
      <c r="E1624">
        <v>8815</v>
      </c>
      <c r="F1624">
        <v>89</v>
      </c>
      <c r="G1624" t="s">
        <v>83</v>
      </c>
      <c r="H1624" t="str" cm="1">
        <f t="array" ref="H1624">_xlfn.IFS(Grammys[[#This Row],[date]] &gt;= DATE(2022,2,1),"Grammys",TRUE,"Grammys TRA")</f>
        <v>Grammys TRA</v>
      </c>
      <c r="I1624">
        <f>_xlfn.XLOOKUP(Grammys[[#This Row],[date]],mobile_visits[date],mobile_visits[mobile_visitors],0)</f>
        <v>0</v>
      </c>
    </row>
    <row r="1625" spans="1:9">
      <c r="A1625" s="1">
        <v>44359</v>
      </c>
      <c r="B1625">
        <v>14471</v>
      </c>
      <c r="C1625">
        <v>25328</v>
      </c>
      <c r="D1625">
        <v>15560</v>
      </c>
      <c r="E1625">
        <v>7675</v>
      </c>
      <c r="F1625">
        <v>86</v>
      </c>
      <c r="G1625" t="s">
        <v>83</v>
      </c>
      <c r="H1625" t="str" cm="1">
        <f t="array" ref="H1625">_xlfn.IFS(Grammys[[#This Row],[date]] &gt;= DATE(2022,2,1),"Grammys",TRUE,"Grammys TRA")</f>
        <v>Grammys TRA</v>
      </c>
      <c r="I1625">
        <f>_xlfn.XLOOKUP(Grammys[[#This Row],[date]],mobile_visits[date],mobile_visits[mobile_visitors],0)</f>
        <v>0</v>
      </c>
    </row>
    <row r="1626" spans="1:9">
      <c r="A1626" s="1">
        <v>44360</v>
      </c>
      <c r="B1626">
        <v>14403</v>
      </c>
      <c r="C1626">
        <v>25142</v>
      </c>
      <c r="D1626">
        <v>15408</v>
      </c>
      <c r="E1626">
        <v>7732</v>
      </c>
      <c r="F1626">
        <v>83</v>
      </c>
      <c r="G1626" t="s">
        <v>83</v>
      </c>
      <c r="H1626" t="str" cm="1">
        <f t="array" ref="H1626">_xlfn.IFS(Grammys[[#This Row],[date]] &gt;= DATE(2022,2,1),"Grammys",TRUE,"Grammys TRA")</f>
        <v>Grammys TRA</v>
      </c>
      <c r="I1626">
        <f>_xlfn.XLOOKUP(Grammys[[#This Row],[date]],mobile_visits[date],mobile_visits[mobile_visitors],0)</f>
        <v>0</v>
      </c>
    </row>
    <row r="1627" spans="1:9">
      <c r="A1627" s="1">
        <v>44361</v>
      </c>
      <c r="B1627">
        <v>14362</v>
      </c>
      <c r="C1627">
        <v>26251</v>
      </c>
      <c r="D1627">
        <v>15566</v>
      </c>
      <c r="E1627">
        <v>7967</v>
      </c>
      <c r="F1627">
        <v>90</v>
      </c>
      <c r="G1627" t="s">
        <v>83</v>
      </c>
      <c r="H1627" t="str" cm="1">
        <f t="array" ref="H1627">_xlfn.IFS(Grammys[[#This Row],[date]] &gt;= DATE(2022,2,1),"Grammys",TRUE,"Grammys TRA")</f>
        <v>Grammys TRA</v>
      </c>
      <c r="I1627">
        <f>_xlfn.XLOOKUP(Grammys[[#This Row],[date]],mobile_visits[date],mobile_visits[mobile_visitors],0)</f>
        <v>0</v>
      </c>
    </row>
    <row r="1628" spans="1:9">
      <c r="A1628" s="1">
        <v>44362</v>
      </c>
      <c r="B1628">
        <v>14553</v>
      </c>
      <c r="C1628">
        <v>26364</v>
      </c>
      <c r="D1628">
        <v>15693</v>
      </c>
      <c r="E1628">
        <v>8084</v>
      </c>
      <c r="F1628">
        <v>89</v>
      </c>
      <c r="G1628" t="s">
        <v>83</v>
      </c>
      <c r="H1628" t="str" cm="1">
        <f t="array" ref="H1628">_xlfn.IFS(Grammys[[#This Row],[date]] &gt;= DATE(2022,2,1),"Grammys",TRUE,"Grammys TRA")</f>
        <v>Grammys TRA</v>
      </c>
      <c r="I1628">
        <f>_xlfn.XLOOKUP(Grammys[[#This Row],[date]],mobile_visits[date],mobile_visits[mobile_visitors],0)</f>
        <v>0</v>
      </c>
    </row>
    <row r="1629" spans="1:9">
      <c r="A1629" s="1">
        <v>44363</v>
      </c>
      <c r="B1629">
        <v>14255</v>
      </c>
      <c r="C1629">
        <v>25801</v>
      </c>
      <c r="D1629">
        <v>15423</v>
      </c>
      <c r="E1629">
        <v>7928</v>
      </c>
      <c r="F1629">
        <v>86</v>
      </c>
      <c r="G1629" t="s">
        <v>83</v>
      </c>
      <c r="H1629" t="str" cm="1">
        <f t="array" ref="H1629">_xlfn.IFS(Grammys[[#This Row],[date]] &gt;= DATE(2022,2,1),"Grammys",TRUE,"Grammys TRA")</f>
        <v>Grammys TRA</v>
      </c>
      <c r="I1629">
        <f>_xlfn.XLOOKUP(Grammys[[#This Row],[date]],mobile_visits[date],mobile_visits[mobile_visitors],0)</f>
        <v>0</v>
      </c>
    </row>
    <row r="1630" spans="1:9">
      <c r="A1630" s="1">
        <v>44364</v>
      </c>
      <c r="B1630">
        <v>14559</v>
      </c>
      <c r="C1630">
        <v>26380</v>
      </c>
      <c r="D1630">
        <v>15696</v>
      </c>
      <c r="E1630">
        <v>8178</v>
      </c>
      <c r="F1630">
        <v>88</v>
      </c>
      <c r="G1630" t="s">
        <v>83</v>
      </c>
      <c r="H1630" t="str" cm="1">
        <f t="array" ref="H1630">_xlfn.IFS(Grammys[[#This Row],[date]] &gt;= DATE(2022,2,1),"Grammys",TRUE,"Grammys TRA")</f>
        <v>Grammys TRA</v>
      </c>
      <c r="I1630">
        <f>_xlfn.XLOOKUP(Grammys[[#This Row],[date]],mobile_visits[date],mobile_visits[mobile_visitors],0)</f>
        <v>0</v>
      </c>
    </row>
    <row r="1631" spans="1:9">
      <c r="A1631" s="1">
        <v>44365</v>
      </c>
      <c r="B1631">
        <v>14286</v>
      </c>
      <c r="C1631">
        <v>25481</v>
      </c>
      <c r="D1631">
        <v>15272</v>
      </c>
      <c r="E1631">
        <v>7858</v>
      </c>
      <c r="F1631">
        <v>82</v>
      </c>
      <c r="G1631" t="s">
        <v>83</v>
      </c>
      <c r="H1631" t="str" cm="1">
        <f t="array" ref="H1631">_xlfn.IFS(Grammys[[#This Row],[date]] &gt;= DATE(2022,2,1),"Grammys",TRUE,"Grammys TRA")</f>
        <v>Grammys TRA</v>
      </c>
      <c r="I1631">
        <f>_xlfn.XLOOKUP(Grammys[[#This Row],[date]],mobile_visits[date],mobile_visits[mobile_visitors],0)</f>
        <v>0</v>
      </c>
    </row>
    <row r="1632" spans="1:9">
      <c r="A1632" s="1">
        <v>44366</v>
      </c>
      <c r="B1632">
        <v>14125</v>
      </c>
      <c r="C1632">
        <v>23833</v>
      </c>
      <c r="D1632">
        <v>14860</v>
      </c>
      <c r="E1632">
        <v>7344</v>
      </c>
      <c r="F1632">
        <v>85</v>
      </c>
      <c r="G1632" t="s">
        <v>83</v>
      </c>
      <c r="H1632" t="str" cm="1">
        <f t="array" ref="H1632">_xlfn.IFS(Grammys[[#This Row],[date]] &gt;= DATE(2022,2,1),"Grammys",TRUE,"Grammys TRA")</f>
        <v>Grammys TRA</v>
      </c>
      <c r="I1632">
        <f>_xlfn.XLOOKUP(Grammys[[#This Row],[date]],mobile_visits[date],mobile_visits[mobile_visitors],0)</f>
        <v>0</v>
      </c>
    </row>
    <row r="1633" spans="1:9">
      <c r="A1633" s="1">
        <v>44367</v>
      </c>
      <c r="B1633">
        <v>13136</v>
      </c>
      <c r="C1633">
        <v>23148</v>
      </c>
      <c r="D1633">
        <v>14049</v>
      </c>
      <c r="E1633">
        <v>7105</v>
      </c>
      <c r="F1633">
        <v>81</v>
      </c>
      <c r="G1633" t="s">
        <v>83</v>
      </c>
      <c r="H1633" t="str" cm="1">
        <f t="array" ref="H1633">_xlfn.IFS(Grammys[[#This Row],[date]] &gt;= DATE(2022,2,1),"Grammys",TRUE,"Grammys TRA")</f>
        <v>Grammys TRA</v>
      </c>
      <c r="I1633">
        <f>_xlfn.XLOOKUP(Grammys[[#This Row],[date]],mobile_visits[date],mobile_visits[mobile_visitors],0)</f>
        <v>0</v>
      </c>
    </row>
    <row r="1634" spans="1:9">
      <c r="A1634" s="1">
        <v>44368</v>
      </c>
      <c r="B1634">
        <v>14472</v>
      </c>
      <c r="C1634">
        <v>26057</v>
      </c>
      <c r="D1634">
        <v>15594</v>
      </c>
      <c r="E1634">
        <v>8109</v>
      </c>
      <c r="F1634">
        <v>82</v>
      </c>
      <c r="G1634" t="s">
        <v>83</v>
      </c>
      <c r="H1634" t="str" cm="1">
        <f t="array" ref="H1634">_xlfn.IFS(Grammys[[#This Row],[date]] &gt;= DATE(2022,2,1),"Grammys",TRUE,"Grammys TRA")</f>
        <v>Grammys TRA</v>
      </c>
      <c r="I1634">
        <f>_xlfn.XLOOKUP(Grammys[[#This Row],[date]],mobile_visits[date],mobile_visits[mobile_visitors],0)</f>
        <v>0</v>
      </c>
    </row>
    <row r="1635" spans="1:9">
      <c r="A1635" s="1">
        <v>44369</v>
      </c>
      <c r="B1635">
        <v>15193</v>
      </c>
      <c r="C1635">
        <v>26440</v>
      </c>
      <c r="D1635">
        <v>16282</v>
      </c>
      <c r="E1635">
        <v>8311</v>
      </c>
      <c r="F1635">
        <v>90</v>
      </c>
      <c r="G1635" t="s">
        <v>83</v>
      </c>
      <c r="H1635" t="str" cm="1">
        <f t="array" ref="H1635">_xlfn.IFS(Grammys[[#This Row],[date]] &gt;= DATE(2022,2,1),"Grammys",TRUE,"Grammys TRA")</f>
        <v>Grammys TRA</v>
      </c>
      <c r="I1635">
        <f>_xlfn.XLOOKUP(Grammys[[#This Row],[date]],mobile_visits[date],mobile_visits[mobile_visitors],0)</f>
        <v>0</v>
      </c>
    </row>
    <row r="1636" spans="1:9">
      <c r="A1636" s="1">
        <v>44370</v>
      </c>
      <c r="B1636">
        <v>18428</v>
      </c>
      <c r="C1636">
        <v>31614</v>
      </c>
      <c r="D1636">
        <v>19705</v>
      </c>
      <c r="E1636">
        <v>8988</v>
      </c>
      <c r="F1636">
        <v>94</v>
      </c>
      <c r="G1636" t="s">
        <v>83</v>
      </c>
      <c r="H1636" t="str" cm="1">
        <f t="array" ref="H1636">_xlfn.IFS(Grammys[[#This Row],[date]] &gt;= DATE(2022,2,1),"Grammys",TRUE,"Grammys TRA")</f>
        <v>Grammys TRA</v>
      </c>
      <c r="I1636">
        <f>_xlfn.XLOOKUP(Grammys[[#This Row],[date]],mobile_visits[date],mobile_visits[mobile_visitors],0)</f>
        <v>0</v>
      </c>
    </row>
    <row r="1637" spans="1:9">
      <c r="A1637" s="1">
        <v>44371</v>
      </c>
      <c r="B1637">
        <v>16562</v>
      </c>
      <c r="C1637">
        <v>28605</v>
      </c>
      <c r="D1637">
        <v>17871</v>
      </c>
      <c r="E1637">
        <v>8877</v>
      </c>
      <c r="F1637">
        <v>83</v>
      </c>
      <c r="G1637" t="s">
        <v>83</v>
      </c>
      <c r="H1637" t="str" cm="1">
        <f t="array" ref="H1637">_xlfn.IFS(Grammys[[#This Row],[date]] &gt;= DATE(2022,2,1),"Grammys",TRUE,"Grammys TRA")</f>
        <v>Grammys TRA</v>
      </c>
      <c r="I1637">
        <f>_xlfn.XLOOKUP(Grammys[[#This Row],[date]],mobile_visits[date],mobile_visits[mobile_visitors],0)</f>
        <v>0</v>
      </c>
    </row>
    <row r="1638" spans="1:9">
      <c r="A1638" s="1">
        <v>44372</v>
      </c>
      <c r="B1638">
        <v>14926</v>
      </c>
      <c r="C1638">
        <v>25275</v>
      </c>
      <c r="D1638">
        <v>15801</v>
      </c>
      <c r="E1638">
        <v>8184</v>
      </c>
      <c r="F1638">
        <v>84</v>
      </c>
      <c r="G1638" t="s">
        <v>83</v>
      </c>
      <c r="H1638" t="str" cm="1">
        <f t="array" ref="H1638">_xlfn.IFS(Grammys[[#This Row],[date]] &gt;= DATE(2022,2,1),"Grammys",TRUE,"Grammys TRA")</f>
        <v>Grammys TRA</v>
      </c>
      <c r="I1638">
        <f>_xlfn.XLOOKUP(Grammys[[#This Row],[date]],mobile_visits[date],mobile_visits[mobile_visitors],0)</f>
        <v>0</v>
      </c>
    </row>
    <row r="1639" spans="1:9">
      <c r="A1639" s="1">
        <v>44373</v>
      </c>
      <c r="B1639">
        <v>13754</v>
      </c>
      <c r="C1639">
        <v>23432</v>
      </c>
      <c r="D1639">
        <v>14689</v>
      </c>
      <c r="E1639">
        <v>7530</v>
      </c>
      <c r="F1639">
        <v>80</v>
      </c>
      <c r="G1639" t="s">
        <v>83</v>
      </c>
      <c r="H1639" t="str" cm="1">
        <f t="array" ref="H1639">_xlfn.IFS(Grammys[[#This Row],[date]] &gt;= DATE(2022,2,1),"Grammys",TRUE,"Grammys TRA")</f>
        <v>Grammys TRA</v>
      </c>
      <c r="I1639">
        <f>_xlfn.XLOOKUP(Grammys[[#This Row],[date]],mobile_visits[date],mobile_visits[mobile_visitors],0)</f>
        <v>0</v>
      </c>
    </row>
    <row r="1640" spans="1:9">
      <c r="A1640" s="1">
        <v>44374</v>
      </c>
      <c r="B1640">
        <v>15375</v>
      </c>
      <c r="C1640">
        <v>25513</v>
      </c>
      <c r="D1640">
        <v>16274</v>
      </c>
      <c r="E1640">
        <v>8396</v>
      </c>
      <c r="F1640">
        <v>83</v>
      </c>
      <c r="G1640" t="s">
        <v>83</v>
      </c>
      <c r="H1640" t="str" cm="1">
        <f t="array" ref="H1640">_xlfn.IFS(Grammys[[#This Row],[date]] &gt;= DATE(2022,2,1),"Grammys",TRUE,"Grammys TRA")</f>
        <v>Grammys TRA</v>
      </c>
      <c r="I1640">
        <f>_xlfn.XLOOKUP(Grammys[[#This Row],[date]],mobile_visits[date],mobile_visits[mobile_visitors],0)</f>
        <v>0</v>
      </c>
    </row>
    <row r="1641" spans="1:9">
      <c r="A1641" s="1">
        <v>44375</v>
      </c>
      <c r="B1641">
        <v>16073</v>
      </c>
      <c r="C1641">
        <v>27499</v>
      </c>
      <c r="D1641">
        <v>17202</v>
      </c>
      <c r="E1641">
        <v>8837</v>
      </c>
      <c r="F1641">
        <v>91</v>
      </c>
      <c r="G1641" t="s">
        <v>83</v>
      </c>
      <c r="H1641" t="str" cm="1">
        <f t="array" ref="H1641">_xlfn.IFS(Grammys[[#This Row],[date]] &gt;= DATE(2022,2,1),"Grammys",TRUE,"Grammys TRA")</f>
        <v>Grammys TRA</v>
      </c>
      <c r="I1641">
        <f>_xlfn.XLOOKUP(Grammys[[#This Row],[date]],mobile_visits[date],mobile_visits[mobile_visitors],0)</f>
        <v>0</v>
      </c>
    </row>
    <row r="1642" spans="1:9">
      <c r="A1642" s="1">
        <v>44376</v>
      </c>
      <c r="B1642">
        <v>14471</v>
      </c>
      <c r="C1642">
        <v>25271</v>
      </c>
      <c r="D1642">
        <v>15498</v>
      </c>
      <c r="E1642">
        <v>7949</v>
      </c>
      <c r="F1642">
        <v>85</v>
      </c>
      <c r="G1642" t="s">
        <v>83</v>
      </c>
      <c r="H1642" t="str" cm="1">
        <f t="array" ref="H1642">_xlfn.IFS(Grammys[[#This Row],[date]] &gt;= DATE(2022,2,1),"Grammys",TRUE,"Grammys TRA")</f>
        <v>Grammys TRA</v>
      </c>
      <c r="I1642">
        <f>_xlfn.XLOOKUP(Grammys[[#This Row],[date]],mobile_visits[date],mobile_visits[mobile_visitors],0)</f>
        <v>0</v>
      </c>
    </row>
    <row r="1643" spans="1:9">
      <c r="A1643" s="1">
        <v>44377</v>
      </c>
      <c r="B1643">
        <v>13610</v>
      </c>
      <c r="C1643">
        <v>24530</v>
      </c>
      <c r="D1643">
        <v>14674</v>
      </c>
      <c r="E1643">
        <v>7597</v>
      </c>
      <c r="F1643">
        <v>93</v>
      </c>
      <c r="G1643" t="s">
        <v>83</v>
      </c>
      <c r="H1643" t="str" cm="1">
        <f t="array" ref="H1643">_xlfn.IFS(Grammys[[#This Row],[date]] &gt;= DATE(2022,2,1),"Grammys",TRUE,"Grammys TRA")</f>
        <v>Grammys TRA</v>
      </c>
      <c r="I1643">
        <f>_xlfn.XLOOKUP(Grammys[[#This Row],[date]],mobile_visits[date],mobile_visits[mobile_visitors],0)</f>
        <v>0</v>
      </c>
    </row>
    <row r="1644" spans="1:9">
      <c r="A1644" s="1">
        <v>44378</v>
      </c>
      <c r="B1644">
        <v>17393</v>
      </c>
      <c r="C1644">
        <v>30956</v>
      </c>
      <c r="D1644">
        <v>18503</v>
      </c>
      <c r="E1644">
        <v>7920</v>
      </c>
      <c r="F1644">
        <v>99</v>
      </c>
      <c r="G1644" t="s">
        <v>83</v>
      </c>
      <c r="H1644" t="str" cm="1">
        <f t="array" ref="H1644">_xlfn.IFS(Grammys[[#This Row],[date]] &gt;= DATE(2022,2,1),"Grammys",TRUE,"Grammys TRA")</f>
        <v>Grammys TRA</v>
      </c>
      <c r="I1644">
        <f>_xlfn.XLOOKUP(Grammys[[#This Row],[date]],mobile_visits[date],mobile_visits[mobile_visitors],0)</f>
        <v>0</v>
      </c>
    </row>
    <row r="1645" spans="1:9">
      <c r="A1645" s="1">
        <v>44379</v>
      </c>
      <c r="B1645">
        <v>20503</v>
      </c>
      <c r="C1645">
        <v>36769</v>
      </c>
      <c r="D1645">
        <v>21642</v>
      </c>
      <c r="E1645">
        <v>8028</v>
      </c>
      <c r="F1645">
        <v>107</v>
      </c>
      <c r="G1645" t="s">
        <v>83</v>
      </c>
      <c r="H1645" t="str" cm="1">
        <f t="array" ref="H1645">_xlfn.IFS(Grammys[[#This Row],[date]] &gt;= DATE(2022,2,1),"Grammys",TRUE,"Grammys TRA")</f>
        <v>Grammys TRA</v>
      </c>
      <c r="I1645">
        <f>_xlfn.XLOOKUP(Grammys[[#This Row],[date]],mobile_visits[date],mobile_visits[mobile_visitors],0)</f>
        <v>0</v>
      </c>
    </row>
    <row r="1646" spans="1:9">
      <c r="A1646" s="1">
        <v>44380</v>
      </c>
      <c r="B1646">
        <v>15617</v>
      </c>
      <c r="C1646">
        <v>26980</v>
      </c>
      <c r="D1646">
        <v>16544</v>
      </c>
      <c r="E1646">
        <v>7359</v>
      </c>
      <c r="F1646">
        <v>88</v>
      </c>
      <c r="G1646" t="s">
        <v>83</v>
      </c>
      <c r="H1646" t="str" cm="1">
        <f t="array" ref="H1646">_xlfn.IFS(Grammys[[#This Row],[date]] &gt;= DATE(2022,2,1),"Grammys",TRUE,"Grammys TRA")</f>
        <v>Grammys TRA</v>
      </c>
      <c r="I1646">
        <f>_xlfn.XLOOKUP(Grammys[[#This Row],[date]],mobile_visits[date],mobile_visits[mobile_visitors],0)</f>
        <v>0</v>
      </c>
    </row>
    <row r="1647" spans="1:9">
      <c r="A1647" s="1">
        <v>44381</v>
      </c>
      <c r="B1647">
        <v>18600</v>
      </c>
      <c r="C1647">
        <v>31629</v>
      </c>
      <c r="D1647">
        <v>19481</v>
      </c>
      <c r="E1647">
        <v>9090</v>
      </c>
      <c r="F1647">
        <v>76</v>
      </c>
      <c r="G1647" t="s">
        <v>83</v>
      </c>
      <c r="H1647" t="str" cm="1">
        <f t="array" ref="H1647">_xlfn.IFS(Grammys[[#This Row],[date]] &gt;= DATE(2022,2,1),"Grammys",TRUE,"Grammys TRA")</f>
        <v>Grammys TRA</v>
      </c>
      <c r="I1647">
        <f>_xlfn.XLOOKUP(Grammys[[#This Row],[date]],mobile_visits[date],mobile_visits[mobile_visitors],0)</f>
        <v>0</v>
      </c>
    </row>
    <row r="1648" spans="1:9">
      <c r="A1648" s="1">
        <v>44382</v>
      </c>
      <c r="B1648">
        <v>14498</v>
      </c>
      <c r="C1648">
        <v>25966</v>
      </c>
      <c r="D1648">
        <v>15267</v>
      </c>
      <c r="E1648">
        <v>7506</v>
      </c>
      <c r="F1648">
        <v>79</v>
      </c>
      <c r="G1648" t="s">
        <v>83</v>
      </c>
      <c r="H1648" t="str" cm="1">
        <f t="array" ref="H1648">_xlfn.IFS(Grammys[[#This Row],[date]] &gt;= DATE(2022,2,1),"Grammys",TRUE,"Grammys TRA")</f>
        <v>Grammys TRA</v>
      </c>
      <c r="I1648">
        <f>_xlfn.XLOOKUP(Grammys[[#This Row],[date]],mobile_visits[date],mobile_visits[mobile_visitors],0)</f>
        <v>0</v>
      </c>
    </row>
    <row r="1649" spans="1:9">
      <c r="A1649" s="1">
        <v>44383</v>
      </c>
      <c r="B1649">
        <v>15966</v>
      </c>
      <c r="C1649">
        <v>28142</v>
      </c>
      <c r="D1649">
        <v>17313</v>
      </c>
      <c r="E1649">
        <v>7823</v>
      </c>
      <c r="F1649">
        <v>97</v>
      </c>
      <c r="G1649" t="s">
        <v>83</v>
      </c>
      <c r="H1649" t="str" cm="1">
        <f t="array" ref="H1649">_xlfn.IFS(Grammys[[#This Row],[date]] &gt;= DATE(2022,2,1),"Grammys",TRUE,"Grammys TRA")</f>
        <v>Grammys TRA</v>
      </c>
      <c r="I1649">
        <f>_xlfn.XLOOKUP(Grammys[[#This Row],[date]],mobile_visits[date],mobile_visits[mobile_visitors],0)</f>
        <v>0</v>
      </c>
    </row>
    <row r="1650" spans="1:9">
      <c r="A1650" s="1">
        <v>44384</v>
      </c>
      <c r="B1650">
        <v>14022</v>
      </c>
      <c r="C1650">
        <v>25828</v>
      </c>
      <c r="D1650">
        <v>15194</v>
      </c>
      <c r="E1650">
        <v>7291</v>
      </c>
      <c r="F1650">
        <v>97</v>
      </c>
      <c r="G1650" t="s">
        <v>83</v>
      </c>
      <c r="H1650" t="str" cm="1">
        <f t="array" ref="H1650">_xlfn.IFS(Grammys[[#This Row],[date]] &gt;= DATE(2022,2,1),"Grammys",TRUE,"Grammys TRA")</f>
        <v>Grammys TRA</v>
      </c>
      <c r="I1650">
        <f>_xlfn.XLOOKUP(Grammys[[#This Row],[date]],mobile_visits[date],mobile_visits[mobile_visitors],0)</f>
        <v>0</v>
      </c>
    </row>
    <row r="1651" spans="1:9">
      <c r="A1651" s="1">
        <v>44385</v>
      </c>
      <c r="B1651">
        <v>13689</v>
      </c>
      <c r="C1651">
        <v>24186</v>
      </c>
      <c r="D1651">
        <v>14554</v>
      </c>
      <c r="E1651">
        <v>7378</v>
      </c>
      <c r="F1651">
        <v>88</v>
      </c>
      <c r="G1651" t="s">
        <v>83</v>
      </c>
      <c r="H1651" t="str" cm="1">
        <f t="array" ref="H1651">_xlfn.IFS(Grammys[[#This Row],[date]] &gt;= DATE(2022,2,1),"Grammys",TRUE,"Grammys TRA")</f>
        <v>Grammys TRA</v>
      </c>
      <c r="I1651">
        <f>_xlfn.XLOOKUP(Grammys[[#This Row],[date]],mobile_visits[date],mobile_visits[mobile_visitors],0)</f>
        <v>0</v>
      </c>
    </row>
    <row r="1652" spans="1:9">
      <c r="A1652" s="1">
        <v>44386</v>
      </c>
      <c r="B1652">
        <v>13497</v>
      </c>
      <c r="C1652">
        <v>25739</v>
      </c>
      <c r="D1652">
        <v>14450</v>
      </c>
      <c r="E1652">
        <v>7353</v>
      </c>
      <c r="F1652">
        <v>90</v>
      </c>
      <c r="G1652" t="s">
        <v>83</v>
      </c>
      <c r="H1652" t="str" cm="1">
        <f t="array" ref="H1652">_xlfn.IFS(Grammys[[#This Row],[date]] &gt;= DATE(2022,2,1),"Grammys",TRUE,"Grammys TRA")</f>
        <v>Grammys TRA</v>
      </c>
      <c r="I1652">
        <f>_xlfn.XLOOKUP(Grammys[[#This Row],[date]],mobile_visits[date],mobile_visits[mobile_visitors],0)</f>
        <v>0</v>
      </c>
    </row>
    <row r="1653" spans="1:9">
      <c r="A1653" s="1">
        <v>44387</v>
      </c>
      <c r="B1653">
        <v>12577</v>
      </c>
      <c r="C1653">
        <v>22005</v>
      </c>
      <c r="D1653">
        <v>13577</v>
      </c>
      <c r="E1653">
        <v>6824</v>
      </c>
      <c r="F1653">
        <v>81</v>
      </c>
      <c r="G1653" t="s">
        <v>83</v>
      </c>
      <c r="H1653" t="str" cm="1">
        <f t="array" ref="H1653">_xlfn.IFS(Grammys[[#This Row],[date]] &gt;= DATE(2022,2,1),"Grammys",TRUE,"Grammys TRA")</f>
        <v>Grammys TRA</v>
      </c>
      <c r="I1653">
        <f>_xlfn.XLOOKUP(Grammys[[#This Row],[date]],mobile_visits[date],mobile_visits[mobile_visitors],0)</f>
        <v>0</v>
      </c>
    </row>
    <row r="1654" spans="1:9">
      <c r="A1654" s="1">
        <v>44388</v>
      </c>
      <c r="B1654">
        <v>12435</v>
      </c>
      <c r="C1654">
        <v>21877</v>
      </c>
      <c r="D1654">
        <v>13279</v>
      </c>
      <c r="E1654">
        <v>6709</v>
      </c>
      <c r="F1654">
        <v>92</v>
      </c>
      <c r="G1654" t="s">
        <v>83</v>
      </c>
      <c r="H1654" t="str" cm="1">
        <f t="array" ref="H1654">_xlfn.IFS(Grammys[[#This Row],[date]] &gt;= DATE(2022,2,1),"Grammys",TRUE,"Grammys TRA")</f>
        <v>Grammys TRA</v>
      </c>
      <c r="I1654">
        <f>_xlfn.XLOOKUP(Grammys[[#This Row],[date]],mobile_visits[date],mobile_visits[mobile_visitors],0)</f>
        <v>0</v>
      </c>
    </row>
    <row r="1655" spans="1:9">
      <c r="A1655" s="1">
        <v>44389</v>
      </c>
      <c r="B1655">
        <v>14487</v>
      </c>
      <c r="C1655">
        <v>25176</v>
      </c>
      <c r="D1655">
        <v>15416</v>
      </c>
      <c r="E1655">
        <v>7775</v>
      </c>
      <c r="F1655">
        <v>84</v>
      </c>
      <c r="G1655" t="s">
        <v>83</v>
      </c>
      <c r="H1655" t="str" cm="1">
        <f t="array" ref="H1655">_xlfn.IFS(Grammys[[#This Row],[date]] &gt;= DATE(2022,2,1),"Grammys",TRUE,"Grammys TRA")</f>
        <v>Grammys TRA</v>
      </c>
      <c r="I1655">
        <f>_xlfn.XLOOKUP(Grammys[[#This Row],[date]],mobile_visits[date],mobile_visits[mobile_visitors],0)</f>
        <v>0</v>
      </c>
    </row>
    <row r="1656" spans="1:9">
      <c r="A1656" s="1">
        <v>44390</v>
      </c>
      <c r="B1656">
        <v>18377</v>
      </c>
      <c r="C1656">
        <v>33679</v>
      </c>
      <c r="D1656">
        <v>19801</v>
      </c>
      <c r="E1656">
        <v>9281</v>
      </c>
      <c r="F1656">
        <v>87</v>
      </c>
      <c r="G1656" t="s">
        <v>83</v>
      </c>
      <c r="H1656" t="str" cm="1">
        <f t="array" ref="H1656">_xlfn.IFS(Grammys[[#This Row],[date]] &gt;= DATE(2022,2,1),"Grammys",TRUE,"Grammys TRA")</f>
        <v>Grammys TRA</v>
      </c>
      <c r="I1656">
        <f>_xlfn.XLOOKUP(Grammys[[#This Row],[date]],mobile_visits[date],mobile_visits[mobile_visitors],0)</f>
        <v>0</v>
      </c>
    </row>
    <row r="1657" spans="1:9">
      <c r="A1657" s="1">
        <v>44391</v>
      </c>
      <c r="B1657">
        <v>18062</v>
      </c>
      <c r="C1657">
        <v>32961</v>
      </c>
      <c r="D1657">
        <v>19721</v>
      </c>
      <c r="E1657">
        <v>9672</v>
      </c>
      <c r="F1657">
        <v>88</v>
      </c>
      <c r="G1657" t="s">
        <v>83</v>
      </c>
      <c r="H1657" t="str" cm="1">
        <f t="array" ref="H1657">_xlfn.IFS(Grammys[[#This Row],[date]] &gt;= DATE(2022,2,1),"Grammys",TRUE,"Grammys TRA")</f>
        <v>Grammys TRA</v>
      </c>
      <c r="I1657">
        <f>_xlfn.XLOOKUP(Grammys[[#This Row],[date]],mobile_visits[date],mobile_visits[mobile_visitors],0)</f>
        <v>0</v>
      </c>
    </row>
    <row r="1658" spans="1:9">
      <c r="A1658" s="1">
        <v>44392</v>
      </c>
      <c r="B1658">
        <v>17168</v>
      </c>
      <c r="C1658">
        <v>30250</v>
      </c>
      <c r="D1658">
        <v>18431</v>
      </c>
      <c r="E1658">
        <v>9146</v>
      </c>
      <c r="F1658">
        <v>84</v>
      </c>
      <c r="G1658" t="s">
        <v>83</v>
      </c>
      <c r="H1658" t="str" cm="1">
        <f t="array" ref="H1658">_xlfn.IFS(Grammys[[#This Row],[date]] &gt;= DATE(2022,2,1),"Grammys",TRUE,"Grammys TRA")</f>
        <v>Grammys TRA</v>
      </c>
      <c r="I1658">
        <f>_xlfn.XLOOKUP(Grammys[[#This Row],[date]],mobile_visits[date],mobile_visits[mobile_visitors],0)</f>
        <v>0</v>
      </c>
    </row>
    <row r="1659" spans="1:9">
      <c r="A1659" s="1">
        <v>44393</v>
      </c>
      <c r="B1659">
        <v>18518</v>
      </c>
      <c r="C1659">
        <v>32725</v>
      </c>
      <c r="D1659">
        <v>19691</v>
      </c>
      <c r="E1659">
        <v>10069</v>
      </c>
      <c r="F1659">
        <v>89</v>
      </c>
      <c r="G1659" t="s">
        <v>83</v>
      </c>
      <c r="H1659" t="str" cm="1">
        <f t="array" ref="H1659">_xlfn.IFS(Grammys[[#This Row],[date]] &gt;= DATE(2022,2,1),"Grammys",TRUE,"Grammys TRA")</f>
        <v>Grammys TRA</v>
      </c>
      <c r="I1659">
        <f>_xlfn.XLOOKUP(Grammys[[#This Row],[date]],mobile_visits[date],mobile_visits[mobile_visitors],0)</f>
        <v>0</v>
      </c>
    </row>
    <row r="1660" spans="1:9">
      <c r="A1660" s="1">
        <v>44394</v>
      </c>
      <c r="B1660">
        <v>17243</v>
      </c>
      <c r="C1660">
        <v>30213</v>
      </c>
      <c r="D1660">
        <v>18260</v>
      </c>
      <c r="E1660">
        <v>9244</v>
      </c>
      <c r="F1660">
        <v>85</v>
      </c>
      <c r="G1660" t="s">
        <v>83</v>
      </c>
      <c r="H1660" t="str" cm="1">
        <f t="array" ref="H1660">_xlfn.IFS(Grammys[[#This Row],[date]] &gt;= DATE(2022,2,1),"Grammys",TRUE,"Grammys TRA")</f>
        <v>Grammys TRA</v>
      </c>
      <c r="I1660">
        <f>_xlfn.XLOOKUP(Grammys[[#This Row],[date]],mobile_visits[date],mobile_visits[mobile_visitors],0)</f>
        <v>0</v>
      </c>
    </row>
    <row r="1661" spans="1:9">
      <c r="A1661" s="1">
        <v>44395</v>
      </c>
      <c r="B1661">
        <v>15484</v>
      </c>
      <c r="C1661">
        <v>27277</v>
      </c>
      <c r="D1661">
        <v>16367</v>
      </c>
      <c r="E1661">
        <v>8385</v>
      </c>
      <c r="F1661">
        <v>84</v>
      </c>
      <c r="G1661" t="s">
        <v>83</v>
      </c>
      <c r="H1661" t="str" cm="1">
        <f t="array" ref="H1661">_xlfn.IFS(Grammys[[#This Row],[date]] &gt;= DATE(2022,2,1),"Grammys",TRUE,"Grammys TRA")</f>
        <v>Grammys TRA</v>
      </c>
      <c r="I1661">
        <f>_xlfn.XLOOKUP(Grammys[[#This Row],[date]],mobile_visits[date],mobile_visits[mobile_visitors],0)</f>
        <v>0</v>
      </c>
    </row>
    <row r="1662" spans="1:9">
      <c r="A1662" s="1">
        <v>44396</v>
      </c>
      <c r="B1662">
        <v>19044</v>
      </c>
      <c r="C1662">
        <v>35532</v>
      </c>
      <c r="D1662">
        <v>20570</v>
      </c>
      <c r="E1662">
        <v>9582</v>
      </c>
      <c r="F1662">
        <v>107</v>
      </c>
      <c r="G1662" t="s">
        <v>83</v>
      </c>
      <c r="H1662" t="str" cm="1">
        <f t="array" ref="H1662">_xlfn.IFS(Grammys[[#This Row],[date]] &gt;= DATE(2022,2,1),"Grammys",TRUE,"Grammys TRA")</f>
        <v>Grammys TRA</v>
      </c>
      <c r="I1662">
        <f>_xlfn.XLOOKUP(Grammys[[#This Row],[date]],mobile_visits[date],mobile_visits[mobile_visitors],0)</f>
        <v>0</v>
      </c>
    </row>
    <row r="1663" spans="1:9">
      <c r="A1663" s="1">
        <v>44397</v>
      </c>
      <c r="B1663">
        <v>18707</v>
      </c>
      <c r="C1663">
        <v>33719</v>
      </c>
      <c r="D1663">
        <v>20190</v>
      </c>
      <c r="E1663">
        <v>9318</v>
      </c>
      <c r="F1663">
        <v>105</v>
      </c>
      <c r="G1663" t="s">
        <v>83</v>
      </c>
      <c r="H1663" t="str" cm="1">
        <f t="array" ref="H1663">_xlfn.IFS(Grammys[[#This Row],[date]] &gt;= DATE(2022,2,1),"Grammys",TRUE,"Grammys TRA")</f>
        <v>Grammys TRA</v>
      </c>
      <c r="I1663">
        <f>_xlfn.XLOOKUP(Grammys[[#This Row],[date]],mobile_visits[date],mobile_visits[mobile_visitors],0)</f>
        <v>0</v>
      </c>
    </row>
    <row r="1664" spans="1:9">
      <c r="A1664" s="1">
        <v>44398</v>
      </c>
      <c r="B1664">
        <v>10969</v>
      </c>
      <c r="C1664">
        <v>18603</v>
      </c>
      <c r="D1664">
        <v>11851</v>
      </c>
      <c r="E1664">
        <v>5906</v>
      </c>
      <c r="F1664">
        <v>90</v>
      </c>
      <c r="G1664" t="s">
        <v>83</v>
      </c>
      <c r="H1664" t="str" cm="1">
        <f t="array" ref="H1664">_xlfn.IFS(Grammys[[#This Row],[date]] &gt;= DATE(2022,2,1),"Grammys",TRUE,"Grammys TRA")</f>
        <v>Grammys TRA</v>
      </c>
      <c r="I1664">
        <f>_xlfn.XLOOKUP(Grammys[[#This Row],[date]],mobile_visits[date],mobile_visits[mobile_visitors],0)</f>
        <v>0</v>
      </c>
    </row>
    <row r="1665" spans="1:9">
      <c r="A1665" s="1">
        <v>44399</v>
      </c>
      <c r="B1665">
        <v>16948</v>
      </c>
      <c r="C1665">
        <v>30600</v>
      </c>
      <c r="D1665">
        <v>18244</v>
      </c>
      <c r="E1665">
        <v>9340</v>
      </c>
      <c r="F1665">
        <v>97</v>
      </c>
      <c r="G1665" t="s">
        <v>83</v>
      </c>
      <c r="H1665" t="str" cm="1">
        <f t="array" ref="H1665">_xlfn.IFS(Grammys[[#This Row],[date]] &gt;= DATE(2022,2,1),"Grammys",TRUE,"Grammys TRA")</f>
        <v>Grammys TRA</v>
      </c>
      <c r="I1665">
        <f>_xlfn.XLOOKUP(Grammys[[#This Row],[date]],mobile_visits[date],mobile_visits[mobile_visitors],0)</f>
        <v>0</v>
      </c>
    </row>
    <row r="1666" spans="1:9">
      <c r="A1666" s="1">
        <v>44400</v>
      </c>
      <c r="B1666">
        <v>16681</v>
      </c>
      <c r="C1666">
        <v>28253</v>
      </c>
      <c r="D1666">
        <v>17745</v>
      </c>
      <c r="E1666">
        <v>9013</v>
      </c>
      <c r="F1666">
        <v>93</v>
      </c>
      <c r="G1666" t="s">
        <v>83</v>
      </c>
      <c r="H1666" t="str" cm="1">
        <f t="array" ref="H1666">_xlfn.IFS(Grammys[[#This Row],[date]] &gt;= DATE(2022,2,1),"Grammys",TRUE,"Grammys TRA")</f>
        <v>Grammys TRA</v>
      </c>
      <c r="I1666">
        <f>_xlfn.XLOOKUP(Grammys[[#This Row],[date]],mobile_visits[date],mobile_visits[mobile_visitors],0)</f>
        <v>0</v>
      </c>
    </row>
    <row r="1667" spans="1:9">
      <c r="A1667" s="1">
        <v>44401</v>
      </c>
      <c r="B1667">
        <v>14609</v>
      </c>
      <c r="C1667">
        <v>24739</v>
      </c>
      <c r="D1667">
        <v>15704</v>
      </c>
      <c r="E1667">
        <v>8016</v>
      </c>
      <c r="F1667">
        <v>87</v>
      </c>
      <c r="G1667" t="s">
        <v>83</v>
      </c>
      <c r="H1667" t="str" cm="1">
        <f t="array" ref="H1667">_xlfn.IFS(Grammys[[#This Row],[date]] &gt;= DATE(2022,2,1),"Grammys",TRUE,"Grammys TRA")</f>
        <v>Grammys TRA</v>
      </c>
      <c r="I1667">
        <f>_xlfn.XLOOKUP(Grammys[[#This Row],[date]],mobile_visits[date],mobile_visits[mobile_visitors],0)</f>
        <v>0</v>
      </c>
    </row>
    <row r="1668" spans="1:9">
      <c r="A1668" s="1">
        <v>44402</v>
      </c>
      <c r="B1668">
        <v>14828</v>
      </c>
      <c r="C1668">
        <v>25969</v>
      </c>
      <c r="D1668">
        <v>15880</v>
      </c>
      <c r="E1668">
        <v>7615</v>
      </c>
      <c r="F1668">
        <v>88</v>
      </c>
      <c r="G1668" t="s">
        <v>83</v>
      </c>
      <c r="H1668" t="str" cm="1">
        <f t="array" ref="H1668">_xlfn.IFS(Grammys[[#This Row],[date]] &gt;= DATE(2022,2,1),"Grammys",TRUE,"Grammys TRA")</f>
        <v>Grammys TRA</v>
      </c>
      <c r="I1668">
        <f>_xlfn.XLOOKUP(Grammys[[#This Row],[date]],mobile_visits[date],mobile_visits[mobile_visitors],0)</f>
        <v>0</v>
      </c>
    </row>
    <row r="1669" spans="1:9">
      <c r="A1669" s="1">
        <v>44403</v>
      </c>
      <c r="B1669">
        <v>16757</v>
      </c>
      <c r="C1669">
        <v>31585</v>
      </c>
      <c r="D1669">
        <v>19604</v>
      </c>
      <c r="E1669">
        <v>9430</v>
      </c>
      <c r="F1669">
        <v>91</v>
      </c>
      <c r="G1669" t="s">
        <v>83</v>
      </c>
      <c r="H1669" t="str" cm="1">
        <f t="array" ref="H1669">_xlfn.IFS(Grammys[[#This Row],[date]] &gt;= DATE(2022,2,1),"Grammys",TRUE,"Grammys TRA")</f>
        <v>Grammys TRA</v>
      </c>
      <c r="I1669">
        <f>_xlfn.XLOOKUP(Grammys[[#This Row],[date]],mobile_visits[date],mobile_visits[mobile_visitors],0)</f>
        <v>0</v>
      </c>
    </row>
    <row r="1670" spans="1:9">
      <c r="A1670" s="1">
        <v>44404</v>
      </c>
      <c r="B1670">
        <v>19312</v>
      </c>
      <c r="C1670">
        <v>36888</v>
      </c>
      <c r="D1670">
        <v>23161</v>
      </c>
      <c r="E1670">
        <v>10882</v>
      </c>
      <c r="F1670">
        <v>88</v>
      </c>
      <c r="G1670" t="s">
        <v>83</v>
      </c>
      <c r="H1670" t="str" cm="1">
        <f t="array" ref="H1670">_xlfn.IFS(Grammys[[#This Row],[date]] &gt;= DATE(2022,2,1),"Grammys",TRUE,"Grammys TRA")</f>
        <v>Grammys TRA</v>
      </c>
      <c r="I1670">
        <f>_xlfn.XLOOKUP(Grammys[[#This Row],[date]],mobile_visits[date],mobile_visits[mobile_visitors],0)</f>
        <v>0</v>
      </c>
    </row>
    <row r="1671" spans="1:9">
      <c r="A1671" s="1">
        <v>44405</v>
      </c>
      <c r="B1671">
        <v>23775</v>
      </c>
      <c r="C1671">
        <v>42911</v>
      </c>
      <c r="D1671">
        <v>27884</v>
      </c>
      <c r="E1671">
        <v>12955</v>
      </c>
      <c r="F1671">
        <v>91</v>
      </c>
      <c r="G1671" t="s">
        <v>83</v>
      </c>
      <c r="H1671" t="str" cm="1">
        <f t="array" ref="H1671">_xlfn.IFS(Grammys[[#This Row],[date]] &gt;= DATE(2022,2,1),"Grammys",TRUE,"Grammys TRA")</f>
        <v>Grammys TRA</v>
      </c>
      <c r="I1671">
        <f>_xlfn.XLOOKUP(Grammys[[#This Row],[date]],mobile_visits[date],mobile_visits[mobile_visitors],0)</f>
        <v>0</v>
      </c>
    </row>
    <row r="1672" spans="1:9">
      <c r="A1672" s="1">
        <v>44406</v>
      </c>
      <c r="B1672">
        <v>21540</v>
      </c>
      <c r="C1672">
        <v>39597</v>
      </c>
      <c r="D1672">
        <v>25496</v>
      </c>
      <c r="E1672">
        <v>12007</v>
      </c>
      <c r="F1672">
        <v>89</v>
      </c>
      <c r="G1672" t="s">
        <v>83</v>
      </c>
      <c r="H1672" t="str" cm="1">
        <f t="array" ref="H1672">_xlfn.IFS(Grammys[[#This Row],[date]] &gt;= DATE(2022,2,1),"Grammys",TRUE,"Grammys TRA")</f>
        <v>Grammys TRA</v>
      </c>
      <c r="I1672">
        <f>_xlfn.XLOOKUP(Grammys[[#This Row],[date]],mobile_visits[date],mobile_visits[mobile_visitors],0)</f>
        <v>0</v>
      </c>
    </row>
    <row r="1673" spans="1:9">
      <c r="A1673" s="1">
        <v>44407</v>
      </c>
      <c r="B1673">
        <v>18069</v>
      </c>
      <c r="C1673">
        <v>34359</v>
      </c>
      <c r="D1673">
        <v>21997</v>
      </c>
      <c r="E1673">
        <v>10627</v>
      </c>
      <c r="F1673">
        <v>79</v>
      </c>
      <c r="G1673" t="s">
        <v>83</v>
      </c>
      <c r="H1673" t="str" cm="1">
        <f t="array" ref="H1673">_xlfn.IFS(Grammys[[#This Row],[date]] &gt;= DATE(2022,2,1),"Grammys",TRUE,"Grammys TRA")</f>
        <v>Grammys TRA</v>
      </c>
      <c r="I1673">
        <f>_xlfn.XLOOKUP(Grammys[[#This Row],[date]],mobile_visits[date],mobile_visits[mobile_visitors],0)</f>
        <v>0</v>
      </c>
    </row>
    <row r="1674" spans="1:9">
      <c r="A1674" s="1">
        <v>44408</v>
      </c>
      <c r="B1674">
        <v>16834</v>
      </c>
      <c r="C1674">
        <v>31618</v>
      </c>
      <c r="D1674">
        <v>20501</v>
      </c>
      <c r="E1674">
        <v>9925</v>
      </c>
      <c r="F1674">
        <v>73</v>
      </c>
      <c r="G1674" t="s">
        <v>83</v>
      </c>
      <c r="H1674" t="str" cm="1">
        <f t="array" ref="H1674">_xlfn.IFS(Grammys[[#This Row],[date]] &gt;= DATE(2022,2,1),"Grammys",TRUE,"Grammys TRA")</f>
        <v>Grammys TRA</v>
      </c>
      <c r="I1674">
        <f>_xlfn.XLOOKUP(Grammys[[#This Row],[date]],mobile_visits[date],mobile_visits[mobile_visitors],0)</f>
        <v>0</v>
      </c>
    </row>
    <row r="1675" spans="1:9">
      <c r="A1675" s="1">
        <v>44409</v>
      </c>
      <c r="B1675">
        <v>16418</v>
      </c>
      <c r="C1675">
        <v>30929</v>
      </c>
      <c r="D1675">
        <v>19925</v>
      </c>
      <c r="E1675">
        <v>9465</v>
      </c>
      <c r="F1675">
        <v>73</v>
      </c>
      <c r="G1675" t="s">
        <v>83</v>
      </c>
      <c r="H1675" t="str" cm="1">
        <f t="array" ref="H1675">_xlfn.IFS(Grammys[[#This Row],[date]] &gt;= DATE(2022,2,1),"Grammys",TRUE,"Grammys TRA")</f>
        <v>Grammys TRA</v>
      </c>
      <c r="I1675">
        <f>_xlfn.XLOOKUP(Grammys[[#This Row],[date]],mobile_visits[date],mobile_visits[mobile_visitors],0)</f>
        <v>0</v>
      </c>
    </row>
    <row r="1676" spans="1:9">
      <c r="A1676" s="1">
        <v>44410</v>
      </c>
      <c r="B1676">
        <v>16442</v>
      </c>
      <c r="C1676">
        <v>31250</v>
      </c>
      <c r="D1676">
        <v>20004</v>
      </c>
      <c r="E1676">
        <v>9826</v>
      </c>
      <c r="F1676">
        <v>72</v>
      </c>
      <c r="G1676" t="s">
        <v>83</v>
      </c>
      <c r="H1676" t="str" cm="1">
        <f t="array" ref="H1676">_xlfn.IFS(Grammys[[#This Row],[date]] &gt;= DATE(2022,2,1),"Grammys",TRUE,"Grammys TRA")</f>
        <v>Grammys TRA</v>
      </c>
      <c r="I1676">
        <f>_xlfn.XLOOKUP(Grammys[[#This Row],[date]],mobile_visits[date],mobile_visits[mobile_visitors],0)</f>
        <v>0</v>
      </c>
    </row>
    <row r="1677" spans="1:9">
      <c r="A1677" s="1">
        <v>44411</v>
      </c>
      <c r="B1677">
        <v>20982</v>
      </c>
      <c r="C1677">
        <v>39430</v>
      </c>
      <c r="D1677">
        <v>25036</v>
      </c>
      <c r="E1677">
        <v>12311</v>
      </c>
      <c r="F1677">
        <v>87</v>
      </c>
      <c r="G1677" t="s">
        <v>83</v>
      </c>
      <c r="H1677" t="str" cm="1">
        <f t="array" ref="H1677">_xlfn.IFS(Grammys[[#This Row],[date]] &gt;= DATE(2022,2,1),"Grammys",TRUE,"Grammys TRA")</f>
        <v>Grammys TRA</v>
      </c>
      <c r="I1677">
        <f>_xlfn.XLOOKUP(Grammys[[#This Row],[date]],mobile_visits[date],mobile_visits[mobile_visitors],0)</f>
        <v>0</v>
      </c>
    </row>
    <row r="1678" spans="1:9">
      <c r="A1678" s="1">
        <v>44412</v>
      </c>
      <c r="B1678">
        <v>19295</v>
      </c>
      <c r="C1678">
        <v>34044</v>
      </c>
      <c r="D1678">
        <v>21045</v>
      </c>
      <c r="E1678">
        <v>11220</v>
      </c>
      <c r="F1678">
        <v>83</v>
      </c>
      <c r="G1678" t="s">
        <v>83</v>
      </c>
      <c r="H1678" t="str" cm="1">
        <f t="array" ref="H1678">_xlfn.IFS(Grammys[[#This Row],[date]] &gt;= DATE(2022,2,1),"Grammys",TRUE,"Grammys TRA")</f>
        <v>Grammys TRA</v>
      </c>
      <c r="I1678">
        <f>_xlfn.XLOOKUP(Grammys[[#This Row],[date]],mobile_visits[date],mobile_visits[mobile_visitors],0)</f>
        <v>0</v>
      </c>
    </row>
    <row r="1679" spans="1:9">
      <c r="A1679" s="1">
        <v>44413</v>
      </c>
      <c r="B1679">
        <v>15833</v>
      </c>
      <c r="C1679">
        <v>27054</v>
      </c>
      <c r="D1679">
        <v>16913</v>
      </c>
      <c r="E1679">
        <v>8892</v>
      </c>
      <c r="F1679">
        <v>91</v>
      </c>
      <c r="G1679" t="s">
        <v>83</v>
      </c>
      <c r="H1679" t="str" cm="1">
        <f t="array" ref="H1679">_xlfn.IFS(Grammys[[#This Row],[date]] &gt;= DATE(2022,2,1),"Grammys",TRUE,"Grammys TRA")</f>
        <v>Grammys TRA</v>
      </c>
      <c r="I1679">
        <f>_xlfn.XLOOKUP(Grammys[[#This Row],[date]],mobile_visits[date],mobile_visits[mobile_visitors],0)</f>
        <v>0</v>
      </c>
    </row>
    <row r="1680" spans="1:9">
      <c r="A1680" s="1">
        <v>44414</v>
      </c>
      <c r="B1680">
        <v>14298</v>
      </c>
      <c r="C1680">
        <v>24571</v>
      </c>
      <c r="D1680">
        <v>15201</v>
      </c>
      <c r="E1680">
        <v>8238</v>
      </c>
      <c r="F1680">
        <v>88</v>
      </c>
      <c r="G1680" t="s">
        <v>83</v>
      </c>
      <c r="H1680" t="str" cm="1">
        <f t="array" ref="H1680">_xlfn.IFS(Grammys[[#This Row],[date]] &gt;= DATE(2022,2,1),"Grammys",TRUE,"Grammys TRA")</f>
        <v>Grammys TRA</v>
      </c>
      <c r="I1680">
        <f>_xlfn.XLOOKUP(Grammys[[#This Row],[date]],mobile_visits[date],mobile_visits[mobile_visitors],0)</f>
        <v>0</v>
      </c>
    </row>
    <row r="1681" spans="1:9">
      <c r="A1681" s="1">
        <v>44415</v>
      </c>
      <c r="B1681">
        <v>13068</v>
      </c>
      <c r="C1681">
        <v>22430</v>
      </c>
      <c r="D1681">
        <v>13944</v>
      </c>
      <c r="E1681">
        <v>7474</v>
      </c>
      <c r="F1681">
        <v>80</v>
      </c>
      <c r="G1681" t="s">
        <v>83</v>
      </c>
      <c r="H1681" t="str" cm="1">
        <f t="array" ref="H1681">_xlfn.IFS(Grammys[[#This Row],[date]] &gt;= DATE(2022,2,1),"Grammys",TRUE,"Grammys TRA")</f>
        <v>Grammys TRA</v>
      </c>
      <c r="I1681">
        <f>_xlfn.XLOOKUP(Grammys[[#This Row],[date]],mobile_visits[date],mobile_visits[mobile_visitors],0)</f>
        <v>0</v>
      </c>
    </row>
    <row r="1682" spans="1:9">
      <c r="A1682" s="1">
        <v>44416</v>
      </c>
      <c r="B1682">
        <v>12973</v>
      </c>
      <c r="C1682">
        <v>22720</v>
      </c>
      <c r="D1682">
        <v>13846</v>
      </c>
      <c r="E1682">
        <v>7241</v>
      </c>
      <c r="F1682">
        <v>84</v>
      </c>
      <c r="G1682" t="s">
        <v>83</v>
      </c>
      <c r="H1682" t="str" cm="1">
        <f t="array" ref="H1682">_xlfn.IFS(Grammys[[#This Row],[date]] &gt;= DATE(2022,2,1),"Grammys",TRUE,"Grammys TRA")</f>
        <v>Grammys TRA</v>
      </c>
      <c r="I1682">
        <f>_xlfn.XLOOKUP(Grammys[[#This Row],[date]],mobile_visits[date],mobile_visits[mobile_visitors],0)</f>
        <v>0</v>
      </c>
    </row>
    <row r="1683" spans="1:9">
      <c r="A1683" s="1">
        <v>44417</v>
      </c>
      <c r="B1683">
        <v>14215</v>
      </c>
      <c r="C1683">
        <v>24965</v>
      </c>
      <c r="D1683">
        <v>15281</v>
      </c>
      <c r="E1683">
        <v>7840</v>
      </c>
      <c r="F1683">
        <v>85</v>
      </c>
      <c r="G1683" t="s">
        <v>83</v>
      </c>
      <c r="H1683" t="str" cm="1">
        <f t="array" ref="H1683">_xlfn.IFS(Grammys[[#This Row],[date]] &gt;= DATE(2022,2,1),"Grammys",TRUE,"Grammys TRA")</f>
        <v>Grammys TRA</v>
      </c>
      <c r="I1683">
        <f>_xlfn.XLOOKUP(Grammys[[#This Row],[date]],mobile_visits[date],mobile_visits[mobile_visitors],0)</f>
        <v>0</v>
      </c>
    </row>
    <row r="1684" spans="1:9">
      <c r="A1684" s="1">
        <v>44418</v>
      </c>
      <c r="B1684">
        <v>13726</v>
      </c>
      <c r="C1684">
        <v>24367</v>
      </c>
      <c r="D1684">
        <v>14781</v>
      </c>
      <c r="E1684">
        <v>7929</v>
      </c>
      <c r="F1684">
        <v>87</v>
      </c>
      <c r="G1684" t="s">
        <v>83</v>
      </c>
      <c r="H1684" t="str" cm="1">
        <f t="array" ref="H1684">_xlfn.IFS(Grammys[[#This Row],[date]] &gt;= DATE(2022,2,1),"Grammys",TRUE,"Grammys TRA")</f>
        <v>Grammys TRA</v>
      </c>
      <c r="I1684">
        <f>_xlfn.XLOOKUP(Grammys[[#This Row],[date]],mobile_visits[date],mobile_visits[mobile_visitors],0)</f>
        <v>0</v>
      </c>
    </row>
    <row r="1685" spans="1:9">
      <c r="A1685" s="1">
        <v>44419</v>
      </c>
      <c r="B1685">
        <v>14738</v>
      </c>
      <c r="C1685">
        <v>26681</v>
      </c>
      <c r="D1685">
        <v>15873</v>
      </c>
      <c r="E1685">
        <v>8254</v>
      </c>
      <c r="F1685">
        <v>81</v>
      </c>
      <c r="G1685" t="s">
        <v>83</v>
      </c>
      <c r="H1685" t="str" cm="1">
        <f t="array" ref="H1685">_xlfn.IFS(Grammys[[#This Row],[date]] &gt;= DATE(2022,2,1),"Grammys",TRUE,"Grammys TRA")</f>
        <v>Grammys TRA</v>
      </c>
      <c r="I1685">
        <f>_xlfn.XLOOKUP(Grammys[[#This Row],[date]],mobile_visits[date],mobile_visits[mobile_visitors],0)</f>
        <v>0</v>
      </c>
    </row>
    <row r="1686" spans="1:9">
      <c r="A1686" s="1">
        <v>44420</v>
      </c>
      <c r="B1686">
        <v>15813</v>
      </c>
      <c r="C1686">
        <v>28001</v>
      </c>
      <c r="D1686">
        <v>17140</v>
      </c>
      <c r="E1686">
        <v>8795</v>
      </c>
      <c r="F1686">
        <v>85</v>
      </c>
      <c r="G1686" t="s">
        <v>83</v>
      </c>
      <c r="H1686" t="str" cm="1">
        <f t="array" ref="H1686">_xlfn.IFS(Grammys[[#This Row],[date]] &gt;= DATE(2022,2,1),"Grammys",TRUE,"Grammys TRA")</f>
        <v>Grammys TRA</v>
      </c>
      <c r="I1686">
        <f>_xlfn.XLOOKUP(Grammys[[#This Row],[date]],mobile_visits[date],mobile_visits[mobile_visitors],0)</f>
        <v>0</v>
      </c>
    </row>
    <row r="1687" spans="1:9">
      <c r="A1687" s="1">
        <v>44421</v>
      </c>
      <c r="B1687">
        <v>14781</v>
      </c>
      <c r="C1687">
        <v>25148</v>
      </c>
      <c r="D1687">
        <v>15699</v>
      </c>
      <c r="E1687">
        <v>8020</v>
      </c>
      <c r="F1687">
        <v>86</v>
      </c>
      <c r="G1687" t="s">
        <v>83</v>
      </c>
      <c r="H1687" t="str" cm="1">
        <f t="array" ref="H1687">_xlfn.IFS(Grammys[[#This Row],[date]] &gt;= DATE(2022,2,1),"Grammys",TRUE,"Grammys TRA")</f>
        <v>Grammys TRA</v>
      </c>
      <c r="I1687">
        <f>_xlfn.XLOOKUP(Grammys[[#This Row],[date]],mobile_visits[date],mobile_visits[mobile_visitors],0)</f>
        <v>0</v>
      </c>
    </row>
    <row r="1688" spans="1:9">
      <c r="A1688" s="1">
        <v>44422</v>
      </c>
      <c r="B1688">
        <v>14380</v>
      </c>
      <c r="C1688">
        <v>24175</v>
      </c>
      <c r="D1688">
        <v>15274</v>
      </c>
      <c r="E1688">
        <v>8198</v>
      </c>
      <c r="F1688">
        <v>74</v>
      </c>
      <c r="G1688" t="s">
        <v>83</v>
      </c>
      <c r="H1688" t="str" cm="1">
        <f t="array" ref="H1688">_xlfn.IFS(Grammys[[#This Row],[date]] &gt;= DATE(2022,2,1),"Grammys",TRUE,"Grammys TRA")</f>
        <v>Grammys TRA</v>
      </c>
      <c r="I1688">
        <f>_xlfn.XLOOKUP(Grammys[[#This Row],[date]],mobile_visits[date],mobile_visits[mobile_visitors],0)</f>
        <v>0</v>
      </c>
    </row>
    <row r="1689" spans="1:9">
      <c r="A1689" s="1">
        <v>44423</v>
      </c>
      <c r="B1689">
        <v>12557</v>
      </c>
      <c r="C1689">
        <v>21825</v>
      </c>
      <c r="D1689">
        <v>13352</v>
      </c>
      <c r="E1689">
        <v>6948</v>
      </c>
      <c r="F1689">
        <v>83</v>
      </c>
      <c r="G1689" t="s">
        <v>83</v>
      </c>
      <c r="H1689" t="str" cm="1">
        <f t="array" ref="H1689">_xlfn.IFS(Grammys[[#This Row],[date]] &gt;= DATE(2022,2,1),"Grammys",TRUE,"Grammys TRA")</f>
        <v>Grammys TRA</v>
      </c>
      <c r="I1689">
        <f>_xlfn.XLOOKUP(Grammys[[#This Row],[date]],mobile_visits[date],mobile_visits[mobile_visitors],0)</f>
        <v>0</v>
      </c>
    </row>
    <row r="1690" spans="1:9">
      <c r="A1690" s="1">
        <v>44424</v>
      </c>
      <c r="B1690">
        <v>12654</v>
      </c>
      <c r="C1690">
        <v>23446</v>
      </c>
      <c r="D1690">
        <v>13831</v>
      </c>
      <c r="E1690">
        <v>7255</v>
      </c>
      <c r="F1690">
        <v>88</v>
      </c>
      <c r="G1690" t="s">
        <v>83</v>
      </c>
      <c r="H1690" t="str" cm="1">
        <f t="array" ref="H1690">_xlfn.IFS(Grammys[[#This Row],[date]] &gt;= DATE(2022,2,1),"Grammys",TRUE,"Grammys TRA")</f>
        <v>Grammys TRA</v>
      </c>
      <c r="I1690">
        <f>_xlfn.XLOOKUP(Grammys[[#This Row],[date]],mobile_visits[date],mobile_visits[mobile_visitors],0)</f>
        <v>0</v>
      </c>
    </row>
    <row r="1691" spans="1:9">
      <c r="A1691" s="1">
        <v>44425</v>
      </c>
      <c r="B1691">
        <v>12971</v>
      </c>
      <c r="C1691">
        <v>23157</v>
      </c>
      <c r="D1691">
        <v>13831</v>
      </c>
      <c r="E1691">
        <v>7150</v>
      </c>
      <c r="F1691">
        <v>86</v>
      </c>
      <c r="G1691" t="s">
        <v>83</v>
      </c>
      <c r="H1691" t="str" cm="1">
        <f t="array" ref="H1691">_xlfn.IFS(Grammys[[#This Row],[date]] &gt;= DATE(2022,2,1),"Grammys",TRUE,"Grammys TRA")</f>
        <v>Grammys TRA</v>
      </c>
      <c r="I1691">
        <f>_xlfn.XLOOKUP(Grammys[[#This Row],[date]],mobile_visits[date],mobile_visits[mobile_visitors],0)</f>
        <v>0</v>
      </c>
    </row>
    <row r="1692" spans="1:9">
      <c r="A1692" s="1">
        <v>44426</v>
      </c>
      <c r="B1692">
        <v>14774</v>
      </c>
      <c r="C1692">
        <v>25920</v>
      </c>
      <c r="D1692">
        <v>15799</v>
      </c>
      <c r="E1692">
        <v>7720</v>
      </c>
      <c r="F1692">
        <v>94</v>
      </c>
      <c r="G1692" t="s">
        <v>83</v>
      </c>
      <c r="H1692" t="str" cm="1">
        <f t="array" ref="H1692">_xlfn.IFS(Grammys[[#This Row],[date]] &gt;= DATE(2022,2,1),"Grammys",TRUE,"Grammys TRA")</f>
        <v>Grammys TRA</v>
      </c>
      <c r="I1692">
        <f>_xlfn.XLOOKUP(Grammys[[#This Row],[date]],mobile_visits[date],mobile_visits[mobile_visitors],0)</f>
        <v>0</v>
      </c>
    </row>
    <row r="1693" spans="1:9">
      <c r="A1693" s="1">
        <v>44427</v>
      </c>
      <c r="B1693">
        <v>14641</v>
      </c>
      <c r="C1693">
        <v>25385</v>
      </c>
      <c r="D1693">
        <v>15603</v>
      </c>
      <c r="E1693">
        <v>7991</v>
      </c>
      <c r="F1693">
        <v>87</v>
      </c>
      <c r="G1693" t="s">
        <v>83</v>
      </c>
      <c r="H1693" t="str" cm="1">
        <f t="array" ref="H1693">_xlfn.IFS(Grammys[[#This Row],[date]] &gt;= DATE(2022,2,1),"Grammys",TRUE,"Grammys TRA")</f>
        <v>Grammys TRA</v>
      </c>
      <c r="I1693">
        <f>_xlfn.XLOOKUP(Grammys[[#This Row],[date]],mobile_visits[date],mobile_visits[mobile_visitors],0)</f>
        <v>0</v>
      </c>
    </row>
    <row r="1694" spans="1:9">
      <c r="A1694" s="1">
        <v>44428</v>
      </c>
      <c r="B1694">
        <v>13906</v>
      </c>
      <c r="C1694">
        <v>24409</v>
      </c>
      <c r="D1694">
        <v>14913</v>
      </c>
      <c r="E1694">
        <v>7854</v>
      </c>
      <c r="F1694">
        <v>82</v>
      </c>
      <c r="G1694" t="s">
        <v>83</v>
      </c>
      <c r="H1694" t="str" cm="1">
        <f t="array" ref="H1694">_xlfn.IFS(Grammys[[#This Row],[date]] &gt;= DATE(2022,2,1),"Grammys",TRUE,"Grammys TRA")</f>
        <v>Grammys TRA</v>
      </c>
      <c r="I1694">
        <f>_xlfn.XLOOKUP(Grammys[[#This Row],[date]],mobile_visits[date],mobile_visits[mobile_visitors],0)</f>
        <v>0</v>
      </c>
    </row>
    <row r="1695" spans="1:9">
      <c r="A1695" s="1">
        <v>44429</v>
      </c>
      <c r="B1695">
        <v>13653</v>
      </c>
      <c r="C1695">
        <v>23262</v>
      </c>
      <c r="D1695">
        <v>14648</v>
      </c>
      <c r="E1695">
        <v>7748</v>
      </c>
      <c r="F1695">
        <v>79</v>
      </c>
      <c r="G1695" t="s">
        <v>83</v>
      </c>
      <c r="H1695" t="str" cm="1">
        <f t="array" ref="H1695">_xlfn.IFS(Grammys[[#This Row],[date]] &gt;= DATE(2022,2,1),"Grammys",TRUE,"Grammys TRA")</f>
        <v>Grammys TRA</v>
      </c>
      <c r="I1695">
        <f>_xlfn.XLOOKUP(Grammys[[#This Row],[date]],mobile_visits[date],mobile_visits[mobile_visitors],0)</f>
        <v>0</v>
      </c>
    </row>
    <row r="1696" spans="1:9">
      <c r="A1696" s="1">
        <v>44430</v>
      </c>
      <c r="B1696">
        <v>16712</v>
      </c>
      <c r="C1696">
        <v>30807</v>
      </c>
      <c r="D1696">
        <v>19583</v>
      </c>
      <c r="E1696">
        <v>10137</v>
      </c>
      <c r="F1696">
        <v>76</v>
      </c>
      <c r="G1696" t="s">
        <v>83</v>
      </c>
      <c r="H1696" t="str" cm="1">
        <f t="array" ref="H1696">_xlfn.IFS(Grammys[[#This Row],[date]] &gt;= DATE(2022,2,1),"Grammys",TRUE,"Grammys TRA")</f>
        <v>Grammys TRA</v>
      </c>
      <c r="I1696">
        <f>_xlfn.XLOOKUP(Grammys[[#This Row],[date]],mobile_visits[date],mobile_visits[mobile_visitors],0)</f>
        <v>0</v>
      </c>
    </row>
    <row r="1697" spans="1:9">
      <c r="A1697" s="1">
        <v>44431</v>
      </c>
      <c r="B1697">
        <v>16409</v>
      </c>
      <c r="C1697">
        <v>31126</v>
      </c>
      <c r="D1697">
        <v>19217</v>
      </c>
      <c r="E1697">
        <v>9649</v>
      </c>
      <c r="F1697">
        <v>77</v>
      </c>
      <c r="G1697" t="s">
        <v>83</v>
      </c>
      <c r="H1697" t="str" cm="1">
        <f t="array" ref="H1697">_xlfn.IFS(Grammys[[#This Row],[date]] &gt;= DATE(2022,2,1),"Grammys",TRUE,"Grammys TRA")</f>
        <v>Grammys TRA</v>
      </c>
      <c r="I1697">
        <f>_xlfn.XLOOKUP(Grammys[[#This Row],[date]],mobile_visits[date],mobile_visits[mobile_visitors],0)</f>
        <v>0</v>
      </c>
    </row>
    <row r="1698" spans="1:9">
      <c r="A1698" s="1">
        <v>44432</v>
      </c>
      <c r="B1698">
        <v>16858</v>
      </c>
      <c r="C1698">
        <v>31394</v>
      </c>
      <c r="D1698">
        <v>19705</v>
      </c>
      <c r="E1698">
        <v>9969</v>
      </c>
      <c r="F1698">
        <v>78</v>
      </c>
      <c r="G1698" t="s">
        <v>83</v>
      </c>
      <c r="H1698" t="str" cm="1">
        <f t="array" ref="H1698">_xlfn.IFS(Grammys[[#This Row],[date]] &gt;= DATE(2022,2,1),"Grammys",TRUE,"Grammys TRA")</f>
        <v>Grammys TRA</v>
      </c>
      <c r="I1698">
        <f>_xlfn.XLOOKUP(Grammys[[#This Row],[date]],mobile_visits[date],mobile_visits[mobile_visitors],0)</f>
        <v>0</v>
      </c>
    </row>
    <row r="1699" spans="1:9">
      <c r="A1699" s="1">
        <v>44433</v>
      </c>
      <c r="B1699">
        <v>17136</v>
      </c>
      <c r="C1699">
        <v>32042</v>
      </c>
      <c r="D1699">
        <v>19821</v>
      </c>
      <c r="E1699">
        <v>9697</v>
      </c>
      <c r="F1699">
        <v>83</v>
      </c>
      <c r="G1699" t="s">
        <v>83</v>
      </c>
      <c r="H1699" t="str" cm="1">
        <f t="array" ref="H1699">_xlfn.IFS(Grammys[[#This Row],[date]] &gt;= DATE(2022,2,1),"Grammys",TRUE,"Grammys TRA")</f>
        <v>Grammys TRA</v>
      </c>
      <c r="I1699">
        <f>_xlfn.XLOOKUP(Grammys[[#This Row],[date]],mobile_visits[date],mobile_visits[mobile_visitors],0)</f>
        <v>0</v>
      </c>
    </row>
    <row r="1700" spans="1:9">
      <c r="A1700" s="1">
        <v>44434</v>
      </c>
      <c r="B1700">
        <v>16069</v>
      </c>
      <c r="C1700">
        <v>30681</v>
      </c>
      <c r="D1700">
        <v>19094</v>
      </c>
      <c r="E1700">
        <v>9582</v>
      </c>
      <c r="F1700">
        <v>77</v>
      </c>
      <c r="G1700" t="s">
        <v>83</v>
      </c>
      <c r="H1700" t="str" cm="1">
        <f t="array" ref="H1700">_xlfn.IFS(Grammys[[#This Row],[date]] &gt;= DATE(2022,2,1),"Grammys",TRUE,"Grammys TRA")</f>
        <v>Grammys TRA</v>
      </c>
      <c r="I1700">
        <f>_xlfn.XLOOKUP(Grammys[[#This Row],[date]],mobile_visits[date],mobile_visits[mobile_visitors],0)</f>
        <v>0</v>
      </c>
    </row>
    <row r="1701" spans="1:9">
      <c r="A1701" s="1">
        <v>44435</v>
      </c>
      <c r="B1701">
        <v>17614</v>
      </c>
      <c r="C1701">
        <v>35499</v>
      </c>
      <c r="D1701">
        <v>22900</v>
      </c>
      <c r="E1701">
        <v>11189</v>
      </c>
      <c r="F1701">
        <v>73</v>
      </c>
      <c r="G1701" t="s">
        <v>83</v>
      </c>
      <c r="H1701" t="str" cm="1">
        <f t="array" ref="H1701">_xlfn.IFS(Grammys[[#This Row],[date]] &gt;= DATE(2022,2,1),"Grammys",TRUE,"Grammys TRA")</f>
        <v>Grammys TRA</v>
      </c>
      <c r="I1701">
        <f>_xlfn.XLOOKUP(Grammys[[#This Row],[date]],mobile_visits[date],mobile_visits[mobile_visitors],0)</f>
        <v>0</v>
      </c>
    </row>
    <row r="1702" spans="1:9">
      <c r="A1702" s="1">
        <v>44436</v>
      </c>
      <c r="B1702">
        <v>17483</v>
      </c>
      <c r="C1702">
        <v>35329</v>
      </c>
      <c r="D1702">
        <v>22569</v>
      </c>
      <c r="E1702">
        <v>10700</v>
      </c>
      <c r="F1702">
        <v>73</v>
      </c>
      <c r="G1702" t="s">
        <v>83</v>
      </c>
      <c r="H1702" t="str" cm="1">
        <f t="array" ref="H1702">_xlfn.IFS(Grammys[[#This Row],[date]] &gt;= DATE(2022,2,1),"Grammys",TRUE,"Grammys TRA")</f>
        <v>Grammys TRA</v>
      </c>
      <c r="I1702">
        <f>_xlfn.XLOOKUP(Grammys[[#This Row],[date]],mobile_visits[date],mobile_visits[mobile_visitors],0)</f>
        <v>0</v>
      </c>
    </row>
    <row r="1703" spans="1:9">
      <c r="A1703" s="1">
        <v>44437</v>
      </c>
      <c r="B1703">
        <v>18613</v>
      </c>
      <c r="C1703">
        <v>36847</v>
      </c>
      <c r="D1703">
        <v>23791</v>
      </c>
      <c r="E1703">
        <v>11660</v>
      </c>
      <c r="F1703">
        <v>70</v>
      </c>
      <c r="G1703" t="s">
        <v>83</v>
      </c>
      <c r="H1703" t="str" cm="1">
        <f t="array" ref="H1703">_xlfn.IFS(Grammys[[#This Row],[date]] &gt;= DATE(2022,2,1),"Grammys",TRUE,"Grammys TRA")</f>
        <v>Grammys TRA</v>
      </c>
      <c r="I1703">
        <f>_xlfn.XLOOKUP(Grammys[[#This Row],[date]],mobile_visits[date],mobile_visits[mobile_visitors],0)</f>
        <v>0</v>
      </c>
    </row>
    <row r="1704" spans="1:9">
      <c r="A1704" s="1">
        <v>44438</v>
      </c>
      <c r="B1704">
        <v>18752</v>
      </c>
      <c r="C1704">
        <v>38287</v>
      </c>
      <c r="D1704">
        <v>23932</v>
      </c>
      <c r="E1704">
        <v>11196</v>
      </c>
      <c r="F1704">
        <v>75</v>
      </c>
      <c r="G1704" t="s">
        <v>83</v>
      </c>
      <c r="H1704" t="str" cm="1">
        <f t="array" ref="H1704">_xlfn.IFS(Grammys[[#This Row],[date]] &gt;= DATE(2022,2,1),"Grammys",TRUE,"Grammys TRA")</f>
        <v>Grammys TRA</v>
      </c>
      <c r="I1704">
        <f>_xlfn.XLOOKUP(Grammys[[#This Row],[date]],mobile_visits[date],mobile_visits[mobile_visitors],0)</f>
        <v>0</v>
      </c>
    </row>
    <row r="1705" spans="1:9">
      <c r="A1705" s="1">
        <v>44439</v>
      </c>
      <c r="B1705">
        <v>18262</v>
      </c>
      <c r="C1705">
        <v>37492</v>
      </c>
      <c r="D1705">
        <v>23600</v>
      </c>
      <c r="E1705">
        <v>11338</v>
      </c>
      <c r="F1705">
        <v>74</v>
      </c>
      <c r="G1705" t="s">
        <v>83</v>
      </c>
      <c r="H1705" t="str" cm="1">
        <f t="array" ref="H1705">_xlfn.IFS(Grammys[[#This Row],[date]] &gt;= DATE(2022,2,1),"Grammys",TRUE,"Grammys TRA")</f>
        <v>Grammys TRA</v>
      </c>
      <c r="I1705">
        <f>_xlfn.XLOOKUP(Grammys[[#This Row],[date]],mobile_visits[date],mobile_visits[mobile_visitors],0)</f>
        <v>0</v>
      </c>
    </row>
    <row r="1706" spans="1:9">
      <c r="A1706" s="1">
        <v>44440</v>
      </c>
      <c r="B1706">
        <v>17929</v>
      </c>
      <c r="C1706">
        <v>35892</v>
      </c>
      <c r="D1706">
        <v>22688</v>
      </c>
      <c r="E1706">
        <v>11009</v>
      </c>
      <c r="F1706">
        <v>71</v>
      </c>
      <c r="G1706" t="s">
        <v>83</v>
      </c>
      <c r="H1706" t="str" cm="1">
        <f t="array" ref="H1706">_xlfn.IFS(Grammys[[#This Row],[date]] &gt;= DATE(2022,2,1),"Grammys",TRUE,"Grammys TRA")</f>
        <v>Grammys TRA</v>
      </c>
      <c r="I1706">
        <f>_xlfn.XLOOKUP(Grammys[[#This Row],[date]],mobile_visits[date],mobile_visits[mobile_visitors],0)</f>
        <v>0</v>
      </c>
    </row>
    <row r="1707" spans="1:9">
      <c r="A1707" s="1">
        <v>44441</v>
      </c>
      <c r="B1707">
        <v>18081</v>
      </c>
      <c r="C1707">
        <v>35607</v>
      </c>
      <c r="D1707">
        <v>22773</v>
      </c>
      <c r="E1707">
        <v>11105</v>
      </c>
      <c r="F1707">
        <v>70</v>
      </c>
      <c r="G1707" t="s">
        <v>83</v>
      </c>
      <c r="H1707" t="str" cm="1">
        <f t="array" ref="H1707">_xlfn.IFS(Grammys[[#This Row],[date]] &gt;= DATE(2022,2,1),"Grammys",TRUE,"Grammys TRA")</f>
        <v>Grammys TRA</v>
      </c>
      <c r="I1707">
        <f>_xlfn.XLOOKUP(Grammys[[#This Row],[date]],mobile_visits[date],mobile_visits[mobile_visitors],0)</f>
        <v>0</v>
      </c>
    </row>
    <row r="1708" spans="1:9">
      <c r="A1708" s="1">
        <v>44442</v>
      </c>
      <c r="B1708">
        <v>18879</v>
      </c>
      <c r="C1708">
        <v>36624</v>
      </c>
      <c r="D1708">
        <v>23725</v>
      </c>
      <c r="E1708">
        <v>11649</v>
      </c>
      <c r="F1708">
        <v>68</v>
      </c>
      <c r="G1708" t="s">
        <v>83</v>
      </c>
      <c r="H1708" t="str" cm="1">
        <f t="array" ref="H1708">_xlfn.IFS(Grammys[[#This Row],[date]] &gt;= DATE(2022,2,1),"Grammys",TRUE,"Grammys TRA")</f>
        <v>Grammys TRA</v>
      </c>
      <c r="I1708">
        <f>_xlfn.XLOOKUP(Grammys[[#This Row],[date]],mobile_visits[date],mobile_visits[mobile_visitors],0)</f>
        <v>0</v>
      </c>
    </row>
    <row r="1709" spans="1:9">
      <c r="A1709" s="1">
        <v>44443</v>
      </c>
      <c r="B1709">
        <v>16036</v>
      </c>
      <c r="C1709">
        <v>27666</v>
      </c>
      <c r="D1709">
        <v>17742</v>
      </c>
      <c r="E1709">
        <v>9022</v>
      </c>
      <c r="F1709">
        <v>72</v>
      </c>
      <c r="G1709" t="s">
        <v>83</v>
      </c>
      <c r="H1709" t="str" cm="1">
        <f t="array" ref="H1709">_xlfn.IFS(Grammys[[#This Row],[date]] &gt;= DATE(2022,2,1),"Grammys",TRUE,"Grammys TRA")</f>
        <v>Grammys TRA</v>
      </c>
      <c r="I1709">
        <f>_xlfn.XLOOKUP(Grammys[[#This Row],[date]],mobile_visits[date],mobile_visits[mobile_visitors],0)</f>
        <v>0</v>
      </c>
    </row>
    <row r="1710" spans="1:9">
      <c r="A1710" s="1">
        <v>44444</v>
      </c>
      <c r="B1710">
        <v>16062</v>
      </c>
      <c r="C1710">
        <v>28619</v>
      </c>
      <c r="D1710">
        <v>17913</v>
      </c>
      <c r="E1710">
        <v>9090</v>
      </c>
      <c r="F1710">
        <v>75</v>
      </c>
      <c r="G1710" t="s">
        <v>83</v>
      </c>
      <c r="H1710" t="str" cm="1">
        <f t="array" ref="H1710">_xlfn.IFS(Grammys[[#This Row],[date]] &gt;= DATE(2022,2,1),"Grammys",TRUE,"Grammys TRA")</f>
        <v>Grammys TRA</v>
      </c>
      <c r="I1710">
        <f>_xlfn.XLOOKUP(Grammys[[#This Row],[date]],mobile_visits[date],mobile_visits[mobile_visitors],0)</f>
        <v>0</v>
      </c>
    </row>
    <row r="1711" spans="1:9">
      <c r="A1711" s="1">
        <v>44445</v>
      </c>
      <c r="B1711">
        <v>15145</v>
      </c>
      <c r="C1711">
        <v>27159</v>
      </c>
      <c r="D1711">
        <v>16909</v>
      </c>
      <c r="E1711">
        <v>8482</v>
      </c>
      <c r="F1711">
        <v>74</v>
      </c>
      <c r="G1711" t="s">
        <v>83</v>
      </c>
      <c r="H1711" t="str" cm="1">
        <f t="array" ref="H1711">_xlfn.IFS(Grammys[[#This Row],[date]] &gt;= DATE(2022,2,1),"Grammys",TRUE,"Grammys TRA")</f>
        <v>Grammys TRA</v>
      </c>
      <c r="I1711">
        <f>_xlfn.XLOOKUP(Grammys[[#This Row],[date]],mobile_visits[date],mobile_visits[mobile_visitors],0)</f>
        <v>0</v>
      </c>
    </row>
    <row r="1712" spans="1:9">
      <c r="A1712" s="1">
        <v>44446</v>
      </c>
      <c r="B1712">
        <v>15037</v>
      </c>
      <c r="C1712">
        <v>27603</v>
      </c>
      <c r="D1712">
        <v>16876</v>
      </c>
      <c r="E1712">
        <v>8609</v>
      </c>
      <c r="F1712">
        <v>77</v>
      </c>
      <c r="G1712" t="s">
        <v>83</v>
      </c>
      <c r="H1712" t="str" cm="1">
        <f t="array" ref="H1712">_xlfn.IFS(Grammys[[#This Row],[date]] &gt;= DATE(2022,2,1),"Grammys",TRUE,"Grammys TRA")</f>
        <v>Grammys TRA</v>
      </c>
      <c r="I1712">
        <f>_xlfn.XLOOKUP(Grammys[[#This Row],[date]],mobile_visits[date],mobile_visits[mobile_visitors],0)</f>
        <v>0</v>
      </c>
    </row>
    <row r="1713" spans="1:9">
      <c r="A1713" s="1">
        <v>44447</v>
      </c>
      <c r="B1713">
        <v>15166</v>
      </c>
      <c r="C1713">
        <v>28142</v>
      </c>
      <c r="D1713">
        <v>17117</v>
      </c>
      <c r="E1713">
        <v>8638</v>
      </c>
      <c r="F1713">
        <v>81</v>
      </c>
      <c r="G1713" t="s">
        <v>83</v>
      </c>
      <c r="H1713" t="str" cm="1">
        <f t="array" ref="H1713">_xlfn.IFS(Grammys[[#This Row],[date]] &gt;= DATE(2022,2,1),"Grammys",TRUE,"Grammys TRA")</f>
        <v>Grammys TRA</v>
      </c>
      <c r="I1713">
        <f>_xlfn.XLOOKUP(Grammys[[#This Row],[date]],mobile_visits[date],mobile_visits[mobile_visitors],0)</f>
        <v>0</v>
      </c>
    </row>
    <row r="1714" spans="1:9">
      <c r="A1714" s="1">
        <v>44448</v>
      </c>
      <c r="B1714">
        <v>18827</v>
      </c>
      <c r="C1714">
        <v>32688</v>
      </c>
      <c r="D1714">
        <v>20870</v>
      </c>
      <c r="E1714">
        <v>9826</v>
      </c>
      <c r="F1714">
        <v>103</v>
      </c>
      <c r="G1714" t="s">
        <v>83</v>
      </c>
      <c r="H1714" t="str" cm="1">
        <f t="array" ref="H1714">_xlfn.IFS(Grammys[[#This Row],[date]] &gt;= DATE(2022,2,1),"Grammys",TRUE,"Grammys TRA")</f>
        <v>Grammys TRA</v>
      </c>
      <c r="I1714">
        <f>_xlfn.XLOOKUP(Grammys[[#This Row],[date]],mobile_visits[date],mobile_visits[mobile_visitors],0)</f>
        <v>0</v>
      </c>
    </row>
    <row r="1715" spans="1:9">
      <c r="A1715" s="1">
        <v>44449</v>
      </c>
      <c r="B1715">
        <v>19193</v>
      </c>
      <c r="C1715">
        <v>32630</v>
      </c>
      <c r="D1715">
        <v>21030</v>
      </c>
      <c r="E1715">
        <v>10217</v>
      </c>
      <c r="F1715">
        <v>86</v>
      </c>
      <c r="G1715" t="s">
        <v>83</v>
      </c>
      <c r="H1715" t="str" cm="1">
        <f t="array" ref="H1715">_xlfn.IFS(Grammys[[#This Row],[date]] &gt;= DATE(2022,2,1),"Grammys",TRUE,"Grammys TRA")</f>
        <v>Grammys TRA</v>
      </c>
      <c r="I1715">
        <f>_xlfn.XLOOKUP(Grammys[[#This Row],[date]],mobile_visits[date],mobile_visits[mobile_visitors],0)</f>
        <v>0</v>
      </c>
    </row>
    <row r="1716" spans="1:9">
      <c r="A1716" s="1">
        <v>44450</v>
      </c>
      <c r="B1716">
        <v>22657</v>
      </c>
      <c r="C1716">
        <v>36628</v>
      </c>
      <c r="D1716">
        <v>24550</v>
      </c>
      <c r="E1716">
        <v>9931</v>
      </c>
      <c r="F1716">
        <v>79</v>
      </c>
      <c r="G1716" t="s">
        <v>83</v>
      </c>
      <c r="H1716" t="str" cm="1">
        <f t="array" ref="H1716">_xlfn.IFS(Grammys[[#This Row],[date]] &gt;= DATE(2022,2,1),"Grammys",TRUE,"Grammys TRA")</f>
        <v>Grammys TRA</v>
      </c>
      <c r="I1716">
        <f>_xlfn.XLOOKUP(Grammys[[#This Row],[date]],mobile_visits[date],mobile_visits[mobile_visitors],0)</f>
        <v>0</v>
      </c>
    </row>
    <row r="1717" spans="1:9">
      <c r="A1717" s="1">
        <v>44451</v>
      </c>
      <c r="B1717">
        <v>20248</v>
      </c>
      <c r="C1717">
        <v>33080</v>
      </c>
      <c r="D1717">
        <v>21195</v>
      </c>
      <c r="E1717">
        <v>9835</v>
      </c>
      <c r="F1717">
        <v>83</v>
      </c>
      <c r="G1717" t="s">
        <v>83</v>
      </c>
      <c r="H1717" t="str" cm="1">
        <f t="array" ref="H1717">_xlfn.IFS(Grammys[[#This Row],[date]] &gt;= DATE(2022,2,1),"Grammys",TRUE,"Grammys TRA")</f>
        <v>Grammys TRA</v>
      </c>
      <c r="I1717">
        <f>_xlfn.XLOOKUP(Grammys[[#This Row],[date]],mobile_visits[date],mobile_visits[mobile_visitors],0)</f>
        <v>0</v>
      </c>
    </row>
    <row r="1718" spans="1:9">
      <c r="A1718" s="1">
        <v>44452</v>
      </c>
      <c r="B1718">
        <v>19666</v>
      </c>
      <c r="C1718">
        <v>34798</v>
      </c>
      <c r="D1718">
        <v>21017</v>
      </c>
      <c r="E1718">
        <v>11030</v>
      </c>
      <c r="F1718">
        <v>80</v>
      </c>
      <c r="G1718" t="s">
        <v>83</v>
      </c>
      <c r="H1718" t="str" cm="1">
        <f t="array" ref="H1718">_xlfn.IFS(Grammys[[#This Row],[date]] &gt;= DATE(2022,2,1),"Grammys",TRUE,"Grammys TRA")</f>
        <v>Grammys TRA</v>
      </c>
      <c r="I1718">
        <f>_xlfn.XLOOKUP(Grammys[[#This Row],[date]],mobile_visits[date],mobile_visits[mobile_visitors],0)</f>
        <v>0</v>
      </c>
    </row>
    <row r="1719" spans="1:9">
      <c r="A1719" s="1">
        <v>44453</v>
      </c>
      <c r="B1719">
        <v>16815</v>
      </c>
      <c r="C1719">
        <v>29580</v>
      </c>
      <c r="D1719">
        <v>17797</v>
      </c>
      <c r="E1719">
        <v>9264</v>
      </c>
      <c r="F1719">
        <v>84</v>
      </c>
      <c r="G1719" t="s">
        <v>83</v>
      </c>
      <c r="H1719" t="str" cm="1">
        <f t="array" ref="H1719">_xlfn.IFS(Grammys[[#This Row],[date]] &gt;= DATE(2022,2,1),"Grammys",TRUE,"Grammys TRA")</f>
        <v>Grammys TRA</v>
      </c>
      <c r="I1719">
        <f>_xlfn.XLOOKUP(Grammys[[#This Row],[date]],mobile_visits[date],mobile_visits[mobile_visitors],0)</f>
        <v>0</v>
      </c>
    </row>
    <row r="1720" spans="1:9">
      <c r="A1720" s="1">
        <v>44454</v>
      </c>
      <c r="B1720">
        <v>16867</v>
      </c>
      <c r="C1720">
        <v>29587</v>
      </c>
      <c r="D1720">
        <v>17999</v>
      </c>
      <c r="E1720">
        <v>8923</v>
      </c>
      <c r="F1720">
        <v>93</v>
      </c>
      <c r="G1720" t="s">
        <v>83</v>
      </c>
      <c r="H1720" t="str" cm="1">
        <f t="array" ref="H1720">_xlfn.IFS(Grammys[[#This Row],[date]] &gt;= DATE(2022,2,1),"Grammys",TRUE,"Grammys TRA")</f>
        <v>Grammys TRA</v>
      </c>
      <c r="I1720">
        <f>_xlfn.XLOOKUP(Grammys[[#This Row],[date]],mobile_visits[date],mobile_visits[mobile_visitors],0)</f>
        <v>0</v>
      </c>
    </row>
    <row r="1721" spans="1:9">
      <c r="A1721" s="1">
        <v>44455</v>
      </c>
      <c r="B1721">
        <v>19693</v>
      </c>
      <c r="C1721">
        <v>33949</v>
      </c>
      <c r="D1721">
        <v>20832</v>
      </c>
      <c r="E1721">
        <v>9596</v>
      </c>
      <c r="F1721">
        <v>98</v>
      </c>
      <c r="G1721" t="s">
        <v>83</v>
      </c>
      <c r="H1721" t="str" cm="1">
        <f t="array" ref="H1721">_xlfn.IFS(Grammys[[#This Row],[date]] &gt;= DATE(2022,2,1),"Grammys",TRUE,"Grammys TRA")</f>
        <v>Grammys TRA</v>
      </c>
      <c r="I1721">
        <f>_xlfn.XLOOKUP(Grammys[[#This Row],[date]],mobile_visits[date],mobile_visits[mobile_visitors],0)</f>
        <v>0</v>
      </c>
    </row>
    <row r="1722" spans="1:9">
      <c r="A1722" s="1">
        <v>44456</v>
      </c>
      <c r="B1722">
        <v>16678</v>
      </c>
      <c r="C1722">
        <v>28797</v>
      </c>
      <c r="D1722">
        <v>17755</v>
      </c>
      <c r="E1722">
        <v>8672</v>
      </c>
      <c r="F1722">
        <v>95</v>
      </c>
      <c r="G1722" t="s">
        <v>83</v>
      </c>
      <c r="H1722" t="str" cm="1">
        <f t="array" ref="H1722">_xlfn.IFS(Grammys[[#This Row],[date]] &gt;= DATE(2022,2,1),"Grammys",TRUE,"Grammys TRA")</f>
        <v>Grammys TRA</v>
      </c>
      <c r="I1722">
        <f>_xlfn.XLOOKUP(Grammys[[#This Row],[date]],mobile_visits[date],mobile_visits[mobile_visitors],0)</f>
        <v>0</v>
      </c>
    </row>
    <row r="1723" spans="1:9">
      <c r="A1723" s="1">
        <v>44457</v>
      </c>
      <c r="B1723">
        <v>14161</v>
      </c>
      <c r="C1723">
        <v>24550</v>
      </c>
      <c r="D1723">
        <v>15187</v>
      </c>
      <c r="E1723">
        <v>7702</v>
      </c>
      <c r="F1723">
        <v>90</v>
      </c>
      <c r="G1723" t="s">
        <v>83</v>
      </c>
      <c r="H1723" t="str" cm="1">
        <f t="array" ref="H1723">_xlfn.IFS(Grammys[[#This Row],[date]] &gt;= DATE(2022,2,1),"Grammys",TRUE,"Grammys TRA")</f>
        <v>Grammys TRA</v>
      </c>
      <c r="I1723">
        <f>_xlfn.XLOOKUP(Grammys[[#This Row],[date]],mobile_visits[date],mobile_visits[mobile_visitors],0)</f>
        <v>0</v>
      </c>
    </row>
    <row r="1724" spans="1:9">
      <c r="A1724" s="1">
        <v>44458</v>
      </c>
      <c r="B1724">
        <v>17310</v>
      </c>
      <c r="C1724">
        <v>29350</v>
      </c>
      <c r="D1724">
        <v>18447</v>
      </c>
      <c r="E1724">
        <v>9766</v>
      </c>
      <c r="F1724">
        <v>76</v>
      </c>
      <c r="G1724" t="s">
        <v>83</v>
      </c>
      <c r="H1724" t="str" cm="1">
        <f t="array" ref="H1724">_xlfn.IFS(Grammys[[#This Row],[date]] &gt;= DATE(2022,2,1),"Grammys",TRUE,"Grammys TRA")</f>
        <v>Grammys TRA</v>
      </c>
      <c r="I1724">
        <f>_xlfn.XLOOKUP(Grammys[[#This Row],[date]],mobile_visits[date],mobile_visits[mobile_visitors],0)</f>
        <v>0</v>
      </c>
    </row>
    <row r="1725" spans="1:9">
      <c r="A1725" s="1">
        <v>44459</v>
      </c>
      <c r="B1725">
        <v>18045</v>
      </c>
      <c r="C1725">
        <v>32283</v>
      </c>
      <c r="D1725">
        <v>19162</v>
      </c>
      <c r="E1725">
        <v>10087</v>
      </c>
      <c r="F1725">
        <v>77</v>
      </c>
      <c r="G1725" t="s">
        <v>83</v>
      </c>
      <c r="H1725" t="str" cm="1">
        <f t="array" ref="H1725">_xlfn.IFS(Grammys[[#This Row],[date]] &gt;= DATE(2022,2,1),"Grammys",TRUE,"Grammys TRA")</f>
        <v>Grammys TRA</v>
      </c>
      <c r="I1725">
        <f>_xlfn.XLOOKUP(Grammys[[#This Row],[date]],mobile_visits[date],mobile_visits[mobile_visitors],0)</f>
        <v>0</v>
      </c>
    </row>
    <row r="1726" spans="1:9">
      <c r="A1726" s="1">
        <v>44460</v>
      </c>
      <c r="B1726">
        <v>21301</v>
      </c>
      <c r="C1726">
        <v>38478</v>
      </c>
      <c r="D1726">
        <v>22986</v>
      </c>
      <c r="E1726">
        <v>10287</v>
      </c>
      <c r="F1726">
        <v>103</v>
      </c>
      <c r="G1726" t="s">
        <v>83</v>
      </c>
      <c r="H1726" t="str" cm="1">
        <f t="array" ref="H1726">_xlfn.IFS(Grammys[[#This Row],[date]] &gt;= DATE(2022,2,1),"Grammys",TRUE,"Grammys TRA")</f>
        <v>Grammys TRA</v>
      </c>
      <c r="I1726">
        <f>_xlfn.XLOOKUP(Grammys[[#This Row],[date]],mobile_visits[date],mobile_visits[mobile_visitors],0)</f>
        <v>0</v>
      </c>
    </row>
    <row r="1727" spans="1:9">
      <c r="A1727" s="1">
        <v>44461</v>
      </c>
      <c r="B1727">
        <v>19614</v>
      </c>
      <c r="C1727">
        <v>33573</v>
      </c>
      <c r="D1727">
        <v>20770</v>
      </c>
      <c r="E1727">
        <v>9119</v>
      </c>
      <c r="F1727">
        <v>90</v>
      </c>
      <c r="G1727" t="s">
        <v>83</v>
      </c>
      <c r="H1727" t="str" cm="1">
        <f t="array" ref="H1727">_xlfn.IFS(Grammys[[#This Row],[date]] &gt;= DATE(2022,2,1),"Grammys",TRUE,"Grammys TRA")</f>
        <v>Grammys TRA</v>
      </c>
      <c r="I1727">
        <f>_xlfn.XLOOKUP(Grammys[[#This Row],[date]],mobile_visits[date],mobile_visits[mobile_visitors],0)</f>
        <v>0</v>
      </c>
    </row>
    <row r="1728" spans="1:9">
      <c r="A1728" s="1">
        <v>44462</v>
      </c>
      <c r="B1728">
        <v>19326</v>
      </c>
      <c r="C1728">
        <v>33634</v>
      </c>
      <c r="D1728">
        <v>20648</v>
      </c>
      <c r="E1728">
        <v>9670</v>
      </c>
      <c r="F1728">
        <v>82</v>
      </c>
      <c r="G1728" t="s">
        <v>83</v>
      </c>
      <c r="H1728" t="str" cm="1">
        <f t="array" ref="H1728">_xlfn.IFS(Grammys[[#This Row],[date]] &gt;= DATE(2022,2,1),"Grammys",TRUE,"Grammys TRA")</f>
        <v>Grammys TRA</v>
      </c>
      <c r="I1728">
        <f>_xlfn.XLOOKUP(Grammys[[#This Row],[date]],mobile_visits[date],mobile_visits[mobile_visitors],0)</f>
        <v>0</v>
      </c>
    </row>
    <row r="1729" spans="1:9">
      <c r="A1729" s="1">
        <v>44463</v>
      </c>
      <c r="B1729">
        <v>15827</v>
      </c>
      <c r="C1729">
        <v>28007</v>
      </c>
      <c r="D1729">
        <v>16827</v>
      </c>
      <c r="E1729">
        <v>8611</v>
      </c>
      <c r="F1729">
        <v>84</v>
      </c>
      <c r="G1729" t="s">
        <v>83</v>
      </c>
      <c r="H1729" t="str" cm="1">
        <f t="array" ref="H1729">_xlfn.IFS(Grammys[[#This Row],[date]] &gt;= DATE(2022,2,1),"Grammys",TRUE,"Grammys TRA")</f>
        <v>Grammys TRA</v>
      </c>
      <c r="I1729">
        <f>_xlfn.XLOOKUP(Grammys[[#This Row],[date]],mobile_visits[date],mobile_visits[mobile_visitors],0)</f>
        <v>0</v>
      </c>
    </row>
    <row r="1730" spans="1:9">
      <c r="A1730" s="1">
        <v>44464</v>
      </c>
      <c r="B1730">
        <v>13583</v>
      </c>
      <c r="C1730">
        <v>23427</v>
      </c>
      <c r="D1730">
        <v>14559</v>
      </c>
      <c r="E1730">
        <v>7718</v>
      </c>
      <c r="F1730">
        <v>78</v>
      </c>
      <c r="G1730" t="s">
        <v>83</v>
      </c>
      <c r="H1730" t="str" cm="1">
        <f t="array" ref="H1730">_xlfn.IFS(Grammys[[#This Row],[date]] &gt;= DATE(2022,2,1),"Grammys",TRUE,"Grammys TRA")</f>
        <v>Grammys TRA</v>
      </c>
      <c r="I1730">
        <f>_xlfn.XLOOKUP(Grammys[[#This Row],[date]],mobile_visits[date],mobile_visits[mobile_visitors],0)</f>
        <v>0</v>
      </c>
    </row>
    <row r="1731" spans="1:9">
      <c r="A1731" s="1">
        <v>44465</v>
      </c>
      <c r="B1731">
        <v>13471</v>
      </c>
      <c r="C1731">
        <v>22886</v>
      </c>
      <c r="D1731">
        <v>14372</v>
      </c>
      <c r="E1731">
        <v>7836</v>
      </c>
      <c r="F1731">
        <v>79</v>
      </c>
      <c r="G1731" t="s">
        <v>83</v>
      </c>
      <c r="H1731" t="str" cm="1">
        <f t="array" ref="H1731">_xlfn.IFS(Grammys[[#This Row],[date]] &gt;= DATE(2022,2,1),"Grammys",TRUE,"Grammys TRA")</f>
        <v>Grammys TRA</v>
      </c>
      <c r="I1731">
        <f>_xlfn.XLOOKUP(Grammys[[#This Row],[date]],mobile_visits[date],mobile_visits[mobile_visitors],0)</f>
        <v>0</v>
      </c>
    </row>
    <row r="1732" spans="1:9">
      <c r="A1732" s="1">
        <v>44466</v>
      </c>
      <c r="B1732">
        <v>14412</v>
      </c>
      <c r="C1732">
        <v>26086</v>
      </c>
      <c r="D1732">
        <v>15421</v>
      </c>
      <c r="E1732">
        <v>8046</v>
      </c>
      <c r="F1732">
        <v>87</v>
      </c>
      <c r="G1732" t="s">
        <v>83</v>
      </c>
      <c r="H1732" t="str" cm="1">
        <f t="array" ref="H1732">_xlfn.IFS(Grammys[[#This Row],[date]] &gt;= DATE(2022,2,1),"Grammys",TRUE,"Grammys TRA")</f>
        <v>Grammys TRA</v>
      </c>
      <c r="I1732">
        <f>_xlfn.XLOOKUP(Grammys[[#This Row],[date]],mobile_visits[date],mobile_visits[mobile_visitors],0)</f>
        <v>0</v>
      </c>
    </row>
    <row r="1733" spans="1:9">
      <c r="A1733" s="1">
        <v>44467</v>
      </c>
      <c r="B1733">
        <v>22086</v>
      </c>
      <c r="C1733">
        <v>38685</v>
      </c>
      <c r="D1733">
        <v>23551</v>
      </c>
      <c r="E1733">
        <v>11025</v>
      </c>
      <c r="F1733">
        <v>79</v>
      </c>
      <c r="G1733" t="s">
        <v>83</v>
      </c>
      <c r="H1733" t="str" cm="1">
        <f t="array" ref="H1733">_xlfn.IFS(Grammys[[#This Row],[date]] &gt;= DATE(2022,2,1),"Grammys",TRUE,"Grammys TRA")</f>
        <v>Grammys TRA</v>
      </c>
      <c r="I1733">
        <f>_xlfn.XLOOKUP(Grammys[[#This Row],[date]],mobile_visits[date],mobile_visits[mobile_visitors],0)</f>
        <v>0</v>
      </c>
    </row>
    <row r="1734" spans="1:9">
      <c r="A1734" s="1">
        <v>44468</v>
      </c>
      <c r="B1734">
        <v>26596</v>
      </c>
      <c r="C1734">
        <v>49236</v>
      </c>
      <c r="D1734">
        <v>28143</v>
      </c>
      <c r="E1734">
        <v>13914</v>
      </c>
      <c r="F1734">
        <v>80</v>
      </c>
      <c r="G1734" t="s">
        <v>83</v>
      </c>
      <c r="H1734" t="str" cm="1">
        <f t="array" ref="H1734">_xlfn.IFS(Grammys[[#This Row],[date]] &gt;= DATE(2022,2,1),"Grammys",TRUE,"Grammys TRA")</f>
        <v>Grammys TRA</v>
      </c>
      <c r="I1734">
        <f>_xlfn.XLOOKUP(Grammys[[#This Row],[date]],mobile_visits[date],mobile_visits[mobile_visitors],0)</f>
        <v>0</v>
      </c>
    </row>
    <row r="1735" spans="1:9">
      <c r="A1735" s="1">
        <v>44469</v>
      </c>
      <c r="B1735">
        <v>23019</v>
      </c>
      <c r="C1735">
        <v>40690</v>
      </c>
      <c r="D1735">
        <v>24589</v>
      </c>
      <c r="E1735">
        <v>13210</v>
      </c>
      <c r="F1735">
        <v>82</v>
      </c>
      <c r="G1735" t="s">
        <v>83</v>
      </c>
      <c r="H1735" t="str" cm="1">
        <f t="array" ref="H1735">_xlfn.IFS(Grammys[[#This Row],[date]] &gt;= DATE(2022,2,1),"Grammys",TRUE,"Grammys TRA")</f>
        <v>Grammys TRA</v>
      </c>
      <c r="I1735">
        <f>_xlfn.XLOOKUP(Grammys[[#This Row],[date]],mobile_visits[date],mobile_visits[mobile_visitors],0)</f>
        <v>0</v>
      </c>
    </row>
    <row r="1736" spans="1:9">
      <c r="A1736" s="1">
        <v>44470</v>
      </c>
      <c r="B1736">
        <v>16866</v>
      </c>
      <c r="C1736">
        <v>29437</v>
      </c>
      <c r="D1736">
        <v>18062</v>
      </c>
      <c r="E1736">
        <v>9660</v>
      </c>
      <c r="F1736">
        <v>81</v>
      </c>
      <c r="G1736" t="s">
        <v>83</v>
      </c>
      <c r="H1736" t="str" cm="1">
        <f t="array" ref="H1736">_xlfn.IFS(Grammys[[#This Row],[date]] &gt;= DATE(2022,2,1),"Grammys",TRUE,"Grammys TRA")</f>
        <v>Grammys TRA</v>
      </c>
      <c r="I1736">
        <f>_xlfn.XLOOKUP(Grammys[[#This Row],[date]],mobile_visits[date],mobile_visits[mobile_visitors],0)</f>
        <v>0</v>
      </c>
    </row>
    <row r="1737" spans="1:9">
      <c r="A1737" s="1">
        <v>44471</v>
      </c>
      <c r="B1737">
        <v>14354</v>
      </c>
      <c r="C1737">
        <v>25539</v>
      </c>
      <c r="D1737">
        <v>15426</v>
      </c>
      <c r="E1737">
        <v>8298</v>
      </c>
      <c r="F1737">
        <v>86</v>
      </c>
      <c r="G1737" t="s">
        <v>83</v>
      </c>
      <c r="H1737" t="str" cm="1">
        <f t="array" ref="H1737">_xlfn.IFS(Grammys[[#This Row],[date]] &gt;= DATE(2022,2,1),"Grammys",TRUE,"Grammys TRA")</f>
        <v>Grammys TRA</v>
      </c>
      <c r="I1737">
        <f>_xlfn.XLOOKUP(Grammys[[#This Row],[date]],mobile_visits[date],mobile_visits[mobile_visitors],0)</f>
        <v>0</v>
      </c>
    </row>
    <row r="1738" spans="1:9">
      <c r="A1738" s="1">
        <v>44472</v>
      </c>
      <c r="B1738">
        <v>13973</v>
      </c>
      <c r="C1738">
        <v>25036</v>
      </c>
      <c r="D1738">
        <v>14979</v>
      </c>
      <c r="E1738">
        <v>8213</v>
      </c>
      <c r="F1738">
        <v>90</v>
      </c>
      <c r="G1738" t="s">
        <v>83</v>
      </c>
      <c r="H1738" t="str" cm="1">
        <f t="array" ref="H1738">_xlfn.IFS(Grammys[[#This Row],[date]] &gt;= DATE(2022,2,1),"Grammys",TRUE,"Grammys TRA")</f>
        <v>Grammys TRA</v>
      </c>
      <c r="I1738">
        <f>_xlfn.XLOOKUP(Grammys[[#This Row],[date]],mobile_visits[date],mobile_visits[mobile_visitors],0)</f>
        <v>0</v>
      </c>
    </row>
    <row r="1739" spans="1:9">
      <c r="A1739" s="1">
        <v>44473</v>
      </c>
      <c r="B1739">
        <v>14434</v>
      </c>
      <c r="C1739">
        <v>26259</v>
      </c>
      <c r="D1739">
        <v>15405</v>
      </c>
      <c r="E1739">
        <v>8273</v>
      </c>
      <c r="F1739">
        <v>86</v>
      </c>
      <c r="G1739" t="s">
        <v>83</v>
      </c>
      <c r="H1739" t="str" cm="1">
        <f t="array" ref="H1739">_xlfn.IFS(Grammys[[#This Row],[date]] &gt;= DATE(2022,2,1),"Grammys",TRUE,"Grammys TRA")</f>
        <v>Grammys TRA</v>
      </c>
      <c r="I1739">
        <f>_xlfn.XLOOKUP(Grammys[[#This Row],[date]],mobile_visits[date],mobile_visits[mobile_visitors],0)</f>
        <v>0</v>
      </c>
    </row>
    <row r="1740" spans="1:9">
      <c r="A1740" s="1">
        <v>44474</v>
      </c>
      <c r="B1740">
        <v>17627</v>
      </c>
      <c r="C1740">
        <v>33093</v>
      </c>
      <c r="D1740">
        <v>18963</v>
      </c>
      <c r="E1740">
        <v>10155</v>
      </c>
      <c r="F1740">
        <v>86</v>
      </c>
      <c r="G1740" t="s">
        <v>83</v>
      </c>
      <c r="H1740" t="str" cm="1">
        <f t="array" ref="H1740">_xlfn.IFS(Grammys[[#This Row],[date]] &gt;= DATE(2022,2,1),"Grammys",TRUE,"Grammys TRA")</f>
        <v>Grammys TRA</v>
      </c>
      <c r="I1740">
        <f>_xlfn.XLOOKUP(Grammys[[#This Row],[date]],mobile_visits[date],mobile_visits[mobile_visitors],0)</f>
        <v>0</v>
      </c>
    </row>
    <row r="1741" spans="1:9">
      <c r="A1741" s="1">
        <v>44475</v>
      </c>
      <c r="B1741">
        <v>16252</v>
      </c>
      <c r="C1741">
        <v>30017</v>
      </c>
      <c r="D1741">
        <v>17451</v>
      </c>
      <c r="E1741">
        <v>9112</v>
      </c>
      <c r="F1741">
        <v>87</v>
      </c>
      <c r="G1741" t="s">
        <v>83</v>
      </c>
      <c r="H1741" t="str" cm="1">
        <f t="array" ref="H1741">_xlfn.IFS(Grammys[[#This Row],[date]] &gt;= DATE(2022,2,1),"Grammys",TRUE,"Grammys TRA")</f>
        <v>Grammys TRA</v>
      </c>
      <c r="I1741">
        <f>_xlfn.XLOOKUP(Grammys[[#This Row],[date]],mobile_visits[date],mobile_visits[mobile_visitors],0)</f>
        <v>0</v>
      </c>
    </row>
    <row r="1742" spans="1:9">
      <c r="A1742" s="1">
        <v>44476</v>
      </c>
      <c r="B1742">
        <v>15260</v>
      </c>
      <c r="C1742">
        <v>27328</v>
      </c>
      <c r="D1742">
        <v>16395</v>
      </c>
      <c r="E1742">
        <v>8516</v>
      </c>
      <c r="F1742">
        <v>90</v>
      </c>
      <c r="G1742" t="s">
        <v>83</v>
      </c>
      <c r="H1742" t="str" cm="1">
        <f t="array" ref="H1742">_xlfn.IFS(Grammys[[#This Row],[date]] &gt;= DATE(2022,2,1),"Grammys",TRUE,"Grammys TRA")</f>
        <v>Grammys TRA</v>
      </c>
      <c r="I1742">
        <f>_xlfn.XLOOKUP(Grammys[[#This Row],[date]],mobile_visits[date],mobile_visits[mobile_visitors],0)</f>
        <v>0</v>
      </c>
    </row>
    <row r="1743" spans="1:9">
      <c r="A1743" s="1">
        <v>44477</v>
      </c>
      <c r="B1743">
        <v>14434</v>
      </c>
      <c r="C1743">
        <v>25515</v>
      </c>
      <c r="D1743">
        <v>15469</v>
      </c>
      <c r="E1743">
        <v>8120</v>
      </c>
      <c r="F1743">
        <v>87</v>
      </c>
      <c r="G1743" t="s">
        <v>83</v>
      </c>
      <c r="H1743" t="str" cm="1">
        <f t="array" ref="H1743">_xlfn.IFS(Grammys[[#This Row],[date]] &gt;= DATE(2022,2,1),"Grammys",TRUE,"Grammys TRA")</f>
        <v>Grammys TRA</v>
      </c>
      <c r="I1743">
        <f>_xlfn.XLOOKUP(Grammys[[#This Row],[date]],mobile_visits[date],mobile_visits[mobile_visitors],0)</f>
        <v>0</v>
      </c>
    </row>
    <row r="1744" spans="1:9">
      <c r="A1744" s="1">
        <v>44478</v>
      </c>
      <c r="B1744">
        <v>12803</v>
      </c>
      <c r="C1744">
        <v>22116</v>
      </c>
      <c r="D1744">
        <v>13559</v>
      </c>
      <c r="E1744">
        <v>7236</v>
      </c>
      <c r="F1744">
        <v>84</v>
      </c>
      <c r="G1744" t="s">
        <v>83</v>
      </c>
      <c r="H1744" t="str" cm="1">
        <f t="array" ref="H1744">_xlfn.IFS(Grammys[[#This Row],[date]] &gt;= DATE(2022,2,1),"Grammys",TRUE,"Grammys TRA")</f>
        <v>Grammys TRA</v>
      </c>
      <c r="I1744">
        <f>_xlfn.XLOOKUP(Grammys[[#This Row],[date]],mobile_visits[date],mobile_visits[mobile_visitors],0)</f>
        <v>0</v>
      </c>
    </row>
    <row r="1745" spans="1:9">
      <c r="A1745" s="1">
        <v>44479</v>
      </c>
      <c r="B1745">
        <v>13880</v>
      </c>
      <c r="C1745">
        <v>23723</v>
      </c>
      <c r="D1745">
        <v>14773</v>
      </c>
      <c r="E1745">
        <v>7446</v>
      </c>
      <c r="F1745">
        <v>88</v>
      </c>
      <c r="G1745" t="s">
        <v>83</v>
      </c>
      <c r="H1745" t="str" cm="1">
        <f t="array" ref="H1745">_xlfn.IFS(Grammys[[#This Row],[date]] &gt;= DATE(2022,2,1),"Grammys",TRUE,"Grammys TRA")</f>
        <v>Grammys TRA</v>
      </c>
      <c r="I1745">
        <f>_xlfn.XLOOKUP(Grammys[[#This Row],[date]],mobile_visits[date],mobile_visits[mobile_visitors],0)</f>
        <v>0</v>
      </c>
    </row>
    <row r="1746" spans="1:9">
      <c r="A1746" s="1">
        <v>44480</v>
      </c>
      <c r="B1746">
        <v>12727</v>
      </c>
      <c r="C1746">
        <v>23469</v>
      </c>
      <c r="D1746">
        <v>13862</v>
      </c>
      <c r="E1746">
        <v>7292</v>
      </c>
      <c r="F1746">
        <v>96</v>
      </c>
      <c r="G1746" t="s">
        <v>83</v>
      </c>
      <c r="H1746" t="str" cm="1">
        <f t="array" ref="H1746">_xlfn.IFS(Grammys[[#This Row],[date]] &gt;= DATE(2022,2,1),"Grammys",TRUE,"Grammys TRA")</f>
        <v>Grammys TRA</v>
      </c>
      <c r="I1746">
        <f>_xlfn.XLOOKUP(Grammys[[#This Row],[date]],mobile_visits[date],mobile_visits[mobile_visitors],0)</f>
        <v>0</v>
      </c>
    </row>
    <row r="1747" spans="1:9">
      <c r="A1747" s="1">
        <v>44481</v>
      </c>
      <c r="B1747">
        <v>13186</v>
      </c>
      <c r="C1747">
        <v>23689</v>
      </c>
      <c r="D1747">
        <v>14214</v>
      </c>
      <c r="E1747">
        <v>7467</v>
      </c>
      <c r="F1747">
        <v>90</v>
      </c>
      <c r="G1747" t="s">
        <v>83</v>
      </c>
      <c r="H1747" t="str" cm="1">
        <f t="array" ref="H1747">_xlfn.IFS(Grammys[[#This Row],[date]] &gt;= DATE(2022,2,1),"Grammys",TRUE,"Grammys TRA")</f>
        <v>Grammys TRA</v>
      </c>
      <c r="I1747">
        <f>_xlfn.XLOOKUP(Grammys[[#This Row],[date]],mobile_visits[date],mobile_visits[mobile_visitors],0)</f>
        <v>0</v>
      </c>
    </row>
    <row r="1748" spans="1:9">
      <c r="A1748" s="1">
        <v>44482</v>
      </c>
      <c r="B1748">
        <v>14952</v>
      </c>
      <c r="C1748">
        <v>27160</v>
      </c>
      <c r="D1748">
        <v>16145</v>
      </c>
      <c r="E1748">
        <v>8083</v>
      </c>
      <c r="F1748">
        <v>95</v>
      </c>
      <c r="G1748" t="s">
        <v>83</v>
      </c>
      <c r="H1748" t="str" cm="1">
        <f t="array" ref="H1748">_xlfn.IFS(Grammys[[#This Row],[date]] &gt;= DATE(2022,2,1),"Grammys",TRUE,"Grammys TRA")</f>
        <v>Grammys TRA</v>
      </c>
      <c r="I1748">
        <f>_xlfn.XLOOKUP(Grammys[[#This Row],[date]],mobile_visits[date],mobile_visits[mobile_visitors],0)</f>
        <v>0</v>
      </c>
    </row>
    <row r="1749" spans="1:9">
      <c r="A1749" s="1">
        <v>44483</v>
      </c>
      <c r="B1749">
        <v>16416</v>
      </c>
      <c r="C1749">
        <v>28787</v>
      </c>
      <c r="D1749">
        <v>17677</v>
      </c>
      <c r="E1749">
        <v>8793</v>
      </c>
      <c r="F1749">
        <v>89</v>
      </c>
      <c r="G1749" t="s">
        <v>83</v>
      </c>
      <c r="H1749" t="str" cm="1">
        <f t="array" ref="H1749">_xlfn.IFS(Grammys[[#This Row],[date]] &gt;= DATE(2022,2,1),"Grammys",TRUE,"Grammys TRA")</f>
        <v>Grammys TRA</v>
      </c>
      <c r="I1749">
        <f>_xlfn.XLOOKUP(Grammys[[#This Row],[date]],mobile_visits[date],mobile_visits[mobile_visitors],0)</f>
        <v>0</v>
      </c>
    </row>
    <row r="1750" spans="1:9">
      <c r="A1750" s="1">
        <v>44484</v>
      </c>
      <c r="B1750">
        <v>16848</v>
      </c>
      <c r="C1750">
        <v>29659</v>
      </c>
      <c r="D1750">
        <v>18037</v>
      </c>
      <c r="E1750">
        <v>8806</v>
      </c>
      <c r="F1750">
        <v>84</v>
      </c>
      <c r="G1750" t="s">
        <v>83</v>
      </c>
      <c r="H1750" t="str" cm="1">
        <f t="array" ref="H1750">_xlfn.IFS(Grammys[[#This Row],[date]] &gt;= DATE(2022,2,1),"Grammys",TRUE,"Grammys TRA")</f>
        <v>Grammys TRA</v>
      </c>
      <c r="I1750">
        <f>_xlfn.XLOOKUP(Grammys[[#This Row],[date]],mobile_visits[date],mobile_visits[mobile_visitors],0)</f>
        <v>0</v>
      </c>
    </row>
    <row r="1751" spans="1:9">
      <c r="A1751" s="1">
        <v>44485</v>
      </c>
      <c r="B1751">
        <v>14601</v>
      </c>
      <c r="C1751">
        <v>25070</v>
      </c>
      <c r="D1751">
        <v>15522</v>
      </c>
      <c r="E1751">
        <v>7765</v>
      </c>
      <c r="F1751">
        <v>84</v>
      </c>
      <c r="G1751" t="s">
        <v>83</v>
      </c>
      <c r="H1751" t="str" cm="1">
        <f t="array" ref="H1751">_xlfn.IFS(Grammys[[#This Row],[date]] &gt;= DATE(2022,2,1),"Grammys",TRUE,"Grammys TRA")</f>
        <v>Grammys TRA</v>
      </c>
      <c r="I1751">
        <f>_xlfn.XLOOKUP(Grammys[[#This Row],[date]],mobile_visits[date],mobile_visits[mobile_visitors],0)</f>
        <v>0</v>
      </c>
    </row>
    <row r="1752" spans="1:9">
      <c r="A1752" s="1">
        <v>44486</v>
      </c>
      <c r="B1752">
        <v>14385</v>
      </c>
      <c r="C1752">
        <v>28575</v>
      </c>
      <c r="D1752">
        <v>15324</v>
      </c>
      <c r="E1752">
        <v>7662</v>
      </c>
      <c r="F1752">
        <v>83</v>
      </c>
      <c r="G1752" t="s">
        <v>83</v>
      </c>
      <c r="H1752" t="str" cm="1">
        <f t="array" ref="H1752">_xlfn.IFS(Grammys[[#This Row],[date]] &gt;= DATE(2022,2,1),"Grammys",TRUE,"Grammys TRA")</f>
        <v>Grammys TRA</v>
      </c>
      <c r="I1752">
        <f>_xlfn.XLOOKUP(Grammys[[#This Row],[date]],mobile_visits[date],mobile_visits[mobile_visitors],0)</f>
        <v>0</v>
      </c>
    </row>
    <row r="1753" spans="1:9">
      <c r="A1753" s="1">
        <v>44487</v>
      </c>
      <c r="B1753">
        <v>13828</v>
      </c>
      <c r="C1753">
        <v>25133</v>
      </c>
      <c r="D1753">
        <v>14918</v>
      </c>
      <c r="E1753">
        <v>7543</v>
      </c>
      <c r="F1753">
        <v>89</v>
      </c>
      <c r="G1753" t="s">
        <v>83</v>
      </c>
      <c r="H1753" t="str" cm="1">
        <f t="array" ref="H1753">_xlfn.IFS(Grammys[[#This Row],[date]] &gt;= DATE(2022,2,1),"Grammys",TRUE,"Grammys TRA")</f>
        <v>Grammys TRA</v>
      </c>
      <c r="I1753">
        <f>_xlfn.XLOOKUP(Grammys[[#This Row],[date]],mobile_visits[date],mobile_visits[mobile_visitors],0)</f>
        <v>0</v>
      </c>
    </row>
    <row r="1754" spans="1:9">
      <c r="A1754" s="1">
        <v>44488</v>
      </c>
      <c r="B1754">
        <v>13821</v>
      </c>
      <c r="C1754">
        <v>25811</v>
      </c>
      <c r="D1754">
        <v>14917</v>
      </c>
      <c r="E1754">
        <v>7645</v>
      </c>
      <c r="F1754">
        <v>91</v>
      </c>
      <c r="G1754" t="s">
        <v>83</v>
      </c>
      <c r="H1754" t="str" cm="1">
        <f t="array" ref="H1754">_xlfn.IFS(Grammys[[#This Row],[date]] &gt;= DATE(2022,2,1),"Grammys",TRUE,"Grammys TRA")</f>
        <v>Grammys TRA</v>
      </c>
      <c r="I1754">
        <f>_xlfn.XLOOKUP(Grammys[[#This Row],[date]],mobile_visits[date],mobile_visits[mobile_visitors],0)</f>
        <v>0</v>
      </c>
    </row>
    <row r="1755" spans="1:9">
      <c r="A1755" s="1">
        <v>44489</v>
      </c>
      <c r="B1755">
        <v>19218</v>
      </c>
      <c r="C1755">
        <v>34142</v>
      </c>
      <c r="D1755">
        <v>20523</v>
      </c>
      <c r="E1755">
        <v>9406</v>
      </c>
      <c r="F1755">
        <v>101</v>
      </c>
      <c r="G1755" t="s">
        <v>83</v>
      </c>
      <c r="H1755" t="str" cm="1">
        <f t="array" ref="H1755">_xlfn.IFS(Grammys[[#This Row],[date]] &gt;= DATE(2022,2,1),"Grammys",TRUE,"Grammys TRA")</f>
        <v>Grammys TRA</v>
      </c>
      <c r="I1755">
        <f>_xlfn.XLOOKUP(Grammys[[#This Row],[date]],mobile_visits[date],mobile_visits[mobile_visitors],0)</f>
        <v>0</v>
      </c>
    </row>
    <row r="1756" spans="1:9">
      <c r="A1756" s="1">
        <v>44490</v>
      </c>
      <c r="B1756">
        <v>17476</v>
      </c>
      <c r="C1756">
        <v>31283</v>
      </c>
      <c r="D1756">
        <v>18675</v>
      </c>
      <c r="E1756">
        <v>9075</v>
      </c>
      <c r="F1756">
        <v>99</v>
      </c>
      <c r="G1756" t="s">
        <v>83</v>
      </c>
      <c r="H1756" t="str" cm="1">
        <f t="array" ref="H1756">_xlfn.IFS(Grammys[[#This Row],[date]] &gt;= DATE(2022,2,1),"Grammys",TRUE,"Grammys TRA")</f>
        <v>Grammys TRA</v>
      </c>
      <c r="I1756">
        <f>_xlfn.XLOOKUP(Grammys[[#This Row],[date]],mobile_visits[date],mobile_visits[mobile_visitors],0)</f>
        <v>0</v>
      </c>
    </row>
    <row r="1757" spans="1:9">
      <c r="A1757" s="1">
        <v>44491</v>
      </c>
      <c r="B1757">
        <v>24507</v>
      </c>
      <c r="C1757">
        <v>43595</v>
      </c>
      <c r="D1757">
        <v>26555</v>
      </c>
      <c r="E1757">
        <v>11948</v>
      </c>
      <c r="F1757">
        <v>102</v>
      </c>
      <c r="G1757" t="s">
        <v>83</v>
      </c>
      <c r="H1757" t="str" cm="1">
        <f t="array" ref="H1757">_xlfn.IFS(Grammys[[#This Row],[date]] &gt;= DATE(2022,2,1),"Grammys",TRUE,"Grammys TRA")</f>
        <v>Grammys TRA</v>
      </c>
      <c r="I1757">
        <f>_xlfn.XLOOKUP(Grammys[[#This Row],[date]],mobile_visits[date],mobile_visits[mobile_visitors],0)</f>
        <v>0</v>
      </c>
    </row>
    <row r="1758" spans="1:9">
      <c r="A1758" s="1">
        <v>44492</v>
      </c>
      <c r="B1758">
        <v>24503</v>
      </c>
      <c r="C1758">
        <v>46855</v>
      </c>
      <c r="D1758">
        <v>27570</v>
      </c>
      <c r="E1758">
        <v>11734</v>
      </c>
      <c r="F1758">
        <v>84</v>
      </c>
      <c r="G1758" t="s">
        <v>83</v>
      </c>
      <c r="H1758" t="str" cm="1">
        <f t="array" ref="H1758">_xlfn.IFS(Grammys[[#This Row],[date]] &gt;= DATE(2022,2,1),"Grammys",TRUE,"Grammys TRA")</f>
        <v>Grammys TRA</v>
      </c>
      <c r="I1758">
        <f>_xlfn.XLOOKUP(Grammys[[#This Row],[date]],mobile_visits[date],mobile_visits[mobile_visitors],0)</f>
        <v>0</v>
      </c>
    </row>
    <row r="1759" spans="1:9">
      <c r="A1759" s="1">
        <v>44493</v>
      </c>
      <c r="B1759">
        <v>23778</v>
      </c>
      <c r="C1759">
        <v>44120</v>
      </c>
      <c r="D1759">
        <v>26221</v>
      </c>
      <c r="E1759">
        <v>11412</v>
      </c>
      <c r="F1759">
        <v>77</v>
      </c>
      <c r="G1759" t="s">
        <v>83</v>
      </c>
      <c r="H1759" t="str" cm="1">
        <f t="array" ref="H1759">_xlfn.IFS(Grammys[[#This Row],[date]] &gt;= DATE(2022,2,1),"Grammys",TRUE,"Grammys TRA")</f>
        <v>Grammys TRA</v>
      </c>
      <c r="I1759">
        <f>_xlfn.XLOOKUP(Grammys[[#This Row],[date]],mobile_visits[date],mobile_visits[mobile_visitors],0)</f>
        <v>0</v>
      </c>
    </row>
    <row r="1760" spans="1:9">
      <c r="A1760" s="1">
        <v>44494</v>
      </c>
      <c r="B1760">
        <v>21696</v>
      </c>
      <c r="C1760">
        <v>39782</v>
      </c>
      <c r="D1760">
        <v>23784</v>
      </c>
      <c r="E1760">
        <v>10853</v>
      </c>
      <c r="F1760">
        <v>85</v>
      </c>
      <c r="G1760" t="s">
        <v>83</v>
      </c>
      <c r="H1760" t="str" cm="1">
        <f t="array" ref="H1760">_xlfn.IFS(Grammys[[#This Row],[date]] &gt;= DATE(2022,2,1),"Grammys",TRUE,"Grammys TRA")</f>
        <v>Grammys TRA</v>
      </c>
      <c r="I1760">
        <f>_xlfn.XLOOKUP(Grammys[[#This Row],[date]],mobile_visits[date],mobile_visits[mobile_visitors],0)</f>
        <v>0</v>
      </c>
    </row>
    <row r="1761" spans="1:9">
      <c r="A1761" s="1">
        <v>44495</v>
      </c>
      <c r="B1761">
        <v>26671</v>
      </c>
      <c r="C1761">
        <v>49262</v>
      </c>
      <c r="D1761">
        <v>29109</v>
      </c>
      <c r="E1761">
        <v>12765</v>
      </c>
      <c r="F1761">
        <v>79</v>
      </c>
      <c r="G1761" t="s">
        <v>83</v>
      </c>
      <c r="H1761" t="str" cm="1">
        <f t="array" ref="H1761">_xlfn.IFS(Grammys[[#This Row],[date]] &gt;= DATE(2022,2,1),"Grammys",TRUE,"Grammys TRA")</f>
        <v>Grammys TRA</v>
      </c>
      <c r="I1761">
        <f>_xlfn.XLOOKUP(Grammys[[#This Row],[date]],mobile_visits[date],mobile_visits[mobile_visitors],0)</f>
        <v>0</v>
      </c>
    </row>
    <row r="1762" spans="1:9">
      <c r="A1762" s="1">
        <v>44496</v>
      </c>
      <c r="B1762">
        <v>23083</v>
      </c>
      <c r="C1762">
        <v>41932</v>
      </c>
      <c r="D1762">
        <v>24961</v>
      </c>
      <c r="E1762">
        <v>11345</v>
      </c>
      <c r="F1762">
        <v>76</v>
      </c>
      <c r="G1762" t="s">
        <v>83</v>
      </c>
      <c r="H1762" t="str" cm="1">
        <f t="array" ref="H1762">_xlfn.IFS(Grammys[[#This Row],[date]] &gt;= DATE(2022,2,1),"Grammys",TRUE,"Grammys TRA")</f>
        <v>Grammys TRA</v>
      </c>
      <c r="I1762">
        <f>_xlfn.XLOOKUP(Grammys[[#This Row],[date]],mobile_visits[date],mobile_visits[mobile_visitors],0)</f>
        <v>0</v>
      </c>
    </row>
    <row r="1763" spans="1:9">
      <c r="A1763" s="1">
        <v>44497</v>
      </c>
      <c r="B1763">
        <v>20450</v>
      </c>
      <c r="C1763">
        <v>38216</v>
      </c>
      <c r="D1763">
        <v>22172</v>
      </c>
      <c r="E1763">
        <v>10177</v>
      </c>
      <c r="F1763">
        <v>83</v>
      </c>
      <c r="G1763" t="s">
        <v>83</v>
      </c>
      <c r="H1763" t="str" cm="1">
        <f t="array" ref="H1763">_xlfn.IFS(Grammys[[#This Row],[date]] &gt;= DATE(2022,2,1),"Grammys",TRUE,"Grammys TRA")</f>
        <v>Grammys TRA</v>
      </c>
      <c r="I1763">
        <f>_xlfn.XLOOKUP(Grammys[[#This Row],[date]],mobile_visits[date],mobile_visits[mobile_visitors],0)</f>
        <v>0</v>
      </c>
    </row>
    <row r="1764" spans="1:9">
      <c r="A1764" s="1">
        <v>44498</v>
      </c>
      <c r="B1764">
        <v>18855</v>
      </c>
      <c r="C1764">
        <v>35107</v>
      </c>
      <c r="D1764">
        <v>20505</v>
      </c>
      <c r="E1764">
        <v>9457</v>
      </c>
      <c r="F1764">
        <v>87</v>
      </c>
      <c r="G1764" t="s">
        <v>83</v>
      </c>
      <c r="H1764" t="str" cm="1">
        <f t="array" ref="H1764">_xlfn.IFS(Grammys[[#This Row],[date]] &gt;= DATE(2022,2,1),"Grammys",TRUE,"Grammys TRA")</f>
        <v>Grammys TRA</v>
      </c>
      <c r="I1764">
        <f>_xlfn.XLOOKUP(Grammys[[#This Row],[date]],mobile_visits[date],mobile_visits[mobile_visitors],0)</f>
        <v>0</v>
      </c>
    </row>
    <row r="1765" spans="1:9">
      <c r="A1765" s="1">
        <v>44499</v>
      </c>
      <c r="B1765">
        <v>16660</v>
      </c>
      <c r="C1765">
        <v>29653</v>
      </c>
      <c r="D1765">
        <v>17902</v>
      </c>
      <c r="E1765">
        <v>8370</v>
      </c>
      <c r="F1765">
        <v>83</v>
      </c>
      <c r="G1765" t="s">
        <v>83</v>
      </c>
      <c r="H1765" t="str" cm="1">
        <f t="array" ref="H1765">_xlfn.IFS(Grammys[[#This Row],[date]] &gt;= DATE(2022,2,1),"Grammys",TRUE,"Grammys TRA")</f>
        <v>Grammys TRA</v>
      </c>
      <c r="I1765">
        <f>_xlfn.XLOOKUP(Grammys[[#This Row],[date]],mobile_visits[date],mobile_visits[mobile_visitors],0)</f>
        <v>0</v>
      </c>
    </row>
    <row r="1766" spans="1:9">
      <c r="A1766" s="1">
        <v>44500</v>
      </c>
      <c r="B1766">
        <v>14657</v>
      </c>
      <c r="C1766">
        <v>27284</v>
      </c>
      <c r="D1766">
        <v>15879</v>
      </c>
      <c r="E1766">
        <v>7661</v>
      </c>
      <c r="F1766">
        <v>84</v>
      </c>
      <c r="G1766" t="s">
        <v>83</v>
      </c>
      <c r="H1766" t="str" cm="1">
        <f t="array" ref="H1766">_xlfn.IFS(Grammys[[#This Row],[date]] &gt;= DATE(2022,2,1),"Grammys",TRUE,"Grammys TRA")</f>
        <v>Grammys TRA</v>
      </c>
      <c r="I1766">
        <f>_xlfn.XLOOKUP(Grammys[[#This Row],[date]],mobile_visits[date],mobile_visits[mobile_visitors],0)</f>
        <v>0</v>
      </c>
    </row>
    <row r="1767" spans="1:9">
      <c r="A1767" s="1">
        <v>44501</v>
      </c>
      <c r="B1767">
        <v>17467</v>
      </c>
      <c r="C1767">
        <v>32774</v>
      </c>
      <c r="D1767">
        <v>18866</v>
      </c>
      <c r="E1767">
        <v>9200</v>
      </c>
      <c r="F1767">
        <v>85</v>
      </c>
      <c r="G1767" t="s">
        <v>83</v>
      </c>
      <c r="H1767" t="str" cm="1">
        <f t="array" ref="H1767">_xlfn.IFS(Grammys[[#This Row],[date]] &gt;= DATE(2022,2,1),"Grammys",TRUE,"Grammys TRA")</f>
        <v>Grammys TRA</v>
      </c>
      <c r="I1767">
        <f>_xlfn.XLOOKUP(Grammys[[#This Row],[date]],mobile_visits[date],mobile_visits[mobile_visitors],0)</f>
        <v>0</v>
      </c>
    </row>
    <row r="1768" spans="1:9">
      <c r="A1768" s="1">
        <v>44502</v>
      </c>
      <c r="B1768">
        <v>18609</v>
      </c>
      <c r="C1768">
        <v>34777</v>
      </c>
      <c r="D1768">
        <v>20202</v>
      </c>
      <c r="E1768">
        <v>9663</v>
      </c>
      <c r="F1768">
        <v>89</v>
      </c>
      <c r="G1768" t="s">
        <v>83</v>
      </c>
      <c r="H1768" t="str" cm="1">
        <f t="array" ref="H1768">_xlfn.IFS(Grammys[[#This Row],[date]] &gt;= DATE(2022,2,1),"Grammys",TRUE,"Grammys TRA")</f>
        <v>Grammys TRA</v>
      </c>
      <c r="I1768">
        <f>_xlfn.XLOOKUP(Grammys[[#This Row],[date]],mobile_visits[date],mobile_visits[mobile_visitors],0)</f>
        <v>0</v>
      </c>
    </row>
    <row r="1769" spans="1:9">
      <c r="A1769" s="1">
        <v>44503</v>
      </c>
      <c r="B1769">
        <v>18498</v>
      </c>
      <c r="C1769">
        <v>34044</v>
      </c>
      <c r="D1769">
        <v>20152</v>
      </c>
      <c r="E1769">
        <v>9817</v>
      </c>
      <c r="F1769">
        <v>84</v>
      </c>
      <c r="G1769" t="s">
        <v>83</v>
      </c>
      <c r="H1769" t="str" cm="1">
        <f t="array" ref="H1769">_xlfn.IFS(Grammys[[#This Row],[date]] &gt;= DATE(2022,2,1),"Grammys",TRUE,"Grammys TRA")</f>
        <v>Grammys TRA</v>
      </c>
      <c r="I1769">
        <f>_xlfn.XLOOKUP(Grammys[[#This Row],[date]],mobile_visits[date],mobile_visits[mobile_visitors],0)</f>
        <v>0</v>
      </c>
    </row>
    <row r="1770" spans="1:9">
      <c r="A1770" s="1">
        <v>44504</v>
      </c>
      <c r="B1770">
        <v>21514</v>
      </c>
      <c r="C1770">
        <v>40260</v>
      </c>
      <c r="D1770">
        <v>23718</v>
      </c>
      <c r="E1770">
        <v>11184</v>
      </c>
      <c r="F1770">
        <v>79</v>
      </c>
      <c r="G1770" t="s">
        <v>83</v>
      </c>
      <c r="H1770" t="str" cm="1">
        <f t="array" ref="H1770">_xlfn.IFS(Grammys[[#This Row],[date]] &gt;= DATE(2022,2,1),"Grammys",TRUE,"Grammys TRA")</f>
        <v>Grammys TRA</v>
      </c>
      <c r="I1770">
        <f>_xlfn.XLOOKUP(Grammys[[#This Row],[date]],mobile_visits[date],mobile_visits[mobile_visitors],0)</f>
        <v>0</v>
      </c>
    </row>
    <row r="1771" spans="1:9">
      <c r="A1771" s="1">
        <v>44505</v>
      </c>
      <c r="B1771">
        <v>21038</v>
      </c>
      <c r="C1771">
        <v>39601</v>
      </c>
      <c r="D1771">
        <v>22990</v>
      </c>
      <c r="E1771">
        <v>10774</v>
      </c>
      <c r="F1771">
        <v>84</v>
      </c>
      <c r="G1771" t="s">
        <v>83</v>
      </c>
      <c r="H1771" t="str" cm="1">
        <f t="array" ref="H1771">_xlfn.IFS(Grammys[[#This Row],[date]] &gt;= DATE(2022,2,1),"Grammys",TRUE,"Grammys TRA")</f>
        <v>Grammys TRA</v>
      </c>
      <c r="I1771">
        <f>_xlfn.XLOOKUP(Grammys[[#This Row],[date]],mobile_visits[date],mobile_visits[mobile_visitors],0)</f>
        <v>0</v>
      </c>
    </row>
    <row r="1772" spans="1:9">
      <c r="A1772" s="1">
        <v>44506</v>
      </c>
      <c r="B1772">
        <v>16424</v>
      </c>
      <c r="C1772">
        <v>28301</v>
      </c>
      <c r="D1772">
        <v>17611</v>
      </c>
      <c r="E1772">
        <v>9218</v>
      </c>
      <c r="F1772">
        <v>72</v>
      </c>
      <c r="G1772" t="s">
        <v>83</v>
      </c>
      <c r="H1772" t="str" cm="1">
        <f t="array" ref="H1772">_xlfn.IFS(Grammys[[#This Row],[date]] &gt;= DATE(2022,2,1),"Grammys",TRUE,"Grammys TRA")</f>
        <v>Grammys TRA</v>
      </c>
      <c r="I1772">
        <f>_xlfn.XLOOKUP(Grammys[[#This Row],[date]],mobile_visits[date],mobile_visits[mobile_visitors],0)</f>
        <v>0</v>
      </c>
    </row>
    <row r="1773" spans="1:9">
      <c r="A1773" s="1">
        <v>44507</v>
      </c>
      <c r="B1773">
        <v>15679</v>
      </c>
      <c r="C1773">
        <v>27108</v>
      </c>
      <c r="D1773">
        <v>16806</v>
      </c>
      <c r="E1773">
        <v>8736</v>
      </c>
      <c r="F1773">
        <v>72</v>
      </c>
      <c r="G1773" t="s">
        <v>83</v>
      </c>
      <c r="H1773" t="str" cm="1">
        <f t="array" ref="H1773">_xlfn.IFS(Grammys[[#This Row],[date]] &gt;= DATE(2022,2,1),"Grammys",TRUE,"Grammys TRA")</f>
        <v>Grammys TRA</v>
      </c>
      <c r="I1773">
        <f>_xlfn.XLOOKUP(Grammys[[#This Row],[date]],mobile_visits[date],mobile_visits[mobile_visitors],0)</f>
        <v>0</v>
      </c>
    </row>
    <row r="1774" spans="1:9">
      <c r="A1774" s="1">
        <v>44508</v>
      </c>
      <c r="B1774">
        <v>17045</v>
      </c>
      <c r="C1774">
        <v>30646</v>
      </c>
      <c r="D1774">
        <v>18222</v>
      </c>
      <c r="E1774">
        <v>9071</v>
      </c>
      <c r="F1774">
        <v>91</v>
      </c>
      <c r="G1774" t="s">
        <v>83</v>
      </c>
      <c r="H1774" t="str" cm="1">
        <f t="array" ref="H1774">_xlfn.IFS(Grammys[[#This Row],[date]] &gt;= DATE(2022,2,1),"Grammys",TRUE,"Grammys TRA")</f>
        <v>Grammys TRA</v>
      </c>
      <c r="I1774">
        <f>_xlfn.XLOOKUP(Grammys[[#This Row],[date]],mobile_visits[date],mobile_visits[mobile_visitors],0)</f>
        <v>0</v>
      </c>
    </row>
    <row r="1775" spans="1:9">
      <c r="A1775" s="1">
        <v>44509</v>
      </c>
      <c r="B1775">
        <v>21813</v>
      </c>
      <c r="C1775">
        <v>37060</v>
      </c>
      <c r="D1775">
        <v>23289</v>
      </c>
      <c r="E1775">
        <v>10755</v>
      </c>
      <c r="F1775">
        <v>141</v>
      </c>
      <c r="G1775" t="s">
        <v>83</v>
      </c>
      <c r="H1775" t="str" cm="1">
        <f t="array" ref="H1775">_xlfn.IFS(Grammys[[#This Row],[date]] &gt;= DATE(2022,2,1),"Grammys",TRUE,"Grammys TRA")</f>
        <v>Grammys TRA</v>
      </c>
      <c r="I1775">
        <f>_xlfn.XLOOKUP(Grammys[[#This Row],[date]],mobile_visits[date],mobile_visits[mobile_visitors],0)</f>
        <v>0</v>
      </c>
    </row>
    <row r="1776" spans="1:9">
      <c r="A1776" s="1">
        <v>44510</v>
      </c>
      <c r="B1776">
        <v>20062</v>
      </c>
      <c r="C1776">
        <v>33961</v>
      </c>
      <c r="D1776">
        <v>21401</v>
      </c>
      <c r="E1776">
        <v>10395</v>
      </c>
      <c r="F1776">
        <v>111</v>
      </c>
      <c r="G1776" t="s">
        <v>83</v>
      </c>
      <c r="H1776" t="str" cm="1">
        <f t="array" ref="H1776">_xlfn.IFS(Grammys[[#This Row],[date]] &gt;= DATE(2022,2,1),"Grammys",TRUE,"Grammys TRA")</f>
        <v>Grammys TRA</v>
      </c>
      <c r="I1776">
        <f>_xlfn.XLOOKUP(Grammys[[#This Row],[date]],mobile_visits[date],mobile_visits[mobile_visitors],0)</f>
        <v>0</v>
      </c>
    </row>
    <row r="1777" spans="1:9">
      <c r="A1777" s="1">
        <v>44511</v>
      </c>
      <c r="B1777">
        <v>19411</v>
      </c>
      <c r="C1777">
        <v>33307</v>
      </c>
      <c r="D1777">
        <v>20800</v>
      </c>
      <c r="E1777">
        <v>10461</v>
      </c>
      <c r="F1777">
        <v>92</v>
      </c>
      <c r="G1777" t="s">
        <v>83</v>
      </c>
      <c r="H1777" t="str" cm="1">
        <f t="array" ref="H1777">_xlfn.IFS(Grammys[[#This Row],[date]] &gt;= DATE(2022,2,1),"Grammys",TRUE,"Grammys TRA")</f>
        <v>Grammys TRA</v>
      </c>
      <c r="I1777">
        <f>_xlfn.XLOOKUP(Grammys[[#This Row],[date]],mobile_visits[date],mobile_visits[mobile_visitors],0)</f>
        <v>0</v>
      </c>
    </row>
    <row r="1778" spans="1:9">
      <c r="A1778" s="1">
        <v>44512</v>
      </c>
      <c r="B1778">
        <v>21058</v>
      </c>
      <c r="C1778">
        <v>35006</v>
      </c>
      <c r="D1778">
        <v>22428</v>
      </c>
      <c r="E1778">
        <v>11537</v>
      </c>
      <c r="F1778">
        <v>83</v>
      </c>
      <c r="G1778" t="s">
        <v>83</v>
      </c>
      <c r="H1778" t="str" cm="1">
        <f t="array" ref="H1778">_xlfn.IFS(Grammys[[#This Row],[date]] &gt;= DATE(2022,2,1),"Grammys",TRUE,"Grammys TRA")</f>
        <v>Grammys TRA</v>
      </c>
      <c r="I1778">
        <f>_xlfn.XLOOKUP(Grammys[[#This Row],[date]],mobile_visits[date],mobile_visits[mobile_visitors],0)</f>
        <v>0</v>
      </c>
    </row>
    <row r="1779" spans="1:9">
      <c r="A1779" s="1">
        <v>44513</v>
      </c>
      <c r="B1779">
        <v>19256</v>
      </c>
      <c r="C1779">
        <v>31787</v>
      </c>
      <c r="D1779">
        <v>20508</v>
      </c>
      <c r="E1779">
        <v>10074</v>
      </c>
      <c r="F1779">
        <v>87</v>
      </c>
      <c r="G1779" t="s">
        <v>83</v>
      </c>
      <c r="H1779" t="str" cm="1">
        <f t="array" ref="H1779">_xlfn.IFS(Grammys[[#This Row],[date]] &gt;= DATE(2022,2,1),"Grammys",TRUE,"Grammys TRA")</f>
        <v>Grammys TRA</v>
      </c>
      <c r="I1779">
        <f>_xlfn.XLOOKUP(Grammys[[#This Row],[date]],mobile_visits[date],mobile_visits[mobile_visitors],0)</f>
        <v>0</v>
      </c>
    </row>
    <row r="1780" spans="1:9">
      <c r="A1780" s="1">
        <v>44514</v>
      </c>
      <c r="B1780">
        <v>19955</v>
      </c>
      <c r="C1780">
        <v>33316</v>
      </c>
      <c r="D1780">
        <v>21130</v>
      </c>
      <c r="E1780">
        <v>10502</v>
      </c>
      <c r="F1780">
        <v>81</v>
      </c>
      <c r="G1780" t="s">
        <v>83</v>
      </c>
      <c r="H1780" t="str" cm="1">
        <f t="array" ref="H1780">_xlfn.IFS(Grammys[[#This Row],[date]] &gt;= DATE(2022,2,1),"Grammys",TRUE,"Grammys TRA")</f>
        <v>Grammys TRA</v>
      </c>
      <c r="I1780">
        <f>_xlfn.XLOOKUP(Grammys[[#This Row],[date]],mobile_visits[date],mobile_visits[mobile_visitors],0)</f>
        <v>0</v>
      </c>
    </row>
    <row r="1781" spans="1:9">
      <c r="A1781" s="1">
        <v>44515</v>
      </c>
      <c r="B1781">
        <v>19645</v>
      </c>
      <c r="C1781">
        <v>34870</v>
      </c>
      <c r="D1781">
        <v>21254</v>
      </c>
      <c r="E1781">
        <v>10730</v>
      </c>
      <c r="F1781">
        <v>82</v>
      </c>
      <c r="G1781" t="s">
        <v>83</v>
      </c>
      <c r="H1781" t="str" cm="1">
        <f t="array" ref="H1781">_xlfn.IFS(Grammys[[#This Row],[date]] &gt;= DATE(2022,2,1),"Grammys",TRUE,"Grammys TRA")</f>
        <v>Grammys TRA</v>
      </c>
      <c r="I1781">
        <f>_xlfn.XLOOKUP(Grammys[[#This Row],[date]],mobile_visits[date],mobile_visits[mobile_visitors],0)</f>
        <v>0</v>
      </c>
    </row>
    <row r="1782" spans="1:9">
      <c r="A1782" s="1">
        <v>44516</v>
      </c>
      <c r="B1782">
        <v>20371</v>
      </c>
      <c r="C1782">
        <v>35957</v>
      </c>
      <c r="D1782">
        <v>21793</v>
      </c>
      <c r="E1782">
        <v>10951</v>
      </c>
      <c r="F1782">
        <v>77</v>
      </c>
      <c r="G1782" t="s">
        <v>83</v>
      </c>
      <c r="H1782" t="str" cm="1">
        <f t="array" ref="H1782">_xlfn.IFS(Grammys[[#This Row],[date]] &gt;= DATE(2022,2,1),"Grammys",TRUE,"Grammys TRA")</f>
        <v>Grammys TRA</v>
      </c>
      <c r="I1782">
        <f>_xlfn.XLOOKUP(Grammys[[#This Row],[date]],mobile_visits[date],mobile_visits[mobile_visitors],0)</f>
        <v>0</v>
      </c>
    </row>
    <row r="1783" spans="1:9">
      <c r="A1783" s="1">
        <v>44517</v>
      </c>
      <c r="B1783">
        <v>21128</v>
      </c>
      <c r="C1783">
        <v>37176</v>
      </c>
      <c r="D1783">
        <v>23041</v>
      </c>
      <c r="E1783">
        <v>11590</v>
      </c>
      <c r="F1783">
        <v>79</v>
      </c>
      <c r="G1783" t="s">
        <v>83</v>
      </c>
      <c r="H1783" t="str" cm="1">
        <f t="array" ref="H1783">_xlfn.IFS(Grammys[[#This Row],[date]] &gt;= DATE(2022,2,1),"Grammys",TRUE,"Grammys TRA")</f>
        <v>Grammys TRA</v>
      </c>
      <c r="I1783">
        <f>_xlfn.XLOOKUP(Grammys[[#This Row],[date]],mobile_visits[date],mobile_visits[mobile_visitors],0)</f>
        <v>0</v>
      </c>
    </row>
    <row r="1784" spans="1:9">
      <c r="A1784" s="1">
        <v>44518</v>
      </c>
      <c r="B1784">
        <v>29453</v>
      </c>
      <c r="C1784">
        <v>49787</v>
      </c>
      <c r="D1784">
        <v>31573</v>
      </c>
      <c r="E1784">
        <v>16662</v>
      </c>
      <c r="F1784">
        <v>74</v>
      </c>
      <c r="G1784" t="s">
        <v>83</v>
      </c>
      <c r="H1784" t="str" cm="1">
        <f t="array" ref="H1784">_xlfn.IFS(Grammys[[#This Row],[date]] &gt;= DATE(2022,2,1),"Grammys",TRUE,"Grammys TRA")</f>
        <v>Grammys TRA</v>
      </c>
      <c r="I1784">
        <f>_xlfn.XLOOKUP(Grammys[[#This Row],[date]],mobile_visits[date],mobile_visits[mobile_visitors],0)</f>
        <v>0</v>
      </c>
    </row>
    <row r="1785" spans="1:9">
      <c r="A1785" s="1">
        <v>44519</v>
      </c>
      <c r="B1785">
        <v>23814</v>
      </c>
      <c r="C1785">
        <v>42481</v>
      </c>
      <c r="D1785">
        <v>25899</v>
      </c>
      <c r="E1785">
        <v>13743</v>
      </c>
      <c r="F1785">
        <v>79</v>
      </c>
      <c r="G1785" t="s">
        <v>83</v>
      </c>
      <c r="H1785" t="str" cm="1">
        <f t="array" ref="H1785">_xlfn.IFS(Grammys[[#This Row],[date]] &gt;= DATE(2022,2,1),"Grammys",TRUE,"Grammys TRA")</f>
        <v>Grammys TRA</v>
      </c>
      <c r="I1785">
        <f>_xlfn.XLOOKUP(Grammys[[#This Row],[date]],mobile_visits[date],mobile_visits[mobile_visitors],0)</f>
        <v>0</v>
      </c>
    </row>
    <row r="1786" spans="1:9">
      <c r="A1786" s="1">
        <v>44520</v>
      </c>
      <c r="B1786">
        <v>19383</v>
      </c>
      <c r="C1786">
        <v>32215</v>
      </c>
      <c r="D1786">
        <v>20686</v>
      </c>
      <c r="E1786">
        <v>11084</v>
      </c>
      <c r="F1786">
        <v>75</v>
      </c>
      <c r="G1786" t="s">
        <v>83</v>
      </c>
      <c r="H1786" t="str" cm="1">
        <f t="array" ref="H1786">_xlfn.IFS(Grammys[[#This Row],[date]] &gt;= DATE(2022,2,1),"Grammys",TRUE,"Grammys TRA")</f>
        <v>Grammys TRA</v>
      </c>
      <c r="I1786">
        <f>_xlfn.XLOOKUP(Grammys[[#This Row],[date]],mobile_visits[date],mobile_visits[mobile_visitors],0)</f>
        <v>0</v>
      </c>
    </row>
    <row r="1787" spans="1:9">
      <c r="A1787" s="1">
        <v>44521</v>
      </c>
      <c r="B1787">
        <v>26549</v>
      </c>
      <c r="C1787">
        <v>45972</v>
      </c>
      <c r="D1787">
        <v>28520</v>
      </c>
      <c r="E1787">
        <v>14586</v>
      </c>
      <c r="F1787">
        <v>71</v>
      </c>
      <c r="G1787" t="s">
        <v>83</v>
      </c>
      <c r="H1787" t="str" cm="1">
        <f t="array" ref="H1787">_xlfn.IFS(Grammys[[#This Row],[date]] &gt;= DATE(2022,2,1),"Grammys",TRUE,"Grammys TRA")</f>
        <v>Grammys TRA</v>
      </c>
      <c r="I1787">
        <f>_xlfn.XLOOKUP(Grammys[[#This Row],[date]],mobile_visits[date],mobile_visits[mobile_visitors],0)</f>
        <v>0</v>
      </c>
    </row>
    <row r="1788" spans="1:9">
      <c r="A1788" s="1">
        <v>44522</v>
      </c>
      <c r="B1788">
        <v>48798</v>
      </c>
      <c r="C1788">
        <v>89115</v>
      </c>
      <c r="D1788">
        <v>53149</v>
      </c>
      <c r="E1788">
        <v>22185</v>
      </c>
      <c r="F1788">
        <v>78</v>
      </c>
      <c r="G1788" t="s">
        <v>85</v>
      </c>
      <c r="H1788" t="str" cm="1">
        <f t="array" ref="H1788">_xlfn.IFS(Grammys[[#This Row],[date]] &gt;= DATE(2022,2,1),"Grammys",TRUE,"Grammys TRA")</f>
        <v>Grammys TRA</v>
      </c>
      <c r="I1788">
        <f>_xlfn.XLOOKUP(Grammys[[#This Row],[date]],mobile_visits[date],mobile_visits[mobile_visitors],0)</f>
        <v>0</v>
      </c>
    </row>
    <row r="1789" spans="1:9">
      <c r="A1789" s="1">
        <v>44523</v>
      </c>
      <c r="B1789">
        <v>1003504</v>
      </c>
      <c r="C1789">
        <v>1894717</v>
      </c>
      <c r="D1789">
        <v>1139162</v>
      </c>
      <c r="E1789">
        <v>336053</v>
      </c>
      <c r="F1789">
        <v>147</v>
      </c>
      <c r="G1789" t="s">
        <v>83</v>
      </c>
      <c r="H1789" t="str" cm="1">
        <f t="array" ref="H1789">_xlfn.IFS(Grammys[[#This Row],[date]] &gt;= DATE(2022,2,1),"Grammys",TRUE,"Grammys TRA")</f>
        <v>Grammys TRA</v>
      </c>
      <c r="I1789">
        <f>_xlfn.XLOOKUP(Grammys[[#This Row],[date]],mobile_visits[date],mobile_visits[mobile_visitors],0)</f>
        <v>0</v>
      </c>
    </row>
    <row r="1790" spans="1:9">
      <c r="A1790" s="1">
        <v>44524</v>
      </c>
      <c r="B1790">
        <v>414730</v>
      </c>
      <c r="C1790">
        <v>711688</v>
      </c>
      <c r="D1790">
        <v>459412</v>
      </c>
      <c r="E1790">
        <v>183627</v>
      </c>
      <c r="F1790">
        <v>128</v>
      </c>
      <c r="G1790" t="s">
        <v>83</v>
      </c>
      <c r="H1790" t="str" cm="1">
        <f t="array" ref="H1790">_xlfn.IFS(Grammys[[#This Row],[date]] &gt;= DATE(2022,2,1),"Grammys",TRUE,"Grammys TRA")</f>
        <v>Grammys TRA</v>
      </c>
      <c r="I1790">
        <f>_xlfn.XLOOKUP(Grammys[[#This Row],[date]],mobile_visits[date],mobile_visits[mobile_visitors],0)</f>
        <v>0</v>
      </c>
    </row>
    <row r="1791" spans="1:9">
      <c r="A1791" s="1">
        <v>44525</v>
      </c>
      <c r="B1791">
        <v>144668</v>
      </c>
      <c r="C1791">
        <v>258031</v>
      </c>
      <c r="D1791">
        <v>162235</v>
      </c>
      <c r="E1791">
        <v>70930</v>
      </c>
      <c r="F1791">
        <v>121</v>
      </c>
      <c r="G1791" t="s">
        <v>83</v>
      </c>
      <c r="H1791" t="str" cm="1">
        <f t="array" ref="H1791">_xlfn.IFS(Grammys[[#This Row],[date]] &gt;= DATE(2022,2,1),"Grammys",TRUE,"Grammys TRA")</f>
        <v>Grammys TRA</v>
      </c>
      <c r="I1791">
        <f>_xlfn.XLOOKUP(Grammys[[#This Row],[date]],mobile_visits[date],mobile_visits[mobile_visitors],0)</f>
        <v>0</v>
      </c>
    </row>
    <row r="1792" spans="1:9">
      <c r="A1792" s="1">
        <v>44526</v>
      </c>
      <c r="B1792">
        <v>99395</v>
      </c>
      <c r="C1792">
        <v>179326</v>
      </c>
      <c r="D1792">
        <v>109041</v>
      </c>
      <c r="E1792">
        <v>47608</v>
      </c>
      <c r="F1792">
        <v>116</v>
      </c>
      <c r="G1792" t="s">
        <v>83</v>
      </c>
      <c r="H1792" t="str" cm="1">
        <f t="array" ref="H1792">_xlfn.IFS(Grammys[[#This Row],[date]] &gt;= DATE(2022,2,1),"Grammys",TRUE,"Grammys TRA")</f>
        <v>Grammys TRA</v>
      </c>
      <c r="I1792">
        <f>_xlfn.XLOOKUP(Grammys[[#This Row],[date]],mobile_visits[date],mobile_visits[mobile_visitors],0)</f>
        <v>0</v>
      </c>
    </row>
    <row r="1793" spans="1:9">
      <c r="A1793" s="1">
        <v>44527</v>
      </c>
      <c r="B1793">
        <v>75306</v>
      </c>
      <c r="C1793">
        <v>132900</v>
      </c>
      <c r="D1793">
        <v>82460</v>
      </c>
      <c r="E1793">
        <v>36374</v>
      </c>
      <c r="F1793">
        <v>120</v>
      </c>
      <c r="G1793" t="s">
        <v>83</v>
      </c>
      <c r="H1793" t="str" cm="1">
        <f t="array" ref="H1793">_xlfn.IFS(Grammys[[#This Row],[date]] &gt;= DATE(2022,2,1),"Grammys",TRUE,"Grammys TRA")</f>
        <v>Grammys TRA</v>
      </c>
      <c r="I1793">
        <f>_xlfn.XLOOKUP(Grammys[[#This Row],[date]],mobile_visits[date],mobile_visits[mobile_visitors],0)</f>
        <v>0</v>
      </c>
    </row>
    <row r="1794" spans="1:9">
      <c r="A1794" s="1">
        <v>44528</v>
      </c>
      <c r="B1794">
        <v>66848</v>
      </c>
      <c r="C1794">
        <v>120251</v>
      </c>
      <c r="D1794">
        <v>73229</v>
      </c>
      <c r="E1794">
        <v>31628</v>
      </c>
      <c r="F1794">
        <v>118</v>
      </c>
      <c r="G1794" t="s">
        <v>83</v>
      </c>
      <c r="H1794" t="str" cm="1">
        <f t="array" ref="H1794">_xlfn.IFS(Grammys[[#This Row],[date]] &gt;= DATE(2022,2,1),"Grammys",TRUE,"Grammys TRA")</f>
        <v>Grammys TRA</v>
      </c>
      <c r="I1794">
        <f>_xlfn.XLOOKUP(Grammys[[#This Row],[date]],mobile_visits[date],mobile_visits[mobile_visitors],0)</f>
        <v>0</v>
      </c>
    </row>
    <row r="1795" spans="1:9">
      <c r="A1795" s="1">
        <v>44529</v>
      </c>
      <c r="B1795">
        <v>58110</v>
      </c>
      <c r="C1795">
        <v>108988</v>
      </c>
      <c r="D1795">
        <v>63367</v>
      </c>
      <c r="E1795">
        <v>27362</v>
      </c>
      <c r="F1795">
        <v>123</v>
      </c>
      <c r="G1795" t="s">
        <v>83</v>
      </c>
      <c r="H1795" t="str" cm="1">
        <f t="array" ref="H1795">_xlfn.IFS(Grammys[[#This Row],[date]] &gt;= DATE(2022,2,1),"Grammys",TRUE,"Grammys TRA")</f>
        <v>Grammys TRA</v>
      </c>
      <c r="I1795">
        <f>_xlfn.XLOOKUP(Grammys[[#This Row],[date]],mobile_visits[date],mobile_visits[mobile_visitors],0)</f>
        <v>0</v>
      </c>
    </row>
    <row r="1796" spans="1:9">
      <c r="A1796" s="1">
        <v>44530</v>
      </c>
      <c r="B1796">
        <v>48440</v>
      </c>
      <c r="C1796">
        <v>88931</v>
      </c>
      <c r="D1796">
        <v>53457</v>
      </c>
      <c r="E1796">
        <v>24013</v>
      </c>
      <c r="F1796">
        <v>118</v>
      </c>
      <c r="G1796" t="s">
        <v>83</v>
      </c>
      <c r="H1796" t="str" cm="1">
        <f t="array" ref="H1796">_xlfn.IFS(Grammys[[#This Row],[date]] &gt;= DATE(2022,2,1),"Grammys",TRUE,"Grammys TRA")</f>
        <v>Grammys TRA</v>
      </c>
      <c r="I1796">
        <f>_xlfn.XLOOKUP(Grammys[[#This Row],[date]],mobile_visits[date],mobile_visits[mobile_visitors],0)</f>
        <v>0</v>
      </c>
    </row>
    <row r="1797" spans="1:9">
      <c r="A1797" s="1">
        <v>44531</v>
      </c>
      <c r="B1797">
        <v>45485</v>
      </c>
      <c r="C1797">
        <v>84789</v>
      </c>
      <c r="D1797">
        <v>50039</v>
      </c>
      <c r="E1797">
        <v>22908</v>
      </c>
      <c r="F1797">
        <v>110</v>
      </c>
      <c r="G1797" t="s">
        <v>83</v>
      </c>
      <c r="H1797" t="str" cm="1">
        <f t="array" ref="H1797">_xlfn.IFS(Grammys[[#This Row],[date]] &gt;= DATE(2022,2,1),"Grammys",TRUE,"Grammys TRA")</f>
        <v>Grammys TRA</v>
      </c>
      <c r="I1797">
        <f>_xlfn.XLOOKUP(Grammys[[#This Row],[date]],mobile_visits[date],mobile_visits[mobile_visitors],0)</f>
        <v>0</v>
      </c>
    </row>
    <row r="1798" spans="1:9">
      <c r="A1798" s="1">
        <v>44532</v>
      </c>
      <c r="B1798">
        <v>39226</v>
      </c>
      <c r="C1798">
        <v>73000</v>
      </c>
      <c r="D1798">
        <v>43337</v>
      </c>
      <c r="E1798">
        <v>20538</v>
      </c>
      <c r="F1798">
        <v>103</v>
      </c>
      <c r="G1798" t="s">
        <v>83</v>
      </c>
      <c r="H1798" t="str" cm="1">
        <f t="array" ref="H1798">_xlfn.IFS(Grammys[[#This Row],[date]] &gt;= DATE(2022,2,1),"Grammys",TRUE,"Grammys TRA")</f>
        <v>Grammys TRA</v>
      </c>
      <c r="I1798">
        <f>_xlfn.XLOOKUP(Grammys[[#This Row],[date]],mobile_visits[date],mobile_visits[mobile_visitors],0)</f>
        <v>0</v>
      </c>
    </row>
    <row r="1799" spans="1:9">
      <c r="A1799" s="1">
        <v>44533</v>
      </c>
      <c r="B1799">
        <v>34250</v>
      </c>
      <c r="C1799">
        <v>63092</v>
      </c>
      <c r="D1799">
        <v>38030</v>
      </c>
      <c r="E1799">
        <v>18342</v>
      </c>
      <c r="F1799">
        <v>106</v>
      </c>
      <c r="G1799" t="s">
        <v>83</v>
      </c>
      <c r="H1799" t="str" cm="1">
        <f t="array" ref="H1799">_xlfn.IFS(Grammys[[#This Row],[date]] &gt;= DATE(2022,2,1),"Grammys",TRUE,"Grammys TRA")</f>
        <v>Grammys TRA</v>
      </c>
      <c r="I1799">
        <f>_xlfn.XLOOKUP(Grammys[[#This Row],[date]],mobile_visits[date],mobile_visits[mobile_visitors],0)</f>
        <v>0</v>
      </c>
    </row>
    <row r="1800" spans="1:9">
      <c r="A1800" s="1">
        <v>44534</v>
      </c>
      <c r="B1800">
        <v>31242</v>
      </c>
      <c r="C1800">
        <v>55453</v>
      </c>
      <c r="D1800">
        <v>34124</v>
      </c>
      <c r="E1800">
        <v>16479</v>
      </c>
      <c r="F1800">
        <v>106</v>
      </c>
      <c r="G1800" t="s">
        <v>83</v>
      </c>
      <c r="H1800" t="str" cm="1">
        <f t="array" ref="H1800">_xlfn.IFS(Grammys[[#This Row],[date]] &gt;= DATE(2022,2,1),"Grammys",TRUE,"Grammys TRA")</f>
        <v>Grammys TRA</v>
      </c>
      <c r="I1800">
        <f>_xlfn.XLOOKUP(Grammys[[#This Row],[date]],mobile_visits[date],mobile_visits[mobile_visitors],0)</f>
        <v>0</v>
      </c>
    </row>
    <row r="1801" spans="1:9">
      <c r="A1801" s="1">
        <v>44535</v>
      </c>
      <c r="B1801">
        <v>32553</v>
      </c>
      <c r="C1801">
        <v>59475</v>
      </c>
      <c r="D1801">
        <v>35681</v>
      </c>
      <c r="E1801">
        <v>17556</v>
      </c>
      <c r="F1801">
        <v>107</v>
      </c>
      <c r="G1801" t="s">
        <v>83</v>
      </c>
      <c r="H1801" t="str" cm="1">
        <f t="array" ref="H1801">_xlfn.IFS(Grammys[[#This Row],[date]] &gt;= DATE(2022,2,1),"Grammys",TRUE,"Grammys TRA")</f>
        <v>Grammys TRA</v>
      </c>
      <c r="I1801">
        <f>_xlfn.XLOOKUP(Grammys[[#This Row],[date]],mobile_visits[date],mobile_visits[mobile_visitors],0)</f>
        <v>0</v>
      </c>
    </row>
    <row r="1802" spans="1:9">
      <c r="A1802" s="1">
        <v>44536</v>
      </c>
      <c r="B1802">
        <v>43623</v>
      </c>
      <c r="C1802">
        <v>81820</v>
      </c>
      <c r="D1802">
        <v>48175</v>
      </c>
      <c r="E1802">
        <v>22262</v>
      </c>
      <c r="F1802">
        <v>105</v>
      </c>
      <c r="G1802" t="s">
        <v>83</v>
      </c>
      <c r="H1802" t="str" cm="1">
        <f t="array" ref="H1802">_xlfn.IFS(Grammys[[#This Row],[date]] &gt;= DATE(2022,2,1),"Grammys",TRUE,"Grammys TRA")</f>
        <v>Grammys TRA</v>
      </c>
      <c r="I1802">
        <f>_xlfn.XLOOKUP(Grammys[[#This Row],[date]],mobile_visits[date],mobile_visits[mobile_visitors],0)</f>
        <v>0</v>
      </c>
    </row>
    <row r="1803" spans="1:9">
      <c r="A1803" s="1">
        <v>44537</v>
      </c>
      <c r="B1803">
        <v>42044</v>
      </c>
      <c r="C1803">
        <v>78539</v>
      </c>
      <c r="D1803">
        <v>46259</v>
      </c>
      <c r="E1803">
        <v>21418</v>
      </c>
      <c r="F1803">
        <v>104</v>
      </c>
      <c r="G1803" t="s">
        <v>83</v>
      </c>
      <c r="H1803" t="str" cm="1">
        <f t="array" ref="H1803">_xlfn.IFS(Grammys[[#This Row],[date]] &gt;= DATE(2022,2,1),"Grammys",TRUE,"Grammys TRA")</f>
        <v>Grammys TRA</v>
      </c>
      <c r="I1803">
        <f>_xlfn.XLOOKUP(Grammys[[#This Row],[date]],mobile_visits[date],mobile_visits[mobile_visitors],0)</f>
        <v>0</v>
      </c>
    </row>
    <row r="1804" spans="1:9">
      <c r="A1804" s="1">
        <v>44538</v>
      </c>
      <c r="B1804">
        <v>32332</v>
      </c>
      <c r="C1804">
        <v>62197</v>
      </c>
      <c r="D1804">
        <v>35880</v>
      </c>
      <c r="E1804">
        <v>16685</v>
      </c>
      <c r="F1804">
        <v>116</v>
      </c>
      <c r="G1804" t="s">
        <v>83</v>
      </c>
      <c r="H1804" t="str" cm="1">
        <f t="array" ref="H1804">_xlfn.IFS(Grammys[[#This Row],[date]] &gt;= DATE(2022,2,1),"Grammys",TRUE,"Grammys TRA")</f>
        <v>Grammys TRA</v>
      </c>
      <c r="I1804">
        <f>_xlfn.XLOOKUP(Grammys[[#This Row],[date]],mobile_visits[date],mobile_visits[mobile_visitors],0)</f>
        <v>0</v>
      </c>
    </row>
    <row r="1805" spans="1:9">
      <c r="A1805" s="1">
        <v>44539</v>
      </c>
      <c r="B1805">
        <v>28173</v>
      </c>
      <c r="C1805">
        <v>53624</v>
      </c>
      <c r="D1805">
        <v>31029</v>
      </c>
      <c r="E1805">
        <v>14609</v>
      </c>
      <c r="F1805">
        <v>106</v>
      </c>
      <c r="G1805" t="s">
        <v>83</v>
      </c>
      <c r="H1805" t="str" cm="1">
        <f t="array" ref="H1805">_xlfn.IFS(Grammys[[#This Row],[date]] &gt;= DATE(2022,2,1),"Grammys",TRUE,"Grammys TRA")</f>
        <v>Grammys TRA</v>
      </c>
      <c r="I1805">
        <f>_xlfn.XLOOKUP(Grammys[[#This Row],[date]],mobile_visits[date],mobile_visits[mobile_visitors],0)</f>
        <v>0</v>
      </c>
    </row>
    <row r="1806" spans="1:9">
      <c r="A1806" s="1">
        <v>44540</v>
      </c>
      <c r="B1806">
        <v>28200</v>
      </c>
      <c r="C1806">
        <v>50142</v>
      </c>
      <c r="D1806">
        <v>30273</v>
      </c>
      <c r="E1806">
        <v>14486</v>
      </c>
      <c r="F1806">
        <v>100</v>
      </c>
      <c r="G1806" t="s">
        <v>83</v>
      </c>
      <c r="H1806" t="str" cm="1">
        <f t="array" ref="H1806">_xlfn.IFS(Grammys[[#This Row],[date]] &gt;= DATE(2022,2,1),"Grammys",TRUE,"Grammys TRA")</f>
        <v>Grammys TRA</v>
      </c>
      <c r="I1806">
        <f>_xlfn.XLOOKUP(Grammys[[#This Row],[date]],mobile_visits[date],mobile_visits[mobile_visitors],0)</f>
        <v>0</v>
      </c>
    </row>
    <row r="1807" spans="1:9">
      <c r="A1807" s="1">
        <v>44541</v>
      </c>
      <c r="B1807">
        <v>25699</v>
      </c>
      <c r="C1807">
        <v>44794</v>
      </c>
      <c r="D1807">
        <v>27883</v>
      </c>
      <c r="E1807">
        <v>13658</v>
      </c>
      <c r="F1807">
        <v>98</v>
      </c>
      <c r="G1807" t="s">
        <v>83</v>
      </c>
      <c r="H1807" t="str" cm="1">
        <f t="array" ref="H1807">_xlfn.IFS(Grammys[[#This Row],[date]] &gt;= DATE(2022,2,1),"Grammys",TRUE,"Grammys TRA")</f>
        <v>Grammys TRA</v>
      </c>
      <c r="I1807">
        <f>_xlfn.XLOOKUP(Grammys[[#This Row],[date]],mobile_visits[date],mobile_visits[mobile_visitors],0)</f>
        <v>0</v>
      </c>
    </row>
    <row r="1808" spans="1:9">
      <c r="A1808" s="1">
        <v>44542</v>
      </c>
      <c r="B1808">
        <v>26464</v>
      </c>
      <c r="C1808">
        <v>46178</v>
      </c>
      <c r="D1808">
        <v>28753</v>
      </c>
      <c r="E1808">
        <v>14639</v>
      </c>
      <c r="F1808">
        <v>97</v>
      </c>
      <c r="G1808" t="s">
        <v>83</v>
      </c>
      <c r="H1808" t="str" cm="1">
        <f t="array" ref="H1808">_xlfn.IFS(Grammys[[#This Row],[date]] &gt;= DATE(2022,2,1),"Grammys",TRUE,"Grammys TRA")</f>
        <v>Grammys TRA</v>
      </c>
      <c r="I1808">
        <f>_xlfn.XLOOKUP(Grammys[[#This Row],[date]],mobile_visits[date],mobile_visits[mobile_visitors],0)</f>
        <v>0</v>
      </c>
    </row>
    <row r="1809" spans="1:9">
      <c r="A1809" s="1">
        <v>44543</v>
      </c>
      <c r="B1809">
        <v>25485</v>
      </c>
      <c r="C1809">
        <v>47839</v>
      </c>
      <c r="D1809">
        <v>28190</v>
      </c>
      <c r="E1809">
        <v>13859</v>
      </c>
      <c r="F1809">
        <v>103</v>
      </c>
      <c r="G1809" t="s">
        <v>83</v>
      </c>
      <c r="H1809" t="str" cm="1">
        <f t="array" ref="H1809">_xlfn.IFS(Grammys[[#This Row],[date]] &gt;= DATE(2022,2,1),"Grammys",TRUE,"Grammys TRA")</f>
        <v>Grammys TRA</v>
      </c>
      <c r="I1809">
        <f>_xlfn.XLOOKUP(Grammys[[#This Row],[date]],mobile_visits[date],mobile_visits[mobile_visitors],0)</f>
        <v>0</v>
      </c>
    </row>
    <row r="1810" spans="1:9">
      <c r="A1810" s="1">
        <v>44544</v>
      </c>
      <c r="B1810">
        <v>24091</v>
      </c>
      <c r="C1810">
        <v>43194</v>
      </c>
      <c r="D1810">
        <v>26089</v>
      </c>
      <c r="E1810">
        <v>13029</v>
      </c>
      <c r="F1810">
        <v>97</v>
      </c>
      <c r="G1810" t="s">
        <v>83</v>
      </c>
      <c r="H1810" t="str" cm="1">
        <f t="array" ref="H1810">_xlfn.IFS(Grammys[[#This Row],[date]] &gt;= DATE(2022,2,1),"Grammys",TRUE,"Grammys TRA")</f>
        <v>Grammys TRA</v>
      </c>
      <c r="I1810">
        <f>_xlfn.XLOOKUP(Grammys[[#This Row],[date]],mobile_visits[date],mobile_visits[mobile_visitors],0)</f>
        <v>0</v>
      </c>
    </row>
    <row r="1811" spans="1:9">
      <c r="A1811" s="1">
        <v>44545</v>
      </c>
      <c r="B1811">
        <v>21457</v>
      </c>
      <c r="C1811">
        <v>40012</v>
      </c>
      <c r="D1811">
        <v>23793</v>
      </c>
      <c r="E1811">
        <v>11976</v>
      </c>
      <c r="F1811">
        <v>96</v>
      </c>
      <c r="G1811" t="s">
        <v>83</v>
      </c>
      <c r="H1811" t="str" cm="1">
        <f t="array" ref="H1811">_xlfn.IFS(Grammys[[#This Row],[date]] &gt;= DATE(2022,2,1),"Grammys",TRUE,"Grammys TRA")</f>
        <v>Grammys TRA</v>
      </c>
      <c r="I1811">
        <f>_xlfn.XLOOKUP(Grammys[[#This Row],[date]],mobile_visits[date],mobile_visits[mobile_visitors],0)</f>
        <v>0</v>
      </c>
    </row>
    <row r="1812" spans="1:9">
      <c r="A1812" s="1">
        <v>44546</v>
      </c>
      <c r="B1812">
        <v>21360</v>
      </c>
      <c r="C1812">
        <v>38662</v>
      </c>
      <c r="D1812">
        <v>23302</v>
      </c>
      <c r="E1812">
        <v>11801</v>
      </c>
      <c r="F1812">
        <v>100</v>
      </c>
      <c r="G1812" t="s">
        <v>83</v>
      </c>
      <c r="H1812" t="str" cm="1">
        <f t="array" ref="H1812">_xlfn.IFS(Grammys[[#This Row],[date]] &gt;= DATE(2022,2,1),"Grammys",TRUE,"Grammys TRA")</f>
        <v>Grammys TRA</v>
      </c>
      <c r="I1812">
        <f>_xlfn.XLOOKUP(Grammys[[#This Row],[date]],mobile_visits[date],mobile_visits[mobile_visitors],0)</f>
        <v>0</v>
      </c>
    </row>
    <row r="1813" spans="1:9">
      <c r="A1813" s="1">
        <v>44547</v>
      </c>
      <c r="B1813">
        <v>19782</v>
      </c>
      <c r="C1813">
        <v>35502</v>
      </c>
      <c r="D1813">
        <v>21606</v>
      </c>
      <c r="E1813">
        <v>10963</v>
      </c>
      <c r="F1813">
        <v>97</v>
      </c>
      <c r="G1813" t="s">
        <v>83</v>
      </c>
      <c r="H1813" t="str" cm="1">
        <f t="array" ref="H1813">_xlfn.IFS(Grammys[[#This Row],[date]] &gt;= DATE(2022,2,1),"Grammys",TRUE,"Grammys TRA")</f>
        <v>Grammys TRA</v>
      </c>
      <c r="I1813">
        <f>_xlfn.XLOOKUP(Grammys[[#This Row],[date]],mobile_visits[date],mobile_visits[mobile_visitors],0)</f>
        <v>0</v>
      </c>
    </row>
    <row r="1814" spans="1:9">
      <c r="A1814" s="1">
        <v>44548</v>
      </c>
      <c r="B1814">
        <v>19568</v>
      </c>
      <c r="C1814">
        <v>33898</v>
      </c>
      <c r="D1814">
        <v>21348</v>
      </c>
      <c r="E1814">
        <v>10905</v>
      </c>
      <c r="F1814">
        <v>99</v>
      </c>
      <c r="G1814" t="s">
        <v>83</v>
      </c>
      <c r="H1814" t="str" cm="1">
        <f t="array" ref="H1814">_xlfn.IFS(Grammys[[#This Row],[date]] &gt;= DATE(2022,2,1),"Grammys",TRUE,"Grammys TRA")</f>
        <v>Grammys TRA</v>
      </c>
      <c r="I1814">
        <f>_xlfn.XLOOKUP(Grammys[[#This Row],[date]],mobile_visits[date],mobile_visits[mobile_visitors],0)</f>
        <v>0</v>
      </c>
    </row>
    <row r="1815" spans="1:9">
      <c r="A1815" s="1">
        <v>44549</v>
      </c>
      <c r="B1815">
        <v>19727</v>
      </c>
      <c r="C1815">
        <v>34366</v>
      </c>
      <c r="D1815">
        <v>21552</v>
      </c>
      <c r="E1815">
        <v>10843</v>
      </c>
      <c r="F1815">
        <v>101</v>
      </c>
      <c r="G1815" t="s">
        <v>83</v>
      </c>
      <c r="H1815" t="str" cm="1">
        <f t="array" ref="H1815">_xlfn.IFS(Grammys[[#This Row],[date]] &gt;= DATE(2022,2,1),"Grammys",TRUE,"Grammys TRA")</f>
        <v>Grammys TRA</v>
      </c>
      <c r="I1815">
        <f>_xlfn.XLOOKUP(Grammys[[#This Row],[date]],mobile_visits[date],mobile_visits[mobile_visitors],0)</f>
        <v>0</v>
      </c>
    </row>
    <row r="1816" spans="1:9">
      <c r="A1816" s="1">
        <v>44550</v>
      </c>
      <c r="B1816">
        <v>18962</v>
      </c>
      <c r="C1816">
        <v>34547</v>
      </c>
      <c r="D1816">
        <v>20771</v>
      </c>
      <c r="E1816">
        <v>10386</v>
      </c>
      <c r="F1816">
        <v>102</v>
      </c>
      <c r="G1816" t="s">
        <v>83</v>
      </c>
      <c r="H1816" t="str" cm="1">
        <f t="array" ref="H1816">_xlfn.IFS(Grammys[[#This Row],[date]] &gt;= DATE(2022,2,1),"Grammys",TRUE,"Grammys TRA")</f>
        <v>Grammys TRA</v>
      </c>
      <c r="I1816">
        <f>_xlfn.XLOOKUP(Grammys[[#This Row],[date]],mobile_visits[date],mobile_visits[mobile_visitors],0)</f>
        <v>0</v>
      </c>
    </row>
    <row r="1817" spans="1:9">
      <c r="A1817" s="1">
        <v>44551</v>
      </c>
      <c r="B1817">
        <v>19503</v>
      </c>
      <c r="C1817">
        <v>34327</v>
      </c>
      <c r="D1817">
        <v>21212</v>
      </c>
      <c r="E1817">
        <v>10660</v>
      </c>
      <c r="F1817">
        <v>99</v>
      </c>
      <c r="G1817" t="s">
        <v>83</v>
      </c>
      <c r="H1817" t="str" cm="1">
        <f t="array" ref="H1817">_xlfn.IFS(Grammys[[#This Row],[date]] &gt;= DATE(2022,2,1),"Grammys",TRUE,"Grammys TRA")</f>
        <v>Grammys TRA</v>
      </c>
      <c r="I1817">
        <f>_xlfn.XLOOKUP(Grammys[[#This Row],[date]],mobile_visits[date],mobile_visits[mobile_visitors],0)</f>
        <v>0</v>
      </c>
    </row>
    <row r="1818" spans="1:9">
      <c r="A1818" s="1">
        <v>44552</v>
      </c>
      <c r="B1818">
        <v>18941</v>
      </c>
      <c r="C1818">
        <v>33995</v>
      </c>
      <c r="D1818">
        <v>20901</v>
      </c>
      <c r="E1818">
        <v>10788</v>
      </c>
      <c r="F1818">
        <v>99</v>
      </c>
      <c r="G1818" t="s">
        <v>83</v>
      </c>
      <c r="H1818" t="str" cm="1">
        <f t="array" ref="H1818">_xlfn.IFS(Grammys[[#This Row],[date]] &gt;= DATE(2022,2,1),"Grammys",TRUE,"Grammys TRA")</f>
        <v>Grammys TRA</v>
      </c>
      <c r="I1818">
        <f>_xlfn.XLOOKUP(Grammys[[#This Row],[date]],mobile_visits[date],mobile_visits[mobile_visitors],0)</f>
        <v>0</v>
      </c>
    </row>
    <row r="1819" spans="1:9">
      <c r="A1819" s="1">
        <v>44553</v>
      </c>
      <c r="B1819">
        <v>18618</v>
      </c>
      <c r="C1819">
        <v>33070</v>
      </c>
      <c r="D1819">
        <v>20577</v>
      </c>
      <c r="E1819">
        <v>10441</v>
      </c>
      <c r="F1819">
        <v>97</v>
      </c>
      <c r="G1819" t="s">
        <v>83</v>
      </c>
      <c r="H1819" t="str" cm="1">
        <f t="array" ref="H1819">_xlfn.IFS(Grammys[[#This Row],[date]] &gt;= DATE(2022,2,1),"Grammys",TRUE,"Grammys TRA")</f>
        <v>Grammys TRA</v>
      </c>
      <c r="I1819">
        <f>_xlfn.XLOOKUP(Grammys[[#This Row],[date]],mobile_visits[date],mobile_visits[mobile_visitors],0)</f>
        <v>0</v>
      </c>
    </row>
    <row r="1820" spans="1:9">
      <c r="A1820" s="1">
        <v>44554</v>
      </c>
      <c r="B1820">
        <v>17222</v>
      </c>
      <c r="C1820">
        <v>29762</v>
      </c>
      <c r="D1820">
        <v>18848</v>
      </c>
      <c r="E1820">
        <v>9735</v>
      </c>
      <c r="F1820">
        <v>96</v>
      </c>
      <c r="G1820" t="s">
        <v>83</v>
      </c>
      <c r="H1820" t="str" cm="1">
        <f t="array" ref="H1820">_xlfn.IFS(Grammys[[#This Row],[date]] &gt;= DATE(2022,2,1),"Grammys",TRUE,"Grammys TRA")</f>
        <v>Grammys TRA</v>
      </c>
      <c r="I1820">
        <f>_xlfn.XLOOKUP(Grammys[[#This Row],[date]],mobile_visits[date],mobile_visits[mobile_visitors],0)</f>
        <v>0</v>
      </c>
    </row>
    <row r="1821" spans="1:9">
      <c r="A1821" s="1">
        <v>44555</v>
      </c>
      <c r="B1821">
        <v>16779</v>
      </c>
      <c r="C1821">
        <v>28706</v>
      </c>
      <c r="D1821">
        <v>18026</v>
      </c>
      <c r="E1821">
        <v>9385</v>
      </c>
      <c r="F1821">
        <v>95</v>
      </c>
      <c r="G1821" t="s">
        <v>83</v>
      </c>
      <c r="H1821" t="str" cm="1">
        <f t="array" ref="H1821">_xlfn.IFS(Grammys[[#This Row],[date]] &gt;= DATE(2022,2,1),"Grammys",TRUE,"Grammys TRA")</f>
        <v>Grammys TRA</v>
      </c>
      <c r="I1821">
        <f>_xlfn.XLOOKUP(Grammys[[#This Row],[date]],mobile_visits[date],mobile_visits[mobile_visitors],0)</f>
        <v>0</v>
      </c>
    </row>
    <row r="1822" spans="1:9">
      <c r="A1822" s="1">
        <v>44556</v>
      </c>
      <c r="B1822">
        <v>19561</v>
      </c>
      <c r="C1822">
        <v>34337</v>
      </c>
      <c r="D1822">
        <v>21534</v>
      </c>
      <c r="E1822">
        <v>10643</v>
      </c>
      <c r="F1822">
        <v>108</v>
      </c>
      <c r="G1822" t="s">
        <v>83</v>
      </c>
      <c r="H1822" t="str" cm="1">
        <f t="array" ref="H1822">_xlfn.IFS(Grammys[[#This Row],[date]] &gt;= DATE(2022,2,1),"Grammys",TRUE,"Grammys TRA")</f>
        <v>Grammys TRA</v>
      </c>
      <c r="I1822">
        <f>_xlfn.XLOOKUP(Grammys[[#This Row],[date]],mobile_visits[date],mobile_visits[mobile_visitors],0)</f>
        <v>0</v>
      </c>
    </row>
    <row r="1823" spans="1:9">
      <c r="A1823" s="1">
        <v>44557</v>
      </c>
      <c r="B1823">
        <v>19361</v>
      </c>
      <c r="C1823">
        <v>35186</v>
      </c>
      <c r="D1823">
        <v>21462</v>
      </c>
      <c r="E1823">
        <v>10495</v>
      </c>
      <c r="F1823">
        <v>106</v>
      </c>
      <c r="G1823" t="s">
        <v>83</v>
      </c>
      <c r="H1823" t="str" cm="1">
        <f t="array" ref="H1823">_xlfn.IFS(Grammys[[#This Row],[date]] &gt;= DATE(2022,2,1),"Grammys",TRUE,"Grammys TRA")</f>
        <v>Grammys TRA</v>
      </c>
      <c r="I1823">
        <f>_xlfn.XLOOKUP(Grammys[[#This Row],[date]],mobile_visits[date],mobile_visits[mobile_visitors],0)</f>
        <v>0</v>
      </c>
    </row>
    <row r="1824" spans="1:9">
      <c r="A1824" s="1">
        <v>44558</v>
      </c>
      <c r="B1824">
        <v>21521</v>
      </c>
      <c r="C1824">
        <v>39175</v>
      </c>
      <c r="D1824">
        <v>23579</v>
      </c>
      <c r="E1824">
        <v>11243</v>
      </c>
      <c r="F1824">
        <v>112</v>
      </c>
      <c r="G1824" t="s">
        <v>83</v>
      </c>
      <c r="H1824" t="str" cm="1">
        <f t="array" ref="H1824">_xlfn.IFS(Grammys[[#This Row],[date]] &gt;= DATE(2022,2,1),"Grammys",TRUE,"Grammys TRA")</f>
        <v>Grammys TRA</v>
      </c>
      <c r="I1824">
        <f>_xlfn.XLOOKUP(Grammys[[#This Row],[date]],mobile_visits[date],mobile_visits[mobile_visitors],0)</f>
        <v>0</v>
      </c>
    </row>
    <row r="1825" spans="1:9">
      <c r="A1825" s="1">
        <v>44559</v>
      </c>
      <c r="B1825">
        <v>21924</v>
      </c>
      <c r="C1825">
        <v>39992</v>
      </c>
      <c r="D1825">
        <v>24155</v>
      </c>
      <c r="E1825">
        <v>11670</v>
      </c>
      <c r="F1825">
        <v>110</v>
      </c>
      <c r="G1825" t="s">
        <v>83</v>
      </c>
      <c r="H1825" t="str" cm="1">
        <f t="array" ref="H1825">_xlfn.IFS(Grammys[[#This Row],[date]] &gt;= DATE(2022,2,1),"Grammys",TRUE,"Grammys TRA")</f>
        <v>Grammys TRA</v>
      </c>
      <c r="I1825">
        <f>_xlfn.XLOOKUP(Grammys[[#This Row],[date]],mobile_visits[date],mobile_visits[mobile_visitors],0)</f>
        <v>0</v>
      </c>
    </row>
    <row r="1826" spans="1:9">
      <c r="A1826" s="1">
        <v>44560</v>
      </c>
      <c r="B1826">
        <v>23859</v>
      </c>
      <c r="C1826">
        <v>44054</v>
      </c>
      <c r="D1826">
        <v>26137</v>
      </c>
      <c r="E1826">
        <v>11833</v>
      </c>
      <c r="F1826">
        <v>109</v>
      </c>
      <c r="G1826" t="s">
        <v>83</v>
      </c>
      <c r="H1826" t="str" cm="1">
        <f t="array" ref="H1826">_xlfn.IFS(Grammys[[#This Row],[date]] &gt;= DATE(2022,2,1),"Grammys",TRUE,"Grammys TRA")</f>
        <v>Grammys TRA</v>
      </c>
      <c r="I1826">
        <f>_xlfn.XLOOKUP(Grammys[[#This Row],[date]],mobile_visits[date],mobile_visits[mobile_visitors],0)</f>
        <v>0</v>
      </c>
    </row>
    <row r="1827" spans="1:9">
      <c r="A1827" s="1">
        <v>44561</v>
      </c>
      <c r="B1827">
        <v>35922</v>
      </c>
      <c r="C1827">
        <v>59931</v>
      </c>
      <c r="D1827">
        <v>38860</v>
      </c>
      <c r="E1827">
        <v>15883</v>
      </c>
      <c r="F1827">
        <v>94</v>
      </c>
      <c r="G1827" t="s">
        <v>83</v>
      </c>
      <c r="H1827" t="str" cm="1">
        <f t="array" ref="H1827">_xlfn.IFS(Grammys[[#This Row],[date]] &gt;= DATE(2022,2,1),"Grammys",TRUE,"Grammys TRA")</f>
        <v>Grammys TRA</v>
      </c>
      <c r="I1827">
        <f>_xlfn.XLOOKUP(Grammys[[#This Row],[date]],mobile_visits[date],mobile_visits[mobile_visitors],0)</f>
        <v>0</v>
      </c>
    </row>
    <row r="1828" spans="1:9">
      <c r="A1828" s="1">
        <v>44562</v>
      </c>
      <c r="B1828">
        <v>27103</v>
      </c>
      <c r="C1828">
        <v>46877</v>
      </c>
      <c r="D1828">
        <v>29266</v>
      </c>
      <c r="E1828">
        <v>13150</v>
      </c>
      <c r="F1828">
        <v>101</v>
      </c>
      <c r="G1828" t="s">
        <v>83</v>
      </c>
      <c r="H1828" t="str" cm="1">
        <f t="array" ref="H1828">_xlfn.IFS(Grammys[[#This Row],[date]] &gt;= DATE(2022,2,1),"Grammys",TRUE,"Grammys TRA")</f>
        <v>Grammys TRA</v>
      </c>
      <c r="I1828">
        <f>_xlfn.XLOOKUP(Grammys[[#This Row],[date]],mobile_visits[date],mobile_visits[mobile_visitors],0)</f>
        <v>0</v>
      </c>
    </row>
    <row r="1829" spans="1:9">
      <c r="A1829" s="1">
        <v>44563</v>
      </c>
      <c r="B1829">
        <v>25403</v>
      </c>
      <c r="C1829">
        <v>45582</v>
      </c>
      <c r="D1829">
        <v>27622</v>
      </c>
      <c r="E1829">
        <v>12640</v>
      </c>
      <c r="F1829">
        <v>110</v>
      </c>
      <c r="G1829" t="s">
        <v>83</v>
      </c>
      <c r="H1829" t="str" cm="1">
        <f t="array" ref="H1829">_xlfn.IFS(Grammys[[#This Row],[date]] &gt;= DATE(2022,2,1),"Grammys",TRUE,"Grammys TRA")</f>
        <v>Grammys TRA</v>
      </c>
      <c r="I1829">
        <f>_xlfn.XLOOKUP(Grammys[[#This Row],[date]],mobile_visits[date],mobile_visits[mobile_visitors],0)</f>
        <v>0</v>
      </c>
    </row>
    <row r="1830" spans="1:9">
      <c r="A1830" s="1">
        <v>44564</v>
      </c>
      <c r="B1830">
        <v>26678</v>
      </c>
      <c r="C1830">
        <v>49216</v>
      </c>
      <c r="D1830">
        <v>29098</v>
      </c>
      <c r="E1830">
        <v>13234</v>
      </c>
      <c r="F1830">
        <v>107</v>
      </c>
      <c r="G1830" t="s">
        <v>83</v>
      </c>
      <c r="H1830" t="str" cm="1">
        <f t="array" ref="H1830">_xlfn.IFS(Grammys[[#This Row],[date]] &gt;= DATE(2022,2,1),"Grammys",TRUE,"Grammys TRA")</f>
        <v>Grammys TRA</v>
      </c>
      <c r="I1830">
        <f>_xlfn.XLOOKUP(Grammys[[#This Row],[date]],mobile_visits[date],mobile_visits[mobile_visitors],0)</f>
        <v>0</v>
      </c>
    </row>
    <row r="1831" spans="1:9">
      <c r="A1831" s="1">
        <v>44565</v>
      </c>
      <c r="B1831">
        <v>32722</v>
      </c>
      <c r="C1831">
        <v>65614</v>
      </c>
      <c r="D1831">
        <v>36121</v>
      </c>
      <c r="E1831">
        <v>15457</v>
      </c>
      <c r="F1831">
        <v>114</v>
      </c>
      <c r="G1831" t="s">
        <v>83</v>
      </c>
      <c r="H1831" t="str" cm="1">
        <f t="array" ref="H1831">_xlfn.IFS(Grammys[[#This Row],[date]] &gt;= DATE(2022,2,1),"Grammys",TRUE,"Grammys TRA")</f>
        <v>Grammys TRA</v>
      </c>
      <c r="I1831">
        <f>_xlfn.XLOOKUP(Grammys[[#This Row],[date]],mobile_visits[date],mobile_visits[mobile_visitors],0)</f>
        <v>0</v>
      </c>
    </row>
    <row r="1832" spans="1:9">
      <c r="A1832" s="1">
        <v>44566</v>
      </c>
      <c r="B1832">
        <v>55461</v>
      </c>
      <c r="C1832">
        <v>93767</v>
      </c>
      <c r="D1832">
        <v>59677</v>
      </c>
      <c r="E1832">
        <v>23119</v>
      </c>
      <c r="F1832">
        <v>88</v>
      </c>
      <c r="G1832" t="s">
        <v>83</v>
      </c>
      <c r="H1832" t="str" cm="1">
        <f t="array" ref="H1832">_xlfn.IFS(Grammys[[#This Row],[date]] &gt;= DATE(2022,2,1),"Grammys",TRUE,"Grammys TRA")</f>
        <v>Grammys TRA</v>
      </c>
      <c r="I1832">
        <f>_xlfn.XLOOKUP(Grammys[[#This Row],[date]],mobile_visits[date],mobile_visits[mobile_visitors],0)</f>
        <v>0</v>
      </c>
    </row>
    <row r="1833" spans="1:9">
      <c r="A1833" s="1">
        <v>44567</v>
      </c>
      <c r="B1833">
        <v>45882</v>
      </c>
      <c r="C1833">
        <v>76172</v>
      </c>
      <c r="D1833">
        <v>49320</v>
      </c>
      <c r="E1833">
        <v>24641</v>
      </c>
      <c r="F1833">
        <v>77</v>
      </c>
      <c r="G1833" t="s">
        <v>83</v>
      </c>
      <c r="H1833" t="str" cm="1">
        <f t="array" ref="H1833">_xlfn.IFS(Grammys[[#This Row],[date]] &gt;= DATE(2022,2,1),"Grammys",TRUE,"Grammys TRA")</f>
        <v>Grammys TRA</v>
      </c>
      <c r="I1833">
        <f>_xlfn.XLOOKUP(Grammys[[#This Row],[date]],mobile_visits[date],mobile_visits[mobile_visitors],0)</f>
        <v>0</v>
      </c>
    </row>
    <row r="1834" spans="1:9">
      <c r="A1834" s="1">
        <v>44568</v>
      </c>
      <c r="B1834">
        <v>29218</v>
      </c>
      <c r="C1834">
        <v>53763</v>
      </c>
      <c r="D1834">
        <v>31714</v>
      </c>
      <c r="E1834">
        <v>13828</v>
      </c>
      <c r="F1834">
        <v>95</v>
      </c>
      <c r="G1834" t="s">
        <v>83</v>
      </c>
      <c r="H1834" t="str" cm="1">
        <f t="array" ref="H1834">_xlfn.IFS(Grammys[[#This Row],[date]] &gt;= DATE(2022,2,1),"Grammys",TRUE,"Grammys TRA")</f>
        <v>Grammys TRA</v>
      </c>
      <c r="I1834">
        <f>_xlfn.XLOOKUP(Grammys[[#This Row],[date]],mobile_visits[date],mobile_visits[mobile_visitors],0)</f>
        <v>0</v>
      </c>
    </row>
    <row r="1835" spans="1:9">
      <c r="A1835" s="1">
        <v>44569</v>
      </c>
      <c r="B1835">
        <v>25857</v>
      </c>
      <c r="C1835">
        <v>45869</v>
      </c>
      <c r="D1835">
        <v>27897</v>
      </c>
      <c r="E1835">
        <v>12429</v>
      </c>
      <c r="F1835">
        <v>99</v>
      </c>
      <c r="G1835" t="s">
        <v>83</v>
      </c>
      <c r="H1835" t="str" cm="1">
        <f t="array" ref="H1835">_xlfn.IFS(Grammys[[#This Row],[date]] &gt;= DATE(2022,2,1),"Grammys",TRUE,"Grammys TRA")</f>
        <v>Grammys TRA</v>
      </c>
      <c r="I1835">
        <f>_xlfn.XLOOKUP(Grammys[[#This Row],[date]],mobile_visits[date],mobile_visits[mobile_visitors],0)</f>
        <v>0</v>
      </c>
    </row>
    <row r="1836" spans="1:9">
      <c r="A1836" s="1">
        <v>44570</v>
      </c>
      <c r="B1836">
        <v>24280</v>
      </c>
      <c r="C1836">
        <v>43870</v>
      </c>
      <c r="D1836">
        <v>26562</v>
      </c>
      <c r="E1836">
        <v>12498</v>
      </c>
      <c r="F1836">
        <v>99</v>
      </c>
      <c r="G1836" t="s">
        <v>83</v>
      </c>
      <c r="H1836" t="str" cm="1">
        <f t="array" ref="H1836">_xlfn.IFS(Grammys[[#This Row],[date]] &gt;= DATE(2022,2,1),"Grammys",TRUE,"Grammys TRA")</f>
        <v>Grammys TRA</v>
      </c>
      <c r="I1836">
        <f>_xlfn.XLOOKUP(Grammys[[#This Row],[date]],mobile_visits[date],mobile_visits[mobile_visitors],0)</f>
        <v>0</v>
      </c>
    </row>
    <row r="1837" spans="1:9">
      <c r="A1837" s="1">
        <v>44571</v>
      </c>
      <c r="B1837">
        <v>25051</v>
      </c>
      <c r="C1837">
        <v>47148</v>
      </c>
      <c r="D1837">
        <v>27290</v>
      </c>
      <c r="E1837">
        <v>12786</v>
      </c>
      <c r="F1837">
        <v>94</v>
      </c>
      <c r="G1837" t="s">
        <v>83</v>
      </c>
      <c r="H1837" t="str" cm="1">
        <f t="array" ref="H1837">_xlfn.IFS(Grammys[[#This Row],[date]] &gt;= DATE(2022,2,1),"Grammys",TRUE,"Grammys TRA")</f>
        <v>Grammys TRA</v>
      </c>
      <c r="I1837">
        <f>_xlfn.XLOOKUP(Grammys[[#This Row],[date]],mobile_visits[date],mobile_visits[mobile_visitors],0)</f>
        <v>0</v>
      </c>
    </row>
    <row r="1838" spans="1:9">
      <c r="A1838" s="1">
        <v>44572</v>
      </c>
      <c r="B1838">
        <v>23817</v>
      </c>
      <c r="C1838">
        <v>44172</v>
      </c>
      <c r="D1838">
        <v>26166</v>
      </c>
      <c r="E1838">
        <v>12387</v>
      </c>
      <c r="F1838">
        <v>104</v>
      </c>
      <c r="G1838" t="s">
        <v>83</v>
      </c>
      <c r="H1838" t="str" cm="1">
        <f t="array" ref="H1838">_xlfn.IFS(Grammys[[#This Row],[date]] &gt;= DATE(2022,2,1),"Grammys",TRUE,"Grammys TRA")</f>
        <v>Grammys TRA</v>
      </c>
      <c r="I1838">
        <f>_xlfn.XLOOKUP(Grammys[[#This Row],[date]],mobile_visits[date],mobile_visits[mobile_visitors],0)</f>
        <v>0</v>
      </c>
    </row>
    <row r="1839" spans="1:9">
      <c r="A1839" s="1">
        <v>44573</v>
      </c>
      <c r="B1839">
        <v>24678</v>
      </c>
      <c r="C1839">
        <v>44288</v>
      </c>
      <c r="D1839">
        <v>26738</v>
      </c>
      <c r="E1839">
        <v>12672</v>
      </c>
      <c r="F1839">
        <v>107</v>
      </c>
      <c r="G1839" t="s">
        <v>83</v>
      </c>
      <c r="H1839" t="str" cm="1">
        <f t="array" ref="H1839">_xlfn.IFS(Grammys[[#This Row],[date]] &gt;= DATE(2022,2,1),"Grammys",TRUE,"Grammys TRA")</f>
        <v>Grammys TRA</v>
      </c>
      <c r="I1839">
        <f>_xlfn.XLOOKUP(Grammys[[#This Row],[date]],mobile_visits[date],mobile_visits[mobile_visitors],0)</f>
        <v>0</v>
      </c>
    </row>
    <row r="1840" spans="1:9">
      <c r="A1840" s="1">
        <v>44574</v>
      </c>
      <c r="B1840">
        <v>21036</v>
      </c>
      <c r="C1840">
        <v>37789</v>
      </c>
      <c r="D1840">
        <v>22598</v>
      </c>
      <c r="E1840">
        <v>11168</v>
      </c>
      <c r="F1840">
        <v>99</v>
      </c>
      <c r="G1840" t="s">
        <v>83</v>
      </c>
      <c r="H1840" t="str" cm="1">
        <f t="array" ref="H1840">_xlfn.IFS(Grammys[[#This Row],[date]] &gt;= DATE(2022,2,1),"Grammys",TRUE,"Grammys TRA")</f>
        <v>Grammys TRA</v>
      </c>
      <c r="I1840">
        <f>_xlfn.XLOOKUP(Grammys[[#This Row],[date]],mobile_visits[date],mobile_visits[mobile_visitors],0)</f>
        <v>0</v>
      </c>
    </row>
    <row r="1841" spans="1:9">
      <c r="A1841" s="1">
        <v>44575</v>
      </c>
      <c r="B1841">
        <v>20509</v>
      </c>
      <c r="C1841">
        <v>37322</v>
      </c>
      <c r="D1841">
        <v>22361</v>
      </c>
      <c r="E1841">
        <v>10989</v>
      </c>
      <c r="F1841">
        <v>95</v>
      </c>
      <c r="G1841" t="s">
        <v>83</v>
      </c>
      <c r="H1841" t="str" cm="1">
        <f t="array" ref="H1841">_xlfn.IFS(Grammys[[#This Row],[date]] &gt;= DATE(2022,2,1),"Grammys",TRUE,"Grammys TRA")</f>
        <v>Grammys TRA</v>
      </c>
      <c r="I1841">
        <f>_xlfn.XLOOKUP(Grammys[[#This Row],[date]],mobile_visits[date],mobile_visits[mobile_visitors],0)</f>
        <v>0</v>
      </c>
    </row>
    <row r="1842" spans="1:9">
      <c r="A1842" s="1">
        <v>44576</v>
      </c>
      <c r="B1842">
        <v>20504</v>
      </c>
      <c r="C1842">
        <v>35844</v>
      </c>
      <c r="D1842">
        <v>22568</v>
      </c>
      <c r="E1842">
        <v>11749</v>
      </c>
      <c r="F1842">
        <v>88</v>
      </c>
      <c r="G1842" t="s">
        <v>83</v>
      </c>
      <c r="H1842" t="str" cm="1">
        <f t="array" ref="H1842">_xlfn.IFS(Grammys[[#This Row],[date]] &gt;= DATE(2022,2,1),"Grammys",TRUE,"Grammys TRA")</f>
        <v>Grammys TRA</v>
      </c>
      <c r="I1842">
        <f>_xlfn.XLOOKUP(Grammys[[#This Row],[date]],mobile_visits[date],mobile_visits[mobile_visitors],0)</f>
        <v>0</v>
      </c>
    </row>
    <row r="1843" spans="1:9">
      <c r="A1843" s="1">
        <v>44577</v>
      </c>
      <c r="B1843">
        <v>20630</v>
      </c>
      <c r="C1843">
        <v>37128</v>
      </c>
      <c r="D1843">
        <v>22792</v>
      </c>
      <c r="E1843">
        <v>11283</v>
      </c>
      <c r="F1843">
        <v>95</v>
      </c>
      <c r="G1843" t="s">
        <v>83</v>
      </c>
      <c r="H1843" t="str" cm="1">
        <f t="array" ref="H1843">_xlfn.IFS(Grammys[[#This Row],[date]] &gt;= DATE(2022,2,1),"Grammys",TRUE,"Grammys TRA")</f>
        <v>Grammys TRA</v>
      </c>
      <c r="I1843">
        <f>_xlfn.XLOOKUP(Grammys[[#This Row],[date]],mobile_visits[date],mobile_visits[mobile_visitors],0)</f>
        <v>0</v>
      </c>
    </row>
    <row r="1844" spans="1:9">
      <c r="A1844" s="1">
        <v>44578</v>
      </c>
      <c r="B1844">
        <v>27402</v>
      </c>
      <c r="C1844">
        <v>47815</v>
      </c>
      <c r="D1844">
        <v>29844</v>
      </c>
      <c r="E1844">
        <v>14323</v>
      </c>
      <c r="F1844">
        <v>127</v>
      </c>
      <c r="G1844" t="s">
        <v>83</v>
      </c>
      <c r="H1844" t="str" cm="1">
        <f t="array" ref="H1844">_xlfn.IFS(Grammys[[#This Row],[date]] &gt;= DATE(2022,2,1),"Grammys",TRUE,"Grammys TRA")</f>
        <v>Grammys TRA</v>
      </c>
      <c r="I1844">
        <f>_xlfn.XLOOKUP(Grammys[[#This Row],[date]],mobile_visits[date],mobile_visits[mobile_visitors],0)</f>
        <v>0</v>
      </c>
    </row>
    <row r="1845" spans="1:9">
      <c r="A1845" s="1">
        <v>44579</v>
      </c>
      <c r="B1845">
        <v>30324</v>
      </c>
      <c r="C1845">
        <v>57248</v>
      </c>
      <c r="D1845">
        <v>32954</v>
      </c>
      <c r="E1845">
        <v>14619</v>
      </c>
      <c r="F1845">
        <v>110</v>
      </c>
      <c r="G1845" t="s">
        <v>83</v>
      </c>
      <c r="H1845" t="str" cm="1">
        <f t="array" ref="H1845">_xlfn.IFS(Grammys[[#This Row],[date]] &gt;= DATE(2022,2,1),"Grammys",TRUE,"Grammys TRA")</f>
        <v>Grammys TRA</v>
      </c>
      <c r="I1845">
        <f>_xlfn.XLOOKUP(Grammys[[#This Row],[date]],mobile_visits[date],mobile_visits[mobile_visitors],0)</f>
        <v>0</v>
      </c>
    </row>
    <row r="1846" spans="1:9">
      <c r="A1846" s="1">
        <v>44580</v>
      </c>
      <c r="B1846">
        <v>27005</v>
      </c>
      <c r="C1846">
        <v>51902</v>
      </c>
      <c r="D1846">
        <v>29456</v>
      </c>
      <c r="E1846">
        <v>13041</v>
      </c>
      <c r="F1846">
        <v>103</v>
      </c>
      <c r="G1846" t="s">
        <v>83</v>
      </c>
      <c r="H1846" t="str" cm="1">
        <f t="array" ref="H1846">_xlfn.IFS(Grammys[[#This Row],[date]] &gt;= DATE(2022,2,1),"Grammys",TRUE,"Grammys TRA")</f>
        <v>Grammys TRA</v>
      </c>
      <c r="I1846">
        <f>_xlfn.XLOOKUP(Grammys[[#This Row],[date]],mobile_visits[date],mobile_visits[mobile_visitors],0)</f>
        <v>0</v>
      </c>
    </row>
    <row r="1847" spans="1:9">
      <c r="A1847" s="1">
        <v>44581</v>
      </c>
      <c r="B1847">
        <v>29376</v>
      </c>
      <c r="C1847">
        <v>50163</v>
      </c>
      <c r="D1847">
        <v>31239</v>
      </c>
      <c r="E1847">
        <v>12409</v>
      </c>
      <c r="F1847">
        <v>109</v>
      </c>
      <c r="G1847" t="s">
        <v>83</v>
      </c>
      <c r="H1847" t="str" cm="1">
        <f t="array" ref="H1847">_xlfn.IFS(Grammys[[#This Row],[date]] &gt;= DATE(2022,2,1),"Grammys",TRUE,"Grammys TRA")</f>
        <v>Grammys TRA</v>
      </c>
      <c r="I1847">
        <f>_xlfn.XLOOKUP(Grammys[[#This Row],[date]],mobile_visits[date],mobile_visits[mobile_visitors],0)</f>
        <v>0</v>
      </c>
    </row>
    <row r="1848" spans="1:9">
      <c r="A1848" s="1">
        <v>44582</v>
      </c>
      <c r="B1848">
        <v>27532</v>
      </c>
      <c r="C1848">
        <v>47663</v>
      </c>
      <c r="D1848">
        <v>29526</v>
      </c>
      <c r="E1848">
        <v>13039</v>
      </c>
      <c r="F1848">
        <v>104</v>
      </c>
      <c r="G1848" t="s">
        <v>83</v>
      </c>
      <c r="H1848" t="str" cm="1">
        <f t="array" ref="H1848">_xlfn.IFS(Grammys[[#This Row],[date]] &gt;= DATE(2022,2,1),"Grammys",TRUE,"Grammys TRA")</f>
        <v>Grammys TRA</v>
      </c>
      <c r="I1848">
        <f>_xlfn.XLOOKUP(Grammys[[#This Row],[date]],mobile_visits[date],mobile_visits[mobile_visitors],0)</f>
        <v>0</v>
      </c>
    </row>
    <row r="1849" spans="1:9">
      <c r="A1849" s="1">
        <v>44583</v>
      </c>
      <c r="B1849">
        <v>25187</v>
      </c>
      <c r="C1849">
        <v>41634</v>
      </c>
      <c r="D1849">
        <v>26907</v>
      </c>
      <c r="E1849">
        <v>11592</v>
      </c>
      <c r="F1849">
        <v>107</v>
      </c>
      <c r="G1849" t="s">
        <v>83</v>
      </c>
      <c r="H1849" t="str" cm="1">
        <f t="array" ref="H1849">_xlfn.IFS(Grammys[[#This Row],[date]] &gt;= DATE(2022,2,1),"Grammys",TRUE,"Grammys TRA")</f>
        <v>Grammys TRA</v>
      </c>
      <c r="I1849">
        <f>_xlfn.XLOOKUP(Grammys[[#This Row],[date]],mobile_visits[date],mobile_visits[mobile_visitors],0)</f>
        <v>0</v>
      </c>
    </row>
    <row r="1850" spans="1:9">
      <c r="A1850" s="1">
        <v>44584</v>
      </c>
      <c r="B1850">
        <v>24506</v>
      </c>
      <c r="C1850">
        <v>40899</v>
      </c>
      <c r="D1850">
        <v>26326</v>
      </c>
      <c r="E1850">
        <v>11400</v>
      </c>
      <c r="F1850">
        <v>106</v>
      </c>
      <c r="G1850" t="s">
        <v>83</v>
      </c>
      <c r="H1850" t="str" cm="1">
        <f t="array" ref="H1850">_xlfn.IFS(Grammys[[#This Row],[date]] &gt;= DATE(2022,2,1),"Grammys",TRUE,"Grammys TRA")</f>
        <v>Grammys TRA</v>
      </c>
      <c r="I1850">
        <f>_xlfn.XLOOKUP(Grammys[[#This Row],[date]],mobile_visits[date],mobile_visits[mobile_visitors],0)</f>
        <v>0</v>
      </c>
    </row>
    <row r="1851" spans="1:9">
      <c r="A1851" s="1">
        <v>44585</v>
      </c>
      <c r="B1851">
        <v>24248</v>
      </c>
      <c r="C1851">
        <v>42219</v>
      </c>
      <c r="D1851">
        <v>26196</v>
      </c>
      <c r="E1851">
        <v>11519</v>
      </c>
      <c r="F1851">
        <v>102</v>
      </c>
      <c r="G1851" t="s">
        <v>83</v>
      </c>
      <c r="H1851" t="str" cm="1">
        <f t="array" ref="H1851">_xlfn.IFS(Grammys[[#This Row],[date]] &gt;= DATE(2022,2,1),"Grammys",TRUE,"Grammys TRA")</f>
        <v>Grammys TRA</v>
      </c>
      <c r="I1851">
        <f>_xlfn.XLOOKUP(Grammys[[#This Row],[date]],mobile_visits[date],mobile_visits[mobile_visitors],0)</f>
        <v>0</v>
      </c>
    </row>
    <row r="1852" spans="1:9">
      <c r="A1852" s="1">
        <v>44586</v>
      </c>
      <c r="B1852">
        <v>25663</v>
      </c>
      <c r="C1852">
        <v>44387</v>
      </c>
      <c r="D1852">
        <v>27496</v>
      </c>
      <c r="E1852">
        <v>11923</v>
      </c>
      <c r="F1852">
        <v>102</v>
      </c>
      <c r="G1852" t="s">
        <v>83</v>
      </c>
      <c r="H1852" t="str" cm="1">
        <f t="array" ref="H1852">_xlfn.IFS(Grammys[[#This Row],[date]] &gt;= DATE(2022,2,1),"Grammys",TRUE,"Grammys TRA")</f>
        <v>Grammys TRA</v>
      </c>
      <c r="I1852">
        <f>_xlfn.XLOOKUP(Grammys[[#This Row],[date]],mobile_visits[date],mobile_visits[mobile_visitors],0)</f>
        <v>0</v>
      </c>
    </row>
    <row r="1853" spans="1:9">
      <c r="A1853" s="1">
        <v>44587</v>
      </c>
      <c r="B1853">
        <v>20306</v>
      </c>
      <c r="C1853">
        <v>37956</v>
      </c>
      <c r="D1853">
        <v>22069</v>
      </c>
      <c r="E1853">
        <v>9247</v>
      </c>
      <c r="F1853">
        <v>118</v>
      </c>
      <c r="G1853" t="s">
        <v>83</v>
      </c>
      <c r="H1853" t="str" cm="1">
        <f t="array" ref="H1853">_xlfn.IFS(Grammys[[#This Row],[date]] &gt;= DATE(2022,2,1),"Grammys",TRUE,"Grammys TRA")</f>
        <v>Grammys TRA</v>
      </c>
      <c r="I1853">
        <f>_xlfn.XLOOKUP(Grammys[[#This Row],[date]],mobile_visits[date],mobile_visits[mobile_visitors],0)</f>
        <v>0</v>
      </c>
    </row>
    <row r="1854" spans="1:9">
      <c r="A1854" s="1">
        <v>44588</v>
      </c>
      <c r="B1854">
        <v>2</v>
      </c>
      <c r="C1854">
        <v>2</v>
      </c>
      <c r="D1854">
        <v>2</v>
      </c>
      <c r="E1854">
        <v>2</v>
      </c>
      <c r="F1854">
        <v>0</v>
      </c>
      <c r="G1854" t="s">
        <v>83</v>
      </c>
      <c r="H1854" t="str" cm="1">
        <f t="array" ref="H1854">_xlfn.IFS(Grammys[[#This Row],[date]] &gt;= DATE(2022,2,1),"Grammys",TRUE,"Grammys TRA")</f>
        <v>Grammys TRA</v>
      </c>
      <c r="I1854">
        <f>_xlfn.XLOOKUP(Grammys[[#This Row],[date]],mobile_visits[date],mobile_visits[mobile_visitors],0)</f>
        <v>0</v>
      </c>
    </row>
    <row r="1855" spans="1:9">
      <c r="A1855" s="1">
        <v>44589</v>
      </c>
      <c r="B1855">
        <v>32986</v>
      </c>
      <c r="C1855">
        <v>79160</v>
      </c>
      <c r="D1855">
        <v>36571</v>
      </c>
      <c r="E1855">
        <v>20268</v>
      </c>
      <c r="F1855">
        <v>83</v>
      </c>
      <c r="G1855" t="s">
        <v>83</v>
      </c>
      <c r="H1855" t="str" cm="1">
        <f t="array" ref="H1855">_xlfn.IFS(Grammys[[#This Row],[date]] &gt;= DATE(2022,2,1),"Grammys",TRUE,"Grammys TRA")</f>
        <v>Grammys TRA</v>
      </c>
      <c r="I1855">
        <f>_xlfn.XLOOKUP(Grammys[[#This Row],[date]],mobile_visits[date],mobile_visits[mobile_visitors],0)</f>
        <v>0</v>
      </c>
    </row>
    <row r="1856" spans="1:9">
      <c r="A1856" s="1">
        <v>44590</v>
      </c>
      <c r="B1856">
        <v>37899</v>
      </c>
      <c r="C1856">
        <v>79095</v>
      </c>
      <c r="D1856">
        <v>41920</v>
      </c>
      <c r="E1856">
        <v>25316</v>
      </c>
      <c r="F1856">
        <v>63</v>
      </c>
      <c r="G1856" t="s">
        <v>83</v>
      </c>
      <c r="H1856" t="str" cm="1">
        <f t="array" ref="H1856">_xlfn.IFS(Grammys[[#This Row],[date]] &gt;= DATE(2022,2,1),"Grammys",TRUE,"Grammys TRA")</f>
        <v>Grammys TRA</v>
      </c>
      <c r="I1856">
        <f>_xlfn.XLOOKUP(Grammys[[#This Row],[date]],mobile_visits[date],mobile_visits[mobile_visitors],0)</f>
        <v>0</v>
      </c>
    </row>
    <row r="1857" spans="1:9">
      <c r="A1857" s="1">
        <v>44591</v>
      </c>
      <c r="B1857">
        <v>39931</v>
      </c>
      <c r="C1857">
        <v>81186</v>
      </c>
      <c r="D1857">
        <v>43743</v>
      </c>
      <c r="E1857">
        <v>26636</v>
      </c>
      <c r="F1857">
        <v>61</v>
      </c>
      <c r="G1857" t="s">
        <v>83</v>
      </c>
      <c r="H1857" t="str" cm="1">
        <f t="array" ref="H1857">_xlfn.IFS(Grammys[[#This Row],[date]] &gt;= DATE(2022,2,1),"Grammys",TRUE,"Grammys TRA")</f>
        <v>Grammys TRA</v>
      </c>
      <c r="I1857">
        <f>_xlfn.XLOOKUP(Grammys[[#This Row],[date]],mobile_visits[date],mobile_visits[mobile_visitors],0)</f>
        <v>0</v>
      </c>
    </row>
    <row r="1858" spans="1:9">
      <c r="A1858" s="1">
        <v>44592</v>
      </c>
      <c r="B1858">
        <v>38221</v>
      </c>
      <c r="C1858">
        <v>92863</v>
      </c>
      <c r="D1858">
        <v>42291</v>
      </c>
      <c r="E1858">
        <v>21747</v>
      </c>
      <c r="F1858">
        <v>67</v>
      </c>
      <c r="G1858" t="s">
        <v>83</v>
      </c>
      <c r="H1858" t="str" cm="1">
        <f t="array" ref="H1858">_xlfn.IFS(Grammys[[#This Row],[date]] &gt;= DATE(2022,2,1),"Grammys",TRUE,"Grammys TRA")</f>
        <v>Grammys TRA</v>
      </c>
      <c r="I1858">
        <f>_xlfn.XLOOKUP(Grammys[[#This Row],[date]],mobile_visits[date],mobile_visits[mobile_visitors],0)</f>
        <v>0</v>
      </c>
    </row>
    <row r="1859" spans="1:9">
      <c r="A1859" s="1">
        <v>44593</v>
      </c>
      <c r="B1859">
        <v>33209</v>
      </c>
      <c r="C1859">
        <v>74033</v>
      </c>
      <c r="D1859">
        <v>30472</v>
      </c>
      <c r="E1859">
        <v>13070</v>
      </c>
      <c r="F1859">
        <v>69</v>
      </c>
      <c r="G1859" t="s">
        <v>83</v>
      </c>
      <c r="H1859" t="str" cm="1">
        <f t="array" ref="H1859">_xlfn.IFS(Grammys[[#This Row],[date]] &gt;= DATE(2022,2,1),"Grammys",TRUE,"Grammys TRA")</f>
        <v>Grammys</v>
      </c>
      <c r="I1859">
        <f>_xlfn.XLOOKUP(Grammys[[#This Row],[date]],mobile_visits[date],mobile_visits[mobile_visitors],0)</f>
        <v>23014</v>
      </c>
    </row>
    <row r="1860" spans="1:9">
      <c r="A1860" s="1">
        <v>44594</v>
      </c>
      <c r="B1860">
        <v>30511</v>
      </c>
      <c r="C1860">
        <v>43642</v>
      </c>
      <c r="D1860">
        <v>20761</v>
      </c>
      <c r="E1860">
        <v>11814</v>
      </c>
      <c r="F1860">
        <v>85</v>
      </c>
      <c r="G1860" t="s">
        <v>83</v>
      </c>
      <c r="H1860" t="str" cm="1">
        <f t="array" ref="H1860">_xlfn.IFS(Grammys[[#This Row],[date]] &gt;= DATE(2022,2,1),"Grammys",TRUE,"Grammys TRA")</f>
        <v>Grammys</v>
      </c>
      <c r="I1860">
        <f>_xlfn.XLOOKUP(Grammys[[#This Row],[date]],mobile_visits[date],mobile_visits[mobile_visitors],0)</f>
        <v>19951</v>
      </c>
    </row>
    <row r="1861" spans="1:9">
      <c r="A1861" s="1">
        <v>44595</v>
      </c>
      <c r="B1861">
        <v>31502</v>
      </c>
      <c r="C1861">
        <v>44147</v>
      </c>
      <c r="D1861">
        <v>20830</v>
      </c>
      <c r="E1861">
        <v>12015</v>
      </c>
      <c r="F1861">
        <v>90</v>
      </c>
      <c r="G1861" t="s">
        <v>83</v>
      </c>
      <c r="H1861" t="str" cm="1">
        <f t="array" ref="H1861">_xlfn.IFS(Grammys[[#This Row],[date]] &gt;= DATE(2022,2,1),"Grammys",TRUE,"Grammys TRA")</f>
        <v>Grammys</v>
      </c>
      <c r="I1861">
        <f>_xlfn.XLOOKUP(Grammys[[#This Row],[date]],mobile_visits[date],mobile_visits[mobile_visitors],0)</f>
        <v>21567</v>
      </c>
    </row>
    <row r="1862" spans="1:9">
      <c r="A1862" s="1">
        <v>44596</v>
      </c>
      <c r="B1862">
        <v>26863</v>
      </c>
      <c r="C1862">
        <v>39483</v>
      </c>
      <c r="D1862">
        <v>18700</v>
      </c>
      <c r="E1862">
        <v>10731</v>
      </c>
      <c r="F1862">
        <v>85</v>
      </c>
      <c r="G1862" t="s">
        <v>83</v>
      </c>
      <c r="H1862" t="str" cm="1">
        <f t="array" ref="H1862">_xlfn.IFS(Grammys[[#This Row],[date]] &gt;= DATE(2022,2,1),"Grammys",TRUE,"Grammys TRA")</f>
        <v>Grammys</v>
      </c>
      <c r="I1862">
        <f>_xlfn.XLOOKUP(Grammys[[#This Row],[date]],mobile_visits[date],mobile_visits[mobile_visitors],0)</f>
        <v>18362</v>
      </c>
    </row>
    <row r="1863" spans="1:9">
      <c r="A1863" s="1">
        <v>44597</v>
      </c>
      <c r="B1863">
        <v>18014</v>
      </c>
      <c r="C1863">
        <v>35046</v>
      </c>
      <c r="D1863">
        <v>16860</v>
      </c>
      <c r="E1863">
        <v>9604</v>
      </c>
      <c r="F1863">
        <v>75</v>
      </c>
      <c r="G1863" t="s">
        <v>83</v>
      </c>
      <c r="H1863" t="str" cm="1">
        <f t="array" ref="H1863">_xlfn.IFS(Grammys[[#This Row],[date]] &gt;= DATE(2022,2,1),"Grammys",TRUE,"Grammys TRA")</f>
        <v>Grammys</v>
      </c>
      <c r="I1863">
        <f>_xlfn.XLOOKUP(Grammys[[#This Row],[date]],mobile_visits[date],mobile_visits[mobile_visitors],0)</f>
        <v>12590</v>
      </c>
    </row>
    <row r="1864" spans="1:9">
      <c r="A1864" s="1">
        <v>44598</v>
      </c>
      <c r="B1864">
        <v>18287</v>
      </c>
      <c r="C1864">
        <v>34397</v>
      </c>
      <c r="D1864">
        <v>17185</v>
      </c>
      <c r="E1864">
        <v>10186</v>
      </c>
      <c r="F1864">
        <v>80</v>
      </c>
      <c r="G1864" t="s">
        <v>83</v>
      </c>
      <c r="H1864" t="str" cm="1">
        <f t="array" ref="H1864">_xlfn.IFS(Grammys[[#This Row],[date]] &gt;= DATE(2022,2,1),"Grammys",TRUE,"Grammys TRA")</f>
        <v>Grammys</v>
      </c>
      <c r="I1864">
        <f>_xlfn.XLOOKUP(Grammys[[#This Row],[date]],mobile_visits[date],mobile_visits[mobile_visitors],0)</f>
        <v>12316</v>
      </c>
    </row>
    <row r="1865" spans="1:9">
      <c r="A1865" s="1">
        <v>44599</v>
      </c>
      <c r="B1865">
        <v>19907</v>
      </c>
      <c r="C1865">
        <v>37993</v>
      </c>
      <c r="D1865">
        <v>18426</v>
      </c>
      <c r="E1865">
        <v>10715</v>
      </c>
      <c r="F1865">
        <v>86</v>
      </c>
      <c r="G1865" t="s">
        <v>83</v>
      </c>
      <c r="H1865" t="str" cm="1">
        <f t="array" ref="H1865">_xlfn.IFS(Grammys[[#This Row],[date]] &gt;= DATE(2022,2,1),"Grammys",TRUE,"Grammys TRA")</f>
        <v>Grammys</v>
      </c>
      <c r="I1865">
        <f>_xlfn.XLOOKUP(Grammys[[#This Row],[date]],mobile_visits[date],mobile_visits[mobile_visitors],0)</f>
        <v>10416</v>
      </c>
    </row>
    <row r="1866" spans="1:9">
      <c r="A1866" s="1">
        <v>44600</v>
      </c>
      <c r="B1866">
        <v>30850</v>
      </c>
      <c r="C1866">
        <v>69727</v>
      </c>
      <c r="D1866">
        <v>30684</v>
      </c>
      <c r="E1866">
        <v>15702</v>
      </c>
      <c r="F1866">
        <v>83</v>
      </c>
      <c r="G1866" t="s">
        <v>83</v>
      </c>
      <c r="H1866" t="str" cm="1">
        <f t="array" ref="H1866">_xlfn.IFS(Grammys[[#This Row],[date]] &gt;= DATE(2022,2,1),"Grammys",TRUE,"Grammys TRA")</f>
        <v>Grammys</v>
      </c>
      <c r="I1866">
        <f>_xlfn.XLOOKUP(Grammys[[#This Row],[date]],mobile_visits[date],mobile_visits[mobile_visitors],0)</f>
        <v>19299</v>
      </c>
    </row>
    <row r="1867" spans="1:9">
      <c r="A1867" s="1">
        <v>44601</v>
      </c>
      <c r="B1867">
        <v>26454</v>
      </c>
      <c r="C1867">
        <v>61007</v>
      </c>
      <c r="D1867">
        <v>26184</v>
      </c>
      <c r="E1867">
        <v>12739</v>
      </c>
      <c r="F1867">
        <v>88</v>
      </c>
      <c r="G1867" t="s">
        <v>83</v>
      </c>
      <c r="H1867" t="str" cm="1">
        <f t="array" ref="H1867">_xlfn.IFS(Grammys[[#This Row],[date]] &gt;= DATE(2022,2,1),"Grammys",TRUE,"Grammys TRA")</f>
        <v>Grammys</v>
      </c>
      <c r="I1867">
        <f>_xlfn.XLOOKUP(Grammys[[#This Row],[date]],mobile_visits[date],mobile_visits[mobile_visitors],0)</f>
        <v>16050</v>
      </c>
    </row>
    <row r="1868" spans="1:9">
      <c r="A1868" s="1">
        <v>44602</v>
      </c>
      <c r="B1868">
        <v>23368</v>
      </c>
      <c r="C1868">
        <v>53624</v>
      </c>
      <c r="D1868">
        <v>23246</v>
      </c>
      <c r="E1868">
        <v>11544</v>
      </c>
      <c r="F1868">
        <v>85</v>
      </c>
      <c r="G1868" t="s">
        <v>83</v>
      </c>
      <c r="H1868" t="str" cm="1">
        <f t="array" ref="H1868">_xlfn.IFS(Grammys[[#This Row],[date]] &gt;= DATE(2022,2,1),"Grammys",TRUE,"Grammys TRA")</f>
        <v>Grammys</v>
      </c>
      <c r="I1868">
        <f>_xlfn.XLOOKUP(Grammys[[#This Row],[date]],mobile_visits[date],mobile_visits[mobile_visitors],0)</f>
        <v>13590</v>
      </c>
    </row>
    <row r="1869" spans="1:9">
      <c r="A1869" s="1">
        <v>44603</v>
      </c>
      <c r="B1869">
        <v>23197</v>
      </c>
      <c r="C1869">
        <v>51566</v>
      </c>
      <c r="D1869">
        <v>22567</v>
      </c>
      <c r="E1869">
        <v>10819</v>
      </c>
      <c r="F1869">
        <v>82</v>
      </c>
      <c r="G1869" t="s">
        <v>83</v>
      </c>
      <c r="H1869" t="str" cm="1">
        <f t="array" ref="H1869">_xlfn.IFS(Grammys[[#This Row],[date]] &gt;= DATE(2022,2,1),"Grammys",TRUE,"Grammys TRA")</f>
        <v>Grammys</v>
      </c>
      <c r="I1869">
        <f>_xlfn.XLOOKUP(Grammys[[#This Row],[date]],mobile_visits[date],mobile_visits[mobile_visitors],0)</f>
        <v>13393</v>
      </c>
    </row>
    <row r="1870" spans="1:9">
      <c r="A1870" s="1">
        <v>44604</v>
      </c>
      <c r="B1870">
        <v>19978</v>
      </c>
      <c r="C1870">
        <v>44579</v>
      </c>
      <c r="D1870">
        <v>19796</v>
      </c>
      <c r="E1870">
        <v>9940</v>
      </c>
      <c r="F1870">
        <v>79</v>
      </c>
      <c r="G1870" t="s">
        <v>83</v>
      </c>
      <c r="H1870" t="str" cm="1">
        <f t="array" ref="H1870">_xlfn.IFS(Grammys[[#This Row],[date]] &gt;= DATE(2022,2,1),"Grammys",TRUE,"Grammys TRA")</f>
        <v>Grammys</v>
      </c>
      <c r="I1870">
        <f>_xlfn.XLOOKUP(Grammys[[#This Row],[date]],mobile_visits[date],mobile_visits[mobile_visitors],0)</f>
        <v>13824</v>
      </c>
    </row>
    <row r="1871" spans="1:9">
      <c r="A1871" s="1">
        <v>44605</v>
      </c>
      <c r="B1871">
        <v>22796</v>
      </c>
      <c r="C1871">
        <v>51628</v>
      </c>
      <c r="D1871">
        <v>23326</v>
      </c>
      <c r="E1871">
        <v>12039</v>
      </c>
      <c r="F1871">
        <v>74</v>
      </c>
      <c r="G1871" t="s">
        <v>83</v>
      </c>
      <c r="H1871" t="str" cm="1">
        <f t="array" ref="H1871">_xlfn.IFS(Grammys[[#This Row],[date]] &gt;= DATE(2022,2,1),"Grammys",TRUE,"Grammys TRA")</f>
        <v>Grammys</v>
      </c>
      <c r="I1871">
        <f>_xlfn.XLOOKUP(Grammys[[#This Row],[date]],mobile_visits[date],mobile_visits[mobile_visitors],0)</f>
        <v>15704</v>
      </c>
    </row>
    <row r="1872" spans="1:9">
      <c r="A1872" s="1">
        <v>44606</v>
      </c>
      <c r="B1872">
        <v>16559</v>
      </c>
      <c r="C1872">
        <v>29185</v>
      </c>
      <c r="D1872">
        <v>13695</v>
      </c>
      <c r="E1872">
        <v>7100</v>
      </c>
      <c r="F1872">
        <v>78</v>
      </c>
      <c r="G1872" t="s">
        <v>83</v>
      </c>
      <c r="H1872" t="str" cm="1">
        <f t="array" ref="H1872">_xlfn.IFS(Grammys[[#This Row],[date]] &gt;= DATE(2022,2,1),"Grammys",TRUE,"Grammys TRA")</f>
        <v>Grammys</v>
      </c>
      <c r="I1872">
        <f>_xlfn.XLOOKUP(Grammys[[#This Row],[date]],mobile_visits[date],mobile_visits[mobile_visitors],0)</f>
        <v>9362</v>
      </c>
    </row>
    <row r="1873" spans="1:9">
      <c r="A1873" s="1">
        <v>44607</v>
      </c>
      <c r="B1873">
        <v>17184</v>
      </c>
      <c r="C1873">
        <v>28356</v>
      </c>
      <c r="D1873">
        <v>13548</v>
      </c>
      <c r="E1873">
        <v>7135</v>
      </c>
      <c r="F1873">
        <v>81</v>
      </c>
      <c r="G1873" t="s">
        <v>83</v>
      </c>
      <c r="H1873" t="str" cm="1">
        <f t="array" ref="H1873">_xlfn.IFS(Grammys[[#This Row],[date]] &gt;= DATE(2022,2,1),"Grammys",TRUE,"Grammys TRA")</f>
        <v>Grammys</v>
      </c>
      <c r="I1873">
        <f>_xlfn.XLOOKUP(Grammys[[#This Row],[date]],mobile_visits[date],mobile_visits[mobile_visitors],0)</f>
        <v>9596</v>
      </c>
    </row>
    <row r="1874" spans="1:9">
      <c r="A1874" s="1">
        <v>44608</v>
      </c>
      <c r="B1874">
        <v>19998</v>
      </c>
      <c r="C1874">
        <v>33813</v>
      </c>
      <c r="D1874">
        <v>17766</v>
      </c>
      <c r="E1874">
        <v>10738</v>
      </c>
      <c r="F1874">
        <v>80</v>
      </c>
      <c r="G1874" t="s">
        <v>83</v>
      </c>
      <c r="H1874" t="str" cm="1">
        <f t="array" ref="H1874">_xlfn.IFS(Grammys[[#This Row],[date]] &gt;= DATE(2022,2,1),"Grammys",TRUE,"Grammys TRA")</f>
        <v>Grammys</v>
      </c>
      <c r="I1874">
        <f>_xlfn.XLOOKUP(Grammys[[#This Row],[date]],mobile_visits[date],mobile_visits[mobile_visitors],0)</f>
        <v>11132</v>
      </c>
    </row>
    <row r="1875" spans="1:9">
      <c r="A1875" s="1">
        <v>44609</v>
      </c>
      <c r="B1875">
        <v>17966</v>
      </c>
      <c r="C1875">
        <v>26957</v>
      </c>
      <c r="D1875">
        <v>13449</v>
      </c>
      <c r="E1875">
        <v>6989</v>
      </c>
      <c r="F1875">
        <v>84</v>
      </c>
      <c r="G1875" t="s">
        <v>83</v>
      </c>
      <c r="H1875" t="str" cm="1">
        <f t="array" ref="H1875">_xlfn.IFS(Grammys[[#This Row],[date]] &gt;= DATE(2022,2,1),"Grammys",TRUE,"Grammys TRA")</f>
        <v>Grammys</v>
      </c>
      <c r="I1875">
        <f>_xlfn.XLOOKUP(Grammys[[#This Row],[date]],mobile_visits[date],mobile_visits[mobile_visitors],0)</f>
        <v>10821</v>
      </c>
    </row>
    <row r="1876" spans="1:9">
      <c r="A1876" s="1">
        <v>44610</v>
      </c>
      <c r="B1876">
        <v>14732</v>
      </c>
      <c r="C1876">
        <v>23038</v>
      </c>
      <c r="D1876">
        <v>10750</v>
      </c>
      <c r="E1876">
        <v>5179</v>
      </c>
      <c r="F1876">
        <v>83</v>
      </c>
      <c r="G1876" t="s">
        <v>83</v>
      </c>
      <c r="H1876" t="str" cm="1">
        <f t="array" ref="H1876">_xlfn.IFS(Grammys[[#This Row],[date]] &gt;= DATE(2022,2,1),"Grammys",TRUE,"Grammys TRA")</f>
        <v>Grammys</v>
      </c>
      <c r="I1876">
        <f>_xlfn.XLOOKUP(Grammys[[#This Row],[date]],mobile_visits[date],mobile_visits[mobile_visitors],0)</f>
        <v>8344</v>
      </c>
    </row>
    <row r="1877" spans="1:9">
      <c r="A1877" s="1">
        <v>44611</v>
      </c>
      <c r="B1877">
        <v>13174</v>
      </c>
      <c r="C1877">
        <v>19607</v>
      </c>
      <c r="D1877">
        <v>9024</v>
      </c>
      <c r="E1877">
        <v>4382</v>
      </c>
      <c r="F1877">
        <v>72</v>
      </c>
      <c r="G1877" t="s">
        <v>83</v>
      </c>
      <c r="H1877" t="str" cm="1">
        <f t="array" ref="H1877">_xlfn.IFS(Grammys[[#This Row],[date]] &gt;= DATE(2022,2,1),"Grammys",TRUE,"Grammys TRA")</f>
        <v>Grammys</v>
      </c>
      <c r="I1877">
        <f>_xlfn.XLOOKUP(Grammys[[#This Row],[date]],mobile_visits[date],mobile_visits[mobile_visitors],0)</f>
        <v>9054</v>
      </c>
    </row>
    <row r="1878" spans="1:9">
      <c r="A1878" s="1">
        <v>44612</v>
      </c>
      <c r="B1878">
        <v>14536</v>
      </c>
      <c r="C1878">
        <v>22723</v>
      </c>
      <c r="D1878">
        <v>10400</v>
      </c>
      <c r="E1878">
        <v>4916</v>
      </c>
      <c r="F1878">
        <v>73</v>
      </c>
      <c r="G1878" t="s">
        <v>83</v>
      </c>
      <c r="H1878" t="str" cm="1">
        <f t="array" ref="H1878">_xlfn.IFS(Grammys[[#This Row],[date]] &gt;= DATE(2022,2,1),"Grammys",TRUE,"Grammys TRA")</f>
        <v>Grammys</v>
      </c>
      <c r="I1878">
        <f>_xlfn.XLOOKUP(Grammys[[#This Row],[date]],mobile_visits[date],mobile_visits[mobile_visitors],0)</f>
        <v>10781</v>
      </c>
    </row>
    <row r="1879" spans="1:9">
      <c r="A1879" s="1">
        <v>44613</v>
      </c>
      <c r="B1879">
        <v>14081</v>
      </c>
      <c r="C1879">
        <v>22226</v>
      </c>
      <c r="D1879">
        <v>10183</v>
      </c>
      <c r="E1879">
        <v>4925</v>
      </c>
      <c r="F1879">
        <v>72</v>
      </c>
      <c r="G1879" t="s">
        <v>83</v>
      </c>
      <c r="H1879" t="str" cm="1">
        <f t="array" ref="H1879">_xlfn.IFS(Grammys[[#This Row],[date]] &gt;= DATE(2022,2,1),"Grammys",TRUE,"Grammys TRA")</f>
        <v>Grammys</v>
      </c>
      <c r="I1879">
        <f>_xlfn.XLOOKUP(Grammys[[#This Row],[date]],mobile_visits[date],mobile_visits[mobile_visitors],0)</f>
        <v>8657</v>
      </c>
    </row>
    <row r="1880" spans="1:9">
      <c r="A1880" s="1">
        <v>44614</v>
      </c>
      <c r="B1880">
        <v>16266</v>
      </c>
      <c r="C1880">
        <v>25600</v>
      </c>
      <c r="D1880">
        <v>11882</v>
      </c>
      <c r="E1880">
        <v>5805</v>
      </c>
      <c r="F1880">
        <v>72</v>
      </c>
      <c r="G1880" t="s">
        <v>83</v>
      </c>
      <c r="H1880" t="str" cm="1">
        <f t="array" ref="H1880">_xlfn.IFS(Grammys[[#This Row],[date]] &gt;= DATE(2022,2,1),"Grammys",TRUE,"Grammys TRA")</f>
        <v>Grammys</v>
      </c>
      <c r="I1880">
        <f>_xlfn.XLOOKUP(Grammys[[#This Row],[date]],mobile_visits[date],mobile_visits[mobile_visitors],0)</f>
        <v>9721</v>
      </c>
    </row>
    <row r="1881" spans="1:9">
      <c r="A1881" s="1">
        <v>44615</v>
      </c>
      <c r="B1881">
        <v>16775</v>
      </c>
      <c r="C1881">
        <v>25088</v>
      </c>
      <c r="D1881">
        <v>11576</v>
      </c>
      <c r="E1881">
        <v>5800</v>
      </c>
      <c r="F1881">
        <v>75</v>
      </c>
      <c r="G1881" t="s">
        <v>83</v>
      </c>
      <c r="H1881" t="str" cm="1">
        <f t="array" ref="H1881">_xlfn.IFS(Grammys[[#This Row],[date]] &gt;= DATE(2022,2,1),"Grammys",TRUE,"Grammys TRA")</f>
        <v>Grammys</v>
      </c>
      <c r="I1881">
        <f>_xlfn.XLOOKUP(Grammys[[#This Row],[date]],mobile_visits[date],mobile_visits[mobile_visitors],0)</f>
        <v>9813</v>
      </c>
    </row>
    <row r="1882" spans="1:9">
      <c r="A1882" s="1">
        <v>44616</v>
      </c>
      <c r="B1882">
        <v>13671</v>
      </c>
      <c r="C1882">
        <v>20261</v>
      </c>
      <c r="D1882">
        <v>9548</v>
      </c>
      <c r="E1882">
        <v>4921</v>
      </c>
      <c r="F1882">
        <v>78</v>
      </c>
      <c r="G1882" t="s">
        <v>83</v>
      </c>
      <c r="H1882" t="str" cm="1">
        <f t="array" ref="H1882">_xlfn.IFS(Grammys[[#This Row],[date]] &gt;= DATE(2022,2,1),"Grammys",TRUE,"Grammys TRA")</f>
        <v>Grammys</v>
      </c>
      <c r="I1882">
        <f>_xlfn.XLOOKUP(Grammys[[#This Row],[date]],mobile_visits[date],mobile_visits[mobile_visitors],0)</f>
        <v>8065</v>
      </c>
    </row>
    <row r="1883" spans="1:9">
      <c r="A1883" s="1">
        <v>44617</v>
      </c>
      <c r="B1883">
        <v>20104</v>
      </c>
      <c r="C1883">
        <v>31104</v>
      </c>
      <c r="D1883">
        <v>12733</v>
      </c>
      <c r="E1883">
        <v>6079</v>
      </c>
      <c r="F1883">
        <v>78</v>
      </c>
      <c r="G1883" t="s">
        <v>83</v>
      </c>
      <c r="H1883" t="str" cm="1">
        <f t="array" ref="H1883">_xlfn.IFS(Grammys[[#This Row],[date]] &gt;= DATE(2022,2,1),"Grammys",TRUE,"Grammys TRA")</f>
        <v>Grammys</v>
      </c>
      <c r="I1883">
        <f>_xlfn.XLOOKUP(Grammys[[#This Row],[date]],mobile_visits[date],mobile_visits[mobile_visitors],0)</f>
        <v>14550</v>
      </c>
    </row>
    <row r="1884" spans="1:9">
      <c r="A1884" s="1">
        <v>44618</v>
      </c>
      <c r="B1884">
        <v>15521</v>
      </c>
      <c r="C1884">
        <v>25252</v>
      </c>
      <c r="D1884">
        <v>10565</v>
      </c>
      <c r="E1884">
        <v>4997</v>
      </c>
      <c r="F1884">
        <v>78</v>
      </c>
      <c r="G1884" t="s">
        <v>83</v>
      </c>
      <c r="H1884" t="str" cm="1">
        <f t="array" ref="H1884">_xlfn.IFS(Grammys[[#This Row],[date]] &gt;= DATE(2022,2,1),"Grammys",TRUE,"Grammys TRA")</f>
        <v>Grammys</v>
      </c>
      <c r="I1884">
        <f>_xlfn.XLOOKUP(Grammys[[#This Row],[date]],mobile_visits[date],mobile_visits[mobile_visitors],0)</f>
        <v>11505</v>
      </c>
    </row>
    <row r="1885" spans="1:9">
      <c r="A1885" s="1">
        <v>44619</v>
      </c>
      <c r="B1885">
        <v>14265</v>
      </c>
      <c r="C1885">
        <v>23380</v>
      </c>
      <c r="D1885">
        <v>10265</v>
      </c>
      <c r="E1885">
        <v>4823</v>
      </c>
      <c r="F1885">
        <v>75</v>
      </c>
      <c r="G1885" t="s">
        <v>83</v>
      </c>
      <c r="H1885" t="str" cm="1">
        <f t="array" ref="H1885">_xlfn.IFS(Grammys[[#This Row],[date]] &gt;= DATE(2022,2,1),"Grammys",TRUE,"Grammys TRA")</f>
        <v>Grammys</v>
      </c>
      <c r="I1885">
        <f>_xlfn.XLOOKUP(Grammys[[#This Row],[date]],mobile_visits[date],mobile_visits[mobile_visitors],0)</f>
        <v>9702</v>
      </c>
    </row>
    <row r="1886" spans="1:9">
      <c r="A1886" s="1">
        <v>44620</v>
      </c>
      <c r="B1886">
        <v>14589</v>
      </c>
      <c r="C1886">
        <v>22474</v>
      </c>
      <c r="D1886">
        <v>10376</v>
      </c>
      <c r="E1886">
        <v>5284</v>
      </c>
      <c r="F1886">
        <v>79</v>
      </c>
      <c r="G1886" t="s">
        <v>83</v>
      </c>
      <c r="H1886" t="str" cm="1">
        <f t="array" ref="H1886">_xlfn.IFS(Grammys[[#This Row],[date]] &gt;= DATE(2022,2,1),"Grammys",TRUE,"Grammys TRA")</f>
        <v>Grammys</v>
      </c>
      <c r="I1886">
        <f>_xlfn.XLOOKUP(Grammys[[#This Row],[date]],mobile_visits[date],mobile_visits[mobile_visitors],0)</f>
        <v>9113</v>
      </c>
    </row>
    <row r="1887" spans="1:9">
      <c r="A1887" s="1">
        <v>44621</v>
      </c>
      <c r="B1887">
        <v>12707</v>
      </c>
      <c r="C1887">
        <v>21191</v>
      </c>
      <c r="D1887">
        <v>9691</v>
      </c>
      <c r="E1887">
        <v>4946</v>
      </c>
      <c r="F1887">
        <v>74</v>
      </c>
      <c r="G1887" t="s">
        <v>83</v>
      </c>
      <c r="H1887" t="str" cm="1">
        <f t="array" ref="H1887">_xlfn.IFS(Grammys[[#This Row],[date]] &gt;= DATE(2022,2,1),"Grammys",TRUE,"Grammys TRA")</f>
        <v>Grammys</v>
      </c>
      <c r="I1887">
        <f>_xlfn.XLOOKUP(Grammys[[#This Row],[date]],mobile_visits[date],mobile_visits[mobile_visitors],0)</f>
        <v>7336</v>
      </c>
    </row>
    <row r="1888" spans="1:9">
      <c r="A1888" s="1">
        <v>44622</v>
      </c>
      <c r="B1888">
        <v>13615</v>
      </c>
      <c r="C1888">
        <v>23165</v>
      </c>
      <c r="D1888">
        <v>10378</v>
      </c>
      <c r="E1888">
        <v>5095</v>
      </c>
      <c r="F1888">
        <v>75</v>
      </c>
      <c r="G1888" t="s">
        <v>83</v>
      </c>
      <c r="H1888" t="str" cm="1">
        <f t="array" ref="H1888">_xlfn.IFS(Grammys[[#This Row],[date]] &gt;= DATE(2022,2,1),"Grammys",TRUE,"Grammys TRA")</f>
        <v>Grammys</v>
      </c>
      <c r="I1888">
        <f>_xlfn.XLOOKUP(Grammys[[#This Row],[date]],mobile_visits[date],mobile_visits[mobile_visitors],0)</f>
        <v>7905</v>
      </c>
    </row>
    <row r="1889" spans="1:9">
      <c r="A1889" s="1">
        <v>44623</v>
      </c>
      <c r="B1889">
        <v>15084</v>
      </c>
      <c r="C1889">
        <v>26558</v>
      </c>
      <c r="D1889">
        <v>11563</v>
      </c>
      <c r="E1889">
        <v>5573</v>
      </c>
      <c r="F1889">
        <v>78</v>
      </c>
      <c r="G1889" t="s">
        <v>83</v>
      </c>
      <c r="H1889" t="str" cm="1">
        <f t="array" ref="H1889">_xlfn.IFS(Grammys[[#This Row],[date]] &gt;= DATE(2022,2,1),"Grammys",TRUE,"Grammys TRA")</f>
        <v>Grammys</v>
      </c>
      <c r="I1889">
        <f>_xlfn.XLOOKUP(Grammys[[#This Row],[date]],mobile_visits[date],mobile_visits[mobile_visitors],0)</f>
        <v>9374</v>
      </c>
    </row>
    <row r="1890" spans="1:9">
      <c r="A1890" s="1">
        <v>44624</v>
      </c>
      <c r="B1890">
        <v>16010</v>
      </c>
      <c r="C1890">
        <v>33121</v>
      </c>
      <c r="D1890">
        <v>13823</v>
      </c>
      <c r="E1890">
        <v>6858</v>
      </c>
      <c r="F1890">
        <v>67</v>
      </c>
      <c r="G1890" t="s">
        <v>83</v>
      </c>
      <c r="H1890" t="str" cm="1">
        <f t="array" ref="H1890">_xlfn.IFS(Grammys[[#This Row],[date]] &gt;= DATE(2022,2,1),"Grammys",TRUE,"Grammys TRA")</f>
        <v>Grammys</v>
      </c>
      <c r="I1890">
        <f>_xlfn.XLOOKUP(Grammys[[#This Row],[date]],mobile_visits[date],mobile_visits[mobile_visitors],0)</f>
        <v>10977</v>
      </c>
    </row>
    <row r="1891" spans="1:9">
      <c r="A1891" s="1">
        <v>44625</v>
      </c>
      <c r="B1891">
        <v>14263</v>
      </c>
      <c r="C1891">
        <v>31479</v>
      </c>
      <c r="D1891">
        <v>11784</v>
      </c>
      <c r="E1891">
        <v>5441</v>
      </c>
      <c r="F1891">
        <v>66</v>
      </c>
      <c r="G1891" t="s">
        <v>83</v>
      </c>
      <c r="H1891" t="str" cm="1">
        <f t="array" ref="H1891">_xlfn.IFS(Grammys[[#This Row],[date]] &gt;= DATE(2022,2,1),"Grammys",TRUE,"Grammys TRA")</f>
        <v>Grammys</v>
      </c>
      <c r="I1891">
        <f>_xlfn.XLOOKUP(Grammys[[#This Row],[date]],mobile_visits[date],mobile_visits[mobile_visitors],0)</f>
        <v>10404</v>
      </c>
    </row>
    <row r="1892" spans="1:9">
      <c r="A1892" s="1">
        <v>44626</v>
      </c>
      <c r="B1892">
        <v>13775</v>
      </c>
      <c r="C1892">
        <v>28828</v>
      </c>
      <c r="D1892">
        <v>10936</v>
      </c>
      <c r="E1892">
        <v>4762</v>
      </c>
      <c r="F1892">
        <v>79</v>
      </c>
      <c r="G1892" t="s">
        <v>83</v>
      </c>
      <c r="H1892" t="str" cm="1">
        <f t="array" ref="H1892">_xlfn.IFS(Grammys[[#This Row],[date]] &gt;= DATE(2022,2,1),"Grammys",TRUE,"Grammys TRA")</f>
        <v>Grammys</v>
      </c>
      <c r="I1892">
        <f>_xlfn.XLOOKUP(Grammys[[#This Row],[date]],mobile_visits[date],mobile_visits[mobile_visitors],0)</f>
        <v>9655</v>
      </c>
    </row>
    <row r="1893" spans="1:9">
      <c r="A1893" s="1">
        <v>44627</v>
      </c>
      <c r="B1893">
        <v>15400</v>
      </c>
      <c r="C1893">
        <v>31321</v>
      </c>
      <c r="D1893">
        <v>12605</v>
      </c>
      <c r="E1893">
        <v>6098</v>
      </c>
      <c r="F1893">
        <v>77</v>
      </c>
      <c r="G1893" t="s">
        <v>83</v>
      </c>
      <c r="H1893" t="str" cm="1">
        <f t="array" ref="H1893">_xlfn.IFS(Grammys[[#This Row],[date]] &gt;= DATE(2022,2,1),"Grammys",TRUE,"Grammys TRA")</f>
        <v>Grammys</v>
      </c>
      <c r="I1893">
        <f>_xlfn.XLOOKUP(Grammys[[#This Row],[date]],mobile_visits[date],mobile_visits[mobile_visitors],0)</f>
        <v>9351</v>
      </c>
    </row>
    <row r="1894" spans="1:9">
      <c r="A1894" s="1">
        <v>44628</v>
      </c>
      <c r="B1894">
        <v>14808</v>
      </c>
      <c r="C1894">
        <v>29520</v>
      </c>
      <c r="D1894">
        <v>11915</v>
      </c>
      <c r="E1894">
        <v>5559</v>
      </c>
      <c r="F1894">
        <v>80</v>
      </c>
      <c r="G1894" t="s">
        <v>83</v>
      </c>
      <c r="H1894" t="str" cm="1">
        <f t="array" ref="H1894">_xlfn.IFS(Grammys[[#This Row],[date]] &gt;= DATE(2022,2,1),"Grammys",TRUE,"Grammys TRA")</f>
        <v>Grammys</v>
      </c>
      <c r="I1894">
        <f>_xlfn.XLOOKUP(Grammys[[#This Row],[date]],mobile_visits[date],mobile_visits[mobile_visitors],0)</f>
        <v>9410</v>
      </c>
    </row>
    <row r="1895" spans="1:9">
      <c r="A1895" s="1">
        <v>44629</v>
      </c>
      <c r="B1895">
        <v>14241</v>
      </c>
      <c r="C1895">
        <v>28081</v>
      </c>
      <c r="D1895">
        <v>11249</v>
      </c>
      <c r="E1895">
        <v>5118</v>
      </c>
      <c r="F1895">
        <v>77</v>
      </c>
      <c r="G1895" t="s">
        <v>83</v>
      </c>
      <c r="H1895" t="str" cm="1">
        <f t="array" ref="H1895">_xlfn.IFS(Grammys[[#This Row],[date]] &gt;= DATE(2022,2,1),"Grammys",TRUE,"Grammys TRA")</f>
        <v>Grammys</v>
      </c>
      <c r="I1895">
        <f>_xlfn.XLOOKUP(Grammys[[#This Row],[date]],mobile_visits[date],mobile_visits[mobile_visitors],0)</f>
        <v>8478</v>
      </c>
    </row>
    <row r="1896" spans="1:9">
      <c r="A1896" s="1">
        <v>44630</v>
      </c>
      <c r="B1896">
        <v>14840</v>
      </c>
      <c r="C1896">
        <v>30453</v>
      </c>
      <c r="D1896">
        <v>12201</v>
      </c>
      <c r="E1896">
        <v>5635</v>
      </c>
      <c r="F1896">
        <v>83</v>
      </c>
      <c r="G1896" t="s">
        <v>83</v>
      </c>
      <c r="H1896" t="str" cm="1">
        <f t="array" ref="H1896">_xlfn.IFS(Grammys[[#This Row],[date]] &gt;= DATE(2022,2,1),"Grammys",TRUE,"Grammys TRA")</f>
        <v>Grammys</v>
      </c>
      <c r="I1896">
        <f>_xlfn.XLOOKUP(Grammys[[#This Row],[date]],mobile_visits[date],mobile_visits[mobile_visitors],0)</f>
        <v>9234</v>
      </c>
    </row>
    <row r="1897" spans="1:9">
      <c r="A1897" s="1">
        <v>44631</v>
      </c>
      <c r="B1897">
        <v>14701</v>
      </c>
      <c r="C1897">
        <v>29701</v>
      </c>
      <c r="D1897">
        <v>12324</v>
      </c>
      <c r="E1897">
        <v>5928</v>
      </c>
      <c r="F1897">
        <v>81</v>
      </c>
      <c r="G1897" t="s">
        <v>83</v>
      </c>
      <c r="H1897" t="str" cm="1">
        <f t="array" ref="H1897">_xlfn.IFS(Grammys[[#This Row],[date]] &gt;= DATE(2022,2,1),"Grammys",TRUE,"Grammys TRA")</f>
        <v>Grammys</v>
      </c>
      <c r="I1897">
        <f>_xlfn.XLOOKUP(Grammys[[#This Row],[date]],mobile_visits[date],mobile_visits[mobile_visitors],0)</f>
        <v>9408</v>
      </c>
    </row>
    <row r="1898" spans="1:9">
      <c r="A1898" s="1">
        <v>44632</v>
      </c>
      <c r="B1898">
        <v>14572</v>
      </c>
      <c r="C1898">
        <v>29527</v>
      </c>
      <c r="D1898">
        <v>12313</v>
      </c>
      <c r="E1898">
        <v>6013</v>
      </c>
      <c r="F1898">
        <v>69</v>
      </c>
      <c r="G1898" t="s">
        <v>83</v>
      </c>
      <c r="H1898" t="str" cm="1">
        <f t="array" ref="H1898">_xlfn.IFS(Grammys[[#This Row],[date]] &gt;= DATE(2022,2,1),"Grammys",TRUE,"Grammys TRA")</f>
        <v>Grammys</v>
      </c>
      <c r="I1898">
        <f>_xlfn.XLOOKUP(Grammys[[#This Row],[date]],mobile_visits[date],mobile_visits[mobile_visitors],0)</f>
        <v>10478</v>
      </c>
    </row>
    <row r="1899" spans="1:9">
      <c r="A1899" s="1">
        <v>44633</v>
      </c>
      <c r="B1899">
        <v>18949</v>
      </c>
      <c r="C1899">
        <v>33107</v>
      </c>
      <c r="D1899">
        <v>14118</v>
      </c>
      <c r="E1899">
        <v>6822</v>
      </c>
      <c r="F1899">
        <v>63</v>
      </c>
      <c r="G1899" t="s">
        <v>83</v>
      </c>
      <c r="H1899" t="str" cm="1">
        <f t="array" ref="H1899">_xlfn.IFS(Grammys[[#This Row],[date]] &gt;= DATE(2022,2,1),"Grammys",TRUE,"Grammys TRA")</f>
        <v>Grammys</v>
      </c>
      <c r="I1899">
        <f>_xlfn.XLOOKUP(Grammys[[#This Row],[date]],mobile_visits[date],mobile_visits[mobile_visitors],0)</f>
        <v>11570</v>
      </c>
    </row>
    <row r="1900" spans="1:9">
      <c r="A1900" s="1">
        <v>44634</v>
      </c>
      <c r="B1900">
        <v>26073</v>
      </c>
      <c r="C1900">
        <v>48843</v>
      </c>
      <c r="D1900">
        <v>20992</v>
      </c>
      <c r="E1900">
        <v>10434</v>
      </c>
      <c r="F1900">
        <v>66</v>
      </c>
      <c r="G1900" t="s">
        <v>83</v>
      </c>
      <c r="H1900" t="str" cm="1">
        <f t="array" ref="H1900">_xlfn.IFS(Grammys[[#This Row],[date]] &gt;= DATE(2022,2,1),"Grammys",TRUE,"Grammys TRA")</f>
        <v>Grammys</v>
      </c>
      <c r="I1900">
        <f>_xlfn.XLOOKUP(Grammys[[#This Row],[date]],mobile_visits[date],mobile_visits[mobile_visitors],0)</f>
        <v>14861</v>
      </c>
    </row>
    <row r="1901" spans="1:9">
      <c r="A1901" s="1">
        <v>44635</v>
      </c>
      <c r="B1901">
        <v>48971</v>
      </c>
      <c r="C1901">
        <v>106667</v>
      </c>
      <c r="D1901">
        <v>45121</v>
      </c>
      <c r="E1901">
        <v>21794</v>
      </c>
      <c r="F1901">
        <v>64</v>
      </c>
      <c r="G1901" t="s">
        <v>83</v>
      </c>
      <c r="H1901" t="str" cm="1">
        <f t="array" ref="H1901">_xlfn.IFS(Grammys[[#This Row],[date]] &gt;= DATE(2022,2,1),"Grammys",TRUE,"Grammys TRA")</f>
        <v>Grammys</v>
      </c>
      <c r="I1901">
        <f>_xlfn.XLOOKUP(Grammys[[#This Row],[date]],mobile_visits[date],mobile_visits[mobile_visitors],0)</f>
        <v>34343</v>
      </c>
    </row>
    <row r="1902" spans="1:9">
      <c r="A1902" s="1">
        <v>44636</v>
      </c>
      <c r="B1902">
        <v>26864</v>
      </c>
      <c r="C1902">
        <v>60009</v>
      </c>
      <c r="D1902">
        <v>24616</v>
      </c>
      <c r="E1902">
        <v>11757</v>
      </c>
      <c r="F1902">
        <v>75</v>
      </c>
      <c r="G1902" t="s">
        <v>83</v>
      </c>
      <c r="H1902" t="str" cm="1">
        <f t="array" ref="H1902">_xlfn.IFS(Grammys[[#This Row],[date]] &gt;= DATE(2022,2,1),"Grammys",TRUE,"Grammys TRA")</f>
        <v>Grammys</v>
      </c>
      <c r="I1902">
        <f>_xlfn.XLOOKUP(Grammys[[#This Row],[date]],mobile_visits[date],mobile_visits[mobile_visitors],0)</f>
        <v>17294</v>
      </c>
    </row>
    <row r="1903" spans="1:9">
      <c r="A1903" s="1">
        <v>44637</v>
      </c>
      <c r="B1903">
        <v>23775</v>
      </c>
      <c r="C1903">
        <v>57572</v>
      </c>
      <c r="D1903">
        <v>23951</v>
      </c>
      <c r="E1903">
        <v>10913</v>
      </c>
      <c r="F1903">
        <v>86</v>
      </c>
      <c r="G1903" t="s">
        <v>83</v>
      </c>
      <c r="H1903" t="str" cm="1">
        <f t="array" ref="H1903">_xlfn.IFS(Grammys[[#This Row],[date]] &gt;= DATE(2022,2,1),"Grammys",TRUE,"Grammys TRA")</f>
        <v>Grammys</v>
      </c>
      <c r="I1903">
        <f>_xlfn.XLOOKUP(Grammys[[#This Row],[date]],mobile_visits[date],mobile_visits[mobile_visitors],0)</f>
        <v>14935</v>
      </c>
    </row>
    <row r="1904" spans="1:9">
      <c r="A1904" s="1">
        <v>44638</v>
      </c>
      <c r="B1904">
        <v>26065</v>
      </c>
      <c r="C1904">
        <v>65859</v>
      </c>
      <c r="D1904">
        <v>28685</v>
      </c>
      <c r="E1904">
        <v>13213</v>
      </c>
      <c r="F1904">
        <v>87</v>
      </c>
      <c r="G1904" t="s">
        <v>83</v>
      </c>
      <c r="H1904" t="str" cm="1">
        <f t="array" ref="H1904">_xlfn.IFS(Grammys[[#This Row],[date]] &gt;= DATE(2022,2,1),"Grammys",TRUE,"Grammys TRA")</f>
        <v>Grammys</v>
      </c>
      <c r="I1904">
        <f>_xlfn.XLOOKUP(Grammys[[#This Row],[date]],mobile_visits[date],mobile_visits[mobile_visitors],0)</f>
        <v>18086</v>
      </c>
    </row>
    <row r="1905" spans="1:9">
      <c r="A1905" s="1">
        <v>44639</v>
      </c>
      <c r="B1905">
        <v>31396</v>
      </c>
      <c r="C1905">
        <v>77684</v>
      </c>
      <c r="D1905">
        <v>34269</v>
      </c>
      <c r="E1905">
        <v>15915</v>
      </c>
      <c r="F1905">
        <v>77</v>
      </c>
      <c r="G1905" t="s">
        <v>83</v>
      </c>
      <c r="H1905" t="str" cm="1">
        <f t="array" ref="H1905">_xlfn.IFS(Grammys[[#This Row],[date]] &gt;= DATE(2022,2,1),"Grammys",TRUE,"Grammys TRA")</f>
        <v>Grammys</v>
      </c>
      <c r="I1905">
        <f>_xlfn.XLOOKUP(Grammys[[#This Row],[date]],mobile_visits[date],mobile_visits[mobile_visitors],0)</f>
        <v>24121</v>
      </c>
    </row>
    <row r="1906" spans="1:9">
      <c r="A1906" s="1">
        <v>44640</v>
      </c>
      <c r="B1906">
        <v>33350</v>
      </c>
      <c r="C1906">
        <v>83321</v>
      </c>
      <c r="D1906">
        <v>36290</v>
      </c>
      <c r="E1906">
        <v>16277</v>
      </c>
      <c r="F1906">
        <v>80</v>
      </c>
      <c r="G1906" t="s">
        <v>83</v>
      </c>
      <c r="H1906" t="str" cm="1">
        <f t="array" ref="H1906">_xlfn.IFS(Grammys[[#This Row],[date]] &gt;= DATE(2022,2,1),"Grammys",TRUE,"Grammys TRA")</f>
        <v>Grammys</v>
      </c>
      <c r="I1906">
        <f>_xlfn.XLOOKUP(Grammys[[#This Row],[date]],mobile_visits[date],mobile_visits[mobile_visitors],0)</f>
        <v>24641</v>
      </c>
    </row>
    <row r="1907" spans="1:9">
      <c r="A1907" s="1">
        <v>44641</v>
      </c>
      <c r="B1907">
        <v>32206</v>
      </c>
      <c r="C1907">
        <v>81304</v>
      </c>
      <c r="D1907">
        <v>35331</v>
      </c>
      <c r="E1907">
        <v>15786</v>
      </c>
      <c r="F1907">
        <v>90</v>
      </c>
      <c r="G1907" t="s">
        <v>83</v>
      </c>
      <c r="H1907" t="str" cm="1">
        <f t="array" ref="H1907">_xlfn.IFS(Grammys[[#This Row],[date]] &gt;= DATE(2022,2,1),"Grammys",TRUE,"Grammys TRA")</f>
        <v>Grammys</v>
      </c>
      <c r="I1907">
        <f>_xlfn.XLOOKUP(Grammys[[#This Row],[date]],mobile_visits[date],mobile_visits[mobile_visitors],0)</f>
        <v>20029</v>
      </c>
    </row>
    <row r="1908" spans="1:9">
      <c r="A1908" s="1">
        <v>44642</v>
      </c>
      <c r="B1908">
        <v>37508</v>
      </c>
      <c r="C1908">
        <v>103033</v>
      </c>
      <c r="D1908">
        <v>42065</v>
      </c>
      <c r="E1908">
        <v>18366</v>
      </c>
      <c r="F1908">
        <v>91</v>
      </c>
      <c r="G1908" t="s">
        <v>83</v>
      </c>
      <c r="H1908" t="str" cm="1">
        <f t="array" ref="H1908">_xlfn.IFS(Grammys[[#This Row],[date]] &gt;= DATE(2022,2,1),"Grammys",TRUE,"Grammys TRA")</f>
        <v>Grammys</v>
      </c>
      <c r="I1908">
        <f>_xlfn.XLOOKUP(Grammys[[#This Row],[date]],mobile_visits[date],mobile_visits[mobile_visitors],0)</f>
        <v>25122</v>
      </c>
    </row>
    <row r="1909" spans="1:9">
      <c r="A1909" s="1">
        <v>44643</v>
      </c>
      <c r="B1909">
        <v>34953</v>
      </c>
      <c r="C1909">
        <v>95806</v>
      </c>
      <c r="D1909">
        <v>38692</v>
      </c>
      <c r="E1909">
        <v>17187</v>
      </c>
      <c r="F1909">
        <v>101</v>
      </c>
      <c r="G1909" t="s">
        <v>83</v>
      </c>
      <c r="H1909" t="str" cm="1">
        <f t="array" ref="H1909">_xlfn.IFS(Grammys[[#This Row],[date]] &gt;= DATE(2022,2,1),"Grammys",TRUE,"Grammys TRA")</f>
        <v>Grammys</v>
      </c>
      <c r="I1909">
        <f>_xlfn.XLOOKUP(Grammys[[#This Row],[date]],mobile_visits[date],mobile_visits[mobile_visitors],0)</f>
        <v>23193</v>
      </c>
    </row>
    <row r="1910" spans="1:9">
      <c r="A1910" s="1">
        <v>44644</v>
      </c>
      <c r="B1910">
        <v>33743</v>
      </c>
      <c r="C1910">
        <v>90676</v>
      </c>
      <c r="D1910">
        <v>37781</v>
      </c>
      <c r="E1910">
        <v>16696</v>
      </c>
      <c r="F1910">
        <v>99</v>
      </c>
      <c r="G1910" t="s">
        <v>83</v>
      </c>
      <c r="H1910" t="str" cm="1">
        <f t="array" ref="H1910">_xlfn.IFS(Grammys[[#This Row],[date]] &gt;= DATE(2022,2,1),"Grammys",TRUE,"Grammys TRA")</f>
        <v>Grammys</v>
      </c>
      <c r="I1910">
        <f>_xlfn.XLOOKUP(Grammys[[#This Row],[date]],mobile_visits[date],mobile_visits[mobile_visitors],0)</f>
        <v>21853</v>
      </c>
    </row>
    <row r="1911" spans="1:9">
      <c r="A1911" s="1">
        <v>44645</v>
      </c>
      <c r="B1911">
        <v>35229</v>
      </c>
      <c r="C1911">
        <v>94117</v>
      </c>
      <c r="D1911">
        <v>39188</v>
      </c>
      <c r="E1911">
        <v>17572</v>
      </c>
      <c r="F1911">
        <v>90</v>
      </c>
      <c r="G1911" t="s">
        <v>83</v>
      </c>
      <c r="H1911" t="str" cm="1">
        <f t="array" ref="H1911">_xlfn.IFS(Grammys[[#This Row],[date]] &gt;= DATE(2022,2,1),"Grammys",TRUE,"Grammys TRA")</f>
        <v>Grammys</v>
      </c>
      <c r="I1911">
        <f>_xlfn.XLOOKUP(Grammys[[#This Row],[date]],mobile_visits[date],mobile_visits[mobile_visitors],0)</f>
        <v>23730</v>
      </c>
    </row>
    <row r="1912" spans="1:9">
      <c r="A1912" s="1">
        <v>44646</v>
      </c>
      <c r="B1912">
        <v>39481</v>
      </c>
      <c r="C1912">
        <v>104183</v>
      </c>
      <c r="D1912">
        <v>45128</v>
      </c>
      <c r="E1912">
        <v>21337</v>
      </c>
      <c r="F1912">
        <v>84</v>
      </c>
      <c r="G1912" t="s">
        <v>83</v>
      </c>
      <c r="H1912" t="str" cm="1">
        <f t="array" ref="H1912">_xlfn.IFS(Grammys[[#This Row],[date]] &gt;= DATE(2022,2,1),"Grammys",TRUE,"Grammys TRA")</f>
        <v>Grammys</v>
      </c>
      <c r="I1912">
        <f>_xlfn.XLOOKUP(Grammys[[#This Row],[date]],mobile_visits[date],mobile_visits[mobile_visitors],0)</f>
        <v>31163</v>
      </c>
    </row>
    <row r="1913" spans="1:9">
      <c r="A1913" s="1">
        <v>44647</v>
      </c>
      <c r="B1913">
        <v>81975</v>
      </c>
      <c r="C1913">
        <v>238268</v>
      </c>
      <c r="D1913">
        <v>90662</v>
      </c>
      <c r="E1913">
        <v>35894</v>
      </c>
      <c r="F1913">
        <v>90</v>
      </c>
      <c r="G1913" t="s">
        <v>83</v>
      </c>
      <c r="H1913" t="str" cm="1">
        <f t="array" ref="H1913">_xlfn.IFS(Grammys[[#This Row],[date]] &gt;= DATE(2022,2,1),"Grammys",TRUE,"Grammys TRA")</f>
        <v>Grammys</v>
      </c>
      <c r="I1913">
        <f>_xlfn.XLOOKUP(Grammys[[#This Row],[date]],mobile_visits[date],mobile_visits[mobile_visitors],0)</f>
        <v>64557</v>
      </c>
    </row>
    <row r="1914" spans="1:9">
      <c r="A1914" s="1">
        <v>44648</v>
      </c>
      <c r="B1914">
        <v>95370</v>
      </c>
      <c r="C1914">
        <v>289065</v>
      </c>
      <c r="D1914">
        <v>108815</v>
      </c>
      <c r="E1914">
        <v>42961</v>
      </c>
      <c r="F1914">
        <v>93</v>
      </c>
      <c r="G1914" t="s">
        <v>83</v>
      </c>
      <c r="H1914" t="str" cm="1">
        <f t="array" ref="H1914">_xlfn.IFS(Grammys[[#This Row],[date]] &gt;= DATE(2022,2,1),"Grammys",TRUE,"Grammys TRA")</f>
        <v>Grammys</v>
      </c>
      <c r="I1914">
        <f>_xlfn.XLOOKUP(Grammys[[#This Row],[date]],mobile_visits[date],mobile_visits[mobile_visitors],0)</f>
        <v>67000</v>
      </c>
    </row>
    <row r="1915" spans="1:9">
      <c r="A1915" s="1">
        <v>44649</v>
      </c>
      <c r="B1915">
        <v>92539</v>
      </c>
      <c r="C1915">
        <v>282285</v>
      </c>
      <c r="D1915">
        <v>104918</v>
      </c>
      <c r="E1915">
        <v>40583</v>
      </c>
      <c r="F1915">
        <v>102</v>
      </c>
      <c r="G1915" t="s">
        <v>83</v>
      </c>
      <c r="H1915" t="str" cm="1">
        <f t="array" ref="H1915">_xlfn.IFS(Grammys[[#This Row],[date]] &gt;= DATE(2022,2,1),"Grammys",TRUE,"Grammys TRA")</f>
        <v>Grammys</v>
      </c>
      <c r="I1915">
        <f>_xlfn.XLOOKUP(Grammys[[#This Row],[date]],mobile_visits[date],mobile_visits[mobile_visitors],0)</f>
        <v>64586</v>
      </c>
    </row>
    <row r="1916" spans="1:9">
      <c r="A1916" s="1">
        <v>44650</v>
      </c>
      <c r="B1916">
        <v>98317</v>
      </c>
      <c r="C1916">
        <v>282865</v>
      </c>
      <c r="D1916">
        <v>112650</v>
      </c>
      <c r="E1916">
        <v>46998</v>
      </c>
      <c r="F1916">
        <v>105</v>
      </c>
      <c r="G1916" t="s">
        <v>83</v>
      </c>
      <c r="H1916" t="str" cm="1">
        <f t="array" ref="H1916">_xlfn.IFS(Grammys[[#This Row],[date]] &gt;= DATE(2022,2,1),"Grammys",TRUE,"Grammys TRA")</f>
        <v>Grammys</v>
      </c>
      <c r="I1916">
        <f>_xlfn.XLOOKUP(Grammys[[#This Row],[date]],mobile_visits[date],mobile_visits[mobile_visitors],0)</f>
        <v>70495</v>
      </c>
    </row>
    <row r="1917" spans="1:9">
      <c r="A1917" s="1">
        <v>44651</v>
      </c>
      <c r="B1917">
        <v>82932</v>
      </c>
      <c r="C1917">
        <v>232120</v>
      </c>
      <c r="D1917">
        <v>95127</v>
      </c>
      <c r="E1917">
        <v>41371</v>
      </c>
      <c r="F1917">
        <v>102</v>
      </c>
      <c r="G1917" t="s">
        <v>83</v>
      </c>
      <c r="H1917" t="str" cm="1">
        <f t="array" ref="H1917">_xlfn.IFS(Grammys[[#This Row],[date]] &gt;= DATE(2022,2,1),"Grammys",TRUE,"Grammys TRA")</f>
        <v>Grammys</v>
      </c>
      <c r="I1917">
        <f>_xlfn.XLOOKUP(Grammys[[#This Row],[date]],mobile_visits[date],mobile_visits[mobile_visitors],0)</f>
        <v>58734</v>
      </c>
    </row>
    <row r="1918" spans="1:9">
      <c r="A1918" s="1">
        <v>44652</v>
      </c>
      <c r="B1918">
        <v>111046</v>
      </c>
      <c r="C1918">
        <v>318102</v>
      </c>
      <c r="D1918">
        <v>129979</v>
      </c>
      <c r="E1918">
        <v>55073</v>
      </c>
      <c r="F1918">
        <v>95</v>
      </c>
      <c r="G1918" t="s">
        <v>83</v>
      </c>
      <c r="H1918" t="str" cm="1">
        <f t="array" ref="H1918">_xlfn.IFS(Grammys[[#This Row],[date]] &gt;= DATE(2022,2,1),"Grammys",TRUE,"Grammys TRA")</f>
        <v>Grammys</v>
      </c>
      <c r="I1918">
        <f>_xlfn.XLOOKUP(Grammys[[#This Row],[date]],mobile_visits[date],mobile_visits[mobile_visitors],0)</f>
        <v>81320</v>
      </c>
    </row>
    <row r="1919" spans="1:9">
      <c r="A1919" s="1">
        <v>44653</v>
      </c>
      <c r="B1919">
        <v>219761</v>
      </c>
      <c r="C1919">
        <v>624465</v>
      </c>
      <c r="D1919">
        <v>258029</v>
      </c>
      <c r="E1919">
        <v>111753</v>
      </c>
      <c r="F1919">
        <v>89</v>
      </c>
      <c r="G1919" t="s">
        <v>83</v>
      </c>
      <c r="H1919" t="str" cm="1">
        <f t="array" ref="H1919">_xlfn.IFS(Grammys[[#This Row],[date]] &gt;= DATE(2022,2,1),"Grammys",TRUE,"Grammys TRA")</f>
        <v>Grammys</v>
      </c>
      <c r="I1919">
        <f>_xlfn.XLOOKUP(Grammys[[#This Row],[date]],mobile_visits[date],mobile_visits[mobile_visitors],0)</f>
        <v>181561</v>
      </c>
    </row>
    <row r="1920" spans="1:9">
      <c r="A1920" s="1">
        <v>44654</v>
      </c>
      <c r="B1920">
        <v>2232007</v>
      </c>
      <c r="C1920">
        <v>7344507</v>
      </c>
      <c r="D1920">
        <v>3086640</v>
      </c>
      <c r="E1920">
        <v>1300402</v>
      </c>
      <c r="F1920">
        <v>130</v>
      </c>
      <c r="G1920" t="s">
        <v>85</v>
      </c>
      <c r="H1920" t="str" cm="1">
        <f t="array" ref="H1920">_xlfn.IFS(Grammys[[#This Row],[date]] &gt;= DATE(2022,2,1),"Grammys",TRUE,"Grammys TRA")</f>
        <v>Grammys</v>
      </c>
      <c r="I1920">
        <f>_xlfn.XLOOKUP(Grammys[[#This Row],[date]],mobile_visits[date],mobile_visits[mobile_visitors],0)</f>
        <v>1751415</v>
      </c>
    </row>
    <row r="1921" spans="1:9">
      <c r="A1921" s="1">
        <v>44655</v>
      </c>
      <c r="B1921">
        <v>798488</v>
      </c>
      <c r="C1921">
        <v>2168600</v>
      </c>
      <c r="D1921">
        <v>953408</v>
      </c>
      <c r="E1921">
        <v>413494</v>
      </c>
      <c r="F1921">
        <v>80</v>
      </c>
      <c r="G1921" t="s">
        <v>83</v>
      </c>
      <c r="H1921" t="str" cm="1">
        <f t="array" ref="H1921">_xlfn.IFS(Grammys[[#This Row],[date]] &gt;= DATE(2022,2,1),"Grammys",TRUE,"Grammys TRA")</f>
        <v>Grammys</v>
      </c>
      <c r="I1921">
        <f>_xlfn.XLOOKUP(Grammys[[#This Row],[date]],mobile_visits[date],mobile_visits[mobile_visitors],0)</f>
        <v>568791</v>
      </c>
    </row>
    <row r="1922" spans="1:9">
      <c r="A1922" s="1">
        <v>44656</v>
      </c>
      <c r="B1922">
        <v>226589</v>
      </c>
      <c r="C1922">
        <v>592457</v>
      </c>
      <c r="D1922">
        <v>263082</v>
      </c>
      <c r="E1922">
        <v>116914</v>
      </c>
      <c r="F1922">
        <v>85</v>
      </c>
      <c r="G1922" t="s">
        <v>83</v>
      </c>
      <c r="H1922" t="str" cm="1">
        <f t="array" ref="H1922">_xlfn.IFS(Grammys[[#This Row],[date]] &gt;= DATE(2022,2,1),"Grammys",TRUE,"Grammys TRA")</f>
        <v>Grammys</v>
      </c>
      <c r="I1922">
        <f>_xlfn.XLOOKUP(Grammys[[#This Row],[date]],mobile_visits[date],mobile_visits[mobile_visitors],0)</f>
        <v>156760</v>
      </c>
    </row>
    <row r="1923" spans="1:9">
      <c r="A1923" s="1">
        <v>44657</v>
      </c>
      <c r="B1923">
        <v>129318</v>
      </c>
      <c r="C1923">
        <v>327200</v>
      </c>
      <c r="D1923">
        <v>146051</v>
      </c>
      <c r="E1923">
        <v>65183</v>
      </c>
      <c r="F1923">
        <v>86</v>
      </c>
      <c r="G1923" t="s">
        <v>83</v>
      </c>
      <c r="H1923" t="str" cm="1">
        <f t="array" ref="H1923">_xlfn.IFS(Grammys[[#This Row],[date]] &gt;= DATE(2022,2,1),"Grammys",TRUE,"Grammys TRA")</f>
        <v>Grammys</v>
      </c>
      <c r="I1923">
        <f>_xlfn.XLOOKUP(Grammys[[#This Row],[date]],mobile_visits[date],mobile_visits[mobile_visitors],0)</f>
        <v>88797</v>
      </c>
    </row>
    <row r="1924" spans="1:9">
      <c r="A1924" s="1">
        <v>44658</v>
      </c>
      <c r="B1924">
        <v>95852</v>
      </c>
      <c r="C1924">
        <v>259527</v>
      </c>
      <c r="D1924">
        <v>111484</v>
      </c>
      <c r="E1924">
        <v>48017</v>
      </c>
      <c r="F1924">
        <v>88</v>
      </c>
      <c r="G1924" t="s">
        <v>83</v>
      </c>
      <c r="H1924" t="str" cm="1">
        <f t="array" ref="H1924">_xlfn.IFS(Grammys[[#This Row],[date]] &gt;= DATE(2022,2,1),"Grammys",TRUE,"Grammys TRA")</f>
        <v>Grammys</v>
      </c>
      <c r="I1924">
        <f>_xlfn.XLOOKUP(Grammys[[#This Row],[date]],mobile_visits[date],mobile_visits[mobile_visitors],0)</f>
        <v>64588</v>
      </c>
    </row>
    <row r="1925" spans="1:9">
      <c r="A1925" s="1">
        <v>44659</v>
      </c>
      <c r="B1925">
        <v>79275</v>
      </c>
      <c r="C1925">
        <v>210139</v>
      </c>
      <c r="D1925">
        <v>91964</v>
      </c>
      <c r="E1925">
        <v>40593</v>
      </c>
      <c r="F1925">
        <v>86</v>
      </c>
      <c r="G1925" t="s">
        <v>83</v>
      </c>
      <c r="H1925" t="str" cm="1">
        <f t="array" ref="H1925">_xlfn.IFS(Grammys[[#This Row],[date]] &gt;= DATE(2022,2,1),"Grammys",TRUE,"Grammys TRA")</f>
        <v>Grammys</v>
      </c>
      <c r="I1925">
        <f>_xlfn.XLOOKUP(Grammys[[#This Row],[date]],mobile_visits[date],mobile_visits[mobile_visitors],0)</f>
        <v>55077</v>
      </c>
    </row>
    <row r="1926" spans="1:9">
      <c r="A1926" s="1">
        <v>44660</v>
      </c>
      <c r="B1926">
        <v>67699</v>
      </c>
      <c r="C1926">
        <v>172244</v>
      </c>
      <c r="D1926">
        <v>76966</v>
      </c>
      <c r="E1926">
        <v>35351</v>
      </c>
      <c r="F1926">
        <v>81</v>
      </c>
      <c r="G1926" t="s">
        <v>83</v>
      </c>
      <c r="H1926" t="str" cm="1">
        <f t="array" ref="H1926">_xlfn.IFS(Grammys[[#This Row],[date]] &gt;= DATE(2022,2,1),"Grammys",TRUE,"Grammys TRA")</f>
        <v>Grammys</v>
      </c>
      <c r="I1926">
        <f>_xlfn.XLOOKUP(Grammys[[#This Row],[date]],mobile_visits[date],mobile_visits[mobile_visitors],0)</f>
        <v>50750</v>
      </c>
    </row>
    <row r="1927" spans="1:9">
      <c r="A1927" s="1">
        <v>44661</v>
      </c>
      <c r="B1927">
        <v>56971</v>
      </c>
      <c r="C1927">
        <v>143400</v>
      </c>
      <c r="D1927">
        <v>65164</v>
      </c>
      <c r="E1927">
        <v>30276</v>
      </c>
      <c r="F1927">
        <v>80</v>
      </c>
      <c r="G1927" t="s">
        <v>83</v>
      </c>
      <c r="H1927" t="str" cm="1">
        <f t="array" ref="H1927">_xlfn.IFS(Grammys[[#This Row],[date]] &gt;= DATE(2022,2,1),"Grammys",TRUE,"Grammys TRA")</f>
        <v>Grammys</v>
      </c>
      <c r="I1927">
        <f>_xlfn.XLOOKUP(Grammys[[#This Row],[date]],mobile_visits[date],mobile_visits[mobile_visitors],0)</f>
        <v>41091</v>
      </c>
    </row>
    <row r="1928" spans="1:9">
      <c r="A1928" s="1">
        <v>44662</v>
      </c>
      <c r="B1928">
        <v>47764</v>
      </c>
      <c r="C1928">
        <v>118990</v>
      </c>
      <c r="D1928">
        <v>54806</v>
      </c>
      <c r="E1928">
        <v>25918</v>
      </c>
      <c r="F1928">
        <v>86</v>
      </c>
      <c r="G1928" t="s">
        <v>83</v>
      </c>
      <c r="H1928" t="str" cm="1">
        <f t="array" ref="H1928">_xlfn.IFS(Grammys[[#This Row],[date]] &gt;= DATE(2022,2,1),"Grammys",TRUE,"Grammys TRA")</f>
        <v>Grammys</v>
      </c>
      <c r="I1928">
        <f>_xlfn.XLOOKUP(Grammys[[#This Row],[date]],mobile_visits[date],mobile_visits[mobile_visitors],0)</f>
        <v>29459</v>
      </c>
    </row>
    <row r="1929" spans="1:9">
      <c r="A1929" s="1">
        <v>44663</v>
      </c>
      <c r="B1929">
        <v>40892</v>
      </c>
      <c r="C1929">
        <v>98622</v>
      </c>
      <c r="D1929">
        <v>46525</v>
      </c>
      <c r="E1929">
        <v>22621</v>
      </c>
      <c r="F1929">
        <v>87</v>
      </c>
      <c r="G1929" t="s">
        <v>83</v>
      </c>
      <c r="H1929" t="str" cm="1">
        <f t="array" ref="H1929">_xlfn.IFS(Grammys[[#This Row],[date]] &gt;= DATE(2022,2,1),"Grammys",TRUE,"Grammys TRA")</f>
        <v>Grammys</v>
      </c>
      <c r="I1929">
        <f>_xlfn.XLOOKUP(Grammys[[#This Row],[date]],mobile_visits[date],mobile_visits[mobile_visitors],0)</f>
        <v>26759</v>
      </c>
    </row>
    <row r="1930" spans="1:9">
      <c r="A1930" s="1">
        <v>44664</v>
      </c>
      <c r="B1930">
        <v>36954</v>
      </c>
      <c r="C1930">
        <v>88367</v>
      </c>
      <c r="D1930">
        <v>42213</v>
      </c>
      <c r="E1930">
        <v>20807</v>
      </c>
      <c r="F1930">
        <v>88</v>
      </c>
      <c r="G1930" t="s">
        <v>83</v>
      </c>
      <c r="H1930" t="str" cm="1">
        <f t="array" ref="H1930">_xlfn.IFS(Grammys[[#This Row],[date]] &gt;= DATE(2022,2,1),"Grammys",TRUE,"Grammys TRA")</f>
        <v>Grammys</v>
      </c>
      <c r="I1930">
        <f>_xlfn.XLOOKUP(Grammys[[#This Row],[date]],mobile_visits[date],mobile_visits[mobile_visitors],0)</f>
        <v>23134</v>
      </c>
    </row>
    <row r="1931" spans="1:9">
      <c r="A1931" s="1">
        <v>44665</v>
      </c>
      <c r="B1931">
        <v>32305</v>
      </c>
      <c r="C1931">
        <v>79681</v>
      </c>
      <c r="D1931">
        <v>36634</v>
      </c>
      <c r="E1931">
        <v>17446</v>
      </c>
      <c r="F1931">
        <v>89</v>
      </c>
      <c r="G1931" t="s">
        <v>83</v>
      </c>
      <c r="H1931" t="str" cm="1">
        <f t="array" ref="H1931">_xlfn.IFS(Grammys[[#This Row],[date]] &gt;= DATE(2022,2,1),"Grammys",TRUE,"Grammys TRA")</f>
        <v>Grammys</v>
      </c>
      <c r="I1931">
        <f>_xlfn.XLOOKUP(Grammys[[#This Row],[date]],mobile_visits[date],mobile_visits[mobile_visitors],0)</f>
        <v>21536</v>
      </c>
    </row>
    <row r="1932" spans="1:9">
      <c r="A1932" s="1">
        <v>44666</v>
      </c>
      <c r="B1932">
        <v>30018</v>
      </c>
      <c r="C1932">
        <v>75580</v>
      </c>
      <c r="D1932">
        <v>33377</v>
      </c>
      <c r="E1932">
        <v>15494</v>
      </c>
      <c r="F1932">
        <v>85</v>
      </c>
      <c r="G1932" t="s">
        <v>83</v>
      </c>
      <c r="H1932" t="str" cm="1">
        <f t="array" ref="H1932">_xlfn.IFS(Grammys[[#This Row],[date]] &gt;= DATE(2022,2,1),"Grammys",TRUE,"Grammys TRA")</f>
        <v>Grammys</v>
      </c>
      <c r="I1932">
        <f>_xlfn.XLOOKUP(Grammys[[#This Row],[date]],mobile_visits[date],mobile_visits[mobile_visitors],0)</f>
        <v>21387</v>
      </c>
    </row>
    <row r="1933" spans="1:9">
      <c r="A1933" s="1">
        <v>44667</v>
      </c>
      <c r="B1933">
        <v>28244</v>
      </c>
      <c r="C1933">
        <v>71235</v>
      </c>
      <c r="D1933">
        <v>31175</v>
      </c>
      <c r="E1933">
        <v>14519</v>
      </c>
      <c r="F1933">
        <v>81</v>
      </c>
      <c r="G1933" t="s">
        <v>83</v>
      </c>
      <c r="H1933" t="str" cm="1">
        <f t="array" ref="H1933">_xlfn.IFS(Grammys[[#This Row],[date]] &gt;= DATE(2022,2,1),"Grammys",TRUE,"Grammys TRA")</f>
        <v>Grammys</v>
      </c>
      <c r="I1933">
        <f>_xlfn.XLOOKUP(Grammys[[#This Row],[date]],mobile_visits[date],mobile_visits[mobile_visitors],0)</f>
        <v>20604</v>
      </c>
    </row>
    <row r="1934" spans="1:9">
      <c r="A1934" s="1">
        <v>44668</v>
      </c>
      <c r="B1934">
        <v>27885</v>
      </c>
      <c r="C1934">
        <v>69707</v>
      </c>
      <c r="D1934">
        <v>30808</v>
      </c>
      <c r="E1934">
        <v>14416</v>
      </c>
      <c r="F1934">
        <v>84</v>
      </c>
      <c r="G1934" t="s">
        <v>83</v>
      </c>
      <c r="H1934" t="str" cm="1">
        <f t="array" ref="H1934">_xlfn.IFS(Grammys[[#This Row],[date]] &gt;= DATE(2022,2,1),"Grammys",TRUE,"Grammys TRA")</f>
        <v>Grammys</v>
      </c>
      <c r="I1934">
        <f>_xlfn.XLOOKUP(Grammys[[#This Row],[date]],mobile_visits[date],mobile_visits[mobile_visitors],0)</f>
        <v>20193</v>
      </c>
    </row>
    <row r="1935" spans="1:9">
      <c r="A1935" s="1">
        <v>44669</v>
      </c>
      <c r="B1935">
        <v>27322</v>
      </c>
      <c r="C1935">
        <v>66029</v>
      </c>
      <c r="D1935">
        <v>30204</v>
      </c>
      <c r="E1935">
        <v>14553</v>
      </c>
      <c r="F1935">
        <v>96</v>
      </c>
      <c r="G1935" t="s">
        <v>83</v>
      </c>
      <c r="H1935" t="str" cm="1">
        <f t="array" ref="H1935">_xlfn.IFS(Grammys[[#This Row],[date]] &gt;= DATE(2022,2,1),"Grammys",TRUE,"Grammys TRA")</f>
        <v>Grammys</v>
      </c>
      <c r="I1935">
        <f>_xlfn.XLOOKUP(Grammys[[#This Row],[date]],mobile_visits[date],mobile_visits[mobile_visitors],0)</f>
        <v>17961</v>
      </c>
    </row>
    <row r="1936" spans="1:9">
      <c r="A1936" s="1">
        <v>44670</v>
      </c>
      <c r="B1936">
        <v>25837</v>
      </c>
      <c r="C1936">
        <v>62994</v>
      </c>
      <c r="D1936">
        <v>28829</v>
      </c>
      <c r="E1936">
        <v>13804</v>
      </c>
      <c r="F1936">
        <v>97</v>
      </c>
      <c r="G1936" t="s">
        <v>83</v>
      </c>
      <c r="H1936" t="str" cm="1">
        <f t="array" ref="H1936">_xlfn.IFS(Grammys[[#This Row],[date]] &gt;= DATE(2022,2,1),"Grammys",TRUE,"Grammys TRA")</f>
        <v>Grammys</v>
      </c>
      <c r="I1936">
        <f>_xlfn.XLOOKUP(Grammys[[#This Row],[date]],mobile_visits[date],mobile_visits[mobile_visitors],0)</f>
        <v>15563</v>
      </c>
    </row>
    <row r="1937" spans="1:9">
      <c r="A1937" s="1">
        <v>44671</v>
      </c>
      <c r="B1937">
        <v>23687</v>
      </c>
      <c r="C1937">
        <v>63492</v>
      </c>
      <c r="D1937">
        <v>26353</v>
      </c>
      <c r="E1937">
        <v>10579</v>
      </c>
      <c r="F1937">
        <v>90</v>
      </c>
      <c r="G1937" t="s">
        <v>83</v>
      </c>
      <c r="H1937" t="str" cm="1">
        <f t="array" ref="H1937">_xlfn.IFS(Grammys[[#This Row],[date]] &gt;= DATE(2022,2,1),"Grammys",TRUE,"Grammys TRA")</f>
        <v>Grammys</v>
      </c>
      <c r="I1937">
        <f>_xlfn.XLOOKUP(Grammys[[#This Row],[date]],mobile_visits[date],mobile_visits[mobile_visitors],0)</f>
        <v>14430</v>
      </c>
    </row>
    <row r="1938" spans="1:9">
      <c r="A1938" s="1">
        <v>44672</v>
      </c>
      <c r="B1938">
        <v>26941</v>
      </c>
      <c r="C1938">
        <v>72875</v>
      </c>
      <c r="D1938">
        <v>30293</v>
      </c>
      <c r="E1938">
        <v>11945</v>
      </c>
      <c r="F1938">
        <v>86</v>
      </c>
      <c r="G1938" t="s">
        <v>83</v>
      </c>
      <c r="H1938" t="str" cm="1">
        <f t="array" ref="H1938">_xlfn.IFS(Grammys[[#This Row],[date]] &gt;= DATE(2022,2,1),"Grammys",TRUE,"Grammys TRA")</f>
        <v>Grammys</v>
      </c>
      <c r="I1938">
        <f>_xlfn.XLOOKUP(Grammys[[#This Row],[date]],mobile_visits[date],mobile_visits[mobile_visitors],0)</f>
        <v>17867</v>
      </c>
    </row>
    <row r="1939" spans="1:9">
      <c r="A1939" s="1">
        <v>44673</v>
      </c>
      <c r="B1939">
        <v>25546</v>
      </c>
      <c r="C1939">
        <v>57706</v>
      </c>
      <c r="D1939">
        <v>29268</v>
      </c>
      <c r="E1939">
        <v>15410</v>
      </c>
      <c r="F1939">
        <v>73</v>
      </c>
      <c r="G1939" t="s">
        <v>83</v>
      </c>
      <c r="H1939" t="str" cm="1">
        <f t="array" ref="H1939">_xlfn.IFS(Grammys[[#This Row],[date]] &gt;= DATE(2022,2,1),"Grammys",TRUE,"Grammys TRA")</f>
        <v>Grammys</v>
      </c>
      <c r="I1939">
        <f>_xlfn.XLOOKUP(Grammys[[#This Row],[date]],mobile_visits[date],mobile_visits[mobile_visitors],0)</f>
        <v>17332</v>
      </c>
    </row>
    <row r="1940" spans="1:9">
      <c r="A1940" s="1">
        <v>44674</v>
      </c>
      <c r="B1940">
        <v>22712</v>
      </c>
      <c r="C1940">
        <v>51852</v>
      </c>
      <c r="D1940">
        <v>25348</v>
      </c>
      <c r="E1940">
        <v>13024</v>
      </c>
      <c r="F1940">
        <v>69</v>
      </c>
      <c r="G1940" t="s">
        <v>83</v>
      </c>
      <c r="H1940" t="str" cm="1">
        <f t="array" ref="H1940">_xlfn.IFS(Grammys[[#This Row],[date]] &gt;= DATE(2022,2,1),"Grammys",TRUE,"Grammys TRA")</f>
        <v>Grammys</v>
      </c>
      <c r="I1940">
        <f>_xlfn.XLOOKUP(Grammys[[#This Row],[date]],mobile_visits[date],mobile_visits[mobile_visitors],0)</f>
        <v>16219</v>
      </c>
    </row>
    <row r="1941" spans="1:9">
      <c r="A1941" s="1">
        <v>44675</v>
      </c>
      <c r="B1941">
        <v>22428</v>
      </c>
      <c r="C1941">
        <v>51040</v>
      </c>
      <c r="D1941">
        <v>24810</v>
      </c>
      <c r="E1941">
        <v>12701</v>
      </c>
      <c r="F1941">
        <v>82</v>
      </c>
      <c r="G1941" t="s">
        <v>83</v>
      </c>
      <c r="H1941" t="str" cm="1">
        <f t="array" ref="H1941">_xlfn.IFS(Grammys[[#This Row],[date]] &gt;= DATE(2022,2,1),"Grammys",TRUE,"Grammys TRA")</f>
        <v>Grammys</v>
      </c>
      <c r="I1941">
        <f>_xlfn.XLOOKUP(Grammys[[#This Row],[date]],mobile_visits[date],mobile_visits[mobile_visitors],0)</f>
        <v>15779</v>
      </c>
    </row>
    <row r="1942" spans="1:9">
      <c r="A1942" s="1">
        <v>44676</v>
      </c>
      <c r="B1942">
        <v>21356</v>
      </c>
      <c r="C1942">
        <v>49883</v>
      </c>
      <c r="D1942">
        <v>24105</v>
      </c>
      <c r="E1942">
        <v>12157</v>
      </c>
      <c r="F1942">
        <v>93</v>
      </c>
      <c r="G1942" t="s">
        <v>83</v>
      </c>
      <c r="H1942" t="str" cm="1">
        <f t="array" ref="H1942">_xlfn.IFS(Grammys[[#This Row],[date]] &gt;= DATE(2022,2,1),"Grammys",TRUE,"Grammys TRA")</f>
        <v>Grammys</v>
      </c>
      <c r="I1942">
        <f>_xlfn.XLOOKUP(Grammys[[#This Row],[date]],mobile_visits[date],mobile_visits[mobile_visitors],0)</f>
        <v>12360</v>
      </c>
    </row>
    <row r="1943" spans="1:9">
      <c r="A1943" s="1">
        <v>44677</v>
      </c>
      <c r="B1943">
        <v>21257</v>
      </c>
      <c r="C1943">
        <v>51535</v>
      </c>
      <c r="D1943">
        <v>23947</v>
      </c>
      <c r="E1943">
        <v>11979</v>
      </c>
      <c r="F1943">
        <v>95</v>
      </c>
      <c r="G1943" t="s">
        <v>83</v>
      </c>
      <c r="H1943" t="str" cm="1">
        <f t="array" ref="H1943">_xlfn.IFS(Grammys[[#This Row],[date]] &gt;= DATE(2022,2,1),"Grammys",TRUE,"Grammys TRA")</f>
        <v>Grammys</v>
      </c>
      <c r="I1943">
        <f>_xlfn.XLOOKUP(Grammys[[#This Row],[date]],mobile_visits[date],mobile_visits[mobile_visitors],0)</f>
        <v>12417</v>
      </c>
    </row>
    <row r="1944" spans="1:9">
      <c r="A1944" s="1">
        <v>44678</v>
      </c>
      <c r="B1944">
        <v>20075</v>
      </c>
      <c r="C1944">
        <v>45732</v>
      </c>
      <c r="D1944">
        <v>22249</v>
      </c>
      <c r="E1944">
        <v>11485</v>
      </c>
      <c r="F1944">
        <v>91</v>
      </c>
      <c r="G1944" t="s">
        <v>83</v>
      </c>
      <c r="H1944" t="str" cm="1">
        <f t="array" ref="H1944">_xlfn.IFS(Grammys[[#This Row],[date]] &gt;= DATE(2022,2,1),"Grammys",TRUE,"Grammys TRA")</f>
        <v>Grammys</v>
      </c>
      <c r="I1944">
        <f>_xlfn.XLOOKUP(Grammys[[#This Row],[date]],mobile_visits[date],mobile_visits[mobile_visitors],0)</f>
        <v>11444</v>
      </c>
    </row>
    <row r="1945" spans="1:9">
      <c r="A1945" s="1">
        <v>44679</v>
      </c>
      <c r="B1945">
        <v>20883</v>
      </c>
      <c r="C1945">
        <v>48700</v>
      </c>
      <c r="D1945">
        <v>23335</v>
      </c>
      <c r="E1945">
        <v>11376</v>
      </c>
      <c r="F1945">
        <v>86</v>
      </c>
      <c r="G1945" t="s">
        <v>83</v>
      </c>
      <c r="H1945" t="str" cm="1">
        <f t="array" ref="H1945">_xlfn.IFS(Grammys[[#This Row],[date]] &gt;= DATE(2022,2,1),"Grammys",TRUE,"Grammys TRA")</f>
        <v>Grammys</v>
      </c>
      <c r="I1945">
        <f>_xlfn.XLOOKUP(Grammys[[#This Row],[date]],mobile_visits[date],mobile_visits[mobile_visitors],0)</f>
        <v>12591</v>
      </c>
    </row>
    <row r="1946" spans="1:9">
      <c r="A1946" s="1">
        <v>44680</v>
      </c>
      <c r="B1946">
        <v>20039</v>
      </c>
      <c r="C1946">
        <v>45345</v>
      </c>
      <c r="D1946">
        <v>22049</v>
      </c>
      <c r="E1946">
        <v>11437</v>
      </c>
      <c r="F1946">
        <v>87</v>
      </c>
      <c r="G1946" t="s">
        <v>83</v>
      </c>
      <c r="H1946" t="str" cm="1">
        <f t="array" ref="H1946">_xlfn.IFS(Grammys[[#This Row],[date]] &gt;= DATE(2022,2,1),"Grammys",TRUE,"Grammys TRA")</f>
        <v>Grammys</v>
      </c>
      <c r="I1946">
        <f>_xlfn.XLOOKUP(Grammys[[#This Row],[date]],mobile_visits[date],mobile_visits[mobile_visitors],0)</f>
        <v>12764</v>
      </c>
    </row>
    <row r="1947" spans="1:9">
      <c r="A1947" s="1">
        <v>44681</v>
      </c>
      <c r="B1947">
        <v>18375</v>
      </c>
      <c r="C1947">
        <v>41477</v>
      </c>
      <c r="D1947">
        <v>20054</v>
      </c>
      <c r="E1947">
        <v>10302</v>
      </c>
      <c r="F1947">
        <v>73</v>
      </c>
      <c r="G1947" t="s">
        <v>83</v>
      </c>
      <c r="H1947" t="str" cm="1">
        <f t="array" ref="H1947">_xlfn.IFS(Grammys[[#This Row],[date]] &gt;= DATE(2022,2,1),"Grammys",TRUE,"Grammys TRA")</f>
        <v>Grammys</v>
      </c>
      <c r="I1947">
        <f>_xlfn.XLOOKUP(Grammys[[#This Row],[date]],mobile_visits[date],mobile_visits[mobile_visitors],0)</f>
        <v>13395</v>
      </c>
    </row>
    <row r="1948" spans="1:9">
      <c r="A1948" s="1">
        <v>44682</v>
      </c>
      <c r="B1948">
        <v>18836</v>
      </c>
      <c r="C1948">
        <v>41240</v>
      </c>
      <c r="D1948">
        <v>20415</v>
      </c>
      <c r="E1948">
        <v>10651</v>
      </c>
      <c r="F1948">
        <v>75</v>
      </c>
      <c r="G1948" t="s">
        <v>83</v>
      </c>
      <c r="H1948" t="str" cm="1">
        <f t="array" ref="H1948">_xlfn.IFS(Grammys[[#This Row],[date]] &gt;= DATE(2022,2,1),"Grammys",TRUE,"Grammys TRA")</f>
        <v>Grammys</v>
      </c>
      <c r="I1948">
        <f>_xlfn.XLOOKUP(Grammys[[#This Row],[date]],mobile_visits[date],mobile_visits[mobile_visitors],0)</f>
        <v>13256</v>
      </c>
    </row>
    <row r="1949" spans="1:9">
      <c r="A1949" s="1">
        <v>44683</v>
      </c>
      <c r="B1949">
        <v>19433</v>
      </c>
      <c r="C1949">
        <v>43453</v>
      </c>
      <c r="D1949">
        <v>21773</v>
      </c>
      <c r="E1949">
        <v>11447</v>
      </c>
      <c r="F1949">
        <v>85</v>
      </c>
      <c r="G1949" t="s">
        <v>83</v>
      </c>
      <c r="H1949" t="str" cm="1">
        <f t="array" ref="H1949">_xlfn.IFS(Grammys[[#This Row],[date]] &gt;= DATE(2022,2,1),"Grammys",TRUE,"Grammys TRA")</f>
        <v>Grammys</v>
      </c>
      <c r="I1949">
        <f>_xlfn.XLOOKUP(Grammys[[#This Row],[date]],mobile_visits[date],mobile_visits[mobile_visitors],0)</f>
        <v>11428</v>
      </c>
    </row>
    <row r="1950" spans="1:9">
      <c r="A1950" s="1">
        <v>44684</v>
      </c>
      <c r="B1950">
        <v>19978</v>
      </c>
      <c r="C1950">
        <v>45328</v>
      </c>
      <c r="D1950">
        <v>22209</v>
      </c>
      <c r="E1950">
        <v>11769</v>
      </c>
      <c r="F1950">
        <v>88</v>
      </c>
      <c r="G1950" t="s">
        <v>83</v>
      </c>
      <c r="H1950" t="str" cm="1">
        <f t="array" ref="H1950">_xlfn.IFS(Grammys[[#This Row],[date]] &gt;= DATE(2022,2,1),"Grammys",TRUE,"Grammys TRA")</f>
        <v>Grammys</v>
      </c>
      <c r="I1950">
        <f>_xlfn.XLOOKUP(Grammys[[#This Row],[date]],mobile_visits[date],mobile_visits[mobile_visitors],0)</f>
        <v>11634</v>
      </c>
    </row>
    <row r="1951" spans="1:9">
      <c r="A1951" s="1">
        <v>44685</v>
      </c>
      <c r="B1951">
        <v>19977</v>
      </c>
      <c r="C1951">
        <v>45357</v>
      </c>
      <c r="D1951">
        <v>22448</v>
      </c>
      <c r="E1951">
        <v>11815</v>
      </c>
      <c r="F1951">
        <v>86</v>
      </c>
      <c r="G1951" t="s">
        <v>83</v>
      </c>
      <c r="H1951" t="str" cm="1">
        <f t="array" ref="H1951">_xlfn.IFS(Grammys[[#This Row],[date]] &gt;= DATE(2022,2,1),"Grammys",TRUE,"Grammys TRA")</f>
        <v>Grammys</v>
      </c>
      <c r="I1951">
        <f>_xlfn.XLOOKUP(Grammys[[#This Row],[date]],mobile_visits[date],mobile_visits[mobile_visitors],0)</f>
        <v>11398</v>
      </c>
    </row>
    <row r="1952" spans="1:9">
      <c r="A1952" s="1">
        <v>44686</v>
      </c>
      <c r="B1952">
        <v>17547</v>
      </c>
      <c r="C1952">
        <v>40225</v>
      </c>
      <c r="D1952">
        <v>19565</v>
      </c>
      <c r="E1952">
        <v>10249</v>
      </c>
      <c r="F1952">
        <v>85</v>
      </c>
      <c r="G1952" t="s">
        <v>83</v>
      </c>
      <c r="H1952" t="str" cm="1">
        <f t="array" ref="H1952">_xlfn.IFS(Grammys[[#This Row],[date]] &gt;= DATE(2022,2,1),"Grammys",TRUE,"Grammys TRA")</f>
        <v>Grammys</v>
      </c>
      <c r="I1952">
        <f>_xlfn.XLOOKUP(Grammys[[#This Row],[date]],mobile_visits[date],mobile_visits[mobile_visitors],0)</f>
        <v>10272</v>
      </c>
    </row>
    <row r="1953" spans="1:9">
      <c r="A1953" s="1">
        <v>44687</v>
      </c>
      <c r="B1953">
        <v>17715</v>
      </c>
      <c r="C1953">
        <v>39910</v>
      </c>
      <c r="D1953">
        <v>19867</v>
      </c>
      <c r="E1953">
        <v>10997</v>
      </c>
      <c r="F1953">
        <v>80</v>
      </c>
      <c r="G1953" t="s">
        <v>83</v>
      </c>
      <c r="H1953" t="str" cm="1">
        <f t="array" ref="H1953">_xlfn.IFS(Grammys[[#This Row],[date]] &gt;= DATE(2022,2,1),"Grammys",TRUE,"Grammys TRA")</f>
        <v>Grammys</v>
      </c>
      <c r="I1953">
        <f>_xlfn.XLOOKUP(Grammys[[#This Row],[date]],mobile_visits[date],mobile_visits[mobile_visitors],0)</f>
        <v>11848</v>
      </c>
    </row>
    <row r="1954" spans="1:9">
      <c r="A1954" s="1">
        <v>44688</v>
      </c>
      <c r="B1954">
        <v>16185</v>
      </c>
      <c r="C1954">
        <v>35937</v>
      </c>
      <c r="D1954">
        <v>17731</v>
      </c>
      <c r="E1954">
        <v>9701</v>
      </c>
      <c r="F1954">
        <v>78</v>
      </c>
      <c r="G1954" t="s">
        <v>83</v>
      </c>
      <c r="H1954" t="str" cm="1">
        <f t="array" ref="H1954">_xlfn.IFS(Grammys[[#This Row],[date]] &gt;= DATE(2022,2,1),"Grammys",TRUE,"Grammys TRA")</f>
        <v>Grammys</v>
      </c>
      <c r="I1954">
        <f>_xlfn.XLOOKUP(Grammys[[#This Row],[date]],mobile_visits[date],mobile_visits[mobile_visitors],0)</f>
        <v>11987</v>
      </c>
    </row>
    <row r="1955" spans="1:9">
      <c r="A1955" s="1">
        <v>44689</v>
      </c>
      <c r="B1955">
        <v>16968</v>
      </c>
      <c r="C1955">
        <v>38904</v>
      </c>
      <c r="D1955">
        <v>19149</v>
      </c>
      <c r="E1955">
        <v>10506</v>
      </c>
      <c r="F1955">
        <v>77</v>
      </c>
      <c r="G1955" t="s">
        <v>83</v>
      </c>
      <c r="H1955" t="str" cm="1">
        <f t="array" ref="H1955">_xlfn.IFS(Grammys[[#This Row],[date]] &gt;= DATE(2022,2,1),"Grammys",TRUE,"Grammys TRA")</f>
        <v>Grammys</v>
      </c>
      <c r="I1955">
        <f>_xlfn.XLOOKUP(Grammys[[#This Row],[date]],mobile_visits[date],mobile_visits[mobile_visitors],0)</f>
        <v>11988</v>
      </c>
    </row>
    <row r="1956" spans="1:9">
      <c r="A1956" s="1">
        <v>44690</v>
      </c>
      <c r="B1956">
        <v>17829</v>
      </c>
      <c r="C1956">
        <v>39983</v>
      </c>
      <c r="D1956">
        <v>19931</v>
      </c>
      <c r="E1956">
        <v>10971</v>
      </c>
      <c r="F1956">
        <v>87</v>
      </c>
      <c r="G1956" t="s">
        <v>83</v>
      </c>
      <c r="H1956" t="str" cm="1">
        <f t="array" ref="H1956">_xlfn.IFS(Grammys[[#This Row],[date]] &gt;= DATE(2022,2,1),"Grammys",TRUE,"Grammys TRA")</f>
        <v>Grammys</v>
      </c>
      <c r="I1956">
        <f>_xlfn.XLOOKUP(Grammys[[#This Row],[date]],mobile_visits[date],mobile_visits[mobile_visitors],0)</f>
        <v>10033</v>
      </c>
    </row>
    <row r="1957" spans="1:9">
      <c r="A1957" s="1">
        <v>44691</v>
      </c>
      <c r="B1957">
        <v>16427</v>
      </c>
      <c r="C1957">
        <v>37711</v>
      </c>
      <c r="D1957">
        <v>18798</v>
      </c>
      <c r="E1957">
        <v>10465</v>
      </c>
      <c r="F1957">
        <v>87</v>
      </c>
      <c r="G1957" t="s">
        <v>83</v>
      </c>
      <c r="H1957" t="str" cm="1">
        <f t="array" ref="H1957">_xlfn.IFS(Grammys[[#This Row],[date]] &gt;= DATE(2022,2,1),"Grammys",TRUE,"Grammys TRA")</f>
        <v>Grammys</v>
      </c>
      <c r="I1957">
        <f>_xlfn.XLOOKUP(Grammys[[#This Row],[date]],mobile_visits[date],mobile_visits[mobile_visitors],0)</f>
        <v>8265</v>
      </c>
    </row>
    <row r="1958" spans="1:9">
      <c r="A1958" s="1">
        <v>44692</v>
      </c>
      <c r="B1958">
        <v>16426</v>
      </c>
      <c r="C1958">
        <v>36679</v>
      </c>
      <c r="D1958">
        <v>18727</v>
      </c>
      <c r="E1958">
        <v>10373</v>
      </c>
      <c r="F1958">
        <v>84</v>
      </c>
      <c r="G1958" t="s">
        <v>83</v>
      </c>
      <c r="H1958" t="str" cm="1">
        <f t="array" ref="H1958">_xlfn.IFS(Grammys[[#This Row],[date]] &gt;= DATE(2022,2,1),"Grammys",TRUE,"Grammys TRA")</f>
        <v>Grammys</v>
      </c>
      <c r="I1958">
        <f>_xlfn.XLOOKUP(Grammys[[#This Row],[date]],mobile_visits[date],mobile_visits[mobile_visitors],0)</f>
        <v>9151</v>
      </c>
    </row>
    <row r="1959" spans="1:9">
      <c r="A1959" s="1">
        <v>44693</v>
      </c>
      <c r="B1959">
        <v>17904</v>
      </c>
      <c r="C1959">
        <v>40027</v>
      </c>
      <c r="D1959">
        <v>20075</v>
      </c>
      <c r="E1959">
        <v>10791</v>
      </c>
      <c r="F1959">
        <v>84</v>
      </c>
      <c r="G1959" t="s">
        <v>83</v>
      </c>
      <c r="H1959" t="str" cm="1">
        <f t="array" ref="H1959">_xlfn.IFS(Grammys[[#This Row],[date]] &gt;= DATE(2022,2,1),"Grammys",TRUE,"Grammys TRA")</f>
        <v>Grammys</v>
      </c>
      <c r="I1959">
        <f>_xlfn.XLOOKUP(Grammys[[#This Row],[date]],mobile_visits[date],mobile_visits[mobile_visitors],0)</f>
        <v>10890</v>
      </c>
    </row>
    <row r="1960" spans="1:9">
      <c r="A1960" s="1">
        <v>44694</v>
      </c>
      <c r="B1960">
        <v>18736</v>
      </c>
      <c r="C1960">
        <v>42160</v>
      </c>
      <c r="D1960">
        <v>21086</v>
      </c>
      <c r="E1960">
        <v>11319</v>
      </c>
      <c r="F1960">
        <v>81</v>
      </c>
      <c r="G1960" t="s">
        <v>83</v>
      </c>
      <c r="H1960" t="str" cm="1">
        <f t="array" ref="H1960">_xlfn.IFS(Grammys[[#This Row],[date]] &gt;= DATE(2022,2,1),"Grammys",TRUE,"Grammys TRA")</f>
        <v>Grammys</v>
      </c>
      <c r="I1960">
        <f>_xlfn.XLOOKUP(Grammys[[#This Row],[date]],mobile_visits[date],mobile_visits[mobile_visitors],0)</f>
        <v>11956</v>
      </c>
    </row>
    <row r="1961" spans="1:9">
      <c r="A1961" s="1">
        <v>44695</v>
      </c>
      <c r="B1961">
        <v>17024</v>
      </c>
      <c r="C1961">
        <v>39169</v>
      </c>
      <c r="D1961">
        <v>19378</v>
      </c>
      <c r="E1961">
        <v>10312</v>
      </c>
      <c r="F1961">
        <v>73</v>
      </c>
      <c r="G1961" t="s">
        <v>83</v>
      </c>
      <c r="H1961" t="str" cm="1">
        <f t="array" ref="H1961">_xlfn.IFS(Grammys[[#This Row],[date]] &gt;= DATE(2022,2,1),"Grammys",TRUE,"Grammys TRA")</f>
        <v>Grammys</v>
      </c>
      <c r="I1961">
        <f>_xlfn.XLOOKUP(Grammys[[#This Row],[date]],mobile_visits[date],mobile_visits[mobile_visitors],0)</f>
        <v>12357</v>
      </c>
    </row>
    <row r="1962" spans="1:9">
      <c r="A1962" s="1">
        <v>44696</v>
      </c>
      <c r="B1962">
        <v>17735</v>
      </c>
      <c r="C1962">
        <v>40322</v>
      </c>
      <c r="D1962">
        <v>19962</v>
      </c>
      <c r="E1962">
        <v>10764</v>
      </c>
      <c r="F1962">
        <v>79</v>
      </c>
      <c r="G1962" t="s">
        <v>83</v>
      </c>
      <c r="H1962" t="str" cm="1">
        <f t="array" ref="H1962">_xlfn.IFS(Grammys[[#This Row],[date]] &gt;= DATE(2022,2,1),"Grammys",TRUE,"Grammys TRA")</f>
        <v>Grammys</v>
      </c>
      <c r="I1962">
        <f>_xlfn.XLOOKUP(Grammys[[#This Row],[date]],mobile_visits[date],mobile_visits[mobile_visitors],0)</f>
        <v>12572</v>
      </c>
    </row>
    <row r="1963" spans="1:9">
      <c r="A1963" s="1">
        <v>44697</v>
      </c>
      <c r="B1963">
        <v>18330</v>
      </c>
      <c r="C1963">
        <v>41167</v>
      </c>
      <c r="D1963">
        <v>20329</v>
      </c>
      <c r="E1963">
        <v>11169</v>
      </c>
      <c r="F1963">
        <v>86</v>
      </c>
      <c r="G1963" t="s">
        <v>83</v>
      </c>
      <c r="H1963" t="str" cm="1">
        <f t="array" ref="H1963">_xlfn.IFS(Grammys[[#This Row],[date]] &gt;= DATE(2022,2,1),"Grammys",TRUE,"Grammys TRA")</f>
        <v>Grammys</v>
      </c>
      <c r="I1963">
        <f>_xlfn.XLOOKUP(Grammys[[#This Row],[date]],mobile_visits[date],mobile_visits[mobile_visitors],0)</f>
        <v>10794</v>
      </c>
    </row>
    <row r="1964" spans="1:9">
      <c r="A1964" s="1">
        <v>44698</v>
      </c>
      <c r="B1964">
        <v>16759</v>
      </c>
      <c r="C1964">
        <v>37590</v>
      </c>
      <c r="D1964">
        <v>18778</v>
      </c>
      <c r="E1964">
        <v>10218</v>
      </c>
      <c r="F1964">
        <v>91</v>
      </c>
      <c r="G1964" t="s">
        <v>83</v>
      </c>
      <c r="H1964" t="str" cm="1">
        <f t="array" ref="H1964">_xlfn.IFS(Grammys[[#This Row],[date]] &gt;= DATE(2022,2,1),"Grammys",TRUE,"Grammys TRA")</f>
        <v>Grammys</v>
      </c>
      <c r="I1964">
        <f>_xlfn.XLOOKUP(Grammys[[#This Row],[date]],mobile_visits[date],mobile_visits[mobile_visitors],0)</f>
        <v>9797</v>
      </c>
    </row>
    <row r="1965" spans="1:9">
      <c r="A1965" s="1">
        <v>44699</v>
      </c>
      <c r="B1965">
        <v>16373</v>
      </c>
      <c r="C1965">
        <v>37459</v>
      </c>
      <c r="D1965">
        <v>18609</v>
      </c>
      <c r="E1965">
        <v>10215</v>
      </c>
      <c r="F1965">
        <v>96</v>
      </c>
      <c r="G1965" t="s">
        <v>83</v>
      </c>
      <c r="H1965" t="str" cm="1">
        <f t="array" ref="H1965">_xlfn.IFS(Grammys[[#This Row],[date]] &gt;= DATE(2022,2,1),"Grammys",TRUE,"Grammys TRA")</f>
        <v>Grammys</v>
      </c>
      <c r="I1965">
        <f>_xlfn.XLOOKUP(Grammys[[#This Row],[date]],mobile_visits[date],mobile_visits[mobile_visitors],0)</f>
        <v>9463</v>
      </c>
    </row>
    <row r="1966" spans="1:9">
      <c r="A1966" s="1">
        <v>44700</v>
      </c>
      <c r="B1966">
        <v>20000</v>
      </c>
      <c r="C1966">
        <v>43958</v>
      </c>
      <c r="D1966">
        <v>22813</v>
      </c>
      <c r="E1966">
        <v>13417</v>
      </c>
      <c r="F1966">
        <v>79</v>
      </c>
      <c r="G1966" t="s">
        <v>83</v>
      </c>
      <c r="H1966" t="str" cm="1">
        <f t="array" ref="H1966">_xlfn.IFS(Grammys[[#This Row],[date]] &gt;= DATE(2022,2,1),"Grammys",TRUE,"Grammys TRA")</f>
        <v>Grammys</v>
      </c>
      <c r="I1966">
        <f>_xlfn.XLOOKUP(Grammys[[#This Row],[date]],mobile_visits[date],mobile_visits[mobile_visitors],0)</f>
        <v>12308</v>
      </c>
    </row>
    <row r="1967" spans="1:9">
      <c r="A1967" s="1">
        <v>44701</v>
      </c>
      <c r="B1967">
        <v>17920</v>
      </c>
      <c r="C1967">
        <v>39785</v>
      </c>
      <c r="D1967">
        <v>20034</v>
      </c>
      <c r="E1967">
        <v>11017</v>
      </c>
      <c r="F1967">
        <v>87</v>
      </c>
      <c r="G1967" t="s">
        <v>83</v>
      </c>
      <c r="H1967" t="str" cm="1">
        <f t="array" ref="H1967">_xlfn.IFS(Grammys[[#This Row],[date]] &gt;= DATE(2022,2,1),"Grammys",TRUE,"Grammys TRA")</f>
        <v>Grammys</v>
      </c>
      <c r="I1967">
        <f>_xlfn.XLOOKUP(Grammys[[#This Row],[date]],mobile_visits[date],mobile_visits[mobile_visitors],0)</f>
        <v>11140</v>
      </c>
    </row>
    <row r="1968" spans="1:9">
      <c r="A1968" s="1">
        <v>44702</v>
      </c>
      <c r="B1968">
        <v>15453</v>
      </c>
      <c r="C1968">
        <v>35273</v>
      </c>
      <c r="D1968">
        <v>17393</v>
      </c>
      <c r="E1968">
        <v>9363</v>
      </c>
      <c r="F1968">
        <v>74</v>
      </c>
      <c r="G1968" t="s">
        <v>83</v>
      </c>
      <c r="H1968" t="str" cm="1">
        <f t="array" ref="H1968">_xlfn.IFS(Grammys[[#This Row],[date]] &gt;= DATE(2022,2,1),"Grammys",TRUE,"Grammys TRA")</f>
        <v>Grammys</v>
      </c>
      <c r="I1968">
        <f>_xlfn.XLOOKUP(Grammys[[#This Row],[date]],mobile_visits[date],mobile_visits[mobile_visitors],0)</f>
        <v>11411</v>
      </c>
    </row>
    <row r="1969" spans="1:9">
      <c r="A1969" s="1">
        <v>44703</v>
      </c>
      <c r="B1969">
        <v>16225</v>
      </c>
      <c r="C1969">
        <v>37405</v>
      </c>
      <c r="D1969">
        <v>18342</v>
      </c>
      <c r="E1969">
        <v>9707</v>
      </c>
      <c r="F1969">
        <v>77</v>
      </c>
      <c r="G1969" t="s">
        <v>83</v>
      </c>
      <c r="H1969" t="str" cm="1">
        <f t="array" ref="H1969">_xlfn.IFS(Grammys[[#This Row],[date]] &gt;= DATE(2022,2,1),"Grammys",TRUE,"Grammys TRA")</f>
        <v>Grammys</v>
      </c>
      <c r="I1969">
        <f>_xlfn.XLOOKUP(Grammys[[#This Row],[date]],mobile_visits[date],mobile_visits[mobile_visitors],0)</f>
        <v>11219</v>
      </c>
    </row>
    <row r="1970" spans="1:9">
      <c r="A1970" s="1">
        <v>44704</v>
      </c>
      <c r="B1970">
        <v>16740</v>
      </c>
      <c r="C1970">
        <v>36342</v>
      </c>
      <c r="D1970">
        <v>18850</v>
      </c>
      <c r="E1970">
        <v>10764</v>
      </c>
      <c r="F1970">
        <v>83</v>
      </c>
      <c r="G1970" t="s">
        <v>83</v>
      </c>
      <c r="H1970" t="str" cm="1">
        <f t="array" ref="H1970">_xlfn.IFS(Grammys[[#This Row],[date]] &gt;= DATE(2022,2,1),"Grammys",TRUE,"Grammys TRA")</f>
        <v>Grammys</v>
      </c>
      <c r="I1970">
        <f>_xlfn.XLOOKUP(Grammys[[#This Row],[date]],mobile_visits[date],mobile_visits[mobile_visitors],0)</f>
        <v>9882</v>
      </c>
    </row>
    <row r="1971" spans="1:9">
      <c r="A1971" s="1">
        <v>44705</v>
      </c>
      <c r="B1971">
        <v>16516</v>
      </c>
      <c r="C1971">
        <v>35444</v>
      </c>
      <c r="D1971">
        <v>18241</v>
      </c>
      <c r="E1971">
        <v>10378</v>
      </c>
      <c r="F1971">
        <v>89</v>
      </c>
      <c r="G1971" t="s">
        <v>83</v>
      </c>
      <c r="H1971" t="str" cm="1">
        <f t="array" ref="H1971">_xlfn.IFS(Grammys[[#This Row],[date]] &gt;= DATE(2022,2,1),"Grammys",TRUE,"Grammys TRA")</f>
        <v>Grammys</v>
      </c>
      <c r="I1971">
        <f>_xlfn.XLOOKUP(Grammys[[#This Row],[date]],mobile_visits[date],mobile_visits[mobile_visitors],0)</f>
        <v>10101</v>
      </c>
    </row>
    <row r="1972" spans="1:9">
      <c r="A1972" s="1">
        <v>44706</v>
      </c>
      <c r="B1972">
        <v>16286</v>
      </c>
      <c r="C1972">
        <v>36436</v>
      </c>
      <c r="D1972">
        <v>17908</v>
      </c>
      <c r="E1972">
        <v>9556</v>
      </c>
      <c r="F1972">
        <v>88</v>
      </c>
      <c r="G1972" t="s">
        <v>83</v>
      </c>
      <c r="H1972" t="str" cm="1">
        <f t="array" ref="H1972">_xlfn.IFS(Grammys[[#This Row],[date]] &gt;= DATE(2022,2,1),"Grammys",TRUE,"Grammys TRA")</f>
        <v>Grammys</v>
      </c>
      <c r="I1972">
        <f>_xlfn.XLOOKUP(Grammys[[#This Row],[date]],mobile_visits[date],mobile_visits[mobile_visitors],0)</f>
        <v>10184</v>
      </c>
    </row>
    <row r="1973" spans="1:9">
      <c r="A1973" s="1">
        <v>44707</v>
      </c>
      <c r="B1973">
        <v>16047</v>
      </c>
      <c r="C1973">
        <v>36196</v>
      </c>
      <c r="D1973">
        <v>18021</v>
      </c>
      <c r="E1973">
        <v>9793</v>
      </c>
      <c r="F1973">
        <v>90</v>
      </c>
      <c r="G1973" t="s">
        <v>83</v>
      </c>
      <c r="H1973" t="str" cm="1">
        <f t="array" ref="H1973">_xlfn.IFS(Grammys[[#This Row],[date]] &gt;= DATE(2022,2,1),"Grammys",TRUE,"Grammys TRA")</f>
        <v>Grammys</v>
      </c>
      <c r="I1973">
        <f>_xlfn.XLOOKUP(Grammys[[#This Row],[date]],mobile_visits[date],mobile_visits[mobile_visitors],0)</f>
        <v>10467</v>
      </c>
    </row>
    <row r="1974" spans="1:9">
      <c r="A1974" s="1">
        <v>44708</v>
      </c>
      <c r="B1974">
        <v>19071</v>
      </c>
      <c r="C1974">
        <v>43271</v>
      </c>
      <c r="D1974">
        <v>24195</v>
      </c>
      <c r="E1974">
        <v>15287</v>
      </c>
      <c r="F1974">
        <v>70</v>
      </c>
      <c r="G1974" t="s">
        <v>83</v>
      </c>
      <c r="H1974" t="str" cm="1">
        <f t="array" ref="H1974">_xlfn.IFS(Grammys[[#This Row],[date]] &gt;= DATE(2022,2,1),"Grammys",TRUE,"Grammys TRA")</f>
        <v>Grammys</v>
      </c>
      <c r="I1974">
        <f>_xlfn.XLOOKUP(Grammys[[#This Row],[date]],mobile_visits[date],mobile_visits[mobile_visitors],0)</f>
        <v>13647</v>
      </c>
    </row>
    <row r="1975" spans="1:9">
      <c r="A1975" s="1">
        <v>44709</v>
      </c>
      <c r="B1975">
        <v>13187</v>
      </c>
      <c r="C1975">
        <v>29792</v>
      </c>
      <c r="D1975">
        <v>15101</v>
      </c>
      <c r="E1975">
        <v>8591</v>
      </c>
      <c r="F1975">
        <v>77</v>
      </c>
      <c r="G1975" t="s">
        <v>83</v>
      </c>
      <c r="H1975" t="str" cm="1">
        <f t="array" ref="H1975">_xlfn.IFS(Grammys[[#This Row],[date]] &gt;= DATE(2022,2,1),"Grammys",TRUE,"Grammys TRA")</f>
        <v>Grammys</v>
      </c>
      <c r="I1975">
        <f>_xlfn.XLOOKUP(Grammys[[#This Row],[date]],mobile_visits[date],mobile_visits[mobile_visitors],0)</f>
        <v>9615</v>
      </c>
    </row>
    <row r="1976" spans="1:9">
      <c r="A1976" s="1">
        <v>44710</v>
      </c>
      <c r="B1976">
        <v>13145</v>
      </c>
      <c r="C1976">
        <v>29366</v>
      </c>
      <c r="D1976">
        <v>14712</v>
      </c>
      <c r="E1976">
        <v>8145</v>
      </c>
      <c r="F1976">
        <v>80</v>
      </c>
      <c r="G1976" t="s">
        <v>83</v>
      </c>
      <c r="H1976" t="str" cm="1">
        <f t="array" ref="H1976">_xlfn.IFS(Grammys[[#This Row],[date]] &gt;= DATE(2022,2,1),"Grammys",TRUE,"Grammys TRA")</f>
        <v>Grammys</v>
      </c>
      <c r="I1976">
        <f>_xlfn.XLOOKUP(Grammys[[#This Row],[date]],mobile_visits[date],mobile_visits[mobile_visitors],0)</f>
        <v>8738</v>
      </c>
    </row>
    <row r="1977" spans="1:9">
      <c r="A1977" s="1">
        <v>44711</v>
      </c>
      <c r="B1977">
        <v>14439</v>
      </c>
      <c r="C1977">
        <v>32368</v>
      </c>
      <c r="D1977">
        <v>16675</v>
      </c>
      <c r="E1977">
        <v>9525</v>
      </c>
      <c r="F1977">
        <v>75</v>
      </c>
      <c r="G1977" t="s">
        <v>83</v>
      </c>
      <c r="H1977" t="str" cm="1">
        <f t="array" ref="H1977">_xlfn.IFS(Grammys[[#This Row],[date]] &gt;= DATE(2022,2,1),"Grammys",TRUE,"Grammys TRA")</f>
        <v>Grammys</v>
      </c>
      <c r="I1977">
        <f>_xlfn.XLOOKUP(Grammys[[#This Row],[date]],mobile_visits[date],mobile_visits[mobile_visitors],0)</f>
        <v>9641</v>
      </c>
    </row>
    <row r="1978" spans="1:9">
      <c r="A1978" s="1">
        <v>44712</v>
      </c>
      <c r="B1978">
        <v>13836</v>
      </c>
      <c r="C1978">
        <v>30743</v>
      </c>
      <c r="D1978">
        <v>15518</v>
      </c>
      <c r="E1978">
        <v>8602</v>
      </c>
      <c r="F1978">
        <v>86</v>
      </c>
      <c r="G1978" t="s">
        <v>83</v>
      </c>
      <c r="H1978" t="str" cm="1">
        <f t="array" ref="H1978">_xlfn.IFS(Grammys[[#This Row],[date]] &gt;= DATE(2022,2,1),"Grammys",TRUE,"Grammys TRA")</f>
        <v>Grammys</v>
      </c>
      <c r="I1978">
        <f>_xlfn.XLOOKUP(Grammys[[#This Row],[date]],mobile_visits[date],mobile_visits[mobile_visitors],0)</f>
        <v>8517</v>
      </c>
    </row>
    <row r="1979" spans="1:9">
      <c r="A1979" s="1">
        <v>44713</v>
      </c>
      <c r="B1979">
        <v>14341</v>
      </c>
      <c r="C1979">
        <v>32659</v>
      </c>
      <c r="D1979">
        <v>16180</v>
      </c>
      <c r="E1979">
        <v>8778</v>
      </c>
      <c r="F1979">
        <v>85</v>
      </c>
      <c r="G1979" t="s">
        <v>83</v>
      </c>
      <c r="H1979" t="str" cm="1">
        <f t="array" ref="H1979">_xlfn.IFS(Grammys[[#This Row],[date]] &gt;= DATE(2022,2,1),"Grammys",TRUE,"Grammys TRA")</f>
        <v>Grammys</v>
      </c>
      <c r="I1979">
        <f>_xlfn.XLOOKUP(Grammys[[#This Row],[date]],mobile_visits[date],mobile_visits[mobile_visitors],0)</f>
        <v>9204</v>
      </c>
    </row>
    <row r="1980" spans="1:9">
      <c r="A1980" s="1">
        <v>44714</v>
      </c>
      <c r="B1980">
        <v>14193</v>
      </c>
      <c r="C1980">
        <v>32029</v>
      </c>
      <c r="D1980">
        <v>16129</v>
      </c>
      <c r="E1980">
        <v>8755</v>
      </c>
      <c r="F1980">
        <v>84</v>
      </c>
      <c r="G1980" t="s">
        <v>83</v>
      </c>
      <c r="H1980" t="str" cm="1">
        <f t="array" ref="H1980">_xlfn.IFS(Grammys[[#This Row],[date]] &gt;= DATE(2022,2,1),"Grammys",TRUE,"Grammys TRA")</f>
        <v>Grammys</v>
      </c>
      <c r="I1980">
        <f>_xlfn.XLOOKUP(Grammys[[#This Row],[date]],mobile_visits[date],mobile_visits[mobile_visitors],0)</f>
        <v>9134</v>
      </c>
    </row>
    <row r="1981" spans="1:9">
      <c r="A1981" s="1">
        <v>44715</v>
      </c>
      <c r="B1981">
        <v>13029</v>
      </c>
      <c r="C1981">
        <v>29514</v>
      </c>
      <c r="D1981">
        <v>14818</v>
      </c>
      <c r="E1981">
        <v>8205</v>
      </c>
      <c r="F1981">
        <v>78</v>
      </c>
      <c r="G1981" t="s">
        <v>83</v>
      </c>
      <c r="H1981" t="str" cm="1">
        <f t="array" ref="H1981">_xlfn.IFS(Grammys[[#This Row],[date]] &gt;= DATE(2022,2,1),"Grammys",TRUE,"Grammys TRA")</f>
        <v>Grammys</v>
      </c>
      <c r="I1981">
        <f>_xlfn.XLOOKUP(Grammys[[#This Row],[date]],mobile_visits[date],mobile_visits[mobile_visitors],0)</f>
        <v>7944</v>
      </c>
    </row>
    <row r="1982" spans="1:9">
      <c r="A1982" s="1">
        <v>44716</v>
      </c>
      <c r="B1982">
        <v>11962</v>
      </c>
      <c r="C1982">
        <v>27349</v>
      </c>
      <c r="D1982">
        <v>13160</v>
      </c>
      <c r="E1982">
        <v>6945</v>
      </c>
      <c r="F1982">
        <v>83</v>
      </c>
      <c r="G1982" t="s">
        <v>83</v>
      </c>
      <c r="H1982" t="str" cm="1">
        <f t="array" ref="H1982">_xlfn.IFS(Grammys[[#This Row],[date]] &gt;= DATE(2022,2,1),"Grammys",TRUE,"Grammys TRA")</f>
        <v>Grammys</v>
      </c>
      <c r="I1982">
        <f>_xlfn.XLOOKUP(Grammys[[#This Row],[date]],mobile_visits[date],mobile_visits[mobile_visitors],0)</f>
        <v>8937</v>
      </c>
    </row>
    <row r="1983" spans="1:9">
      <c r="A1983" s="1">
        <v>44717</v>
      </c>
      <c r="B1983">
        <v>12620</v>
      </c>
      <c r="C1983">
        <v>28516</v>
      </c>
      <c r="D1983">
        <v>13880</v>
      </c>
      <c r="E1983">
        <v>7629</v>
      </c>
      <c r="F1983">
        <v>85</v>
      </c>
      <c r="G1983" t="s">
        <v>83</v>
      </c>
      <c r="H1983" t="str" cm="1">
        <f t="array" ref="H1983">_xlfn.IFS(Grammys[[#This Row],[date]] &gt;= DATE(2022,2,1),"Grammys",TRUE,"Grammys TRA")</f>
        <v>Grammys</v>
      </c>
      <c r="I1983">
        <f>_xlfn.XLOOKUP(Grammys[[#This Row],[date]],mobile_visits[date],mobile_visits[mobile_visitors],0)</f>
        <v>8709</v>
      </c>
    </row>
    <row r="1984" spans="1:9">
      <c r="A1984" s="1">
        <v>44718</v>
      </c>
      <c r="B1984">
        <v>12713</v>
      </c>
      <c r="C1984">
        <v>29847</v>
      </c>
      <c r="D1984">
        <v>14340</v>
      </c>
      <c r="E1984">
        <v>7616</v>
      </c>
      <c r="F1984">
        <v>87</v>
      </c>
      <c r="G1984" t="s">
        <v>83</v>
      </c>
      <c r="H1984" t="str" cm="1">
        <f t="array" ref="H1984">_xlfn.IFS(Grammys[[#This Row],[date]] &gt;= DATE(2022,2,1),"Grammys",TRUE,"Grammys TRA")</f>
        <v>Grammys</v>
      </c>
      <c r="I1984">
        <f>_xlfn.XLOOKUP(Grammys[[#This Row],[date]],mobile_visits[date],mobile_visits[mobile_visitors],0)</f>
        <v>7237</v>
      </c>
    </row>
    <row r="1985" spans="1:9">
      <c r="A1985" s="1">
        <v>44719</v>
      </c>
      <c r="B1985">
        <v>12716</v>
      </c>
      <c r="C1985">
        <v>29405</v>
      </c>
      <c r="D1985">
        <v>14333</v>
      </c>
      <c r="E1985">
        <v>7528</v>
      </c>
      <c r="F1985">
        <v>86</v>
      </c>
      <c r="G1985" t="s">
        <v>83</v>
      </c>
      <c r="H1985" t="str" cm="1">
        <f t="array" ref="H1985">_xlfn.IFS(Grammys[[#This Row],[date]] &gt;= DATE(2022,2,1),"Grammys",TRUE,"Grammys TRA")</f>
        <v>Grammys</v>
      </c>
      <c r="I1985">
        <f>_xlfn.XLOOKUP(Grammys[[#This Row],[date]],mobile_visits[date],mobile_visits[mobile_visitors],0)</f>
        <v>7657</v>
      </c>
    </row>
    <row r="1986" spans="1:9">
      <c r="A1986" s="1">
        <v>44720</v>
      </c>
      <c r="B1986">
        <v>18533</v>
      </c>
      <c r="C1986">
        <v>43318</v>
      </c>
      <c r="D1986">
        <v>20685</v>
      </c>
      <c r="E1986">
        <v>10258</v>
      </c>
      <c r="F1986">
        <v>86</v>
      </c>
      <c r="G1986" t="s">
        <v>83</v>
      </c>
      <c r="H1986" t="str" cm="1">
        <f t="array" ref="H1986">_xlfn.IFS(Grammys[[#This Row],[date]] &gt;= DATE(2022,2,1),"Grammys",TRUE,"Grammys TRA")</f>
        <v>Grammys</v>
      </c>
      <c r="I1986">
        <f>_xlfn.XLOOKUP(Grammys[[#This Row],[date]],mobile_visits[date],mobile_visits[mobile_visitors],0)</f>
        <v>13109</v>
      </c>
    </row>
    <row r="1987" spans="1:9">
      <c r="A1987" s="1">
        <v>44721</v>
      </c>
      <c r="B1987">
        <v>26238</v>
      </c>
      <c r="C1987">
        <v>58460</v>
      </c>
      <c r="D1987">
        <v>30134</v>
      </c>
      <c r="E1987">
        <v>15956</v>
      </c>
      <c r="F1987">
        <v>70</v>
      </c>
      <c r="G1987" t="s">
        <v>83</v>
      </c>
      <c r="H1987" t="str" cm="1">
        <f t="array" ref="H1987">_xlfn.IFS(Grammys[[#This Row],[date]] &gt;= DATE(2022,2,1),"Grammys",TRUE,"Grammys TRA")</f>
        <v>Grammys</v>
      </c>
      <c r="I1987">
        <f>_xlfn.XLOOKUP(Grammys[[#This Row],[date]],mobile_visits[date],mobile_visits[mobile_visitors],0)</f>
        <v>18442</v>
      </c>
    </row>
    <row r="1988" spans="1:9">
      <c r="A1988" s="1">
        <v>44722</v>
      </c>
      <c r="B1988">
        <v>45469</v>
      </c>
      <c r="C1988">
        <v>82355</v>
      </c>
      <c r="D1988">
        <v>49172</v>
      </c>
      <c r="E1988">
        <v>31731</v>
      </c>
      <c r="F1988">
        <v>64</v>
      </c>
      <c r="G1988" t="s">
        <v>83</v>
      </c>
      <c r="H1988" t="str" cm="1">
        <f t="array" ref="H1988">_xlfn.IFS(Grammys[[#This Row],[date]] &gt;= DATE(2022,2,1),"Grammys",TRUE,"Grammys TRA")</f>
        <v>Grammys</v>
      </c>
      <c r="I1988">
        <f>_xlfn.XLOOKUP(Grammys[[#This Row],[date]],mobile_visits[date],mobile_visits[mobile_visitors],0)</f>
        <v>22236</v>
      </c>
    </row>
    <row r="1989" spans="1:9">
      <c r="A1989" s="1">
        <v>44723</v>
      </c>
      <c r="B1989">
        <v>37018</v>
      </c>
      <c r="C1989">
        <v>64873</v>
      </c>
      <c r="D1989">
        <v>39899</v>
      </c>
      <c r="E1989">
        <v>26888</v>
      </c>
      <c r="F1989">
        <v>62</v>
      </c>
      <c r="G1989" t="s">
        <v>83</v>
      </c>
      <c r="H1989" t="str" cm="1">
        <f t="array" ref="H1989">_xlfn.IFS(Grammys[[#This Row],[date]] &gt;= DATE(2022,2,1),"Grammys",TRUE,"Grammys TRA")</f>
        <v>Grammys</v>
      </c>
      <c r="I1989">
        <f>_xlfn.XLOOKUP(Grammys[[#This Row],[date]],mobile_visits[date],mobile_visits[mobile_visitors],0)</f>
        <v>15349</v>
      </c>
    </row>
    <row r="1990" spans="1:9">
      <c r="A1990" s="1">
        <v>44724</v>
      </c>
      <c r="B1990">
        <v>17783</v>
      </c>
      <c r="C1990">
        <v>39700</v>
      </c>
      <c r="D1990">
        <v>19679</v>
      </c>
      <c r="E1990">
        <v>10157</v>
      </c>
      <c r="F1990">
        <v>79</v>
      </c>
      <c r="G1990" t="s">
        <v>83</v>
      </c>
      <c r="H1990" t="str" cm="1">
        <f t="array" ref="H1990">_xlfn.IFS(Grammys[[#This Row],[date]] &gt;= DATE(2022,2,1),"Grammys",TRUE,"Grammys TRA")</f>
        <v>Grammys</v>
      </c>
      <c r="I1990">
        <f>_xlfn.XLOOKUP(Grammys[[#This Row],[date]],mobile_visits[date],mobile_visits[mobile_visitors],0)</f>
        <v>11890</v>
      </c>
    </row>
    <row r="1991" spans="1:9">
      <c r="A1991" s="1">
        <v>44725</v>
      </c>
      <c r="B1991">
        <v>16613</v>
      </c>
      <c r="C1991">
        <v>37355</v>
      </c>
      <c r="D1991">
        <v>18723</v>
      </c>
      <c r="E1991">
        <v>10023</v>
      </c>
      <c r="F1991">
        <v>85</v>
      </c>
      <c r="G1991" t="s">
        <v>83</v>
      </c>
      <c r="H1991" t="str" cm="1">
        <f t="array" ref="H1991">_xlfn.IFS(Grammys[[#This Row],[date]] &gt;= DATE(2022,2,1),"Grammys",TRUE,"Grammys TRA")</f>
        <v>Grammys</v>
      </c>
      <c r="I1991">
        <f>_xlfn.XLOOKUP(Grammys[[#This Row],[date]],mobile_visits[date],mobile_visits[mobile_visitors],0)</f>
        <v>10433</v>
      </c>
    </row>
    <row r="1992" spans="1:9">
      <c r="A1992" s="1">
        <v>44726</v>
      </c>
      <c r="B1992">
        <v>17487</v>
      </c>
      <c r="C1992">
        <v>39628</v>
      </c>
      <c r="D1992">
        <v>19717</v>
      </c>
      <c r="E1992">
        <v>10736</v>
      </c>
      <c r="F1992">
        <v>78</v>
      </c>
      <c r="G1992" t="s">
        <v>83</v>
      </c>
      <c r="H1992" t="str" cm="1">
        <f t="array" ref="H1992">_xlfn.IFS(Grammys[[#This Row],[date]] &gt;= DATE(2022,2,1),"Grammys",TRUE,"Grammys TRA")</f>
        <v>Grammys</v>
      </c>
      <c r="I1992">
        <f>_xlfn.XLOOKUP(Grammys[[#This Row],[date]],mobile_visits[date],mobile_visits[mobile_visitors],0)</f>
        <v>10968</v>
      </c>
    </row>
    <row r="1993" spans="1:9">
      <c r="A1993" s="1">
        <v>44727</v>
      </c>
      <c r="B1993">
        <v>15027</v>
      </c>
      <c r="C1993">
        <v>35065</v>
      </c>
      <c r="D1993">
        <v>17297</v>
      </c>
      <c r="E1993">
        <v>9241</v>
      </c>
      <c r="F1993">
        <v>82</v>
      </c>
      <c r="G1993" t="s">
        <v>83</v>
      </c>
      <c r="H1993" t="str" cm="1">
        <f t="array" ref="H1993">_xlfn.IFS(Grammys[[#This Row],[date]] &gt;= DATE(2022,2,1),"Grammys",TRUE,"Grammys TRA")</f>
        <v>Grammys</v>
      </c>
      <c r="I1993">
        <f>_xlfn.XLOOKUP(Grammys[[#This Row],[date]],mobile_visits[date],mobile_visits[mobile_visitors],0)</f>
        <v>8899</v>
      </c>
    </row>
    <row r="1994" spans="1:9">
      <c r="A1994" s="1">
        <v>44728</v>
      </c>
      <c r="B1994">
        <v>17098</v>
      </c>
      <c r="C1994">
        <v>38634</v>
      </c>
      <c r="D1994">
        <v>19083</v>
      </c>
      <c r="E1994">
        <v>10109</v>
      </c>
      <c r="F1994">
        <v>75</v>
      </c>
      <c r="G1994" t="s">
        <v>83</v>
      </c>
      <c r="H1994" t="str" cm="1">
        <f t="array" ref="H1994">_xlfn.IFS(Grammys[[#This Row],[date]] &gt;= DATE(2022,2,1),"Grammys",TRUE,"Grammys TRA")</f>
        <v>Grammys</v>
      </c>
      <c r="I1994">
        <f>_xlfn.XLOOKUP(Grammys[[#This Row],[date]],mobile_visits[date],mobile_visits[mobile_visitors],0)</f>
        <v>11492</v>
      </c>
    </row>
    <row r="1995" spans="1:9">
      <c r="A1995" s="1">
        <v>44729</v>
      </c>
      <c r="B1995">
        <v>16714</v>
      </c>
      <c r="C1995">
        <v>37291</v>
      </c>
      <c r="D1995">
        <v>18581</v>
      </c>
      <c r="E1995">
        <v>9778</v>
      </c>
      <c r="F1995">
        <v>76</v>
      </c>
      <c r="G1995" t="s">
        <v>83</v>
      </c>
      <c r="H1995" t="str" cm="1">
        <f t="array" ref="H1995">_xlfn.IFS(Grammys[[#This Row],[date]] &gt;= DATE(2022,2,1),"Grammys",TRUE,"Grammys TRA")</f>
        <v>Grammys</v>
      </c>
      <c r="I1995">
        <f>_xlfn.XLOOKUP(Grammys[[#This Row],[date]],mobile_visits[date],mobile_visits[mobile_visitors],0)</f>
        <v>12255</v>
      </c>
    </row>
    <row r="1996" spans="1:9">
      <c r="A1996" s="1">
        <v>44730</v>
      </c>
      <c r="B1996">
        <v>13139</v>
      </c>
      <c r="C1996">
        <v>31116</v>
      </c>
      <c r="D1996">
        <v>14523</v>
      </c>
      <c r="E1996">
        <v>7265</v>
      </c>
      <c r="F1996">
        <v>85</v>
      </c>
      <c r="G1996" t="s">
        <v>83</v>
      </c>
      <c r="H1996" t="str" cm="1">
        <f t="array" ref="H1996">_xlfn.IFS(Grammys[[#This Row],[date]] &gt;= DATE(2022,2,1),"Grammys",TRUE,"Grammys TRA")</f>
        <v>Grammys</v>
      </c>
      <c r="I1996">
        <f>_xlfn.XLOOKUP(Grammys[[#This Row],[date]],mobile_visits[date],mobile_visits[mobile_visitors],0)</f>
        <v>9358</v>
      </c>
    </row>
    <row r="1997" spans="1:9">
      <c r="A1997" s="1">
        <v>44731</v>
      </c>
      <c r="B1997">
        <v>13386</v>
      </c>
      <c r="C1997">
        <v>31183</v>
      </c>
      <c r="D1997">
        <v>15013</v>
      </c>
      <c r="E1997">
        <v>7582</v>
      </c>
      <c r="F1997">
        <v>74</v>
      </c>
      <c r="G1997" t="s">
        <v>83</v>
      </c>
      <c r="H1997" t="str" cm="1">
        <f t="array" ref="H1997">_xlfn.IFS(Grammys[[#This Row],[date]] &gt;= DATE(2022,2,1),"Grammys",TRUE,"Grammys TRA")</f>
        <v>Grammys</v>
      </c>
      <c r="I1997">
        <f>_xlfn.XLOOKUP(Grammys[[#This Row],[date]],mobile_visits[date],mobile_visits[mobile_visitors],0)</f>
        <v>9579</v>
      </c>
    </row>
    <row r="1998" spans="1:9">
      <c r="A1998" s="1">
        <v>44732</v>
      </c>
      <c r="B1998">
        <v>14666</v>
      </c>
      <c r="C1998">
        <v>32816</v>
      </c>
      <c r="D1998">
        <v>16194</v>
      </c>
      <c r="E1998">
        <v>8114</v>
      </c>
      <c r="F1998">
        <v>81</v>
      </c>
      <c r="G1998" t="s">
        <v>83</v>
      </c>
      <c r="H1998" t="str" cm="1">
        <f t="array" ref="H1998">_xlfn.IFS(Grammys[[#This Row],[date]] &gt;= DATE(2022,2,1),"Grammys",TRUE,"Grammys TRA")</f>
        <v>Grammys</v>
      </c>
      <c r="I1998">
        <f>_xlfn.XLOOKUP(Grammys[[#This Row],[date]],mobile_visits[date],mobile_visits[mobile_visitors],0)</f>
        <v>9868</v>
      </c>
    </row>
    <row r="1999" spans="1:9">
      <c r="A1999" s="1">
        <v>44733</v>
      </c>
      <c r="B1999">
        <v>13925</v>
      </c>
      <c r="C1999">
        <v>31781</v>
      </c>
      <c r="D1999">
        <v>15843</v>
      </c>
      <c r="E1999">
        <v>8366</v>
      </c>
      <c r="F1999">
        <v>88</v>
      </c>
      <c r="G1999" t="s">
        <v>83</v>
      </c>
      <c r="H1999" t="str" cm="1">
        <f t="array" ref="H1999">_xlfn.IFS(Grammys[[#This Row],[date]] &gt;= DATE(2022,2,1),"Grammys",TRUE,"Grammys TRA")</f>
        <v>Grammys</v>
      </c>
      <c r="I1999">
        <f>_xlfn.XLOOKUP(Grammys[[#This Row],[date]],mobile_visits[date],mobile_visits[mobile_visitors],0)</f>
        <v>9075</v>
      </c>
    </row>
    <row r="2000" spans="1:9">
      <c r="A2000" s="1">
        <v>44734</v>
      </c>
      <c r="B2000">
        <v>13454</v>
      </c>
      <c r="C2000">
        <v>30214</v>
      </c>
      <c r="D2000">
        <v>15169</v>
      </c>
      <c r="E2000">
        <v>8122</v>
      </c>
      <c r="F2000">
        <v>90</v>
      </c>
      <c r="G2000" t="s">
        <v>83</v>
      </c>
      <c r="H2000" t="str" cm="1">
        <f t="array" ref="H2000">_xlfn.IFS(Grammys[[#This Row],[date]] &gt;= DATE(2022,2,1),"Grammys",TRUE,"Grammys TRA")</f>
        <v>Grammys</v>
      </c>
      <c r="I2000">
        <f>_xlfn.XLOOKUP(Grammys[[#This Row],[date]],mobile_visits[date],mobile_visits[mobile_visitors],0)</f>
        <v>8343</v>
      </c>
    </row>
    <row r="2001" spans="1:9">
      <c r="A2001" s="1">
        <v>44735</v>
      </c>
      <c r="B2001">
        <v>12772</v>
      </c>
      <c r="C2001">
        <v>29122</v>
      </c>
      <c r="D2001">
        <v>14493</v>
      </c>
      <c r="E2001">
        <v>7763</v>
      </c>
      <c r="F2001">
        <v>90</v>
      </c>
      <c r="G2001" t="s">
        <v>83</v>
      </c>
      <c r="H2001" t="str" cm="1">
        <f t="array" ref="H2001">_xlfn.IFS(Grammys[[#This Row],[date]] &gt;= DATE(2022,2,1),"Grammys",TRUE,"Grammys TRA")</f>
        <v>Grammys</v>
      </c>
      <c r="I2001">
        <f>_xlfn.XLOOKUP(Grammys[[#This Row],[date]],mobile_visits[date],mobile_visits[mobile_visitors],0)</f>
        <v>8078</v>
      </c>
    </row>
    <row r="2002" spans="1:9">
      <c r="A2002" s="1">
        <v>44736</v>
      </c>
      <c r="B2002">
        <v>11694</v>
      </c>
      <c r="C2002">
        <v>26523</v>
      </c>
      <c r="D2002">
        <v>12962</v>
      </c>
      <c r="E2002">
        <v>6786</v>
      </c>
      <c r="F2002">
        <v>87</v>
      </c>
      <c r="G2002" t="s">
        <v>83</v>
      </c>
      <c r="H2002" t="str" cm="1">
        <f t="array" ref="H2002">_xlfn.IFS(Grammys[[#This Row],[date]] &gt;= DATE(2022,2,1),"Grammys",TRUE,"Grammys TRA")</f>
        <v>Grammys</v>
      </c>
      <c r="I2002">
        <f>_xlfn.XLOOKUP(Grammys[[#This Row],[date]],mobile_visits[date],mobile_visits[mobile_visitors],0)</f>
        <v>8148</v>
      </c>
    </row>
    <row r="2003" spans="1:9">
      <c r="A2003" s="1">
        <v>44737</v>
      </c>
      <c r="B2003">
        <v>10238</v>
      </c>
      <c r="C2003">
        <v>23664</v>
      </c>
      <c r="D2003">
        <v>11298</v>
      </c>
      <c r="E2003">
        <v>5971</v>
      </c>
      <c r="F2003">
        <v>86</v>
      </c>
      <c r="G2003" t="s">
        <v>83</v>
      </c>
      <c r="H2003" t="str" cm="1">
        <f t="array" ref="H2003">_xlfn.IFS(Grammys[[#This Row],[date]] &gt;= DATE(2022,2,1),"Grammys",TRUE,"Grammys TRA")</f>
        <v>Grammys</v>
      </c>
      <c r="I2003">
        <f>_xlfn.XLOOKUP(Grammys[[#This Row],[date]],mobile_visits[date],mobile_visits[mobile_visitors],0)</f>
        <v>7657</v>
      </c>
    </row>
    <row r="2004" spans="1:9">
      <c r="A2004" s="1">
        <v>44738</v>
      </c>
      <c r="B2004">
        <v>11475</v>
      </c>
      <c r="C2004">
        <v>26986</v>
      </c>
      <c r="D2004">
        <v>12581</v>
      </c>
      <c r="E2004">
        <v>6599</v>
      </c>
      <c r="F2004">
        <v>80</v>
      </c>
      <c r="G2004" t="s">
        <v>83</v>
      </c>
      <c r="H2004" t="str" cm="1">
        <f t="array" ref="H2004">_xlfn.IFS(Grammys[[#This Row],[date]] &gt;= DATE(2022,2,1),"Grammys",TRUE,"Grammys TRA")</f>
        <v>Grammys</v>
      </c>
      <c r="I2004">
        <f>_xlfn.XLOOKUP(Grammys[[#This Row],[date]],mobile_visits[date],mobile_visits[mobile_visitors],0)</f>
        <v>8268</v>
      </c>
    </row>
    <row r="2005" spans="1:9">
      <c r="A2005" s="1">
        <v>44739</v>
      </c>
      <c r="B2005">
        <v>12283</v>
      </c>
      <c r="C2005">
        <v>28034</v>
      </c>
      <c r="D2005">
        <v>13568</v>
      </c>
      <c r="E2005">
        <v>7243</v>
      </c>
      <c r="F2005">
        <v>85</v>
      </c>
      <c r="G2005" t="s">
        <v>83</v>
      </c>
      <c r="H2005" t="str" cm="1">
        <f t="array" ref="H2005">_xlfn.IFS(Grammys[[#This Row],[date]] &gt;= DATE(2022,2,1),"Grammys",TRUE,"Grammys TRA")</f>
        <v>Grammys</v>
      </c>
      <c r="I2005">
        <f>_xlfn.XLOOKUP(Grammys[[#This Row],[date]],mobile_visits[date],mobile_visits[mobile_visitors],0)</f>
        <v>7772</v>
      </c>
    </row>
    <row r="2006" spans="1:9">
      <c r="A2006" s="1">
        <v>44740</v>
      </c>
      <c r="B2006">
        <v>11902</v>
      </c>
      <c r="C2006">
        <v>27279</v>
      </c>
      <c r="D2006">
        <v>13372</v>
      </c>
      <c r="E2006">
        <v>7066</v>
      </c>
      <c r="F2006">
        <v>92</v>
      </c>
      <c r="G2006" t="s">
        <v>83</v>
      </c>
      <c r="H2006" t="str" cm="1">
        <f t="array" ref="H2006">_xlfn.IFS(Grammys[[#This Row],[date]] &gt;= DATE(2022,2,1),"Grammys",TRUE,"Grammys TRA")</f>
        <v>Grammys</v>
      </c>
      <c r="I2006">
        <f>_xlfn.XLOOKUP(Grammys[[#This Row],[date]],mobile_visits[date],mobile_visits[mobile_visitors],0)</f>
        <v>7860</v>
      </c>
    </row>
    <row r="2007" spans="1:9">
      <c r="A2007" s="1">
        <v>44741</v>
      </c>
      <c r="B2007">
        <v>26488</v>
      </c>
      <c r="C2007">
        <v>57994</v>
      </c>
      <c r="D2007">
        <v>28865</v>
      </c>
      <c r="E2007">
        <v>13512</v>
      </c>
      <c r="F2007">
        <v>125</v>
      </c>
      <c r="G2007" t="s">
        <v>83</v>
      </c>
      <c r="H2007" t="str" cm="1">
        <f t="array" ref="H2007">_xlfn.IFS(Grammys[[#This Row],[date]] &gt;= DATE(2022,2,1),"Grammys",TRUE,"Grammys TRA")</f>
        <v>Grammys</v>
      </c>
      <c r="I2007">
        <f>_xlfn.XLOOKUP(Grammys[[#This Row],[date]],mobile_visits[date],mobile_visits[mobile_visitors],0)</f>
        <v>20986</v>
      </c>
    </row>
    <row r="2008" spans="1:9">
      <c r="A2008" s="1">
        <v>44742</v>
      </c>
      <c r="B2008">
        <v>16166</v>
      </c>
      <c r="C2008">
        <v>35566</v>
      </c>
      <c r="D2008">
        <v>18078</v>
      </c>
      <c r="E2008">
        <v>9323</v>
      </c>
      <c r="F2008">
        <v>96</v>
      </c>
      <c r="G2008" t="s">
        <v>83</v>
      </c>
      <c r="H2008" t="str" cm="1">
        <f t="array" ref="H2008">_xlfn.IFS(Grammys[[#This Row],[date]] &gt;= DATE(2022,2,1),"Grammys",TRUE,"Grammys TRA")</f>
        <v>Grammys</v>
      </c>
      <c r="I2008">
        <f>_xlfn.XLOOKUP(Grammys[[#This Row],[date]],mobile_visits[date],mobile_visits[mobile_visitors],0)</f>
        <v>11811</v>
      </c>
    </row>
    <row r="2009" spans="1:9">
      <c r="A2009" s="1">
        <v>44743</v>
      </c>
      <c r="B2009">
        <v>13709</v>
      </c>
      <c r="C2009">
        <v>30283</v>
      </c>
      <c r="D2009">
        <v>15104</v>
      </c>
      <c r="E2009">
        <v>7580</v>
      </c>
      <c r="F2009">
        <v>88</v>
      </c>
      <c r="G2009" t="s">
        <v>83</v>
      </c>
      <c r="H2009" t="str" cm="1">
        <f t="array" ref="H2009">_xlfn.IFS(Grammys[[#This Row],[date]] &gt;= DATE(2022,2,1),"Grammys",TRUE,"Grammys TRA")</f>
        <v>Grammys</v>
      </c>
      <c r="I2009">
        <f>_xlfn.XLOOKUP(Grammys[[#This Row],[date]],mobile_visits[date],mobile_visits[mobile_visitors],0)</f>
        <v>10215</v>
      </c>
    </row>
    <row r="2010" spans="1:9">
      <c r="A2010" s="1">
        <v>44744</v>
      </c>
      <c r="B2010">
        <v>14755</v>
      </c>
      <c r="C2010">
        <v>32510</v>
      </c>
      <c r="D2010">
        <v>16195</v>
      </c>
      <c r="E2010">
        <v>8469</v>
      </c>
      <c r="F2010">
        <v>84</v>
      </c>
      <c r="G2010" t="s">
        <v>83</v>
      </c>
      <c r="H2010" t="str" cm="1">
        <f t="array" ref="H2010">_xlfn.IFS(Grammys[[#This Row],[date]] &gt;= DATE(2022,2,1),"Grammys",TRUE,"Grammys TRA")</f>
        <v>Grammys</v>
      </c>
      <c r="I2010">
        <f>_xlfn.XLOOKUP(Grammys[[#This Row],[date]],mobile_visits[date],mobile_visits[mobile_visitors],0)</f>
        <v>11704</v>
      </c>
    </row>
    <row r="2011" spans="1:9">
      <c r="A2011" s="1">
        <v>44745</v>
      </c>
      <c r="B2011">
        <v>13397</v>
      </c>
      <c r="C2011">
        <v>30864</v>
      </c>
      <c r="D2011">
        <v>14895</v>
      </c>
      <c r="E2011">
        <v>7371</v>
      </c>
      <c r="F2011">
        <v>81</v>
      </c>
      <c r="G2011" t="s">
        <v>83</v>
      </c>
      <c r="H2011" t="str" cm="1">
        <f t="array" ref="H2011">_xlfn.IFS(Grammys[[#This Row],[date]] &gt;= DATE(2022,2,1),"Grammys",TRUE,"Grammys TRA")</f>
        <v>Grammys</v>
      </c>
      <c r="I2011">
        <f>_xlfn.XLOOKUP(Grammys[[#This Row],[date]],mobile_visits[date],mobile_visits[mobile_visitors],0)</f>
        <v>10138</v>
      </c>
    </row>
    <row r="2012" spans="1:9">
      <c r="A2012" s="1">
        <v>44746</v>
      </c>
      <c r="B2012">
        <v>12725</v>
      </c>
      <c r="C2012">
        <v>28977</v>
      </c>
      <c r="D2012">
        <v>13978</v>
      </c>
      <c r="E2012">
        <v>7078</v>
      </c>
      <c r="F2012">
        <v>77</v>
      </c>
      <c r="G2012" t="s">
        <v>83</v>
      </c>
      <c r="H2012" t="str" cm="1">
        <f t="array" ref="H2012">_xlfn.IFS(Grammys[[#This Row],[date]] &gt;= DATE(2022,2,1),"Grammys",TRUE,"Grammys TRA")</f>
        <v>Grammys</v>
      </c>
      <c r="I2012">
        <f>_xlfn.XLOOKUP(Grammys[[#This Row],[date]],mobile_visits[date],mobile_visits[mobile_visitors],0)</f>
        <v>9361</v>
      </c>
    </row>
    <row r="2013" spans="1:9">
      <c r="A2013" s="1">
        <v>44747</v>
      </c>
      <c r="B2013">
        <v>16349</v>
      </c>
      <c r="C2013">
        <v>38460</v>
      </c>
      <c r="D2013">
        <v>18443</v>
      </c>
      <c r="E2013">
        <v>9194</v>
      </c>
      <c r="F2013">
        <v>89</v>
      </c>
      <c r="G2013" t="s">
        <v>83</v>
      </c>
      <c r="H2013" t="str" cm="1">
        <f t="array" ref="H2013">_xlfn.IFS(Grammys[[#This Row],[date]] &gt;= DATE(2022,2,1),"Grammys",TRUE,"Grammys TRA")</f>
        <v>Grammys</v>
      </c>
      <c r="I2013">
        <f>_xlfn.XLOOKUP(Grammys[[#This Row],[date]],mobile_visits[date],mobile_visits[mobile_visitors],0)</f>
        <v>11760</v>
      </c>
    </row>
    <row r="2014" spans="1:9">
      <c r="A2014" s="1">
        <v>44748</v>
      </c>
      <c r="B2014">
        <v>15172</v>
      </c>
      <c r="C2014">
        <v>36118</v>
      </c>
      <c r="D2014">
        <v>16887</v>
      </c>
      <c r="E2014">
        <v>8373</v>
      </c>
      <c r="F2014">
        <v>85</v>
      </c>
      <c r="G2014" t="s">
        <v>83</v>
      </c>
      <c r="H2014" t="str" cm="1">
        <f t="array" ref="H2014">_xlfn.IFS(Grammys[[#This Row],[date]] &gt;= DATE(2022,2,1),"Grammys",TRUE,"Grammys TRA")</f>
        <v>Grammys</v>
      </c>
      <c r="I2014">
        <f>_xlfn.XLOOKUP(Grammys[[#This Row],[date]],mobile_visits[date],mobile_visits[mobile_visitors],0)</f>
        <v>10296</v>
      </c>
    </row>
    <row r="2015" spans="1:9">
      <c r="A2015" s="1">
        <v>44749</v>
      </c>
      <c r="B2015">
        <v>14743</v>
      </c>
      <c r="C2015">
        <v>33813</v>
      </c>
      <c r="D2015">
        <v>15902</v>
      </c>
      <c r="E2015">
        <v>7614</v>
      </c>
      <c r="F2015">
        <v>90</v>
      </c>
      <c r="G2015" t="s">
        <v>83</v>
      </c>
      <c r="H2015" t="str" cm="1">
        <f t="array" ref="H2015">_xlfn.IFS(Grammys[[#This Row],[date]] &gt;= DATE(2022,2,1),"Grammys",TRUE,"Grammys TRA")</f>
        <v>Grammys</v>
      </c>
      <c r="I2015">
        <f>_xlfn.XLOOKUP(Grammys[[#This Row],[date]],mobile_visits[date],mobile_visits[mobile_visitors],0)</f>
        <v>10806</v>
      </c>
    </row>
    <row r="2016" spans="1:9">
      <c r="A2016" s="1">
        <v>44750</v>
      </c>
      <c r="B2016">
        <v>13523</v>
      </c>
      <c r="C2016">
        <v>30984</v>
      </c>
      <c r="D2016">
        <v>14655</v>
      </c>
      <c r="E2016">
        <v>7288</v>
      </c>
      <c r="F2016">
        <v>85</v>
      </c>
      <c r="G2016" t="s">
        <v>83</v>
      </c>
      <c r="H2016" t="str" cm="1">
        <f t="array" ref="H2016">_xlfn.IFS(Grammys[[#This Row],[date]] &gt;= DATE(2022,2,1),"Grammys",TRUE,"Grammys TRA")</f>
        <v>Grammys</v>
      </c>
      <c r="I2016">
        <f>_xlfn.XLOOKUP(Grammys[[#This Row],[date]],mobile_visits[date],mobile_visits[mobile_visitors],0)</f>
        <v>9690</v>
      </c>
    </row>
    <row r="2017" spans="1:9">
      <c r="A2017" s="1">
        <v>44751</v>
      </c>
      <c r="B2017">
        <v>11128</v>
      </c>
      <c r="C2017">
        <v>25615</v>
      </c>
      <c r="D2017">
        <v>12309</v>
      </c>
      <c r="E2017">
        <v>6276</v>
      </c>
      <c r="F2017">
        <v>83</v>
      </c>
      <c r="G2017" t="s">
        <v>83</v>
      </c>
      <c r="H2017" t="str" cm="1">
        <f t="array" ref="H2017">_xlfn.IFS(Grammys[[#This Row],[date]] &gt;= DATE(2022,2,1),"Grammys",TRUE,"Grammys TRA")</f>
        <v>Grammys</v>
      </c>
      <c r="I2017">
        <f>_xlfn.XLOOKUP(Grammys[[#This Row],[date]],mobile_visits[date],mobile_visits[mobile_visitors],0)</f>
        <v>8807</v>
      </c>
    </row>
    <row r="2018" spans="1:9">
      <c r="A2018" s="1">
        <v>44752</v>
      </c>
      <c r="B2018">
        <v>10700</v>
      </c>
      <c r="C2018">
        <v>24668</v>
      </c>
      <c r="D2018">
        <v>11843</v>
      </c>
      <c r="E2018">
        <v>6083</v>
      </c>
      <c r="F2018">
        <v>83</v>
      </c>
      <c r="G2018" t="s">
        <v>83</v>
      </c>
      <c r="H2018" t="str" cm="1">
        <f t="array" ref="H2018">_xlfn.IFS(Grammys[[#This Row],[date]] &gt;= DATE(2022,2,1),"Grammys",TRUE,"Grammys TRA")</f>
        <v>Grammys</v>
      </c>
      <c r="I2018">
        <f>_xlfn.XLOOKUP(Grammys[[#This Row],[date]],mobile_visits[date],mobile_visits[mobile_visitors],0)</f>
        <v>7675</v>
      </c>
    </row>
    <row r="2019" spans="1:9">
      <c r="A2019" s="1">
        <v>44753</v>
      </c>
      <c r="B2019">
        <v>14960</v>
      </c>
      <c r="C2019">
        <v>34317</v>
      </c>
      <c r="D2019">
        <v>16525</v>
      </c>
      <c r="E2019">
        <v>7822</v>
      </c>
      <c r="F2019">
        <v>106</v>
      </c>
      <c r="G2019" t="s">
        <v>83</v>
      </c>
      <c r="H2019" t="str" cm="1">
        <f t="array" ref="H2019">_xlfn.IFS(Grammys[[#This Row],[date]] &gt;= DATE(2022,2,1),"Grammys",TRUE,"Grammys TRA")</f>
        <v>Grammys</v>
      </c>
      <c r="I2019">
        <f>_xlfn.XLOOKUP(Grammys[[#This Row],[date]],mobile_visits[date],mobile_visits[mobile_visitors],0)</f>
        <v>9797</v>
      </c>
    </row>
    <row r="2020" spans="1:9">
      <c r="A2020" s="1">
        <v>44754</v>
      </c>
      <c r="B2020">
        <v>15789</v>
      </c>
      <c r="C2020">
        <v>35827</v>
      </c>
      <c r="D2020">
        <v>17508</v>
      </c>
      <c r="E2020">
        <v>8371</v>
      </c>
      <c r="F2020">
        <v>95</v>
      </c>
      <c r="G2020" t="s">
        <v>83</v>
      </c>
      <c r="H2020" t="str" cm="1">
        <f t="array" ref="H2020">_xlfn.IFS(Grammys[[#This Row],[date]] &gt;= DATE(2022,2,1),"Grammys",TRUE,"Grammys TRA")</f>
        <v>Grammys</v>
      </c>
      <c r="I2020">
        <f>_xlfn.XLOOKUP(Grammys[[#This Row],[date]],mobile_visits[date],mobile_visits[mobile_visitors],0)</f>
        <v>10548</v>
      </c>
    </row>
    <row r="2021" spans="1:9">
      <c r="A2021" s="1">
        <v>44755</v>
      </c>
      <c r="B2021">
        <v>14306</v>
      </c>
      <c r="C2021">
        <v>32762</v>
      </c>
      <c r="D2021">
        <v>15766</v>
      </c>
      <c r="E2021">
        <v>7688</v>
      </c>
      <c r="F2021">
        <v>95</v>
      </c>
      <c r="G2021" t="s">
        <v>83</v>
      </c>
      <c r="H2021" t="str" cm="1">
        <f t="array" ref="H2021">_xlfn.IFS(Grammys[[#This Row],[date]] &gt;= DATE(2022,2,1),"Grammys",TRUE,"Grammys TRA")</f>
        <v>Grammys</v>
      </c>
      <c r="I2021">
        <f>_xlfn.XLOOKUP(Grammys[[#This Row],[date]],mobile_visits[date],mobile_visits[mobile_visitors],0)</f>
        <v>9586</v>
      </c>
    </row>
    <row r="2022" spans="1:9">
      <c r="A2022" s="1">
        <v>44756</v>
      </c>
      <c r="B2022">
        <v>15147</v>
      </c>
      <c r="C2022">
        <v>33933</v>
      </c>
      <c r="D2022">
        <v>16743</v>
      </c>
      <c r="E2022">
        <v>8411</v>
      </c>
      <c r="F2022">
        <v>87</v>
      </c>
      <c r="G2022" t="s">
        <v>83</v>
      </c>
      <c r="H2022" t="str" cm="1">
        <f t="array" ref="H2022">_xlfn.IFS(Grammys[[#This Row],[date]] &gt;= DATE(2022,2,1),"Grammys",TRUE,"Grammys TRA")</f>
        <v>Grammys</v>
      </c>
      <c r="I2022">
        <f>_xlfn.XLOOKUP(Grammys[[#This Row],[date]],mobile_visits[date],mobile_visits[mobile_visitors],0)</f>
        <v>10245</v>
      </c>
    </row>
    <row r="2023" spans="1:9">
      <c r="A2023" s="1">
        <v>44757</v>
      </c>
      <c r="B2023">
        <v>21402</v>
      </c>
      <c r="C2023">
        <v>43295</v>
      </c>
      <c r="D2023">
        <v>23258</v>
      </c>
      <c r="E2023">
        <v>13358</v>
      </c>
      <c r="F2023">
        <v>80</v>
      </c>
      <c r="G2023" t="s">
        <v>83</v>
      </c>
      <c r="H2023" t="str" cm="1">
        <f t="array" ref="H2023">_xlfn.IFS(Grammys[[#This Row],[date]] &gt;= DATE(2022,2,1),"Grammys",TRUE,"Grammys TRA")</f>
        <v>Grammys</v>
      </c>
      <c r="I2023">
        <f>_xlfn.XLOOKUP(Grammys[[#This Row],[date]],mobile_visits[date],mobile_visits[mobile_visitors],0)</f>
        <v>13501</v>
      </c>
    </row>
    <row r="2024" spans="1:9">
      <c r="A2024" s="1">
        <v>44758</v>
      </c>
      <c r="B2024">
        <v>19870</v>
      </c>
      <c r="C2024">
        <v>38393</v>
      </c>
      <c r="D2024">
        <v>21469</v>
      </c>
      <c r="E2024">
        <v>13019</v>
      </c>
      <c r="F2024">
        <v>67</v>
      </c>
      <c r="G2024" t="s">
        <v>83</v>
      </c>
      <c r="H2024" t="str" cm="1">
        <f t="array" ref="H2024">_xlfn.IFS(Grammys[[#This Row],[date]] &gt;= DATE(2022,2,1),"Grammys",TRUE,"Grammys TRA")</f>
        <v>Grammys</v>
      </c>
      <c r="I2024">
        <f>_xlfn.XLOOKUP(Grammys[[#This Row],[date]],mobile_visits[date],mobile_visits[mobile_visitors],0)</f>
        <v>11995</v>
      </c>
    </row>
    <row r="2025" spans="1:9">
      <c r="A2025" s="1">
        <v>44759</v>
      </c>
      <c r="B2025">
        <v>15648</v>
      </c>
      <c r="C2025">
        <v>34175</v>
      </c>
      <c r="D2025">
        <v>16805</v>
      </c>
      <c r="E2025">
        <v>8512</v>
      </c>
      <c r="F2025">
        <v>84</v>
      </c>
      <c r="G2025" t="s">
        <v>83</v>
      </c>
      <c r="H2025" t="str" cm="1">
        <f t="array" ref="H2025">_xlfn.IFS(Grammys[[#This Row],[date]] &gt;= DATE(2022,2,1),"Grammys",TRUE,"Grammys TRA")</f>
        <v>Grammys</v>
      </c>
      <c r="I2025">
        <f>_xlfn.XLOOKUP(Grammys[[#This Row],[date]],mobile_visits[date],mobile_visits[mobile_visitors],0)</f>
        <v>12154</v>
      </c>
    </row>
    <row r="2026" spans="1:9">
      <c r="A2026" s="1">
        <v>44760</v>
      </c>
      <c r="B2026">
        <v>12023</v>
      </c>
      <c r="C2026">
        <v>23667</v>
      </c>
      <c r="D2026">
        <v>13171</v>
      </c>
      <c r="E2026">
        <v>7363</v>
      </c>
      <c r="F2026">
        <v>80</v>
      </c>
      <c r="G2026" t="s">
        <v>83</v>
      </c>
      <c r="H2026" t="str" cm="1">
        <f t="array" ref="H2026">_xlfn.IFS(Grammys[[#This Row],[date]] &gt;= DATE(2022,2,1),"Grammys",TRUE,"Grammys TRA")</f>
        <v>Grammys</v>
      </c>
      <c r="I2026">
        <f>_xlfn.XLOOKUP(Grammys[[#This Row],[date]],mobile_visits[date],mobile_visits[mobile_visitors],0)</f>
        <v>8633</v>
      </c>
    </row>
    <row r="2027" spans="1:9">
      <c r="A2027" s="1">
        <v>44761</v>
      </c>
      <c r="B2027">
        <v>7554</v>
      </c>
      <c r="C2027">
        <v>13952</v>
      </c>
      <c r="D2027">
        <v>8438</v>
      </c>
      <c r="E2027">
        <v>5262</v>
      </c>
      <c r="F2027">
        <v>86</v>
      </c>
      <c r="G2027" t="s">
        <v>83</v>
      </c>
      <c r="H2027" t="str" cm="1">
        <f t="array" ref="H2027">_xlfn.IFS(Grammys[[#This Row],[date]] &gt;= DATE(2022,2,1),"Grammys",TRUE,"Grammys TRA")</f>
        <v>Grammys</v>
      </c>
      <c r="I2027">
        <f>_xlfn.XLOOKUP(Grammys[[#This Row],[date]],mobile_visits[date],mobile_visits[mobile_visitors],0)</f>
        <v>4581</v>
      </c>
    </row>
    <row r="2028" spans="1:9">
      <c r="A2028" s="1">
        <v>44762</v>
      </c>
      <c r="B2028">
        <v>7749</v>
      </c>
      <c r="C2028">
        <v>14172</v>
      </c>
      <c r="D2028">
        <v>8693</v>
      </c>
      <c r="E2028">
        <v>5499</v>
      </c>
      <c r="F2028">
        <v>92</v>
      </c>
      <c r="G2028" t="s">
        <v>83</v>
      </c>
      <c r="H2028" t="str" cm="1">
        <f t="array" ref="H2028">_xlfn.IFS(Grammys[[#This Row],[date]] &gt;= DATE(2022,2,1),"Grammys",TRUE,"Grammys TRA")</f>
        <v>Grammys</v>
      </c>
      <c r="I2028">
        <f>_xlfn.XLOOKUP(Grammys[[#This Row],[date]],mobile_visits[date],mobile_visits[mobile_visitors],0)</f>
        <v>4698</v>
      </c>
    </row>
    <row r="2029" spans="1:9">
      <c r="A2029" s="1">
        <v>44763</v>
      </c>
      <c r="B2029">
        <v>10785</v>
      </c>
      <c r="C2029">
        <v>21857</v>
      </c>
      <c r="D2029">
        <v>11718</v>
      </c>
      <c r="E2029">
        <v>6518</v>
      </c>
      <c r="F2029">
        <v>86</v>
      </c>
      <c r="G2029" t="s">
        <v>83</v>
      </c>
      <c r="H2029" t="str" cm="1">
        <f t="array" ref="H2029">_xlfn.IFS(Grammys[[#This Row],[date]] &gt;= DATE(2022,2,1),"Grammys",TRUE,"Grammys TRA")</f>
        <v>Grammys</v>
      </c>
      <c r="I2029">
        <f>_xlfn.XLOOKUP(Grammys[[#This Row],[date]],mobile_visits[date],mobile_visits[mobile_visitors],0)</f>
        <v>7134</v>
      </c>
    </row>
    <row r="2030" spans="1:9">
      <c r="A2030" s="1">
        <v>44764</v>
      </c>
      <c r="B2030">
        <v>13596</v>
      </c>
      <c r="C2030">
        <v>31363</v>
      </c>
      <c r="D2030">
        <v>15203</v>
      </c>
      <c r="E2030">
        <v>7745</v>
      </c>
      <c r="F2030">
        <v>90</v>
      </c>
      <c r="G2030" t="s">
        <v>83</v>
      </c>
      <c r="H2030" t="str" cm="1">
        <f t="array" ref="H2030">_xlfn.IFS(Grammys[[#This Row],[date]] &gt;= DATE(2022,2,1),"Grammys",TRUE,"Grammys TRA")</f>
        <v>Grammys</v>
      </c>
      <c r="I2030">
        <f>_xlfn.XLOOKUP(Grammys[[#This Row],[date]],mobile_visits[date],mobile_visits[mobile_visitors],0)</f>
        <v>8850</v>
      </c>
    </row>
    <row r="2031" spans="1:9">
      <c r="A2031" s="1">
        <v>44765</v>
      </c>
      <c r="B2031">
        <v>12225</v>
      </c>
      <c r="C2031">
        <v>27433</v>
      </c>
      <c r="D2031">
        <v>13258</v>
      </c>
      <c r="E2031">
        <v>6827</v>
      </c>
      <c r="F2031">
        <v>78</v>
      </c>
      <c r="G2031" t="s">
        <v>83</v>
      </c>
      <c r="H2031" t="str" cm="1">
        <f t="array" ref="H2031">_xlfn.IFS(Grammys[[#This Row],[date]] &gt;= DATE(2022,2,1),"Grammys",TRUE,"Grammys TRA")</f>
        <v>Grammys</v>
      </c>
      <c r="I2031">
        <f>_xlfn.XLOOKUP(Grammys[[#This Row],[date]],mobile_visits[date],mobile_visits[mobile_visitors],0)</f>
        <v>8627</v>
      </c>
    </row>
    <row r="2032" spans="1:9">
      <c r="A2032" s="1">
        <v>44766</v>
      </c>
      <c r="B2032">
        <v>11431</v>
      </c>
      <c r="C2032">
        <v>26081</v>
      </c>
      <c r="D2032">
        <v>12432</v>
      </c>
      <c r="E2032">
        <v>6149</v>
      </c>
      <c r="F2032">
        <v>84</v>
      </c>
      <c r="G2032" t="s">
        <v>83</v>
      </c>
      <c r="H2032" t="str" cm="1">
        <f t="array" ref="H2032">_xlfn.IFS(Grammys[[#This Row],[date]] &gt;= DATE(2022,2,1),"Grammys",TRUE,"Grammys TRA")</f>
        <v>Grammys</v>
      </c>
      <c r="I2032">
        <f>_xlfn.XLOOKUP(Grammys[[#This Row],[date]],mobile_visits[date],mobile_visits[mobile_visitors],0)</f>
        <v>8119</v>
      </c>
    </row>
    <row r="2033" spans="1:9">
      <c r="A2033" s="1">
        <v>44767</v>
      </c>
      <c r="B2033">
        <v>11959</v>
      </c>
      <c r="C2033">
        <v>26890</v>
      </c>
      <c r="D2033">
        <v>13238</v>
      </c>
      <c r="E2033">
        <v>6859</v>
      </c>
      <c r="F2033">
        <v>84</v>
      </c>
      <c r="G2033" t="s">
        <v>83</v>
      </c>
      <c r="H2033" t="str" cm="1">
        <f t="array" ref="H2033">_xlfn.IFS(Grammys[[#This Row],[date]] &gt;= DATE(2022,2,1),"Grammys",TRUE,"Grammys TRA")</f>
        <v>Grammys</v>
      </c>
      <c r="I2033">
        <f>_xlfn.XLOOKUP(Grammys[[#This Row],[date]],mobile_visits[date],mobile_visits[mobile_visitors],0)</f>
        <v>7526</v>
      </c>
    </row>
    <row r="2034" spans="1:9">
      <c r="A2034" s="1">
        <v>44768</v>
      </c>
      <c r="B2034">
        <v>12474</v>
      </c>
      <c r="C2034">
        <v>28876</v>
      </c>
      <c r="D2034">
        <v>13900</v>
      </c>
      <c r="E2034">
        <v>7035</v>
      </c>
      <c r="F2034">
        <v>84</v>
      </c>
      <c r="G2034" t="s">
        <v>83</v>
      </c>
      <c r="H2034" t="str" cm="1">
        <f t="array" ref="H2034">_xlfn.IFS(Grammys[[#This Row],[date]] &gt;= DATE(2022,2,1),"Grammys",TRUE,"Grammys TRA")</f>
        <v>Grammys</v>
      </c>
      <c r="I2034">
        <f>_xlfn.XLOOKUP(Grammys[[#This Row],[date]],mobile_visits[date],mobile_visits[mobile_visitors],0)</f>
        <v>8198</v>
      </c>
    </row>
    <row r="2035" spans="1:9">
      <c r="A2035" s="1">
        <v>44769</v>
      </c>
      <c r="B2035">
        <v>21822</v>
      </c>
      <c r="C2035">
        <v>58870</v>
      </c>
      <c r="D2035">
        <v>23379</v>
      </c>
      <c r="E2035">
        <v>8122</v>
      </c>
      <c r="F2035">
        <v>85</v>
      </c>
      <c r="G2035" t="s">
        <v>83</v>
      </c>
      <c r="H2035" t="str" cm="1">
        <f t="array" ref="H2035">_xlfn.IFS(Grammys[[#This Row],[date]] &gt;= DATE(2022,2,1),"Grammys",TRUE,"Grammys TRA")</f>
        <v>Grammys</v>
      </c>
      <c r="I2035">
        <f>_xlfn.XLOOKUP(Grammys[[#This Row],[date]],mobile_visits[date],mobile_visits[mobile_visitors],0)</f>
        <v>17024</v>
      </c>
    </row>
    <row r="2036" spans="1:9">
      <c r="A2036" s="1">
        <v>44770</v>
      </c>
      <c r="B2036">
        <v>19871</v>
      </c>
      <c r="C2036">
        <v>50883</v>
      </c>
      <c r="D2036">
        <v>21362</v>
      </c>
      <c r="E2036">
        <v>8391</v>
      </c>
      <c r="F2036">
        <v>84</v>
      </c>
      <c r="G2036" t="s">
        <v>83</v>
      </c>
      <c r="H2036" t="str" cm="1">
        <f t="array" ref="H2036">_xlfn.IFS(Grammys[[#This Row],[date]] &gt;= DATE(2022,2,1),"Grammys",TRUE,"Grammys TRA")</f>
        <v>Grammys</v>
      </c>
      <c r="I2036">
        <f>_xlfn.XLOOKUP(Grammys[[#This Row],[date]],mobile_visits[date],mobile_visits[mobile_visitors],0)</f>
        <v>14734</v>
      </c>
    </row>
    <row r="2037" spans="1:9">
      <c r="A2037" s="1">
        <v>44771</v>
      </c>
      <c r="B2037">
        <v>13088</v>
      </c>
      <c r="C2037">
        <v>30358</v>
      </c>
      <c r="D2037">
        <v>14370</v>
      </c>
      <c r="E2037">
        <v>7102</v>
      </c>
      <c r="F2037">
        <v>83</v>
      </c>
      <c r="G2037" t="s">
        <v>83</v>
      </c>
      <c r="H2037" t="str" cm="1">
        <f t="array" ref="H2037">_xlfn.IFS(Grammys[[#This Row],[date]] &gt;= DATE(2022,2,1),"Grammys",TRUE,"Grammys TRA")</f>
        <v>Grammys</v>
      </c>
      <c r="I2037">
        <f>_xlfn.XLOOKUP(Grammys[[#This Row],[date]],mobile_visits[date],mobile_visits[mobile_visitors],0)</f>
        <v>8994</v>
      </c>
    </row>
    <row r="2038" spans="1:9">
      <c r="A2038" s="1">
        <v>44772</v>
      </c>
      <c r="B2038">
        <v>11719</v>
      </c>
      <c r="C2038">
        <v>26386</v>
      </c>
      <c r="D2038">
        <v>12656</v>
      </c>
      <c r="E2038">
        <v>6336</v>
      </c>
      <c r="F2038">
        <v>76</v>
      </c>
      <c r="G2038" t="s">
        <v>83</v>
      </c>
      <c r="H2038" t="str" cm="1">
        <f t="array" ref="H2038">_xlfn.IFS(Grammys[[#This Row],[date]] &gt;= DATE(2022,2,1),"Grammys",TRUE,"Grammys TRA")</f>
        <v>Grammys</v>
      </c>
      <c r="I2038">
        <f>_xlfn.XLOOKUP(Grammys[[#This Row],[date]],mobile_visits[date],mobile_visits[mobile_visitors],0)</f>
        <v>8694</v>
      </c>
    </row>
    <row r="2039" spans="1:9">
      <c r="A2039" s="1">
        <v>44773</v>
      </c>
      <c r="B2039">
        <v>12228</v>
      </c>
      <c r="C2039">
        <v>27681</v>
      </c>
      <c r="D2039">
        <v>13154</v>
      </c>
      <c r="E2039">
        <v>6546</v>
      </c>
      <c r="F2039">
        <v>82</v>
      </c>
      <c r="G2039" t="s">
        <v>83</v>
      </c>
      <c r="H2039" t="str" cm="1">
        <f t="array" ref="H2039">_xlfn.IFS(Grammys[[#This Row],[date]] &gt;= DATE(2022,2,1),"Grammys",TRUE,"Grammys TRA")</f>
        <v>Grammys</v>
      </c>
      <c r="I2039">
        <f>_xlfn.XLOOKUP(Grammys[[#This Row],[date]],mobile_visits[date],mobile_visits[mobile_visitors],0)</f>
        <v>9151</v>
      </c>
    </row>
    <row r="2040" spans="1:9">
      <c r="A2040" s="1">
        <v>44774</v>
      </c>
      <c r="B2040">
        <v>12316</v>
      </c>
      <c r="C2040">
        <v>28465</v>
      </c>
      <c r="D2040">
        <v>13607</v>
      </c>
      <c r="E2040">
        <v>6698</v>
      </c>
      <c r="F2040">
        <v>83</v>
      </c>
      <c r="G2040" t="s">
        <v>83</v>
      </c>
      <c r="H2040" t="str" cm="1">
        <f t="array" ref="H2040">_xlfn.IFS(Grammys[[#This Row],[date]] &gt;= DATE(2022,2,1),"Grammys",TRUE,"Grammys TRA")</f>
        <v>Grammys</v>
      </c>
      <c r="I2040">
        <f>_xlfn.XLOOKUP(Grammys[[#This Row],[date]],mobile_visits[date],mobile_visits[mobile_visitors],0)</f>
        <v>8274</v>
      </c>
    </row>
    <row r="2041" spans="1:9">
      <c r="A2041" s="1">
        <v>44775</v>
      </c>
      <c r="B2041">
        <v>12952</v>
      </c>
      <c r="C2041">
        <v>29553</v>
      </c>
      <c r="D2041">
        <v>14369</v>
      </c>
      <c r="E2041">
        <v>7211</v>
      </c>
      <c r="F2041">
        <v>86</v>
      </c>
      <c r="G2041" t="s">
        <v>83</v>
      </c>
      <c r="H2041" t="str" cm="1">
        <f t="array" ref="H2041">_xlfn.IFS(Grammys[[#This Row],[date]] &gt;= DATE(2022,2,1),"Grammys",TRUE,"Grammys TRA")</f>
        <v>Grammys</v>
      </c>
      <c r="I2041">
        <f>_xlfn.XLOOKUP(Grammys[[#This Row],[date]],mobile_visits[date],mobile_visits[mobile_visitors],0)</f>
        <v>8624</v>
      </c>
    </row>
    <row r="2042" spans="1:9">
      <c r="A2042" s="1">
        <v>44776</v>
      </c>
      <c r="B2042">
        <v>13172</v>
      </c>
      <c r="C2042">
        <v>30852</v>
      </c>
      <c r="D2042">
        <v>14770</v>
      </c>
      <c r="E2042">
        <v>7455</v>
      </c>
      <c r="F2042">
        <v>87</v>
      </c>
      <c r="G2042" t="s">
        <v>83</v>
      </c>
      <c r="H2042" t="str" cm="1">
        <f t="array" ref="H2042">_xlfn.IFS(Grammys[[#This Row],[date]] &gt;= DATE(2022,2,1),"Grammys",TRUE,"Grammys TRA")</f>
        <v>Grammys</v>
      </c>
      <c r="I2042">
        <f>_xlfn.XLOOKUP(Grammys[[#This Row],[date]],mobile_visits[date],mobile_visits[mobile_visitors],0)</f>
        <v>8557</v>
      </c>
    </row>
    <row r="2043" spans="1:9">
      <c r="A2043" s="1">
        <v>44777</v>
      </c>
      <c r="B2043">
        <v>13603</v>
      </c>
      <c r="C2043">
        <v>30836</v>
      </c>
      <c r="D2043">
        <v>15061</v>
      </c>
      <c r="E2043">
        <v>7655</v>
      </c>
      <c r="F2043">
        <v>77</v>
      </c>
      <c r="G2043" t="s">
        <v>83</v>
      </c>
      <c r="H2043" t="str" cm="1">
        <f t="array" ref="H2043">_xlfn.IFS(Grammys[[#This Row],[date]] &gt;= DATE(2022,2,1),"Grammys",TRUE,"Grammys TRA")</f>
        <v>Grammys</v>
      </c>
      <c r="I2043">
        <f>_xlfn.XLOOKUP(Grammys[[#This Row],[date]],mobile_visits[date],mobile_visits[mobile_visitors],0)</f>
        <v>8857</v>
      </c>
    </row>
    <row r="2044" spans="1:9">
      <c r="A2044" s="1">
        <v>44778</v>
      </c>
      <c r="B2044">
        <v>13386</v>
      </c>
      <c r="C2044">
        <v>30885</v>
      </c>
      <c r="D2044">
        <v>14688</v>
      </c>
      <c r="E2044">
        <v>7418</v>
      </c>
      <c r="F2044">
        <v>81</v>
      </c>
      <c r="G2044" t="s">
        <v>83</v>
      </c>
      <c r="H2044" t="str" cm="1">
        <f t="array" ref="H2044">_xlfn.IFS(Grammys[[#This Row],[date]] &gt;= DATE(2022,2,1),"Grammys",TRUE,"Grammys TRA")</f>
        <v>Grammys</v>
      </c>
      <c r="I2044">
        <f>_xlfn.XLOOKUP(Grammys[[#This Row],[date]],mobile_visits[date],mobile_visits[mobile_visitors],0)</f>
        <v>9058</v>
      </c>
    </row>
    <row r="2045" spans="1:9">
      <c r="A2045" s="1">
        <v>44779</v>
      </c>
      <c r="B2045">
        <v>12694</v>
      </c>
      <c r="C2045">
        <v>29087</v>
      </c>
      <c r="D2045">
        <v>13819</v>
      </c>
      <c r="E2045">
        <v>6972</v>
      </c>
      <c r="F2045">
        <v>81</v>
      </c>
      <c r="G2045" t="s">
        <v>83</v>
      </c>
      <c r="H2045" t="str" cm="1">
        <f t="array" ref="H2045">_xlfn.IFS(Grammys[[#This Row],[date]] &gt;= DATE(2022,2,1),"Grammys",TRUE,"Grammys TRA")</f>
        <v>Grammys</v>
      </c>
      <c r="I2045">
        <f>_xlfn.XLOOKUP(Grammys[[#This Row],[date]],mobile_visits[date],mobile_visits[mobile_visitors],0)</f>
        <v>9409</v>
      </c>
    </row>
    <row r="2046" spans="1:9">
      <c r="A2046" s="1">
        <v>44780</v>
      </c>
      <c r="B2046">
        <v>14196</v>
      </c>
      <c r="C2046">
        <v>33043</v>
      </c>
      <c r="D2046">
        <v>15174</v>
      </c>
      <c r="E2046">
        <v>7155</v>
      </c>
      <c r="F2046">
        <v>75</v>
      </c>
      <c r="G2046" t="s">
        <v>83</v>
      </c>
      <c r="H2046" t="str" cm="1">
        <f t="array" ref="H2046">_xlfn.IFS(Grammys[[#This Row],[date]] &gt;= DATE(2022,2,1),"Grammys",TRUE,"Grammys TRA")</f>
        <v>Grammys</v>
      </c>
      <c r="I2046">
        <f>_xlfn.XLOOKUP(Grammys[[#This Row],[date]],mobile_visits[date],mobile_visits[mobile_visitors],0)</f>
        <v>10702</v>
      </c>
    </row>
    <row r="2047" spans="1:9">
      <c r="A2047" s="1">
        <v>44781</v>
      </c>
      <c r="B2047">
        <v>15694</v>
      </c>
      <c r="C2047">
        <v>38040</v>
      </c>
      <c r="D2047">
        <v>16847</v>
      </c>
      <c r="E2047">
        <v>8050</v>
      </c>
      <c r="F2047">
        <v>81</v>
      </c>
      <c r="G2047" t="s">
        <v>83</v>
      </c>
      <c r="H2047" t="str" cm="1">
        <f t="array" ref="H2047">_xlfn.IFS(Grammys[[#This Row],[date]] &gt;= DATE(2022,2,1),"Grammys",TRUE,"Grammys TRA")</f>
        <v>Grammys</v>
      </c>
      <c r="I2047">
        <f>_xlfn.XLOOKUP(Grammys[[#This Row],[date]],mobile_visits[date],mobile_visits[mobile_visitors],0)</f>
        <v>10088</v>
      </c>
    </row>
    <row r="2048" spans="1:9">
      <c r="A2048" s="1">
        <v>44782</v>
      </c>
      <c r="B2048">
        <v>15516</v>
      </c>
      <c r="C2048">
        <v>37196</v>
      </c>
      <c r="D2048">
        <v>17068</v>
      </c>
      <c r="E2048">
        <v>8497</v>
      </c>
      <c r="F2048">
        <v>83</v>
      </c>
      <c r="G2048" t="s">
        <v>83</v>
      </c>
      <c r="H2048" t="str" cm="1">
        <f t="array" ref="H2048">_xlfn.IFS(Grammys[[#This Row],[date]] &gt;= DATE(2022,2,1),"Grammys",TRUE,"Grammys TRA")</f>
        <v>Grammys</v>
      </c>
      <c r="I2048">
        <f>_xlfn.XLOOKUP(Grammys[[#This Row],[date]],mobile_visits[date],mobile_visits[mobile_visitors],0)</f>
        <v>10171</v>
      </c>
    </row>
    <row r="2049" spans="1:9">
      <c r="A2049" s="1">
        <v>44783</v>
      </c>
      <c r="B2049">
        <v>12616</v>
      </c>
      <c r="C2049">
        <v>28181</v>
      </c>
      <c r="D2049">
        <v>13765</v>
      </c>
      <c r="E2049">
        <v>7135</v>
      </c>
      <c r="F2049">
        <v>91</v>
      </c>
      <c r="G2049" t="s">
        <v>83</v>
      </c>
      <c r="H2049" t="str" cm="1">
        <f t="array" ref="H2049">_xlfn.IFS(Grammys[[#This Row],[date]] &gt;= DATE(2022,2,1),"Grammys",TRUE,"Grammys TRA")</f>
        <v>Grammys</v>
      </c>
      <c r="I2049">
        <f>_xlfn.XLOOKUP(Grammys[[#This Row],[date]],mobile_visits[date],mobile_visits[mobile_visitors],0)</f>
        <v>7844</v>
      </c>
    </row>
    <row r="2050" spans="1:9">
      <c r="A2050" s="1">
        <v>44784</v>
      </c>
      <c r="B2050">
        <v>13488</v>
      </c>
      <c r="C2050">
        <v>29614</v>
      </c>
      <c r="D2050">
        <v>14667</v>
      </c>
      <c r="E2050">
        <v>7655</v>
      </c>
      <c r="F2050">
        <v>90</v>
      </c>
      <c r="G2050" t="s">
        <v>83</v>
      </c>
      <c r="H2050" t="str" cm="1">
        <f t="array" ref="H2050">_xlfn.IFS(Grammys[[#This Row],[date]] &gt;= DATE(2022,2,1),"Grammys",TRUE,"Grammys TRA")</f>
        <v>Grammys</v>
      </c>
      <c r="I2050">
        <f>_xlfn.XLOOKUP(Grammys[[#This Row],[date]],mobile_visits[date],mobile_visits[mobile_visitors],0)</f>
        <v>8586</v>
      </c>
    </row>
    <row r="2051" spans="1:9">
      <c r="A2051" s="1">
        <v>44785</v>
      </c>
      <c r="B2051">
        <v>16914</v>
      </c>
      <c r="C2051">
        <v>37303</v>
      </c>
      <c r="D2051">
        <v>18306</v>
      </c>
      <c r="E2051">
        <v>9415</v>
      </c>
      <c r="F2051">
        <v>85</v>
      </c>
      <c r="G2051" t="s">
        <v>83</v>
      </c>
      <c r="H2051" t="str" cm="1">
        <f t="array" ref="H2051">_xlfn.IFS(Grammys[[#This Row],[date]] &gt;= DATE(2022,2,1),"Grammys",TRUE,"Grammys TRA")</f>
        <v>Grammys</v>
      </c>
      <c r="I2051">
        <f>_xlfn.XLOOKUP(Grammys[[#This Row],[date]],mobile_visits[date],mobile_visits[mobile_visitors],0)</f>
        <v>12142</v>
      </c>
    </row>
    <row r="2052" spans="1:9">
      <c r="A2052" s="1">
        <v>44786</v>
      </c>
      <c r="B2052">
        <v>14944</v>
      </c>
      <c r="C2052">
        <v>34538</v>
      </c>
      <c r="D2052">
        <v>16161</v>
      </c>
      <c r="E2052">
        <v>8094</v>
      </c>
      <c r="F2052">
        <v>84</v>
      </c>
      <c r="G2052" t="s">
        <v>83</v>
      </c>
      <c r="H2052" t="str" cm="1">
        <f t="array" ref="H2052">_xlfn.IFS(Grammys[[#This Row],[date]] &gt;= DATE(2022,2,1),"Grammys",TRUE,"Grammys TRA")</f>
        <v>Grammys</v>
      </c>
      <c r="I2052">
        <f>_xlfn.XLOOKUP(Grammys[[#This Row],[date]],mobile_visits[date],mobile_visits[mobile_visitors],0)</f>
        <v>10824</v>
      </c>
    </row>
    <row r="2053" spans="1:9">
      <c r="A2053" s="1">
        <v>44787</v>
      </c>
      <c r="B2053">
        <v>13311</v>
      </c>
      <c r="C2053">
        <v>29417</v>
      </c>
      <c r="D2053">
        <v>14329</v>
      </c>
      <c r="E2053">
        <v>7278</v>
      </c>
      <c r="F2053">
        <v>74</v>
      </c>
      <c r="G2053" t="s">
        <v>83</v>
      </c>
      <c r="H2053" t="str" cm="1">
        <f t="array" ref="H2053">_xlfn.IFS(Grammys[[#This Row],[date]] &gt;= DATE(2022,2,1),"Grammys",TRUE,"Grammys TRA")</f>
        <v>Grammys</v>
      </c>
      <c r="I2053">
        <f>_xlfn.XLOOKUP(Grammys[[#This Row],[date]],mobile_visits[date],mobile_visits[mobile_visitors],0)</f>
        <v>10521</v>
      </c>
    </row>
    <row r="2054" spans="1:9">
      <c r="A2054" s="1">
        <v>44788</v>
      </c>
      <c r="B2054">
        <v>19371</v>
      </c>
      <c r="C2054">
        <v>43773</v>
      </c>
      <c r="D2054">
        <v>20777</v>
      </c>
      <c r="E2054">
        <v>9735</v>
      </c>
      <c r="F2054">
        <v>101</v>
      </c>
      <c r="G2054" t="s">
        <v>83</v>
      </c>
      <c r="H2054" t="str" cm="1">
        <f t="array" ref="H2054">_xlfn.IFS(Grammys[[#This Row],[date]] &gt;= DATE(2022,2,1),"Grammys",TRUE,"Grammys TRA")</f>
        <v>Grammys</v>
      </c>
      <c r="I2054">
        <f>_xlfn.XLOOKUP(Grammys[[#This Row],[date]],mobile_visits[date],mobile_visits[mobile_visitors],0)</f>
        <v>14312</v>
      </c>
    </row>
    <row r="2055" spans="1:9">
      <c r="A2055" s="1">
        <v>44789</v>
      </c>
      <c r="B2055">
        <v>15829</v>
      </c>
      <c r="C2055">
        <v>36501</v>
      </c>
      <c r="D2055">
        <v>17394</v>
      </c>
      <c r="E2055">
        <v>8584</v>
      </c>
      <c r="F2055">
        <v>94</v>
      </c>
      <c r="G2055" t="s">
        <v>83</v>
      </c>
      <c r="H2055" t="str" cm="1">
        <f t="array" ref="H2055">_xlfn.IFS(Grammys[[#This Row],[date]] &gt;= DATE(2022,2,1),"Grammys",TRUE,"Grammys TRA")</f>
        <v>Grammys</v>
      </c>
      <c r="I2055">
        <f>_xlfn.XLOOKUP(Grammys[[#This Row],[date]],mobile_visits[date],mobile_visits[mobile_visitors],0)</f>
        <v>10770</v>
      </c>
    </row>
    <row r="2056" spans="1:9">
      <c r="A2056" s="1">
        <v>44790</v>
      </c>
      <c r="B2056">
        <v>14771</v>
      </c>
      <c r="C2056">
        <v>33625</v>
      </c>
      <c r="D2056">
        <v>16333</v>
      </c>
      <c r="E2056">
        <v>8381</v>
      </c>
      <c r="F2056">
        <v>91</v>
      </c>
      <c r="G2056" t="s">
        <v>83</v>
      </c>
      <c r="H2056" t="str" cm="1">
        <f t="array" ref="H2056">_xlfn.IFS(Grammys[[#This Row],[date]] &gt;= DATE(2022,2,1),"Grammys",TRUE,"Grammys TRA")</f>
        <v>Grammys</v>
      </c>
      <c r="I2056">
        <f>_xlfn.XLOOKUP(Grammys[[#This Row],[date]],mobile_visits[date],mobile_visits[mobile_visitors],0)</f>
        <v>9347</v>
      </c>
    </row>
    <row r="2057" spans="1:9">
      <c r="A2057" s="1">
        <v>44791</v>
      </c>
      <c r="B2057">
        <v>14224</v>
      </c>
      <c r="C2057">
        <v>32375</v>
      </c>
      <c r="D2057">
        <v>15799</v>
      </c>
      <c r="E2057">
        <v>8194</v>
      </c>
      <c r="F2057">
        <v>85</v>
      </c>
      <c r="G2057" t="s">
        <v>83</v>
      </c>
      <c r="H2057" t="str" cm="1">
        <f t="array" ref="H2057">_xlfn.IFS(Grammys[[#This Row],[date]] &gt;= DATE(2022,2,1),"Grammys",TRUE,"Grammys TRA")</f>
        <v>Grammys</v>
      </c>
      <c r="I2057">
        <f>_xlfn.XLOOKUP(Grammys[[#This Row],[date]],mobile_visits[date],mobile_visits[mobile_visitors],0)</f>
        <v>9270</v>
      </c>
    </row>
    <row r="2058" spans="1:9">
      <c r="A2058" s="1">
        <v>44792</v>
      </c>
      <c r="B2058">
        <v>15151</v>
      </c>
      <c r="C2058">
        <v>33882</v>
      </c>
      <c r="D2058">
        <v>16484</v>
      </c>
      <c r="E2058">
        <v>8538</v>
      </c>
      <c r="F2058">
        <v>80</v>
      </c>
      <c r="G2058" t="s">
        <v>83</v>
      </c>
      <c r="H2058" t="str" cm="1">
        <f t="array" ref="H2058">_xlfn.IFS(Grammys[[#This Row],[date]] &gt;= DATE(2022,2,1),"Grammys",TRUE,"Grammys TRA")</f>
        <v>Grammys</v>
      </c>
      <c r="I2058">
        <f>_xlfn.XLOOKUP(Grammys[[#This Row],[date]],mobile_visits[date],mobile_visits[mobile_visitors],0)</f>
        <v>10770</v>
      </c>
    </row>
    <row r="2059" spans="1:9">
      <c r="A2059" s="1">
        <v>44793</v>
      </c>
      <c r="B2059">
        <v>13505</v>
      </c>
      <c r="C2059">
        <v>30359</v>
      </c>
      <c r="D2059">
        <v>14454</v>
      </c>
      <c r="E2059">
        <v>7514</v>
      </c>
      <c r="F2059">
        <v>73</v>
      </c>
      <c r="G2059" t="s">
        <v>83</v>
      </c>
      <c r="H2059" t="str" cm="1">
        <f t="array" ref="H2059">_xlfn.IFS(Grammys[[#This Row],[date]] &gt;= DATE(2022,2,1),"Grammys",TRUE,"Grammys TRA")</f>
        <v>Grammys</v>
      </c>
      <c r="I2059">
        <f>_xlfn.XLOOKUP(Grammys[[#This Row],[date]],mobile_visits[date],mobile_visits[mobile_visitors],0)</f>
        <v>10141</v>
      </c>
    </row>
    <row r="2060" spans="1:9">
      <c r="A2060" s="1">
        <v>44794</v>
      </c>
      <c r="B2060">
        <v>12725</v>
      </c>
      <c r="C2060">
        <v>29389</v>
      </c>
      <c r="D2060">
        <v>13832</v>
      </c>
      <c r="E2060">
        <v>7123</v>
      </c>
      <c r="F2060">
        <v>79</v>
      </c>
      <c r="G2060" t="s">
        <v>83</v>
      </c>
      <c r="H2060" t="str" cm="1">
        <f t="array" ref="H2060">_xlfn.IFS(Grammys[[#This Row],[date]] &gt;= DATE(2022,2,1),"Grammys",TRUE,"Grammys TRA")</f>
        <v>Grammys</v>
      </c>
      <c r="I2060">
        <f>_xlfn.XLOOKUP(Grammys[[#This Row],[date]],mobile_visits[date],mobile_visits[mobile_visitors],0)</f>
        <v>8996</v>
      </c>
    </row>
    <row r="2061" spans="1:9">
      <c r="A2061" s="1">
        <v>44795</v>
      </c>
      <c r="B2061">
        <v>14104</v>
      </c>
      <c r="C2061">
        <v>33078</v>
      </c>
      <c r="D2061">
        <v>15577</v>
      </c>
      <c r="E2061">
        <v>7605</v>
      </c>
      <c r="F2061">
        <v>91</v>
      </c>
      <c r="G2061" t="s">
        <v>83</v>
      </c>
      <c r="H2061" t="str" cm="1">
        <f t="array" ref="H2061">_xlfn.IFS(Grammys[[#This Row],[date]] &gt;= DATE(2022,2,1),"Grammys",TRUE,"Grammys TRA")</f>
        <v>Grammys</v>
      </c>
      <c r="I2061">
        <f>_xlfn.XLOOKUP(Grammys[[#This Row],[date]],mobile_visits[date],mobile_visits[mobile_visitors],0)</f>
        <v>8941</v>
      </c>
    </row>
    <row r="2062" spans="1:9">
      <c r="A2062" s="1">
        <v>44796</v>
      </c>
      <c r="B2062">
        <v>14076</v>
      </c>
      <c r="C2062">
        <v>30045</v>
      </c>
      <c r="D2062">
        <v>15732</v>
      </c>
      <c r="E2062">
        <v>9430</v>
      </c>
      <c r="F2062">
        <v>88</v>
      </c>
      <c r="G2062" t="s">
        <v>83</v>
      </c>
      <c r="H2062" t="str" cm="1">
        <f t="array" ref="H2062">_xlfn.IFS(Grammys[[#This Row],[date]] &gt;= DATE(2022,2,1),"Grammys",TRUE,"Grammys TRA")</f>
        <v>Grammys</v>
      </c>
      <c r="I2062">
        <f>_xlfn.XLOOKUP(Grammys[[#This Row],[date]],mobile_visits[date],mobile_visits[mobile_visitors],0)</f>
        <v>8600</v>
      </c>
    </row>
    <row r="2063" spans="1:9">
      <c r="A2063" s="1">
        <v>44797</v>
      </c>
      <c r="B2063">
        <v>23193</v>
      </c>
      <c r="C2063">
        <v>53721</v>
      </c>
      <c r="D2063">
        <v>25271</v>
      </c>
      <c r="E2063">
        <v>12896</v>
      </c>
      <c r="F2063">
        <v>121</v>
      </c>
      <c r="G2063" t="s">
        <v>83</v>
      </c>
      <c r="H2063" t="str" cm="1">
        <f t="array" ref="H2063">_xlfn.IFS(Grammys[[#This Row],[date]] &gt;= DATE(2022,2,1),"Grammys",TRUE,"Grammys TRA")</f>
        <v>Grammys</v>
      </c>
      <c r="I2063">
        <f>_xlfn.XLOOKUP(Grammys[[#This Row],[date]],mobile_visits[date],mobile_visits[mobile_visitors],0)</f>
        <v>16935</v>
      </c>
    </row>
    <row r="2064" spans="1:9">
      <c r="A2064" s="1">
        <v>44798</v>
      </c>
      <c r="B2064">
        <v>19653</v>
      </c>
      <c r="C2064">
        <v>44169</v>
      </c>
      <c r="D2064">
        <v>21482</v>
      </c>
      <c r="E2064">
        <v>11180</v>
      </c>
      <c r="F2064">
        <v>98</v>
      </c>
      <c r="G2064" t="s">
        <v>83</v>
      </c>
      <c r="H2064" t="str" cm="1">
        <f t="array" ref="H2064">_xlfn.IFS(Grammys[[#This Row],[date]] &gt;= DATE(2022,2,1),"Grammys",TRUE,"Grammys TRA")</f>
        <v>Grammys</v>
      </c>
      <c r="I2064">
        <f>_xlfn.XLOOKUP(Grammys[[#This Row],[date]],mobile_visits[date],mobile_visits[mobile_visitors],0)</f>
        <v>13291</v>
      </c>
    </row>
    <row r="2065" spans="1:9">
      <c r="A2065" s="1">
        <v>44799</v>
      </c>
      <c r="B2065">
        <v>18555</v>
      </c>
      <c r="C2065">
        <v>41191</v>
      </c>
      <c r="D2065">
        <v>20307</v>
      </c>
      <c r="E2065">
        <v>10375</v>
      </c>
      <c r="F2065">
        <v>98</v>
      </c>
      <c r="G2065" t="s">
        <v>83</v>
      </c>
      <c r="H2065" t="str" cm="1">
        <f t="array" ref="H2065">_xlfn.IFS(Grammys[[#This Row],[date]] &gt;= DATE(2022,2,1),"Grammys",TRUE,"Grammys TRA")</f>
        <v>Grammys</v>
      </c>
      <c r="I2065">
        <f>_xlfn.XLOOKUP(Grammys[[#This Row],[date]],mobile_visits[date],mobile_visits[mobile_visitors],0)</f>
        <v>12975</v>
      </c>
    </row>
    <row r="2066" spans="1:9">
      <c r="A2066" s="1">
        <v>44800</v>
      </c>
      <c r="B2066">
        <v>16368</v>
      </c>
      <c r="C2066">
        <v>37216</v>
      </c>
      <c r="D2066">
        <v>17866</v>
      </c>
      <c r="E2066">
        <v>9182</v>
      </c>
      <c r="F2066">
        <v>81</v>
      </c>
      <c r="G2066" t="s">
        <v>83</v>
      </c>
      <c r="H2066" t="str" cm="1">
        <f t="array" ref="H2066">_xlfn.IFS(Grammys[[#This Row],[date]] &gt;= DATE(2022,2,1),"Grammys",TRUE,"Grammys TRA")</f>
        <v>Grammys</v>
      </c>
      <c r="I2066">
        <f>_xlfn.XLOOKUP(Grammys[[#This Row],[date]],mobile_visits[date],mobile_visits[mobile_visitors],0)</f>
        <v>12040</v>
      </c>
    </row>
    <row r="2067" spans="1:9">
      <c r="A2067" s="1">
        <v>44801</v>
      </c>
      <c r="B2067">
        <v>18079</v>
      </c>
      <c r="C2067">
        <v>41662</v>
      </c>
      <c r="D2067">
        <v>19417</v>
      </c>
      <c r="E2067">
        <v>9655</v>
      </c>
      <c r="F2067">
        <v>77</v>
      </c>
      <c r="G2067" t="s">
        <v>83</v>
      </c>
      <c r="H2067" t="str" cm="1">
        <f t="array" ref="H2067">_xlfn.IFS(Grammys[[#This Row],[date]] &gt;= DATE(2022,2,1),"Grammys",TRUE,"Grammys TRA")</f>
        <v>Grammys</v>
      </c>
      <c r="I2067">
        <f>_xlfn.XLOOKUP(Grammys[[#This Row],[date]],mobile_visits[date],mobile_visits[mobile_visitors],0)</f>
        <v>14455</v>
      </c>
    </row>
    <row r="2068" spans="1:9">
      <c r="A2068" s="1">
        <v>44802</v>
      </c>
      <c r="B2068">
        <v>19023</v>
      </c>
      <c r="C2068">
        <v>45154</v>
      </c>
      <c r="D2068">
        <v>20832</v>
      </c>
      <c r="E2068">
        <v>10062</v>
      </c>
      <c r="F2068">
        <v>85</v>
      </c>
      <c r="G2068" t="s">
        <v>83</v>
      </c>
      <c r="H2068" t="str" cm="1">
        <f t="array" ref="H2068">_xlfn.IFS(Grammys[[#This Row],[date]] &gt;= DATE(2022,2,1),"Grammys",TRUE,"Grammys TRA")</f>
        <v>Grammys</v>
      </c>
      <c r="I2068">
        <f>_xlfn.XLOOKUP(Grammys[[#This Row],[date]],mobile_visits[date],mobile_visits[mobile_visitors],0)</f>
        <v>12556</v>
      </c>
    </row>
    <row r="2069" spans="1:9">
      <c r="A2069" s="1">
        <v>44803</v>
      </c>
      <c r="B2069">
        <v>16726</v>
      </c>
      <c r="C2069">
        <v>38697</v>
      </c>
      <c r="D2069">
        <v>18511</v>
      </c>
      <c r="E2069">
        <v>9158</v>
      </c>
      <c r="F2069">
        <v>92</v>
      </c>
      <c r="G2069" t="s">
        <v>83</v>
      </c>
      <c r="H2069" t="str" cm="1">
        <f t="array" ref="H2069">_xlfn.IFS(Grammys[[#This Row],[date]] &gt;= DATE(2022,2,1),"Grammys",TRUE,"Grammys TRA")</f>
        <v>Grammys</v>
      </c>
      <c r="I2069">
        <f>_xlfn.XLOOKUP(Grammys[[#This Row],[date]],mobile_visits[date],mobile_visits[mobile_visitors],0)</f>
        <v>10963</v>
      </c>
    </row>
    <row r="2070" spans="1:9">
      <c r="A2070" s="1">
        <v>44804</v>
      </c>
      <c r="B2070">
        <v>15906</v>
      </c>
      <c r="C2070">
        <v>35815</v>
      </c>
      <c r="D2070">
        <v>17452</v>
      </c>
      <c r="E2070">
        <v>8849</v>
      </c>
      <c r="F2070">
        <v>86</v>
      </c>
      <c r="G2070" t="s">
        <v>83</v>
      </c>
      <c r="H2070" t="str" cm="1">
        <f t="array" ref="H2070">_xlfn.IFS(Grammys[[#This Row],[date]] &gt;= DATE(2022,2,1),"Grammys",TRUE,"Grammys TRA")</f>
        <v>Grammys</v>
      </c>
      <c r="I2070">
        <f>_xlfn.XLOOKUP(Grammys[[#This Row],[date]],mobile_visits[date],mobile_visits[mobile_visitors],0)</f>
        <v>9804</v>
      </c>
    </row>
    <row r="2071" spans="1:9">
      <c r="A2071" s="1">
        <v>44805</v>
      </c>
      <c r="B2071">
        <v>14717</v>
      </c>
      <c r="C2071">
        <v>34183</v>
      </c>
      <c r="D2071">
        <v>16162</v>
      </c>
      <c r="E2071">
        <v>8348</v>
      </c>
      <c r="F2071">
        <v>84</v>
      </c>
      <c r="G2071" t="s">
        <v>83</v>
      </c>
      <c r="H2071" t="str" cm="1">
        <f t="array" ref="H2071">_xlfn.IFS(Grammys[[#This Row],[date]] &gt;= DATE(2022,2,1),"Grammys",TRUE,"Grammys TRA")</f>
        <v>Grammys</v>
      </c>
      <c r="I2071">
        <f>_xlfn.XLOOKUP(Grammys[[#This Row],[date]],mobile_visits[date],mobile_visits[mobile_visitors],0)</f>
        <v>9398</v>
      </c>
    </row>
    <row r="2072" spans="1:9">
      <c r="A2072" s="1">
        <v>44806</v>
      </c>
      <c r="B2072">
        <v>13537</v>
      </c>
      <c r="C2072">
        <v>32010</v>
      </c>
      <c r="D2072">
        <v>14926</v>
      </c>
      <c r="E2072">
        <v>7489</v>
      </c>
      <c r="F2072">
        <v>85</v>
      </c>
      <c r="G2072" t="s">
        <v>83</v>
      </c>
      <c r="H2072" t="str" cm="1">
        <f t="array" ref="H2072">_xlfn.IFS(Grammys[[#This Row],[date]] &gt;= DATE(2022,2,1),"Grammys",TRUE,"Grammys TRA")</f>
        <v>Grammys</v>
      </c>
      <c r="I2072">
        <f>_xlfn.XLOOKUP(Grammys[[#This Row],[date]],mobile_visits[date],mobile_visits[mobile_visitors],0)</f>
        <v>9469</v>
      </c>
    </row>
    <row r="2073" spans="1:9">
      <c r="A2073" s="1">
        <v>44807</v>
      </c>
      <c r="B2073">
        <v>12640</v>
      </c>
      <c r="C2073">
        <v>29167</v>
      </c>
      <c r="D2073">
        <v>13564</v>
      </c>
      <c r="E2073">
        <v>6712</v>
      </c>
      <c r="F2073">
        <v>84</v>
      </c>
      <c r="G2073" t="s">
        <v>83</v>
      </c>
      <c r="H2073" t="str" cm="1">
        <f t="array" ref="H2073">_xlfn.IFS(Grammys[[#This Row],[date]] &gt;= DATE(2022,2,1),"Grammys",TRUE,"Grammys TRA")</f>
        <v>Grammys</v>
      </c>
      <c r="I2073">
        <f>_xlfn.XLOOKUP(Grammys[[#This Row],[date]],mobile_visits[date],mobile_visits[mobile_visitors],0)</f>
        <v>9615</v>
      </c>
    </row>
    <row r="2074" spans="1:9">
      <c r="A2074" s="1">
        <v>44808</v>
      </c>
      <c r="B2074">
        <v>16173</v>
      </c>
      <c r="C2074">
        <v>38673</v>
      </c>
      <c r="D2074">
        <v>17332</v>
      </c>
      <c r="E2074">
        <v>7762</v>
      </c>
      <c r="F2074">
        <v>80</v>
      </c>
      <c r="G2074" t="s">
        <v>83</v>
      </c>
      <c r="H2074" t="str" cm="1">
        <f t="array" ref="H2074">_xlfn.IFS(Grammys[[#This Row],[date]] &gt;= DATE(2022,2,1),"Grammys",TRUE,"Grammys TRA")</f>
        <v>Grammys</v>
      </c>
      <c r="I2074">
        <f>_xlfn.XLOOKUP(Grammys[[#This Row],[date]],mobile_visits[date],mobile_visits[mobile_visitors],0)</f>
        <v>12314</v>
      </c>
    </row>
    <row r="2075" spans="1:9">
      <c r="A2075" s="1">
        <v>44809</v>
      </c>
      <c r="B2075">
        <v>14463</v>
      </c>
      <c r="C2075">
        <v>35491</v>
      </c>
      <c r="D2075">
        <v>15808</v>
      </c>
      <c r="E2075">
        <v>7609</v>
      </c>
      <c r="F2075">
        <v>88</v>
      </c>
      <c r="G2075" t="s">
        <v>83</v>
      </c>
      <c r="H2075" t="str" cm="1">
        <f t="array" ref="H2075">_xlfn.IFS(Grammys[[#This Row],[date]] &gt;= DATE(2022,2,1),"Grammys",TRUE,"Grammys TRA")</f>
        <v>Grammys</v>
      </c>
      <c r="I2075">
        <f>_xlfn.XLOOKUP(Grammys[[#This Row],[date]],mobile_visits[date],mobile_visits[mobile_visitors],0)</f>
        <v>10552</v>
      </c>
    </row>
    <row r="2076" spans="1:9">
      <c r="A2076" s="1">
        <v>44810</v>
      </c>
      <c r="B2076">
        <v>14006</v>
      </c>
      <c r="C2076">
        <v>33333</v>
      </c>
      <c r="D2076">
        <v>15649</v>
      </c>
      <c r="E2076">
        <v>7916</v>
      </c>
      <c r="F2076">
        <v>90</v>
      </c>
      <c r="G2076" t="s">
        <v>83</v>
      </c>
      <c r="H2076" t="str" cm="1">
        <f t="array" ref="H2076">_xlfn.IFS(Grammys[[#This Row],[date]] &gt;= DATE(2022,2,1),"Grammys",TRUE,"Grammys TRA")</f>
        <v>Grammys</v>
      </c>
      <c r="I2076">
        <f>_xlfn.XLOOKUP(Grammys[[#This Row],[date]],mobile_visits[date],mobile_visits[mobile_visitors],0)</f>
        <v>7878</v>
      </c>
    </row>
    <row r="2077" spans="1:9">
      <c r="A2077" s="1">
        <v>44811</v>
      </c>
      <c r="B2077">
        <v>13985</v>
      </c>
      <c r="C2077">
        <v>32380</v>
      </c>
      <c r="D2077">
        <v>15478</v>
      </c>
      <c r="E2077">
        <v>7972</v>
      </c>
      <c r="F2077">
        <v>84</v>
      </c>
      <c r="G2077" t="s">
        <v>83</v>
      </c>
      <c r="H2077" t="str" cm="1">
        <f t="array" ref="H2077">_xlfn.IFS(Grammys[[#This Row],[date]] &gt;= DATE(2022,2,1),"Grammys",TRUE,"Grammys TRA")</f>
        <v>Grammys</v>
      </c>
      <c r="I2077">
        <f>_xlfn.XLOOKUP(Grammys[[#This Row],[date]],mobile_visits[date],mobile_visits[mobile_visitors],0)</f>
        <v>8822</v>
      </c>
    </row>
    <row r="2078" spans="1:9">
      <c r="A2078" s="1">
        <v>44812</v>
      </c>
      <c r="B2078">
        <v>12302</v>
      </c>
      <c r="C2078">
        <v>28366</v>
      </c>
      <c r="D2078">
        <v>13848</v>
      </c>
      <c r="E2078">
        <v>7470</v>
      </c>
      <c r="F2078">
        <v>85</v>
      </c>
      <c r="G2078" t="s">
        <v>83</v>
      </c>
      <c r="H2078" t="str" cm="1">
        <f t="array" ref="H2078">_xlfn.IFS(Grammys[[#This Row],[date]] &gt;= DATE(2022,2,1),"Grammys",TRUE,"Grammys TRA")</f>
        <v>Grammys</v>
      </c>
      <c r="I2078">
        <f>_xlfn.XLOOKUP(Grammys[[#This Row],[date]],mobile_visits[date],mobile_visits[mobile_visitors],0)</f>
        <v>8182</v>
      </c>
    </row>
    <row r="2079" spans="1:9">
      <c r="A2079" s="1">
        <v>44813</v>
      </c>
      <c r="B2079">
        <v>13770</v>
      </c>
      <c r="C2079">
        <v>31668</v>
      </c>
      <c r="D2079">
        <v>15120</v>
      </c>
      <c r="E2079">
        <v>7837</v>
      </c>
      <c r="F2079">
        <v>86</v>
      </c>
      <c r="G2079" t="s">
        <v>83</v>
      </c>
      <c r="H2079" t="str" cm="1">
        <f t="array" ref="H2079">_xlfn.IFS(Grammys[[#This Row],[date]] &gt;= DATE(2022,2,1),"Grammys",TRUE,"Grammys TRA")</f>
        <v>Grammys</v>
      </c>
      <c r="I2079">
        <f>_xlfn.XLOOKUP(Grammys[[#This Row],[date]],mobile_visits[date],mobile_visits[mobile_visitors],0)</f>
        <v>8529</v>
      </c>
    </row>
    <row r="2080" spans="1:9">
      <c r="A2080" s="1">
        <v>44814</v>
      </c>
      <c r="B2080">
        <v>12699</v>
      </c>
      <c r="C2080">
        <v>29441</v>
      </c>
      <c r="D2080">
        <v>13744</v>
      </c>
      <c r="E2080">
        <v>6981</v>
      </c>
      <c r="F2080">
        <v>95</v>
      </c>
      <c r="G2080" t="s">
        <v>83</v>
      </c>
      <c r="H2080" t="str" cm="1">
        <f t="array" ref="H2080">_xlfn.IFS(Grammys[[#This Row],[date]] &gt;= DATE(2022,2,1),"Grammys",TRUE,"Grammys TRA")</f>
        <v>Grammys</v>
      </c>
      <c r="I2080">
        <f>_xlfn.XLOOKUP(Grammys[[#This Row],[date]],mobile_visits[date],mobile_visits[mobile_visitors],0)</f>
        <v>9648</v>
      </c>
    </row>
    <row r="2081" spans="1:9">
      <c r="A2081" s="1">
        <v>44815</v>
      </c>
      <c r="B2081">
        <v>12298</v>
      </c>
      <c r="C2081">
        <v>30299</v>
      </c>
      <c r="D2081">
        <v>13473</v>
      </c>
      <c r="E2081">
        <v>6531</v>
      </c>
      <c r="F2081">
        <v>94</v>
      </c>
      <c r="G2081" t="s">
        <v>83</v>
      </c>
      <c r="H2081" t="str" cm="1">
        <f t="array" ref="H2081">_xlfn.IFS(Grammys[[#This Row],[date]] &gt;= DATE(2022,2,1),"Grammys",TRUE,"Grammys TRA")</f>
        <v>Grammys</v>
      </c>
      <c r="I2081">
        <f>_xlfn.XLOOKUP(Grammys[[#This Row],[date]],mobile_visits[date],mobile_visits[mobile_visitors],0)</f>
        <v>8152</v>
      </c>
    </row>
    <row r="2082" spans="1:9">
      <c r="A2082" s="1">
        <v>44816</v>
      </c>
      <c r="B2082">
        <v>15940</v>
      </c>
      <c r="C2082">
        <v>36708</v>
      </c>
      <c r="D2082">
        <v>17339</v>
      </c>
      <c r="E2082">
        <v>9084</v>
      </c>
      <c r="F2082">
        <v>78</v>
      </c>
      <c r="G2082" t="s">
        <v>83</v>
      </c>
      <c r="H2082" t="str" cm="1">
        <f t="array" ref="H2082">_xlfn.IFS(Grammys[[#This Row],[date]] &gt;= DATE(2022,2,1),"Grammys",TRUE,"Grammys TRA")</f>
        <v>Grammys</v>
      </c>
      <c r="I2082">
        <f>_xlfn.XLOOKUP(Grammys[[#This Row],[date]],mobile_visits[date],mobile_visits[mobile_visitors],0)</f>
        <v>9604</v>
      </c>
    </row>
    <row r="2083" spans="1:9">
      <c r="A2083" s="1">
        <v>44817</v>
      </c>
      <c r="B2083">
        <v>17884</v>
      </c>
      <c r="C2083">
        <v>42043</v>
      </c>
      <c r="D2083">
        <v>19440</v>
      </c>
      <c r="E2083">
        <v>9860</v>
      </c>
      <c r="F2083">
        <v>75</v>
      </c>
      <c r="G2083" t="s">
        <v>83</v>
      </c>
      <c r="H2083" t="str" cm="1">
        <f t="array" ref="H2083">_xlfn.IFS(Grammys[[#This Row],[date]] &gt;= DATE(2022,2,1),"Grammys",TRUE,"Grammys TRA")</f>
        <v>Grammys</v>
      </c>
      <c r="I2083">
        <f>_xlfn.XLOOKUP(Grammys[[#This Row],[date]],mobile_visits[date],mobile_visits[mobile_visitors],0)</f>
        <v>10922</v>
      </c>
    </row>
    <row r="2084" spans="1:9">
      <c r="A2084" s="1">
        <v>44818</v>
      </c>
      <c r="B2084">
        <v>14750</v>
      </c>
      <c r="C2084">
        <v>33644</v>
      </c>
      <c r="D2084">
        <v>16105</v>
      </c>
      <c r="E2084">
        <v>8398</v>
      </c>
      <c r="F2084">
        <v>86</v>
      </c>
      <c r="G2084" t="s">
        <v>83</v>
      </c>
      <c r="H2084" t="str" cm="1">
        <f t="array" ref="H2084">_xlfn.IFS(Grammys[[#This Row],[date]] &gt;= DATE(2022,2,1),"Grammys",TRUE,"Grammys TRA")</f>
        <v>Grammys</v>
      </c>
      <c r="I2084">
        <f>_xlfn.XLOOKUP(Grammys[[#This Row],[date]],mobile_visits[date],mobile_visits[mobile_visitors],0)</f>
        <v>8701</v>
      </c>
    </row>
    <row r="2085" spans="1:9">
      <c r="A2085" s="1">
        <v>44819</v>
      </c>
      <c r="B2085">
        <v>15206</v>
      </c>
      <c r="C2085">
        <v>34872</v>
      </c>
      <c r="D2085">
        <v>17144</v>
      </c>
      <c r="E2085">
        <v>9075</v>
      </c>
      <c r="F2085">
        <v>86</v>
      </c>
      <c r="G2085" t="s">
        <v>83</v>
      </c>
      <c r="H2085" t="str" cm="1">
        <f t="array" ref="H2085">_xlfn.IFS(Grammys[[#This Row],[date]] &gt;= DATE(2022,2,1),"Grammys",TRUE,"Grammys TRA")</f>
        <v>Grammys</v>
      </c>
      <c r="I2085">
        <f>_xlfn.XLOOKUP(Grammys[[#This Row],[date]],mobile_visits[date],mobile_visits[mobile_visitors],0)</f>
        <v>9365</v>
      </c>
    </row>
    <row r="2086" spans="1:9">
      <c r="A2086" s="1">
        <v>44820</v>
      </c>
      <c r="B2086">
        <v>14188</v>
      </c>
      <c r="C2086">
        <v>32761</v>
      </c>
      <c r="D2086">
        <v>15767</v>
      </c>
      <c r="E2086">
        <v>8259</v>
      </c>
      <c r="F2086">
        <v>79</v>
      </c>
      <c r="G2086" t="s">
        <v>83</v>
      </c>
      <c r="H2086" t="str" cm="1">
        <f t="array" ref="H2086">_xlfn.IFS(Grammys[[#This Row],[date]] &gt;= DATE(2022,2,1),"Grammys",TRUE,"Grammys TRA")</f>
        <v>Grammys</v>
      </c>
      <c r="I2086">
        <f>_xlfn.XLOOKUP(Grammys[[#This Row],[date]],mobile_visits[date],mobile_visits[mobile_visitors],0)</f>
        <v>9416</v>
      </c>
    </row>
    <row r="2087" spans="1:9">
      <c r="A2087" s="1">
        <v>44821</v>
      </c>
      <c r="B2087">
        <v>13156</v>
      </c>
      <c r="C2087">
        <v>30360</v>
      </c>
      <c r="D2087">
        <v>14330</v>
      </c>
      <c r="E2087">
        <v>7005</v>
      </c>
      <c r="F2087">
        <v>82</v>
      </c>
      <c r="G2087" t="s">
        <v>83</v>
      </c>
      <c r="H2087" t="str" cm="1">
        <f t="array" ref="H2087">_xlfn.IFS(Grammys[[#This Row],[date]] &gt;= DATE(2022,2,1),"Grammys",TRUE,"Grammys TRA")</f>
        <v>Grammys</v>
      </c>
      <c r="I2087">
        <f>_xlfn.XLOOKUP(Grammys[[#This Row],[date]],mobile_visits[date],mobile_visits[mobile_visitors],0)</f>
        <v>9792</v>
      </c>
    </row>
    <row r="2088" spans="1:9">
      <c r="A2088" s="1">
        <v>44822</v>
      </c>
      <c r="B2088">
        <v>12928</v>
      </c>
      <c r="C2088">
        <v>30167</v>
      </c>
      <c r="D2088">
        <v>13997</v>
      </c>
      <c r="E2088">
        <v>6832</v>
      </c>
      <c r="F2088">
        <v>75</v>
      </c>
      <c r="G2088" t="s">
        <v>83</v>
      </c>
      <c r="H2088" t="str" cm="1">
        <f t="array" ref="H2088">_xlfn.IFS(Grammys[[#This Row],[date]] &gt;= DATE(2022,2,1),"Grammys",TRUE,"Grammys TRA")</f>
        <v>Grammys</v>
      </c>
      <c r="I2088">
        <f>_xlfn.XLOOKUP(Grammys[[#This Row],[date]],mobile_visits[date],mobile_visits[mobile_visitors],0)</f>
        <v>9434</v>
      </c>
    </row>
    <row r="2089" spans="1:9">
      <c r="A2089" s="1">
        <v>44823</v>
      </c>
      <c r="B2089">
        <v>15726</v>
      </c>
      <c r="C2089">
        <v>35402</v>
      </c>
      <c r="D2089">
        <v>17245</v>
      </c>
      <c r="E2089">
        <v>8664</v>
      </c>
      <c r="F2089">
        <v>83</v>
      </c>
      <c r="G2089" t="s">
        <v>83</v>
      </c>
      <c r="H2089" t="str" cm="1">
        <f t="array" ref="H2089">_xlfn.IFS(Grammys[[#This Row],[date]] &gt;= DATE(2022,2,1),"Grammys",TRUE,"Grammys TRA")</f>
        <v>Grammys</v>
      </c>
      <c r="I2089">
        <f>_xlfn.XLOOKUP(Grammys[[#This Row],[date]],mobile_visits[date],mobile_visits[mobile_visitors],0)</f>
        <v>10224</v>
      </c>
    </row>
    <row r="2090" spans="1:9">
      <c r="A2090" s="1">
        <v>44824</v>
      </c>
      <c r="B2090">
        <v>28219</v>
      </c>
      <c r="C2090">
        <v>74195</v>
      </c>
      <c r="D2090">
        <v>31193</v>
      </c>
      <c r="E2090">
        <v>12952</v>
      </c>
      <c r="F2090">
        <v>87</v>
      </c>
      <c r="G2090" t="s">
        <v>83</v>
      </c>
      <c r="H2090" t="str" cm="1">
        <f t="array" ref="H2090">_xlfn.IFS(Grammys[[#This Row],[date]] &gt;= DATE(2022,2,1),"Grammys",TRUE,"Grammys TRA")</f>
        <v>Grammys</v>
      </c>
      <c r="I2090">
        <f>_xlfn.XLOOKUP(Grammys[[#This Row],[date]],mobile_visits[date],mobile_visits[mobile_visitors],0)</f>
        <v>20136</v>
      </c>
    </row>
    <row r="2091" spans="1:9">
      <c r="A2091" s="1">
        <v>44825</v>
      </c>
      <c r="B2091">
        <v>22555</v>
      </c>
      <c r="C2091">
        <v>59741</v>
      </c>
      <c r="D2091">
        <v>25163</v>
      </c>
      <c r="E2091">
        <v>11445</v>
      </c>
      <c r="F2091">
        <v>87</v>
      </c>
      <c r="G2091" t="s">
        <v>83</v>
      </c>
      <c r="H2091" t="str" cm="1">
        <f t="array" ref="H2091">_xlfn.IFS(Grammys[[#This Row],[date]] &gt;= DATE(2022,2,1),"Grammys",TRUE,"Grammys TRA")</f>
        <v>Grammys</v>
      </c>
      <c r="I2091">
        <f>_xlfn.XLOOKUP(Grammys[[#This Row],[date]],mobile_visits[date],mobile_visits[mobile_visitors],0)</f>
        <v>15984</v>
      </c>
    </row>
    <row r="2092" spans="1:9">
      <c r="A2092" s="1">
        <v>44826</v>
      </c>
      <c r="B2092">
        <v>17196</v>
      </c>
      <c r="C2092">
        <v>42621</v>
      </c>
      <c r="D2092">
        <v>19107</v>
      </c>
      <c r="E2092">
        <v>9181</v>
      </c>
      <c r="F2092">
        <v>87</v>
      </c>
      <c r="G2092" t="s">
        <v>83</v>
      </c>
      <c r="H2092" t="str" cm="1">
        <f t="array" ref="H2092">_xlfn.IFS(Grammys[[#This Row],[date]] &gt;= DATE(2022,2,1),"Grammys",TRUE,"Grammys TRA")</f>
        <v>Grammys</v>
      </c>
      <c r="I2092">
        <f>_xlfn.XLOOKUP(Grammys[[#This Row],[date]],mobile_visits[date],mobile_visits[mobile_visitors],0)</f>
        <v>11225</v>
      </c>
    </row>
    <row r="2093" spans="1:9">
      <c r="A2093" s="1">
        <v>44827</v>
      </c>
      <c r="B2093">
        <v>15413</v>
      </c>
      <c r="C2093">
        <v>37637</v>
      </c>
      <c r="D2093">
        <v>17088</v>
      </c>
      <c r="E2093">
        <v>8473</v>
      </c>
      <c r="F2093">
        <v>99</v>
      </c>
      <c r="G2093" t="s">
        <v>83</v>
      </c>
      <c r="H2093" t="str" cm="1">
        <f t="array" ref="H2093">_xlfn.IFS(Grammys[[#This Row],[date]] &gt;= DATE(2022,2,1),"Grammys",TRUE,"Grammys TRA")</f>
        <v>Grammys</v>
      </c>
      <c r="I2093">
        <f>_xlfn.XLOOKUP(Grammys[[#This Row],[date]],mobile_visits[date],mobile_visits[mobile_visitors],0)</f>
        <v>10328</v>
      </c>
    </row>
    <row r="2094" spans="1:9">
      <c r="A2094" s="1">
        <v>44828</v>
      </c>
      <c r="B2094">
        <v>20170</v>
      </c>
      <c r="C2094">
        <v>46625</v>
      </c>
      <c r="D2094">
        <v>21667</v>
      </c>
      <c r="E2094">
        <v>9829</v>
      </c>
      <c r="F2094">
        <v>90</v>
      </c>
      <c r="G2094" t="s">
        <v>83</v>
      </c>
      <c r="H2094" t="str" cm="1">
        <f t="array" ref="H2094">_xlfn.IFS(Grammys[[#This Row],[date]] &gt;= DATE(2022,2,1),"Grammys",TRUE,"Grammys TRA")</f>
        <v>Grammys</v>
      </c>
      <c r="I2094">
        <f>_xlfn.XLOOKUP(Grammys[[#This Row],[date]],mobile_visits[date],mobile_visits[mobile_visitors],0)</f>
        <v>14799</v>
      </c>
    </row>
    <row r="2095" spans="1:9">
      <c r="A2095" s="1">
        <v>44829</v>
      </c>
      <c r="B2095">
        <v>23476</v>
      </c>
      <c r="C2095">
        <v>53094</v>
      </c>
      <c r="D2095">
        <v>25057</v>
      </c>
      <c r="E2095">
        <v>11604</v>
      </c>
      <c r="F2095">
        <v>91</v>
      </c>
      <c r="G2095" t="s">
        <v>83</v>
      </c>
      <c r="H2095" t="str" cm="1">
        <f t="array" ref="H2095">_xlfn.IFS(Grammys[[#This Row],[date]] &gt;= DATE(2022,2,1),"Grammys",TRUE,"Grammys TRA")</f>
        <v>Grammys</v>
      </c>
      <c r="I2095">
        <f>_xlfn.XLOOKUP(Grammys[[#This Row],[date]],mobile_visits[date],mobile_visits[mobile_visitors],0)</f>
        <v>17766</v>
      </c>
    </row>
    <row r="2096" spans="1:9">
      <c r="A2096" s="1">
        <v>44830</v>
      </c>
      <c r="B2096">
        <v>23366</v>
      </c>
      <c r="C2096">
        <v>51900</v>
      </c>
      <c r="D2096">
        <v>25167</v>
      </c>
      <c r="E2096">
        <v>12894</v>
      </c>
      <c r="F2096">
        <v>91</v>
      </c>
      <c r="G2096" t="s">
        <v>83</v>
      </c>
      <c r="H2096" t="str" cm="1">
        <f t="array" ref="H2096">_xlfn.IFS(Grammys[[#This Row],[date]] &gt;= DATE(2022,2,1),"Grammys",TRUE,"Grammys TRA")</f>
        <v>Grammys</v>
      </c>
      <c r="I2096">
        <f>_xlfn.XLOOKUP(Grammys[[#This Row],[date]],mobile_visits[date],mobile_visits[mobile_visitors],0)</f>
        <v>16404</v>
      </c>
    </row>
    <row r="2097" spans="1:9">
      <c r="A2097" s="1">
        <v>44831</v>
      </c>
      <c r="B2097">
        <v>19241</v>
      </c>
      <c r="C2097">
        <v>44098</v>
      </c>
      <c r="D2097">
        <v>21410</v>
      </c>
      <c r="E2097">
        <v>11018</v>
      </c>
      <c r="F2097">
        <v>91</v>
      </c>
      <c r="G2097" t="s">
        <v>83</v>
      </c>
      <c r="H2097" t="str" cm="1">
        <f t="array" ref="H2097">_xlfn.IFS(Grammys[[#This Row],[date]] &gt;= DATE(2022,2,1),"Grammys",TRUE,"Grammys TRA")</f>
        <v>Grammys</v>
      </c>
      <c r="I2097">
        <f>_xlfn.XLOOKUP(Grammys[[#This Row],[date]],mobile_visits[date],mobile_visits[mobile_visitors],0)</f>
        <v>13765</v>
      </c>
    </row>
    <row r="2098" spans="1:9">
      <c r="A2098" s="1">
        <v>44832</v>
      </c>
      <c r="B2098">
        <v>17284</v>
      </c>
      <c r="C2098">
        <v>39640</v>
      </c>
      <c r="D2098">
        <v>19179</v>
      </c>
      <c r="E2098">
        <v>10014</v>
      </c>
      <c r="F2098">
        <v>88</v>
      </c>
      <c r="G2098" t="s">
        <v>83</v>
      </c>
      <c r="H2098" t="str" cm="1">
        <f t="array" ref="H2098">_xlfn.IFS(Grammys[[#This Row],[date]] &gt;= DATE(2022,2,1),"Grammys",TRUE,"Grammys TRA")</f>
        <v>Grammys</v>
      </c>
      <c r="I2098">
        <f>_xlfn.XLOOKUP(Grammys[[#This Row],[date]],mobile_visits[date],mobile_visits[mobile_visitors],0)</f>
        <v>11078</v>
      </c>
    </row>
    <row r="2099" spans="1:9">
      <c r="A2099" s="1">
        <v>44833</v>
      </c>
      <c r="B2099">
        <v>16730</v>
      </c>
      <c r="C2099">
        <v>39594</v>
      </c>
      <c r="D2099">
        <v>18873</v>
      </c>
      <c r="E2099">
        <v>9769</v>
      </c>
      <c r="F2099">
        <v>86</v>
      </c>
      <c r="G2099" t="s">
        <v>83</v>
      </c>
      <c r="H2099" t="str" cm="1">
        <f t="array" ref="H2099">_xlfn.IFS(Grammys[[#This Row],[date]] &gt;= DATE(2022,2,1),"Grammys",TRUE,"Grammys TRA")</f>
        <v>Grammys</v>
      </c>
      <c r="I2099">
        <f>_xlfn.XLOOKUP(Grammys[[#This Row],[date]],mobile_visits[date],mobile_visits[mobile_visitors],0)</f>
        <v>10707</v>
      </c>
    </row>
    <row r="2100" spans="1:9">
      <c r="A2100" s="1">
        <v>44834</v>
      </c>
      <c r="B2100">
        <v>15226</v>
      </c>
      <c r="C2100">
        <v>35978</v>
      </c>
      <c r="D2100">
        <v>17018</v>
      </c>
      <c r="E2100">
        <v>8766</v>
      </c>
      <c r="F2100">
        <v>87</v>
      </c>
      <c r="G2100" t="s">
        <v>83</v>
      </c>
      <c r="H2100" t="str" cm="1">
        <f t="array" ref="H2100">_xlfn.IFS(Grammys[[#This Row],[date]] &gt;= DATE(2022,2,1),"Grammys",TRUE,"Grammys TRA")</f>
        <v>Grammys</v>
      </c>
      <c r="I2100">
        <f>_xlfn.XLOOKUP(Grammys[[#This Row],[date]],mobile_visits[date],mobile_visits[mobile_visitors],0)</f>
        <v>9724</v>
      </c>
    </row>
    <row r="2101" spans="1:9">
      <c r="A2101" s="1">
        <v>44835</v>
      </c>
      <c r="B2101">
        <v>13580</v>
      </c>
      <c r="C2101">
        <v>31322</v>
      </c>
      <c r="D2101">
        <v>14808</v>
      </c>
      <c r="E2101">
        <v>7458</v>
      </c>
      <c r="F2101">
        <v>74</v>
      </c>
      <c r="G2101" t="s">
        <v>83</v>
      </c>
      <c r="H2101" t="str" cm="1">
        <f t="array" ref="H2101">_xlfn.IFS(Grammys[[#This Row],[date]] &gt;= DATE(2022,2,1),"Grammys",TRUE,"Grammys TRA")</f>
        <v>Grammys</v>
      </c>
      <c r="I2101">
        <f>_xlfn.XLOOKUP(Grammys[[#This Row],[date]],mobile_visits[date],mobile_visits[mobile_visitors],0)</f>
        <v>10555</v>
      </c>
    </row>
    <row r="2102" spans="1:9">
      <c r="A2102" s="1">
        <v>44836</v>
      </c>
      <c r="B2102">
        <v>15936</v>
      </c>
      <c r="C2102">
        <v>37142</v>
      </c>
      <c r="D2102">
        <v>17322</v>
      </c>
      <c r="E2102">
        <v>8779</v>
      </c>
      <c r="F2102">
        <v>75</v>
      </c>
      <c r="G2102" t="s">
        <v>83</v>
      </c>
      <c r="H2102" t="str" cm="1">
        <f t="array" ref="H2102">_xlfn.IFS(Grammys[[#This Row],[date]] &gt;= DATE(2022,2,1),"Grammys",TRUE,"Grammys TRA")</f>
        <v>Grammys</v>
      </c>
      <c r="I2102">
        <f>_xlfn.XLOOKUP(Grammys[[#This Row],[date]],mobile_visits[date],mobile_visits[mobile_visitors],0)</f>
        <v>12155</v>
      </c>
    </row>
    <row r="2103" spans="1:9">
      <c r="A2103" s="1">
        <v>44837</v>
      </c>
      <c r="B2103">
        <v>15386</v>
      </c>
      <c r="C2103">
        <v>38577</v>
      </c>
      <c r="D2103">
        <v>17163</v>
      </c>
      <c r="E2103">
        <v>8520</v>
      </c>
      <c r="F2103">
        <v>88</v>
      </c>
      <c r="G2103" t="s">
        <v>83</v>
      </c>
      <c r="H2103" t="str" cm="1">
        <f t="array" ref="H2103">_xlfn.IFS(Grammys[[#This Row],[date]] &gt;= DATE(2022,2,1),"Grammys",TRUE,"Grammys TRA")</f>
        <v>Grammys</v>
      </c>
      <c r="I2103">
        <f>_xlfn.XLOOKUP(Grammys[[#This Row],[date]],mobile_visits[date],mobile_visits[mobile_visitors],0)</f>
        <v>9310</v>
      </c>
    </row>
    <row r="2104" spans="1:9">
      <c r="A2104" s="1">
        <v>44838</v>
      </c>
      <c r="B2104">
        <v>16843</v>
      </c>
      <c r="C2104">
        <v>39832</v>
      </c>
      <c r="D2104">
        <v>18769</v>
      </c>
      <c r="E2104">
        <v>9781</v>
      </c>
      <c r="F2104">
        <v>95</v>
      </c>
      <c r="G2104" t="s">
        <v>83</v>
      </c>
      <c r="H2104" t="str" cm="1">
        <f t="array" ref="H2104">_xlfn.IFS(Grammys[[#This Row],[date]] &gt;= DATE(2022,2,1),"Grammys",TRUE,"Grammys TRA")</f>
        <v>Grammys</v>
      </c>
      <c r="I2104">
        <f>_xlfn.XLOOKUP(Grammys[[#This Row],[date]],mobile_visits[date],mobile_visits[mobile_visitors],0)</f>
        <v>10402</v>
      </c>
    </row>
    <row r="2105" spans="1:9">
      <c r="A2105" s="1">
        <v>44839</v>
      </c>
      <c r="B2105">
        <v>16405</v>
      </c>
      <c r="C2105">
        <v>38588</v>
      </c>
      <c r="D2105">
        <v>18026</v>
      </c>
      <c r="E2105">
        <v>9098</v>
      </c>
      <c r="F2105">
        <v>94</v>
      </c>
      <c r="G2105" t="s">
        <v>83</v>
      </c>
      <c r="H2105" t="str" cm="1">
        <f t="array" ref="H2105">_xlfn.IFS(Grammys[[#This Row],[date]] &gt;= DATE(2022,2,1),"Grammys",TRUE,"Grammys TRA")</f>
        <v>Grammys</v>
      </c>
      <c r="I2105">
        <f>_xlfn.XLOOKUP(Grammys[[#This Row],[date]],mobile_visits[date],mobile_visits[mobile_visitors],0)</f>
        <v>10434</v>
      </c>
    </row>
    <row r="2106" spans="1:9">
      <c r="A2106" s="1">
        <v>44840</v>
      </c>
      <c r="B2106">
        <v>24494</v>
      </c>
      <c r="C2106">
        <v>55519</v>
      </c>
      <c r="D2106">
        <v>27301</v>
      </c>
      <c r="E2106">
        <v>14246</v>
      </c>
      <c r="F2106">
        <v>118</v>
      </c>
      <c r="G2106" t="s">
        <v>83</v>
      </c>
      <c r="H2106" t="str" cm="1">
        <f t="array" ref="H2106">_xlfn.IFS(Grammys[[#This Row],[date]] &gt;= DATE(2022,2,1),"Grammys",TRUE,"Grammys TRA")</f>
        <v>Grammys</v>
      </c>
      <c r="I2106">
        <f>_xlfn.XLOOKUP(Grammys[[#This Row],[date]],mobile_visits[date],mobile_visits[mobile_visitors],0)</f>
        <v>17845</v>
      </c>
    </row>
    <row r="2107" spans="1:9">
      <c r="A2107" s="1">
        <v>44841</v>
      </c>
      <c r="B2107">
        <v>20492</v>
      </c>
      <c r="C2107">
        <v>47255</v>
      </c>
      <c r="D2107">
        <v>22916</v>
      </c>
      <c r="E2107">
        <v>11903</v>
      </c>
      <c r="F2107">
        <v>107</v>
      </c>
      <c r="G2107" t="s">
        <v>83</v>
      </c>
      <c r="H2107" t="str" cm="1">
        <f t="array" ref="H2107">_xlfn.IFS(Grammys[[#This Row],[date]] &gt;= DATE(2022,2,1),"Grammys",TRUE,"Grammys TRA")</f>
        <v>Grammys</v>
      </c>
      <c r="I2107">
        <f>_xlfn.XLOOKUP(Grammys[[#This Row],[date]],mobile_visits[date],mobile_visits[mobile_visitors],0)</f>
        <v>14651</v>
      </c>
    </row>
    <row r="2108" spans="1:9">
      <c r="A2108" s="1">
        <v>44842</v>
      </c>
      <c r="B2108">
        <v>17795</v>
      </c>
      <c r="C2108">
        <v>40562</v>
      </c>
      <c r="D2108">
        <v>19528</v>
      </c>
      <c r="E2108">
        <v>9868</v>
      </c>
      <c r="F2108">
        <v>100</v>
      </c>
      <c r="G2108" t="s">
        <v>83</v>
      </c>
      <c r="H2108" t="str" cm="1">
        <f t="array" ref="H2108">_xlfn.IFS(Grammys[[#This Row],[date]] &gt;= DATE(2022,2,1),"Grammys",TRUE,"Grammys TRA")</f>
        <v>Grammys</v>
      </c>
      <c r="I2108">
        <f>_xlfn.XLOOKUP(Grammys[[#This Row],[date]],mobile_visits[date],mobile_visits[mobile_visitors],0)</f>
        <v>14275</v>
      </c>
    </row>
    <row r="2109" spans="1:9">
      <c r="A2109" s="1">
        <v>44843</v>
      </c>
      <c r="B2109">
        <v>18533</v>
      </c>
      <c r="C2109">
        <v>41338</v>
      </c>
      <c r="D2109">
        <v>20331</v>
      </c>
      <c r="E2109">
        <v>10493</v>
      </c>
      <c r="F2109">
        <v>102</v>
      </c>
      <c r="G2109" t="s">
        <v>83</v>
      </c>
      <c r="H2109" t="str" cm="1">
        <f t="array" ref="H2109">_xlfn.IFS(Grammys[[#This Row],[date]] &gt;= DATE(2022,2,1),"Grammys",TRUE,"Grammys TRA")</f>
        <v>Grammys</v>
      </c>
      <c r="I2109">
        <f>_xlfn.XLOOKUP(Grammys[[#This Row],[date]],mobile_visits[date],mobile_visits[mobile_visitors],0)</f>
        <v>14935</v>
      </c>
    </row>
    <row r="2110" spans="1:9">
      <c r="A2110" s="1">
        <v>44844</v>
      </c>
      <c r="B2110">
        <v>19853</v>
      </c>
      <c r="C2110">
        <v>47122</v>
      </c>
      <c r="D2110">
        <v>22109</v>
      </c>
      <c r="E2110">
        <v>10887</v>
      </c>
      <c r="F2110">
        <v>110</v>
      </c>
      <c r="G2110" t="s">
        <v>83</v>
      </c>
      <c r="H2110" t="str" cm="1">
        <f t="array" ref="H2110">_xlfn.IFS(Grammys[[#This Row],[date]] &gt;= DATE(2022,2,1),"Grammys",TRUE,"Grammys TRA")</f>
        <v>Grammys</v>
      </c>
      <c r="I2110">
        <f>_xlfn.XLOOKUP(Grammys[[#This Row],[date]],mobile_visits[date],mobile_visits[mobile_visitors],0)</f>
        <v>14169</v>
      </c>
    </row>
    <row r="2111" spans="1:9">
      <c r="A2111" s="1">
        <v>44845</v>
      </c>
      <c r="B2111">
        <v>35630</v>
      </c>
      <c r="C2111">
        <v>83584</v>
      </c>
      <c r="D2111">
        <v>39432</v>
      </c>
      <c r="E2111">
        <v>19267</v>
      </c>
      <c r="F2111">
        <v>133</v>
      </c>
      <c r="G2111" t="s">
        <v>83</v>
      </c>
      <c r="H2111" t="str" cm="1">
        <f t="array" ref="H2111">_xlfn.IFS(Grammys[[#This Row],[date]] &gt;= DATE(2022,2,1),"Grammys",TRUE,"Grammys TRA")</f>
        <v>Grammys</v>
      </c>
      <c r="I2111">
        <f>_xlfn.XLOOKUP(Grammys[[#This Row],[date]],mobile_visits[date],mobile_visits[mobile_visitors],0)</f>
        <v>27234</v>
      </c>
    </row>
    <row r="2112" spans="1:9">
      <c r="A2112" s="1">
        <v>44846</v>
      </c>
      <c r="B2112">
        <v>24908</v>
      </c>
      <c r="C2112">
        <v>59672</v>
      </c>
      <c r="D2112">
        <v>28137</v>
      </c>
      <c r="E2112">
        <v>13931</v>
      </c>
      <c r="F2112">
        <v>124</v>
      </c>
      <c r="G2112" t="s">
        <v>83</v>
      </c>
      <c r="H2112" t="str" cm="1">
        <f t="array" ref="H2112">_xlfn.IFS(Grammys[[#This Row],[date]] &gt;= DATE(2022,2,1),"Grammys",TRUE,"Grammys TRA")</f>
        <v>Grammys</v>
      </c>
      <c r="I2112">
        <f>_xlfn.XLOOKUP(Grammys[[#This Row],[date]],mobile_visits[date],mobile_visits[mobile_visitors],0)</f>
        <v>18076</v>
      </c>
    </row>
    <row r="2113" spans="1:9">
      <c r="A2113" s="1">
        <v>44847</v>
      </c>
      <c r="B2113">
        <v>51723</v>
      </c>
      <c r="C2113">
        <v>141745</v>
      </c>
      <c r="D2113">
        <v>57104</v>
      </c>
      <c r="E2113">
        <v>21991</v>
      </c>
      <c r="F2113">
        <v>114</v>
      </c>
      <c r="G2113" t="s">
        <v>83</v>
      </c>
      <c r="H2113" t="str" cm="1">
        <f t="array" ref="H2113">_xlfn.IFS(Grammys[[#This Row],[date]] &gt;= DATE(2022,2,1),"Grammys",TRUE,"Grammys TRA")</f>
        <v>Grammys</v>
      </c>
      <c r="I2113">
        <f>_xlfn.XLOOKUP(Grammys[[#This Row],[date]],mobile_visits[date],mobile_visits[mobile_visitors],0)</f>
        <v>42179</v>
      </c>
    </row>
    <row r="2114" spans="1:9">
      <c r="A2114" s="1">
        <v>44848</v>
      </c>
      <c r="B2114">
        <v>48989</v>
      </c>
      <c r="C2114">
        <v>143591</v>
      </c>
      <c r="D2114">
        <v>53532</v>
      </c>
      <c r="E2114">
        <v>19320</v>
      </c>
      <c r="F2114">
        <v>94</v>
      </c>
      <c r="G2114" t="s">
        <v>83</v>
      </c>
      <c r="H2114" t="str" cm="1">
        <f t="array" ref="H2114">_xlfn.IFS(Grammys[[#This Row],[date]] &gt;= DATE(2022,2,1),"Grammys",TRUE,"Grammys TRA")</f>
        <v>Grammys</v>
      </c>
      <c r="I2114">
        <f>_xlfn.XLOOKUP(Grammys[[#This Row],[date]],mobile_visits[date],mobile_visits[mobile_visitors],0)</f>
        <v>40045</v>
      </c>
    </row>
    <row r="2115" spans="1:9">
      <c r="A2115" s="1">
        <v>44849</v>
      </c>
      <c r="B2115">
        <v>23796</v>
      </c>
      <c r="C2115">
        <v>66405</v>
      </c>
      <c r="D2115">
        <v>25691</v>
      </c>
      <c r="E2115">
        <v>9876</v>
      </c>
      <c r="F2115">
        <v>66</v>
      </c>
      <c r="G2115" t="s">
        <v>83</v>
      </c>
      <c r="H2115" t="str" cm="1">
        <f t="array" ref="H2115">_xlfn.IFS(Grammys[[#This Row],[date]] &gt;= DATE(2022,2,1),"Grammys",TRUE,"Grammys TRA")</f>
        <v>Grammys</v>
      </c>
      <c r="I2115">
        <f>_xlfn.XLOOKUP(Grammys[[#This Row],[date]],mobile_visits[date],mobile_visits[mobile_visitors],0)</f>
        <v>19155</v>
      </c>
    </row>
    <row r="2116" spans="1:9">
      <c r="A2116" s="1">
        <v>44850</v>
      </c>
      <c r="B2116">
        <v>19642</v>
      </c>
      <c r="C2116">
        <v>52203</v>
      </c>
      <c r="D2116">
        <v>21007</v>
      </c>
      <c r="E2116">
        <v>8401</v>
      </c>
      <c r="F2116">
        <v>69</v>
      </c>
      <c r="G2116" t="s">
        <v>83</v>
      </c>
      <c r="H2116" t="str" cm="1">
        <f t="array" ref="H2116">_xlfn.IFS(Grammys[[#This Row],[date]] &gt;= DATE(2022,2,1),"Grammys",TRUE,"Grammys TRA")</f>
        <v>Grammys</v>
      </c>
      <c r="I2116">
        <f>_xlfn.XLOOKUP(Grammys[[#This Row],[date]],mobile_visits[date],mobile_visits[mobile_visitors],0)</f>
        <v>14896</v>
      </c>
    </row>
    <row r="2117" spans="1:9">
      <c r="A2117" s="1">
        <v>44851</v>
      </c>
      <c r="B2117">
        <v>21736</v>
      </c>
      <c r="C2117">
        <v>58032</v>
      </c>
      <c r="D2117">
        <v>23358</v>
      </c>
      <c r="E2117">
        <v>9341</v>
      </c>
      <c r="F2117">
        <v>71</v>
      </c>
      <c r="G2117" t="s">
        <v>83</v>
      </c>
      <c r="H2117" t="str" cm="1">
        <f t="array" ref="H2117">_xlfn.IFS(Grammys[[#This Row],[date]] &gt;= DATE(2022,2,1),"Grammys",TRUE,"Grammys TRA")</f>
        <v>Grammys</v>
      </c>
      <c r="I2117">
        <f>_xlfn.XLOOKUP(Grammys[[#This Row],[date]],mobile_visits[date],mobile_visits[mobile_visitors],0)</f>
        <v>15400</v>
      </c>
    </row>
    <row r="2118" spans="1:9">
      <c r="A2118" s="1">
        <v>44852</v>
      </c>
      <c r="B2118">
        <v>20802</v>
      </c>
      <c r="C2118">
        <v>54669</v>
      </c>
      <c r="D2118">
        <v>22518</v>
      </c>
      <c r="E2118">
        <v>9235</v>
      </c>
      <c r="F2118">
        <v>70</v>
      </c>
      <c r="G2118" t="s">
        <v>83</v>
      </c>
      <c r="H2118" t="str" cm="1">
        <f t="array" ref="H2118">_xlfn.IFS(Grammys[[#This Row],[date]] &gt;= DATE(2022,2,1),"Grammys",TRUE,"Grammys TRA")</f>
        <v>Grammys</v>
      </c>
      <c r="I2118">
        <f>_xlfn.XLOOKUP(Grammys[[#This Row],[date]],mobile_visits[date],mobile_visits[mobile_visitors],0)</f>
        <v>14205</v>
      </c>
    </row>
    <row r="2119" spans="1:9">
      <c r="A2119" s="1">
        <v>44853</v>
      </c>
      <c r="B2119">
        <v>20397</v>
      </c>
      <c r="C2119">
        <v>52953</v>
      </c>
      <c r="D2119">
        <v>21993</v>
      </c>
      <c r="E2119">
        <v>9216</v>
      </c>
      <c r="F2119">
        <v>69</v>
      </c>
      <c r="G2119" t="s">
        <v>83</v>
      </c>
      <c r="H2119" t="str" cm="1">
        <f t="array" ref="H2119">_xlfn.IFS(Grammys[[#This Row],[date]] &gt;= DATE(2022,2,1),"Grammys",TRUE,"Grammys TRA")</f>
        <v>Grammys</v>
      </c>
      <c r="I2119">
        <f>_xlfn.XLOOKUP(Grammys[[#This Row],[date]],mobile_visits[date],mobile_visits[mobile_visitors],0)</f>
        <v>13357</v>
      </c>
    </row>
    <row r="2120" spans="1:9">
      <c r="A2120" s="1">
        <v>44854</v>
      </c>
      <c r="B2120">
        <v>19405</v>
      </c>
      <c r="C2120">
        <v>48990</v>
      </c>
      <c r="D2120">
        <v>21035</v>
      </c>
      <c r="E2120">
        <v>9022</v>
      </c>
      <c r="F2120">
        <v>66</v>
      </c>
      <c r="G2120" t="s">
        <v>83</v>
      </c>
      <c r="H2120" t="str" cm="1">
        <f t="array" ref="H2120">_xlfn.IFS(Grammys[[#This Row],[date]] &gt;= DATE(2022,2,1),"Grammys",TRUE,"Grammys TRA")</f>
        <v>Grammys</v>
      </c>
      <c r="I2120">
        <f>_xlfn.XLOOKUP(Grammys[[#This Row],[date]],mobile_visits[date],mobile_visits[mobile_visitors],0)</f>
        <v>12704</v>
      </c>
    </row>
    <row r="2121" spans="1:9">
      <c r="A2121" s="1">
        <v>44855</v>
      </c>
      <c r="B2121">
        <v>19220</v>
      </c>
      <c r="C2121">
        <v>47998</v>
      </c>
      <c r="D2121">
        <v>20769</v>
      </c>
      <c r="E2121">
        <v>9002</v>
      </c>
      <c r="F2121">
        <v>70</v>
      </c>
      <c r="G2121" t="s">
        <v>83</v>
      </c>
      <c r="H2121" t="str" cm="1">
        <f t="array" ref="H2121">_xlfn.IFS(Grammys[[#This Row],[date]] &gt;= DATE(2022,2,1),"Grammys",TRUE,"Grammys TRA")</f>
        <v>Grammys</v>
      </c>
      <c r="I2121">
        <f>_xlfn.XLOOKUP(Grammys[[#This Row],[date]],mobile_visits[date],mobile_visits[mobile_visitors],0)</f>
        <v>13614</v>
      </c>
    </row>
    <row r="2122" spans="1:9">
      <c r="A2122" s="1">
        <v>44856</v>
      </c>
      <c r="B2122">
        <v>18182</v>
      </c>
      <c r="C2122">
        <v>46969</v>
      </c>
      <c r="D2122">
        <v>19635</v>
      </c>
      <c r="E2122">
        <v>8029</v>
      </c>
      <c r="F2122">
        <v>67</v>
      </c>
      <c r="G2122" t="s">
        <v>83</v>
      </c>
      <c r="H2122" t="str" cm="1">
        <f t="array" ref="H2122">_xlfn.IFS(Grammys[[#This Row],[date]] &gt;= DATE(2022,2,1),"Grammys",TRUE,"Grammys TRA")</f>
        <v>Grammys</v>
      </c>
      <c r="I2122">
        <f>_xlfn.XLOOKUP(Grammys[[#This Row],[date]],mobile_visits[date],mobile_visits[mobile_visitors],0)</f>
        <v>14062</v>
      </c>
    </row>
    <row r="2123" spans="1:9">
      <c r="A2123" s="1">
        <v>44857</v>
      </c>
      <c r="B2123">
        <v>20169</v>
      </c>
      <c r="C2123">
        <v>51782</v>
      </c>
      <c r="D2123">
        <v>21602</v>
      </c>
      <c r="E2123">
        <v>8468</v>
      </c>
      <c r="F2123">
        <v>68</v>
      </c>
      <c r="G2123" t="s">
        <v>83</v>
      </c>
      <c r="H2123" t="str" cm="1">
        <f t="array" ref="H2123">_xlfn.IFS(Grammys[[#This Row],[date]] &gt;= DATE(2022,2,1),"Grammys",TRUE,"Grammys TRA")</f>
        <v>Grammys</v>
      </c>
      <c r="I2123">
        <f>_xlfn.XLOOKUP(Grammys[[#This Row],[date]],mobile_visits[date],mobile_visits[mobile_visitors],0)</f>
        <v>15449</v>
      </c>
    </row>
    <row r="2124" spans="1:9">
      <c r="A2124" s="1">
        <v>44858</v>
      </c>
      <c r="B2124">
        <v>19076</v>
      </c>
      <c r="C2124">
        <v>47745</v>
      </c>
      <c r="D2124">
        <v>20753</v>
      </c>
      <c r="E2124">
        <v>9287</v>
      </c>
      <c r="F2124">
        <v>76</v>
      </c>
      <c r="G2124" t="s">
        <v>83</v>
      </c>
      <c r="H2124" t="str" cm="1">
        <f t="array" ref="H2124">_xlfn.IFS(Grammys[[#This Row],[date]] &gt;= DATE(2022,2,1),"Grammys",TRUE,"Grammys TRA")</f>
        <v>Grammys</v>
      </c>
      <c r="I2124">
        <f>_xlfn.XLOOKUP(Grammys[[#This Row],[date]],mobile_visits[date],mobile_visits[mobile_visitors],0)</f>
        <v>12948</v>
      </c>
    </row>
    <row r="2125" spans="1:9">
      <c r="A2125" s="1">
        <v>44859</v>
      </c>
      <c r="B2125">
        <v>20894</v>
      </c>
      <c r="C2125">
        <v>49519</v>
      </c>
      <c r="D2125">
        <v>22565</v>
      </c>
      <c r="E2125">
        <v>10489</v>
      </c>
      <c r="F2125">
        <v>93</v>
      </c>
      <c r="G2125" t="s">
        <v>83</v>
      </c>
      <c r="H2125" t="str" cm="1">
        <f t="array" ref="H2125">_xlfn.IFS(Grammys[[#This Row],[date]] &gt;= DATE(2022,2,1),"Grammys",TRUE,"Grammys TRA")</f>
        <v>Grammys</v>
      </c>
      <c r="I2125">
        <f>_xlfn.XLOOKUP(Grammys[[#This Row],[date]],mobile_visits[date],mobile_visits[mobile_visitors],0)</f>
        <v>13150</v>
      </c>
    </row>
    <row r="2126" spans="1:9">
      <c r="A2126" s="1">
        <v>44860</v>
      </c>
      <c r="B2126">
        <v>19227</v>
      </c>
      <c r="C2126">
        <v>45469</v>
      </c>
      <c r="D2126">
        <v>20934</v>
      </c>
      <c r="E2126">
        <v>9923</v>
      </c>
      <c r="F2126">
        <v>82</v>
      </c>
      <c r="G2126" t="s">
        <v>83</v>
      </c>
      <c r="H2126" t="str" cm="1">
        <f t="array" ref="H2126">_xlfn.IFS(Grammys[[#This Row],[date]] &gt;= DATE(2022,2,1),"Grammys",TRUE,"Grammys TRA")</f>
        <v>Grammys</v>
      </c>
      <c r="I2126">
        <f>_xlfn.XLOOKUP(Grammys[[#This Row],[date]],mobile_visits[date],mobile_visits[mobile_visitors],0)</f>
        <v>12604</v>
      </c>
    </row>
    <row r="2127" spans="1:9">
      <c r="A2127" s="1">
        <v>44861</v>
      </c>
      <c r="B2127">
        <v>19672</v>
      </c>
      <c r="C2127">
        <v>47746</v>
      </c>
      <c r="D2127">
        <v>21298</v>
      </c>
      <c r="E2127">
        <v>9312</v>
      </c>
      <c r="F2127">
        <v>72</v>
      </c>
      <c r="G2127" t="s">
        <v>83</v>
      </c>
      <c r="H2127" t="str" cm="1">
        <f t="array" ref="H2127">_xlfn.IFS(Grammys[[#This Row],[date]] &gt;= DATE(2022,2,1),"Grammys",TRUE,"Grammys TRA")</f>
        <v>Grammys</v>
      </c>
      <c r="I2127">
        <f>_xlfn.XLOOKUP(Grammys[[#This Row],[date]],mobile_visits[date],mobile_visits[mobile_visitors],0)</f>
        <v>13231</v>
      </c>
    </row>
    <row r="2128" spans="1:9">
      <c r="A2128" s="1">
        <v>44862</v>
      </c>
      <c r="B2128">
        <v>16749</v>
      </c>
      <c r="C2128">
        <v>39980</v>
      </c>
      <c r="D2128">
        <v>18189</v>
      </c>
      <c r="E2128">
        <v>8640</v>
      </c>
      <c r="F2128">
        <v>68</v>
      </c>
      <c r="G2128" t="s">
        <v>83</v>
      </c>
      <c r="H2128" t="str" cm="1">
        <f t="array" ref="H2128">_xlfn.IFS(Grammys[[#This Row],[date]] &gt;= DATE(2022,2,1),"Grammys",TRUE,"Grammys TRA")</f>
        <v>Grammys</v>
      </c>
      <c r="I2128">
        <f>_xlfn.XLOOKUP(Grammys[[#This Row],[date]],mobile_visits[date],mobile_visits[mobile_visitors],0)</f>
        <v>11091</v>
      </c>
    </row>
    <row r="2129" spans="1:9">
      <c r="A2129" s="1">
        <v>44863</v>
      </c>
      <c r="B2129">
        <v>13558</v>
      </c>
      <c r="C2129">
        <v>31928</v>
      </c>
      <c r="D2129">
        <v>14589</v>
      </c>
      <c r="E2129">
        <v>7050</v>
      </c>
      <c r="F2129">
        <v>66</v>
      </c>
      <c r="G2129" t="s">
        <v>83</v>
      </c>
      <c r="H2129" t="str" cm="1">
        <f t="array" ref="H2129">_xlfn.IFS(Grammys[[#This Row],[date]] &gt;= DATE(2022,2,1),"Grammys",TRUE,"Grammys TRA")</f>
        <v>Grammys</v>
      </c>
      <c r="I2129">
        <f>_xlfn.XLOOKUP(Grammys[[#This Row],[date]],mobile_visits[date],mobile_visits[mobile_visitors],0)</f>
        <v>10246</v>
      </c>
    </row>
    <row r="2130" spans="1:9">
      <c r="A2130" s="1">
        <v>44864</v>
      </c>
      <c r="B2130">
        <v>13081</v>
      </c>
      <c r="C2130">
        <v>32000</v>
      </c>
      <c r="D2130">
        <v>14191</v>
      </c>
      <c r="E2130">
        <v>6802</v>
      </c>
      <c r="F2130">
        <v>72</v>
      </c>
      <c r="G2130" t="s">
        <v>83</v>
      </c>
      <c r="H2130" t="str" cm="1">
        <f t="array" ref="H2130">_xlfn.IFS(Grammys[[#This Row],[date]] &gt;= DATE(2022,2,1),"Grammys",TRUE,"Grammys TRA")</f>
        <v>Grammys</v>
      </c>
      <c r="I2130">
        <f>_xlfn.XLOOKUP(Grammys[[#This Row],[date]],mobile_visits[date],mobile_visits[mobile_visitors],0)</f>
        <v>9248</v>
      </c>
    </row>
    <row r="2131" spans="1:9">
      <c r="A2131" s="1">
        <v>44865</v>
      </c>
      <c r="B2131">
        <v>13678</v>
      </c>
      <c r="C2131">
        <v>32259</v>
      </c>
      <c r="D2131">
        <v>14757</v>
      </c>
      <c r="E2131">
        <v>7168</v>
      </c>
      <c r="F2131">
        <v>73</v>
      </c>
      <c r="G2131" t="s">
        <v>83</v>
      </c>
      <c r="H2131" t="str" cm="1">
        <f t="array" ref="H2131">_xlfn.IFS(Grammys[[#This Row],[date]] &gt;= DATE(2022,2,1),"Grammys",TRUE,"Grammys TRA")</f>
        <v>Grammys</v>
      </c>
      <c r="I2131">
        <f>_xlfn.XLOOKUP(Grammys[[#This Row],[date]],mobile_visits[date],mobile_visits[mobile_visitors],0)</f>
        <v>8802</v>
      </c>
    </row>
    <row r="2132" spans="1:9">
      <c r="A2132" s="1">
        <v>44866</v>
      </c>
      <c r="B2132">
        <v>18129</v>
      </c>
      <c r="C2132">
        <v>41595</v>
      </c>
      <c r="D2132">
        <v>19512</v>
      </c>
      <c r="E2132">
        <v>9636</v>
      </c>
      <c r="F2132">
        <v>81</v>
      </c>
      <c r="G2132" t="s">
        <v>83</v>
      </c>
      <c r="H2132" t="str" cm="1">
        <f t="array" ref="H2132">_xlfn.IFS(Grammys[[#This Row],[date]] &gt;= DATE(2022,2,1),"Grammys",TRUE,"Grammys TRA")</f>
        <v>Grammys</v>
      </c>
      <c r="I2132">
        <f>_xlfn.XLOOKUP(Grammys[[#This Row],[date]],mobile_visits[date],mobile_visits[mobile_visitors],0)</f>
        <v>11610</v>
      </c>
    </row>
    <row r="2133" spans="1:9">
      <c r="A2133" s="1">
        <v>44867</v>
      </c>
      <c r="B2133">
        <v>19340</v>
      </c>
      <c r="C2133">
        <v>45109</v>
      </c>
      <c r="D2133">
        <v>21319</v>
      </c>
      <c r="E2133">
        <v>10249</v>
      </c>
      <c r="F2133">
        <v>80</v>
      </c>
      <c r="G2133" t="s">
        <v>83</v>
      </c>
      <c r="H2133" t="str" cm="1">
        <f t="array" ref="H2133">_xlfn.IFS(Grammys[[#This Row],[date]] &gt;= DATE(2022,2,1),"Grammys",TRUE,"Grammys TRA")</f>
        <v>Grammys</v>
      </c>
      <c r="I2133">
        <f>_xlfn.XLOOKUP(Grammys[[#This Row],[date]],mobile_visits[date],mobile_visits[mobile_visitors],0)</f>
        <v>12274</v>
      </c>
    </row>
    <row r="2134" spans="1:9">
      <c r="A2134" s="1">
        <v>44868</v>
      </c>
      <c r="B2134">
        <v>17165</v>
      </c>
      <c r="C2134">
        <v>39489</v>
      </c>
      <c r="D2134">
        <v>18677</v>
      </c>
      <c r="E2134">
        <v>8977</v>
      </c>
      <c r="F2134">
        <v>79</v>
      </c>
      <c r="G2134" t="s">
        <v>83</v>
      </c>
      <c r="H2134" t="str" cm="1">
        <f t="array" ref="H2134">_xlfn.IFS(Grammys[[#This Row],[date]] &gt;= DATE(2022,2,1),"Grammys",TRUE,"Grammys TRA")</f>
        <v>Grammys</v>
      </c>
      <c r="I2134">
        <f>_xlfn.XLOOKUP(Grammys[[#This Row],[date]],mobile_visits[date],mobile_visits[mobile_visitors],0)</f>
        <v>10907</v>
      </c>
    </row>
    <row r="2135" spans="1:9">
      <c r="A2135" s="1">
        <v>44869</v>
      </c>
      <c r="B2135">
        <v>21757</v>
      </c>
      <c r="C2135">
        <v>52944</v>
      </c>
      <c r="D2135">
        <v>23428</v>
      </c>
      <c r="E2135">
        <v>10309</v>
      </c>
      <c r="F2135">
        <v>66</v>
      </c>
      <c r="G2135" t="s">
        <v>83</v>
      </c>
      <c r="H2135" t="str" cm="1">
        <f t="array" ref="H2135">_xlfn.IFS(Grammys[[#This Row],[date]] &gt;= DATE(2022,2,1),"Grammys",TRUE,"Grammys TRA")</f>
        <v>Grammys</v>
      </c>
      <c r="I2135">
        <f>_xlfn.XLOOKUP(Grammys[[#This Row],[date]],mobile_visits[date],mobile_visits[mobile_visitors],0)</f>
        <v>15681</v>
      </c>
    </row>
    <row r="2136" spans="1:9">
      <c r="A2136" s="1">
        <v>44870</v>
      </c>
      <c r="B2136">
        <v>20072</v>
      </c>
      <c r="C2136">
        <v>50056</v>
      </c>
      <c r="D2136">
        <v>23072</v>
      </c>
      <c r="E2136">
        <v>10687</v>
      </c>
      <c r="F2136">
        <v>64</v>
      </c>
      <c r="G2136" t="s">
        <v>83</v>
      </c>
      <c r="H2136" t="str" cm="1">
        <f t="array" ref="H2136">_xlfn.IFS(Grammys[[#This Row],[date]] &gt;= DATE(2022,2,1),"Grammys",TRUE,"Grammys TRA")</f>
        <v>Grammys</v>
      </c>
      <c r="I2136">
        <f>_xlfn.XLOOKUP(Grammys[[#This Row],[date]],mobile_visits[date],mobile_visits[mobile_visitors],0)</f>
        <v>16239</v>
      </c>
    </row>
    <row r="2137" spans="1:9">
      <c r="A2137" s="1">
        <v>44871</v>
      </c>
      <c r="B2137">
        <v>16032</v>
      </c>
      <c r="C2137">
        <v>38348</v>
      </c>
      <c r="D2137">
        <v>17602</v>
      </c>
      <c r="E2137">
        <v>8249</v>
      </c>
      <c r="F2137">
        <v>70</v>
      </c>
      <c r="G2137" t="s">
        <v>83</v>
      </c>
      <c r="H2137" t="str" cm="1">
        <f t="array" ref="H2137">_xlfn.IFS(Grammys[[#This Row],[date]] &gt;= DATE(2022,2,1),"Grammys",TRUE,"Grammys TRA")</f>
        <v>Grammys</v>
      </c>
      <c r="I2137">
        <f>_xlfn.XLOOKUP(Grammys[[#This Row],[date]],mobile_visits[date],mobile_visits[mobile_visitors],0)</f>
        <v>11938</v>
      </c>
    </row>
    <row r="2138" spans="1:9">
      <c r="A2138" s="1">
        <v>44872</v>
      </c>
      <c r="B2138">
        <v>16675</v>
      </c>
      <c r="C2138">
        <v>40010</v>
      </c>
      <c r="D2138">
        <v>18389</v>
      </c>
      <c r="E2138">
        <v>8846</v>
      </c>
      <c r="F2138">
        <v>72</v>
      </c>
      <c r="G2138" t="s">
        <v>83</v>
      </c>
      <c r="H2138" t="str" cm="1">
        <f t="array" ref="H2138">_xlfn.IFS(Grammys[[#This Row],[date]] &gt;= DATE(2022,2,1),"Grammys",TRUE,"Grammys TRA")</f>
        <v>Grammys</v>
      </c>
      <c r="I2138">
        <f>_xlfn.XLOOKUP(Grammys[[#This Row],[date]],mobile_visits[date],mobile_visits[mobile_visitors],0)</f>
        <v>9322</v>
      </c>
    </row>
    <row r="2139" spans="1:9">
      <c r="A2139" s="1">
        <v>44873</v>
      </c>
      <c r="B2139">
        <v>17985</v>
      </c>
      <c r="C2139">
        <v>42529</v>
      </c>
      <c r="D2139">
        <v>19516</v>
      </c>
      <c r="E2139">
        <v>9280</v>
      </c>
      <c r="F2139">
        <v>75</v>
      </c>
      <c r="G2139" t="s">
        <v>83</v>
      </c>
      <c r="H2139" t="str" cm="1">
        <f t="array" ref="H2139">_xlfn.IFS(Grammys[[#This Row],[date]] &gt;= DATE(2022,2,1),"Grammys",TRUE,"Grammys TRA")</f>
        <v>Grammys</v>
      </c>
      <c r="I2139">
        <f>_xlfn.XLOOKUP(Grammys[[#This Row],[date]],mobile_visits[date],mobile_visits[mobile_visitors],0)</f>
        <v>11597</v>
      </c>
    </row>
    <row r="2140" spans="1:9">
      <c r="A2140" s="1">
        <v>44874</v>
      </c>
      <c r="B2140">
        <v>19475</v>
      </c>
      <c r="C2140">
        <v>45165</v>
      </c>
      <c r="D2140">
        <v>20916</v>
      </c>
      <c r="E2140">
        <v>9733</v>
      </c>
      <c r="F2140">
        <v>78</v>
      </c>
      <c r="G2140" t="s">
        <v>83</v>
      </c>
      <c r="H2140" t="str" cm="1">
        <f t="array" ref="H2140">_xlfn.IFS(Grammys[[#This Row],[date]] &gt;= DATE(2022,2,1),"Grammys",TRUE,"Grammys TRA")</f>
        <v>Grammys</v>
      </c>
      <c r="I2140">
        <f>_xlfn.XLOOKUP(Grammys[[#This Row],[date]],mobile_visits[date],mobile_visits[mobile_visitors],0)</f>
        <v>12722</v>
      </c>
    </row>
    <row r="2141" spans="1:9">
      <c r="A2141" s="1">
        <v>44875</v>
      </c>
      <c r="B2141">
        <v>21297</v>
      </c>
      <c r="C2141">
        <v>50822</v>
      </c>
      <c r="D2141">
        <v>23677</v>
      </c>
      <c r="E2141">
        <v>11889</v>
      </c>
      <c r="F2141">
        <v>65</v>
      </c>
      <c r="G2141" t="s">
        <v>83</v>
      </c>
      <c r="H2141" t="str" cm="1">
        <f t="array" ref="H2141">_xlfn.IFS(Grammys[[#This Row],[date]] &gt;= DATE(2022,2,1),"Grammys",TRUE,"Grammys TRA")</f>
        <v>Grammys</v>
      </c>
      <c r="I2141">
        <f>_xlfn.XLOOKUP(Grammys[[#This Row],[date]],mobile_visits[date],mobile_visits[mobile_visitors],0)</f>
        <v>15013</v>
      </c>
    </row>
    <row r="2142" spans="1:9">
      <c r="A2142" s="1">
        <v>44876</v>
      </c>
      <c r="B2142">
        <v>18887</v>
      </c>
      <c r="C2142">
        <v>44808</v>
      </c>
      <c r="D2142">
        <v>20603</v>
      </c>
      <c r="E2142">
        <v>10244</v>
      </c>
      <c r="F2142">
        <v>69</v>
      </c>
      <c r="G2142" t="s">
        <v>83</v>
      </c>
      <c r="H2142" t="str" cm="1">
        <f t="array" ref="H2142">_xlfn.IFS(Grammys[[#This Row],[date]] &gt;= DATE(2022,2,1),"Grammys",TRUE,"Grammys TRA")</f>
        <v>Grammys</v>
      </c>
      <c r="I2142">
        <f>_xlfn.XLOOKUP(Grammys[[#This Row],[date]],mobile_visits[date],mobile_visits[mobile_visitors],0)</f>
        <v>13750</v>
      </c>
    </row>
    <row r="2143" spans="1:9">
      <c r="A2143" s="1">
        <v>44877</v>
      </c>
      <c r="B2143">
        <v>17205</v>
      </c>
      <c r="C2143">
        <v>42447</v>
      </c>
      <c r="D2143">
        <v>18749</v>
      </c>
      <c r="E2143">
        <v>8139</v>
      </c>
      <c r="F2143">
        <v>67</v>
      </c>
      <c r="G2143" t="s">
        <v>83</v>
      </c>
      <c r="H2143" t="str" cm="1">
        <f t="array" ref="H2143">_xlfn.IFS(Grammys[[#This Row],[date]] &gt;= DATE(2022,2,1),"Grammys",TRUE,"Grammys TRA")</f>
        <v>Grammys</v>
      </c>
      <c r="I2143">
        <f>_xlfn.XLOOKUP(Grammys[[#This Row],[date]],mobile_visits[date],mobile_visits[mobile_visitors],0)</f>
        <v>13294</v>
      </c>
    </row>
    <row r="2144" spans="1:9">
      <c r="A2144" s="1">
        <v>44878</v>
      </c>
      <c r="B2144">
        <v>18219</v>
      </c>
      <c r="C2144">
        <v>45859</v>
      </c>
      <c r="D2144">
        <v>20029</v>
      </c>
      <c r="E2144">
        <v>9056</v>
      </c>
      <c r="F2144">
        <v>71</v>
      </c>
      <c r="G2144" t="s">
        <v>83</v>
      </c>
      <c r="H2144" t="str" cm="1">
        <f t="array" ref="H2144">_xlfn.IFS(Grammys[[#This Row],[date]] &gt;= DATE(2022,2,1),"Grammys",TRUE,"Grammys TRA")</f>
        <v>Grammys</v>
      </c>
      <c r="I2144">
        <f>_xlfn.XLOOKUP(Grammys[[#This Row],[date]],mobile_visits[date],mobile_visits[mobile_visitors],0)</f>
        <v>12952</v>
      </c>
    </row>
    <row r="2145" spans="1:9">
      <c r="A2145" s="1">
        <v>44879</v>
      </c>
      <c r="B2145">
        <v>31150</v>
      </c>
      <c r="C2145">
        <v>76192</v>
      </c>
      <c r="D2145">
        <v>35100</v>
      </c>
      <c r="E2145">
        <v>17593</v>
      </c>
      <c r="F2145">
        <v>69</v>
      </c>
      <c r="G2145" t="s">
        <v>83</v>
      </c>
      <c r="H2145" t="str" cm="1">
        <f t="array" ref="H2145">_xlfn.IFS(Grammys[[#This Row],[date]] &gt;= DATE(2022,2,1),"Grammys",TRUE,"Grammys TRA")</f>
        <v>Grammys</v>
      </c>
      <c r="I2145">
        <f>_xlfn.XLOOKUP(Grammys[[#This Row],[date]],mobile_visits[date],mobile_visits[mobile_visitors],0)</f>
        <v>21007</v>
      </c>
    </row>
    <row r="2146" spans="1:9">
      <c r="A2146" s="1">
        <v>44880</v>
      </c>
      <c r="B2146">
        <v>700437</v>
      </c>
      <c r="C2146">
        <v>2214758</v>
      </c>
      <c r="D2146">
        <v>839192</v>
      </c>
      <c r="E2146">
        <v>321411</v>
      </c>
      <c r="F2146">
        <v>94</v>
      </c>
      <c r="G2146" t="s">
        <v>85</v>
      </c>
      <c r="H2146" t="str" cm="1">
        <f t="array" ref="H2146">_xlfn.IFS(Grammys[[#This Row],[date]] &gt;= DATE(2022,2,1),"Grammys",TRUE,"Grammys TRA")</f>
        <v>Grammys</v>
      </c>
      <c r="I2146">
        <f>_xlfn.XLOOKUP(Grammys[[#This Row],[date]],mobile_visits[date],mobile_visits[mobile_visitors],0)</f>
        <v>550739</v>
      </c>
    </row>
    <row r="2147" spans="1:9">
      <c r="A2147" s="1">
        <v>44881</v>
      </c>
      <c r="B2147">
        <v>306464</v>
      </c>
      <c r="C2147">
        <v>953774</v>
      </c>
      <c r="D2147">
        <v>358561</v>
      </c>
      <c r="E2147">
        <v>141632</v>
      </c>
      <c r="F2147">
        <v>79</v>
      </c>
      <c r="G2147" t="s">
        <v>83</v>
      </c>
      <c r="H2147" t="str" cm="1">
        <f t="array" ref="H2147">_xlfn.IFS(Grammys[[#This Row],[date]] &gt;= DATE(2022,2,1),"Grammys",TRUE,"Grammys TRA")</f>
        <v>Grammys</v>
      </c>
      <c r="I2147">
        <f>_xlfn.XLOOKUP(Grammys[[#This Row],[date]],mobile_visits[date],mobile_visits[mobile_visitors],0)</f>
        <v>228369</v>
      </c>
    </row>
    <row r="2148" spans="1:9">
      <c r="A2148" s="1">
        <v>44882</v>
      </c>
      <c r="B2148">
        <v>187301</v>
      </c>
      <c r="C2148">
        <v>600706</v>
      </c>
      <c r="D2148">
        <v>227982</v>
      </c>
      <c r="E2148">
        <v>92789</v>
      </c>
      <c r="F2148">
        <v>72</v>
      </c>
      <c r="G2148" t="s">
        <v>83</v>
      </c>
      <c r="H2148" t="str" cm="1">
        <f t="array" ref="H2148">_xlfn.IFS(Grammys[[#This Row],[date]] &gt;= DATE(2022,2,1),"Grammys",TRUE,"Grammys TRA")</f>
        <v>Grammys</v>
      </c>
      <c r="I2148">
        <f>_xlfn.XLOOKUP(Grammys[[#This Row],[date]],mobile_visits[date],mobile_visits[mobile_visitors],0)</f>
        <v>147980</v>
      </c>
    </row>
    <row r="2149" spans="1:9">
      <c r="A2149" s="1">
        <v>44883</v>
      </c>
      <c r="B2149">
        <v>147950</v>
      </c>
      <c r="C2149">
        <v>493115</v>
      </c>
      <c r="D2149">
        <v>194205</v>
      </c>
      <c r="E2149">
        <v>82926</v>
      </c>
      <c r="F2149">
        <v>60</v>
      </c>
      <c r="G2149" t="s">
        <v>83</v>
      </c>
      <c r="H2149" t="str" cm="1">
        <f t="array" ref="H2149">_xlfn.IFS(Grammys[[#This Row],[date]] &gt;= DATE(2022,2,1),"Grammys",TRUE,"Grammys TRA")</f>
        <v>Grammys</v>
      </c>
      <c r="I2149">
        <f>_xlfn.XLOOKUP(Grammys[[#This Row],[date]],mobile_visits[date],mobile_visits[mobile_visitors],0)</f>
        <v>119867</v>
      </c>
    </row>
    <row r="2150" spans="1:9">
      <c r="A2150" s="1">
        <v>44884</v>
      </c>
      <c r="B2150">
        <v>82284</v>
      </c>
      <c r="C2150">
        <v>254046</v>
      </c>
      <c r="D2150">
        <v>92482</v>
      </c>
      <c r="E2150">
        <v>35199</v>
      </c>
      <c r="F2150">
        <v>76</v>
      </c>
      <c r="G2150" t="s">
        <v>83</v>
      </c>
      <c r="H2150" t="str" cm="1">
        <f t="array" ref="H2150">_xlfn.IFS(Grammys[[#This Row],[date]] &gt;= DATE(2022,2,1),"Grammys",TRUE,"Grammys TRA")</f>
        <v>Grammys</v>
      </c>
      <c r="I2150">
        <f>_xlfn.XLOOKUP(Grammys[[#This Row],[date]],mobile_visits[date],mobile_visits[mobile_visitors],0)</f>
        <v>69168</v>
      </c>
    </row>
    <row r="2151" spans="1:9">
      <c r="A2151" s="1">
        <v>44885</v>
      </c>
      <c r="B2151">
        <v>68258</v>
      </c>
      <c r="C2151">
        <v>207070</v>
      </c>
      <c r="D2151">
        <v>76226</v>
      </c>
      <c r="E2151">
        <v>29622</v>
      </c>
      <c r="F2151">
        <v>78</v>
      </c>
      <c r="G2151" t="s">
        <v>83</v>
      </c>
      <c r="H2151" t="str" cm="1">
        <f t="array" ref="H2151">_xlfn.IFS(Grammys[[#This Row],[date]] &gt;= DATE(2022,2,1),"Grammys",TRUE,"Grammys TRA")</f>
        <v>Grammys</v>
      </c>
      <c r="I2151">
        <f>_xlfn.XLOOKUP(Grammys[[#This Row],[date]],mobile_visits[date],mobile_visits[mobile_visitors],0)</f>
        <v>55455</v>
      </c>
    </row>
    <row r="2152" spans="1:9">
      <c r="A2152" s="1">
        <v>44886</v>
      </c>
      <c r="B2152">
        <v>56746</v>
      </c>
      <c r="C2152">
        <v>168846</v>
      </c>
      <c r="D2152">
        <v>63466</v>
      </c>
      <c r="E2152">
        <v>25717</v>
      </c>
      <c r="F2152">
        <v>77</v>
      </c>
      <c r="G2152" t="s">
        <v>83</v>
      </c>
      <c r="H2152" t="str" cm="1">
        <f t="array" ref="H2152">_xlfn.IFS(Grammys[[#This Row],[date]] &gt;= DATE(2022,2,1),"Grammys",TRUE,"Grammys TRA")</f>
        <v>Grammys</v>
      </c>
      <c r="I2152">
        <f>_xlfn.XLOOKUP(Grammys[[#This Row],[date]],mobile_visits[date],mobile_visits[mobile_visitors],0)</f>
        <v>40944</v>
      </c>
    </row>
    <row r="2153" spans="1:9">
      <c r="A2153" s="1">
        <v>44887</v>
      </c>
      <c r="B2153">
        <v>40264</v>
      </c>
      <c r="C2153">
        <v>117676</v>
      </c>
      <c r="D2153">
        <v>45073</v>
      </c>
      <c r="E2153">
        <v>18575</v>
      </c>
      <c r="F2153">
        <v>79</v>
      </c>
      <c r="G2153" t="s">
        <v>83</v>
      </c>
      <c r="H2153" t="str" cm="1">
        <f t="array" ref="H2153">_xlfn.IFS(Grammys[[#This Row],[date]] &gt;= DATE(2022,2,1),"Grammys",TRUE,"Grammys TRA")</f>
        <v>Grammys</v>
      </c>
      <c r="I2153">
        <f>_xlfn.XLOOKUP(Grammys[[#This Row],[date]],mobile_visits[date],mobile_visits[mobile_visitors],0)</f>
        <v>28165</v>
      </c>
    </row>
    <row r="2154" spans="1:9">
      <c r="A2154" s="1">
        <v>44888</v>
      </c>
      <c r="B2154">
        <v>31859</v>
      </c>
      <c r="C2154">
        <v>91795</v>
      </c>
      <c r="D2154">
        <v>35263</v>
      </c>
      <c r="E2154">
        <v>14398</v>
      </c>
      <c r="F2154">
        <v>78</v>
      </c>
      <c r="G2154" t="s">
        <v>83</v>
      </c>
      <c r="H2154" t="str" cm="1">
        <f t="array" ref="H2154">_xlfn.IFS(Grammys[[#This Row],[date]] &gt;= DATE(2022,2,1),"Grammys",TRUE,"Grammys TRA")</f>
        <v>Grammys</v>
      </c>
      <c r="I2154">
        <f>_xlfn.XLOOKUP(Grammys[[#This Row],[date]],mobile_visits[date],mobile_visits[mobile_visitors],0)</f>
        <v>23489</v>
      </c>
    </row>
    <row r="2155" spans="1:9">
      <c r="A2155" s="1">
        <v>44889</v>
      </c>
      <c r="B2155">
        <v>27771</v>
      </c>
      <c r="C2155">
        <v>80112</v>
      </c>
      <c r="D2155">
        <v>30741</v>
      </c>
      <c r="E2155">
        <v>12383</v>
      </c>
      <c r="F2155">
        <v>72</v>
      </c>
      <c r="G2155" t="s">
        <v>83</v>
      </c>
      <c r="H2155" t="str" cm="1">
        <f t="array" ref="H2155">_xlfn.IFS(Grammys[[#This Row],[date]] &gt;= DATE(2022,2,1),"Grammys",TRUE,"Grammys TRA")</f>
        <v>Grammys</v>
      </c>
      <c r="I2155">
        <f>_xlfn.XLOOKUP(Grammys[[#This Row],[date]],mobile_visits[date],mobile_visits[mobile_visitors],0)</f>
        <v>22061</v>
      </c>
    </row>
    <row r="2156" spans="1:9">
      <c r="A2156" s="1">
        <v>44890</v>
      </c>
      <c r="B2156">
        <v>24089</v>
      </c>
      <c r="C2156">
        <v>66840</v>
      </c>
      <c r="D2156">
        <v>26478</v>
      </c>
      <c r="E2156">
        <v>11235</v>
      </c>
      <c r="F2156">
        <v>75</v>
      </c>
      <c r="G2156" t="s">
        <v>83</v>
      </c>
      <c r="H2156" t="str" cm="1">
        <f t="array" ref="H2156">_xlfn.IFS(Grammys[[#This Row],[date]] &gt;= DATE(2022,2,1),"Grammys",TRUE,"Grammys TRA")</f>
        <v>Grammys</v>
      </c>
      <c r="I2156">
        <f>_xlfn.XLOOKUP(Grammys[[#This Row],[date]],mobile_visits[date],mobile_visits[mobile_visitors],0)</f>
        <v>18639</v>
      </c>
    </row>
    <row r="2157" spans="1:9">
      <c r="A2157" s="1">
        <v>44891</v>
      </c>
      <c r="B2157">
        <v>23458</v>
      </c>
      <c r="C2157">
        <v>65996</v>
      </c>
      <c r="D2157">
        <v>25831</v>
      </c>
      <c r="E2157">
        <v>10609</v>
      </c>
      <c r="F2157">
        <v>79</v>
      </c>
      <c r="G2157" t="s">
        <v>83</v>
      </c>
      <c r="H2157" t="str" cm="1">
        <f t="array" ref="H2157">_xlfn.IFS(Grammys[[#This Row],[date]] &gt;= DATE(2022,2,1),"Grammys",TRUE,"Grammys TRA")</f>
        <v>Grammys</v>
      </c>
      <c r="I2157">
        <f>_xlfn.XLOOKUP(Grammys[[#This Row],[date]],mobile_visits[date],mobile_visits[mobile_visitors],0)</f>
        <v>17591</v>
      </c>
    </row>
    <row r="2158" spans="1:9">
      <c r="A2158" s="1">
        <v>44892</v>
      </c>
      <c r="B2158">
        <v>23161</v>
      </c>
      <c r="C2158">
        <v>64245</v>
      </c>
      <c r="D2158">
        <v>25493</v>
      </c>
      <c r="E2158">
        <v>10848</v>
      </c>
      <c r="F2158">
        <v>79</v>
      </c>
      <c r="G2158" t="s">
        <v>83</v>
      </c>
      <c r="H2158" t="str" cm="1">
        <f t="array" ref="H2158">_xlfn.IFS(Grammys[[#This Row],[date]] &gt;= DATE(2022,2,1),"Grammys",TRUE,"Grammys TRA")</f>
        <v>Grammys</v>
      </c>
      <c r="I2158">
        <f>_xlfn.XLOOKUP(Grammys[[#This Row],[date]],mobile_visits[date],mobile_visits[mobile_visitors],0)</f>
        <v>16694</v>
      </c>
    </row>
    <row r="2159" spans="1:9">
      <c r="A2159" s="1">
        <v>44893</v>
      </c>
      <c r="B2159">
        <v>22893</v>
      </c>
      <c r="C2159">
        <v>60742</v>
      </c>
      <c r="D2159">
        <v>25098</v>
      </c>
      <c r="E2159">
        <v>11192</v>
      </c>
      <c r="F2159">
        <v>80</v>
      </c>
      <c r="G2159" t="s">
        <v>83</v>
      </c>
      <c r="H2159" t="str" cm="1">
        <f t="array" ref="H2159">_xlfn.IFS(Grammys[[#This Row],[date]] &gt;= DATE(2022,2,1),"Grammys",TRUE,"Grammys TRA")</f>
        <v>Grammys</v>
      </c>
      <c r="I2159">
        <f>_xlfn.XLOOKUP(Grammys[[#This Row],[date]],mobile_visits[date],mobile_visits[mobile_visitors],0)</f>
        <v>13610</v>
      </c>
    </row>
    <row r="2160" spans="1:9">
      <c r="A2160" s="1">
        <v>44894</v>
      </c>
      <c r="B2160">
        <v>21623</v>
      </c>
      <c r="C2160">
        <v>58374</v>
      </c>
      <c r="D2160">
        <v>24012</v>
      </c>
      <c r="E2160">
        <v>10808</v>
      </c>
      <c r="F2160">
        <v>81</v>
      </c>
      <c r="G2160" t="s">
        <v>83</v>
      </c>
      <c r="H2160" t="str" cm="1">
        <f t="array" ref="H2160">_xlfn.IFS(Grammys[[#This Row],[date]] &gt;= DATE(2022,2,1),"Grammys",TRUE,"Grammys TRA")</f>
        <v>Grammys</v>
      </c>
      <c r="I2160">
        <f>_xlfn.XLOOKUP(Grammys[[#This Row],[date]],mobile_visits[date],mobile_visits[mobile_visitors],0)</f>
        <v>12966</v>
      </c>
    </row>
    <row r="2161" spans="1:9">
      <c r="A2161" s="1">
        <v>44895</v>
      </c>
      <c r="B2161">
        <v>24260</v>
      </c>
      <c r="C2161">
        <v>63867</v>
      </c>
      <c r="D2161">
        <v>26135</v>
      </c>
      <c r="E2161">
        <v>11398</v>
      </c>
      <c r="F2161">
        <v>75</v>
      </c>
      <c r="G2161" t="s">
        <v>83</v>
      </c>
      <c r="H2161" t="str" cm="1">
        <f t="array" ref="H2161">_xlfn.IFS(Grammys[[#This Row],[date]] &gt;= DATE(2022,2,1),"Grammys",TRUE,"Grammys TRA")</f>
        <v>Grammys</v>
      </c>
      <c r="I2161">
        <f>_xlfn.XLOOKUP(Grammys[[#This Row],[date]],mobile_visits[date],mobile_visits[mobile_visitors],0)</f>
        <v>15082</v>
      </c>
    </row>
    <row r="2162" spans="1:9">
      <c r="A2162" s="1">
        <v>44896</v>
      </c>
      <c r="B2162">
        <v>22518</v>
      </c>
      <c r="C2162">
        <v>59598</v>
      </c>
      <c r="D2162">
        <v>24790</v>
      </c>
      <c r="E2162">
        <v>10816</v>
      </c>
      <c r="F2162">
        <v>76</v>
      </c>
      <c r="G2162" t="s">
        <v>83</v>
      </c>
      <c r="H2162" t="str" cm="1">
        <f t="array" ref="H2162">_xlfn.IFS(Grammys[[#This Row],[date]] &gt;= DATE(2022,2,1),"Grammys",TRUE,"Grammys TRA")</f>
        <v>Grammys</v>
      </c>
      <c r="I2162">
        <f>_xlfn.XLOOKUP(Grammys[[#This Row],[date]],mobile_visits[date],mobile_visits[mobile_visitors],0)</f>
        <v>14070</v>
      </c>
    </row>
    <row r="2163" spans="1:9">
      <c r="A2163" s="1">
        <v>44897</v>
      </c>
      <c r="B2163">
        <v>23940</v>
      </c>
      <c r="C2163">
        <v>61174</v>
      </c>
      <c r="D2163">
        <v>25971</v>
      </c>
      <c r="E2163">
        <v>11739</v>
      </c>
      <c r="F2163">
        <v>84</v>
      </c>
      <c r="G2163" t="s">
        <v>83</v>
      </c>
      <c r="H2163" t="str" cm="1">
        <f t="array" ref="H2163">_xlfn.IFS(Grammys[[#This Row],[date]] &gt;= DATE(2022,2,1),"Grammys",TRUE,"Grammys TRA")</f>
        <v>Grammys</v>
      </c>
      <c r="I2163">
        <f>_xlfn.XLOOKUP(Grammys[[#This Row],[date]],mobile_visits[date],mobile_visits[mobile_visitors],0)</f>
        <v>16404</v>
      </c>
    </row>
    <row r="2164" spans="1:9">
      <c r="A2164" s="1">
        <v>44898</v>
      </c>
      <c r="B2164">
        <v>21070</v>
      </c>
      <c r="C2164">
        <v>55246</v>
      </c>
      <c r="D2164">
        <v>22859</v>
      </c>
      <c r="E2164">
        <v>9933</v>
      </c>
      <c r="F2164">
        <v>78</v>
      </c>
      <c r="G2164" t="s">
        <v>83</v>
      </c>
      <c r="H2164" t="str" cm="1">
        <f t="array" ref="H2164">_xlfn.IFS(Grammys[[#This Row],[date]] &gt;= DATE(2022,2,1),"Grammys",TRUE,"Grammys TRA")</f>
        <v>Grammys</v>
      </c>
      <c r="I2164">
        <f>_xlfn.XLOOKUP(Grammys[[#This Row],[date]],mobile_visits[date],mobile_visits[mobile_visitors],0)</f>
        <v>15255</v>
      </c>
    </row>
    <row r="2165" spans="1:9">
      <c r="A2165" s="1">
        <v>44899</v>
      </c>
      <c r="B2165">
        <v>21313</v>
      </c>
      <c r="C2165">
        <v>55274</v>
      </c>
      <c r="D2165">
        <v>24063</v>
      </c>
      <c r="E2165">
        <v>11183</v>
      </c>
      <c r="F2165">
        <v>68</v>
      </c>
      <c r="G2165" t="s">
        <v>83</v>
      </c>
      <c r="H2165" t="str" cm="1">
        <f t="array" ref="H2165">_xlfn.IFS(Grammys[[#This Row],[date]] &gt;= DATE(2022,2,1),"Grammys",TRUE,"Grammys TRA")</f>
        <v>Grammys</v>
      </c>
      <c r="I2165">
        <f>_xlfn.XLOOKUP(Grammys[[#This Row],[date]],mobile_visits[date],mobile_visits[mobile_visitors],0)</f>
        <v>14872</v>
      </c>
    </row>
    <row r="2166" spans="1:9">
      <c r="A2166" s="1">
        <v>44900</v>
      </c>
      <c r="B2166">
        <v>23651</v>
      </c>
      <c r="C2166">
        <v>60209</v>
      </c>
      <c r="D2166">
        <v>27268</v>
      </c>
      <c r="E2166">
        <v>13765</v>
      </c>
      <c r="F2166">
        <v>68</v>
      </c>
      <c r="G2166" t="s">
        <v>83</v>
      </c>
      <c r="H2166" t="str" cm="1">
        <f t="array" ref="H2166">_xlfn.IFS(Grammys[[#This Row],[date]] &gt;= DATE(2022,2,1),"Grammys",TRUE,"Grammys TRA")</f>
        <v>Grammys</v>
      </c>
      <c r="I2166">
        <f>_xlfn.XLOOKUP(Grammys[[#This Row],[date]],mobile_visits[date],mobile_visits[mobile_visitors],0)</f>
        <v>15098</v>
      </c>
    </row>
    <row r="2167" spans="1:9">
      <c r="A2167" s="1">
        <v>44901</v>
      </c>
      <c r="B2167">
        <v>22911</v>
      </c>
      <c r="C2167">
        <v>57761</v>
      </c>
      <c r="D2167">
        <v>25908</v>
      </c>
      <c r="E2167">
        <v>12776</v>
      </c>
      <c r="F2167">
        <v>66</v>
      </c>
      <c r="G2167" t="s">
        <v>83</v>
      </c>
      <c r="H2167" t="str" cm="1">
        <f t="array" ref="H2167">_xlfn.IFS(Grammys[[#This Row],[date]] &gt;= DATE(2022,2,1),"Grammys",TRUE,"Grammys TRA")</f>
        <v>Grammys</v>
      </c>
      <c r="I2167">
        <f>_xlfn.XLOOKUP(Grammys[[#This Row],[date]],mobile_visits[date],mobile_visits[mobile_visitors],0)</f>
        <v>14280</v>
      </c>
    </row>
    <row r="2168" spans="1:9">
      <c r="A2168" s="1">
        <v>44902</v>
      </c>
      <c r="B2168">
        <v>21158</v>
      </c>
      <c r="C2168">
        <v>57154</v>
      </c>
      <c r="D2168">
        <v>23852</v>
      </c>
      <c r="E2168">
        <v>9579</v>
      </c>
      <c r="F2168">
        <v>72</v>
      </c>
      <c r="G2168" t="s">
        <v>83</v>
      </c>
      <c r="H2168" t="str" cm="1">
        <f t="array" ref="H2168">_xlfn.IFS(Grammys[[#This Row],[date]] &gt;= DATE(2022,2,1),"Grammys",TRUE,"Grammys TRA")</f>
        <v>Grammys</v>
      </c>
      <c r="I2168">
        <f>_xlfn.XLOOKUP(Grammys[[#This Row],[date]],mobile_visits[date],mobile_visits[mobile_visitors],0)</f>
        <v>12162</v>
      </c>
    </row>
    <row r="2169" spans="1:9">
      <c r="A2169" s="1">
        <v>44903</v>
      </c>
      <c r="B2169">
        <v>21222</v>
      </c>
      <c r="C2169">
        <v>57811</v>
      </c>
      <c r="D2169">
        <v>23215</v>
      </c>
      <c r="E2169">
        <v>8760</v>
      </c>
      <c r="F2169">
        <v>72</v>
      </c>
      <c r="G2169" t="s">
        <v>83</v>
      </c>
      <c r="H2169" t="str" cm="1">
        <f t="array" ref="H2169">_xlfn.IFS(Grammys[[#This Row],[date]] &gt;= DATE(2022,2,1),"Grammys",TRUE,"Grammys TRA")</f>
        <v>Grammys</v>
      </c>
      <c r="I2169">
        <f>_xlfn.XLOOKUP(Grammys[[#This Row],[date]],mobile_visits[date],mobile_visits[mobile_visitors],0)</f>
        <v>13295</v>
      </c>
    </row>
    <row r="2170" spans="1:9">
      <c r="A2170" s="1">
        <v>44904</v>
      </c>
      <c r="B2170">
        <v>19116</v>
      </c>
      <c r="C2170">
        <v>49007</v>
      </c>
      <c r="D2170">
        <v>20968</v>
      </c>
      <c r="E2170">
        <v>8956</v>
      </c>
      <c r="F2170">
        <v>72</v>
      </c>
      <c r="G2170" t="s">
        <v>83</v>
      </c>
      <c r="H2170" t="str" cm="1">
        <f t="array" ref="H2170">_xlfn.IFS(Grammys[[#This Row],[date]] &gt;= DATE(2022,2,1),"Grammys",TRUE,"Grammys TRA")</f>
        <v>Grammys</v>
      </c>
      <c r="I2170">
        <f>_xlfn.XLOOKUP(Grammys[[#This Row],[date]],mobile_visits[date],mobile_visits[mobile_visitors],0)</f>
        <v>13171</v>
      </c>
    </row>
    <row r="2171" spans="1:9">
      <c r="A2171" s="1">
        <v>44905</v>
      </c>
      <c r="B2171">
        <v>18114</v>
      </c>
      <c r="C2171">
        <v>46423</v>
      </c>
      <c r="D2171">
        <v>19557</v>
      </c>
      <c r="E2171">
        <v>8703</v>
      </c>
      <c r="F2171">
        <v>79</v>
      </c>
      <c r="G2171" t="s">
        <v>83</v>
      </c>
      <c r="H2171" t="str" cm="1">
        <f t="array" ref="H2171">_xlfn.IFS(Grammys[[#This Row],[date]] &gt;= DATE(2022,2,1),"Grammys",TRUE,"Grammys TRA")</f>
        <v>Grammys</v>
      </c>
      <c r="I2171">
        <f>_xlfn.XLOOKUP(Grammys[[#This Row],[date]],mobile_visits[date],mobile_visits[mobile_visitors],0)</f>
        <v>13681</v>
      </c>
    </row>
    <row r="2172" spans="1:9">
      <c r="A2172" s="1">
        <v>44906</v>
      </c>
      <c r="B2172">
        <v>17517</v>
      </c>
      <c r="C2172">
        <v>44295</v>
      </c>
      <c r="D2172">
        <v>19239</v>
      </c>
      <c r="E2172">
        <v>8802</v>
      </c>
      <c r="F2172">
        <v>73</v>
      </c>
      <c r="G2172" t="s">
        <v>83</v>
      </c>
      <c r="H2172" t="str" cm="1">
        <f t="array" ref="H2172">_xlfn.IFS(Grammys[[#This Row],[date]] &gt;= DATE(2022,2,1),"Grammys",TRUE,"Grammys TRA")</f>
        <v>Grammys</v>
      </c>
      <c r="I2172">
        <f>_xlfn.XLOOKUP(Grammys[[#This Row],[date]],mobile_visits[date],mobile_visits[mobile_visitors],0)</f>
        <v>12380</v>
      </c>
    </row>
    <row r="2173" spans="1:9">
      <c r="A2173" s="1">
        <v>44907</v>
      </c>
      <c r="B2173">
        <v>19425</v>
      </c>
      <c r="C2173">
        <v>48112</v>
      </c>
      <c r="D2173">
        <v>21505</v>
      </c>
      <c r="E2173">
        <v>9972</v>
      </c>
      <c r="F2173">
        <v>76</v>
      </c>
      <c r="G2173" t="s">
        <v>83</v>
      </c>
      <c r="H2173" t="str" cm="1">
        <f t="array" ref="H2173">_xlfn.IFS(Grammys[[#This Row],[date]] &gt;= DATE(2022,2,1),"Grammys",TRUE,"Grammys TRA")</f>
        <v>Grammys</v>
      </c>
      <c r="I2173">
        <f>_xlfn.XLOOKUP(Grammys[[#This Row],[date]],mobile_visits[date],mobile_visits[mobile_visitors],0)</f>
        <v>12124</v>
      </c>
    </row>
    <row r="2174" spans="1:9">
      <c r="A2174" s="1">
        <v>44908</v>
      </c>
      <c r="B2174">
        <v>19116</v>
      </c>
      <c r="C2174">
        <v>46308</v>
      </c>
      <c r="D2174">
        <v>20622</v>
      </c>
      <c r="E2174">
        <v>9507</v>
      </c>
      <c r="F2174">
        <v>78</v>
      </c>
      <c r="G2174" t="s">
        <v>83</v>
      </c>
      <c r="H2174" t="str" cm="1">
        <f t="array" ref="H2174">_xlfn.IFS(Grammys[[#This Row],[date]] &gt;= DATE(2022,2,1),"Grammys",TRUE,"Grammys TRA")</f>
        <v>Grammys</v>
      </c>
      <c r="I2174">
        <f>_xlfn.XLOOKUP(Grammys[[#This Row],[date]],mobile_visits[date],mobile_visits[mobile_visitors],0)</f>
        <v>11919</v>
      </c>
    </row>
    <row r="2175" spans="1:9">
      <c r="A2175" s="1">
        <v>44909</v>
      </c>
      <c r="B2175">
        <v>20520</v>
      </c>
      <c r="C2175">
        <v>49148</v>
      </c>
      <c r="D2175">
        <v>23178</v>
      </c>
      <c r="E2175">
        <v>11664</v>
      </c>
      <c r="F2175">
        <v>71</v>
      </c>
      <c r="G2175" t="s">
        <v>83</v>
      </c>
      <c r="H2175" t="str" cm="1">
        <f t="array" ref="H2175">_xlfn.IFS(Grammys[[#This Row],[date]] &gt;= DATE(2022,2,1),"Grammys",TRUE,"Grammys TRA")</f>
        <v>Grammys</v>
      </c>
      <c r="I2175">
        <f>_xlfn.XLOOKUP(Grammys[[#This Row],[date]],mobile_visits[date],mobile_visits[mobile_visitors],0)</f>
        <v>13610</v>
      </c>
    </row>
    <row r="2176" spans="1:9">
      <c r="A2176" s="1">
        <v>44910</v>
      </c>
      <c r="B2176">
        <v>19881</v>
      </c>
      <c r="C2176">
        <v>49132</v>
      </c>
      <c r="D2176">
        <v>21876</v>
      </c>
      <c r="E2176">
        <v>10315</v>
      </c>
      <c r="F2176">
        <v>73</v>
      </c>
      <c r="G2176" t="s">
        <v>83</v>
      </c>
      <c r="H2176" t="str" cm="1">
        <f t="array" ref="H2176">_xlfn.IFS(Grammys[[#This Row],[date]] &gt;= DATE(2022,2,1),"Grammys",TRUE,"Grammys TRA")</f>
        <v>Grammys</v>
      </c>
      <c r="I2176">
        <f>_xlfn.XLOOKUP(Grammys[[#This Row],[date]],mobile_visits[date],mobile_visits[mobile_visitors],0)</f>
        <v>12841</v>
      </c>
    </row>
    <row r="2177" spans="1:9">
      <c r="A2177" s="1">
        <v>44911</v>
      </c>
      <c r="B2177">
        <v>18308</v>
      </c>
      <c r="C2177">
        <v>45907</v>
      </c>
      <c r="D2177">
        <v>19925</v>
      </c>
      <c r="E2177">
        <v>9150</v>
      </c>
      <c r="F2177">
        <v>76</v>
      </c>
      <c r="G2177" t="s">
        <v>83</v>
      </c>
      <c r="H2177" t="str" cm="1">
        <f t="array" ref="H2177">_xlfn.IFS(Grammys[[#This Row],[date]] &gt;= DATE(2022,2,1),"Grammys",TRUE,"Grammys TRA")</f>
        <v>Grammys</v>
      </c>
      <c r="I2177">
        <f>_xlfn.XLOOKUP(Grammys[[#This Row],[date]],mobile_visits[date],mobile_visits[mobile_visitors],0)</f>
        <v>12311</v>
      </c>
    </row>
    <row r="2178" spans="1:9">
      <c r="A2178" s="1">
        <v>44912</v>
      </c>
      <c r="B2178">
        <v>16285</v>
      </c>
      <c r="C2178">
        <v>42439</v>
      </c>
      <c r="D2178">
        <v>17768</v>
      </c>
      <c r="E2178">
        <v>7877</v>
      </c>
      <c r="F2178">
        <v>72</v>
      </c>
      <c r="G2178" t="s">
        <v>83</v>
      </c>
      <c r="H2178" t="str" cm="1">
        <f t="array" ref="H2178">_xlfn.IFS(Grammys[[#This Row],[date]] &gt;= DATE(2022,2,1),"Grammys",TRUE,"Grammys TRA")</f>
        <v>Grammys</v>
      </c>
      <c r="I2178">
        <f>_xlfn.XLOOKUP(Grammys[[#This Row],[date]],mobile_visits[date],mobile_visits[mobile_visitors],0)</f>
        <v>12843</v>
      </c>
    </row>
    <row r="2179" spans="1:9">
      <c r="A2179" s="1">
        <v>44913</v>
      </c>
      <c r="B2179">
        <v>16882</v>
      </c>
      <c r="C2179">
        <v>44035</v>
      </c>
      <c r="D2179">
        <v>18370</v>
      </c>
      <c r="E2179">
        <v>8280</v>
      </c>
      <c r="F2179">
        <v>76</v>
      </c>
      <c r="G2179" t="s">
        <v>83</v>
      </c>
      <c r="H2179" t="str" cm="1">
        <f t="array" ref="H2179">_xlfn.IFS(Grammys[[#This Row],[date]] &gt;= DATE(2022,2,1),"Grammys",TRUE,"Grammys TRA")</f>
        <v>Grammys</v>
      </c>
      <c r="I2179">
        <f>_xlfn.XLOOKUP(Grammys[[#This Row],[date]],mobile_visits[date],mobile_visits[mobile_visitors],0)</f>
        <v>12762</v>
      </c>
    </row>
    <row r="2180" spans="1:9">
      <c r="A2180" s="1">
        <v>44914</v>
      </c>
      <c r="B2180">
        <v>16884</v>
      </c>
      <c r="C2180">
        <v>43078</v>
      </c>
      <c r="D2180">
        <v>18633</v>
      </c>
      <c r="E2180">
        <v>8216</v>
      </c>
      <c r="F2180">
        <v>79</v>
      </c>
      <c r="G2180" t="s">
        <v>83</v>
      </c>
      <c r="H2180" t="str" cm="1">
        <f t="array" ref="H2180">_xlfn.IFS(Grammys[[#This Row],[date]] &gt;= DATE(2022,2,1),"Grammys",TRUE,"Grammys TRA")</f>
        <v>Grammys</v>
      </c>
      <c r="I2180">
        <f>_xlfn.XLOOKUP(Grammys[[#This Row],[date]],mobile_visits[date],mobile_visits[mobile_visitors],0)</f>
        <v>11460</v>
      </c>
    </row>
    <row r="2181" spans="1:9">
      <c r="A2181" s="1">
        <v>44915</v>
      </c>
      <c r="B2181">
        <v>17975</v>
      </c>
      <c r="C2181">
        <v>44573</v>
      </c>
      <c r="D2181">
        <v>19722</v>
      </c>
      <c r="E2181">
        <v>8889</v>
      </c>
      <c r="F2181">
        <v>77</v>
      </c>
      <c r="G2181" t="s">
        <v>83</v>
      </c>
      <c r="H2181" t="str" cm="1">
        <f t="array" ref="H2181">_xlfn.IFS(Grammys[[#This Row],[date]] &gt;= DATE(2022,2,1),"Grammys",TRUE,"Grammys TRA")</f>
        <v>Grammys</v>
      </c>
      <c r="I2181">
        <f>_xlfn.XLOOKUP(Grammys[[#This Row],[date]],mobile_visits[date],mobile_visits[mobile_visitors],0)</f>
        <v>12291</v>
      </c>
    </row>
    <row r="2182" spans="1:9">
      <c r="A2182" s="1">
        <v>44916</v>
      </c>
      <c r="B2182">
        <v>34234</v>
      </c>
      <c r="C2182">
        <v>92235</v>
      </c>
      <c r="D2182">
        <v>36868</v>
      </c>
      <c r="E2182">
        <v>14409</v>
      </c>
      <c r="F2182">
        <v>100</v>
      </c>
      <c r="G2182" t="s">
        <v>83</v>
      </c>
      <c r="H2182" t="str" cm="1">
        <f t="array" ref="H2182">_xlfn.IFS(Grammys[[#This Row],[date]] &gt;= DATE(2022,2,1),"Grammys",TRUE,"Grammys TRA")</f>
        <v>Grammys</v>
      </c>
      <c r="I2182">
        <f>_xlfn.XLOOKUP(Grammys[[#This Row],[date]],mobile_visits[date],mobile_visits[mobile_visitors],0)</f>
        <v>25316</v>
      </c>
    </row>
    <row r="2183" spans="1:9">
      <c r="A2183" s="1">
        <v>44917</v>
      </c>
      <c r="B2183">
        <v>26118</v>
      </c>
      <c r="C2183">
        <v>67667</v>
      </c>
      <c r="D2183">
        <v>28304</v>
      </c>
      <c r="E2183">
        <v>12236</v>
      </c>
      <c r="F2183">
        <v>83</v>
      </c>
      <c r="G2183" t="s">
        <v>83</v>
      </c>
      <c r="H2183" t="str" cm="1">
        <f t="array" ref="H2183">_xlfn.IFS(Grammys[[#This Row],[date]] &gt;= DATE(2022,2,1),"Grammys",TRUE,"Grammys TRA")</f>
        <v>Grammys</v>
      </c>
      <c r="I2183">
        <f>_xlfn.XLOOKUP(Grammys[[#This Row],[date]],mobile_visits[date],mobile_visits[mobile_visitors],0)</f>
        <v>19208</v>
      </c>
    </row>
    <row r="2184" spans="1:9">
      <c r="A2184" s="1">
        <v>44918</v>
      </c>
      <c r="B2184">
        <v>20065</v>
      </c>
      <c r="C2184">
        <v>50345</v>
      </c>
      <c r="D2184">
        <v>22605</v>
      </c>
      <c r="E2184">
        <v>10788</v>
      </c>
      <c r="F2184">
        <v>71</v>
      </c>
      <c r="G2184" t="s">
        <v>83</v>
      </c>
      <c r="H2184" t="str" cm="1">
        <f t="array" ref="H2184">_xlfn.IFS(Grammys[[#This Row],[date]] &gt;= DATE(2022,2,1),"Grammys",TRUE,"Grammys TRA")</f>
        <v>Grammys</v>
      </c>
      <c r="I2184">
        <f>_xlfn.XLOOKUP(Grammys[[#This Row],[date]],mobile_visits[date],mobile_visits[mobile_visitors],0)</f>
        <v>15919</v>
      </c>
    </row>
    <row r="2185" spans="1:9">
      <c r="A2185" s="1">
        <v>44919</v>
      </c>
      <c r="B2185">
        <v>16347</v>
      </c>
      <c r="C2185">
        <v>40634</v>
      </c>
      <c r="D2185">
        <v>17829</v>
      </c>
      <c r="E2185">
        <v>8104</v>
      </c>
      <c r="F2185">
        <v>71</v>
      </c>
      <c r="G2185" t="s">
        <v>83</v>
      </c>
      <c r="H2185" t="str" cm="1">
        <f t="array" ref="H2185">_xlfn.IFS(Grammys[[#This Row],[date]] &gt;= DATE(2022,2,1),"Grammys",TRUE,"Grammys TRA")</f>
        <v>Grammys</v>
      </c>
      <c r="I2185">
        <f>_xlfn.XLOOKUP(Grammys[[#This Row],[date]],mobile_visits[date],mobile_visits[mobile_visitors],0)</f>
        <v>13140</v>
      </c>
    </row>
    <row r="2186" spans="1:9">
      <c r="A2186" s="1">
        <v>44920</v>
      </c>
      <c r="B2186">
        <v>15042</v>
      </c>
      <c r="C2186">
        <v>36722</v>
      </c>
      <c r="D2186">
        <v>16224</v>
      </c>
      <c r="E2186">
        <v>7371</v>
      </c>
      <c r="F2186">
        <v>73</v>
      </c>
      <c r="G2186" t="s">
        <v>83</v>
      </c>
      <c r="H2186" t="str" cm="1">
        <f t="array" ref="H2186">_xlfn.IFS(Grammys[[#This Row],[date]] &gt;= DATE(2022,2,1),"Grammys",TRUE,"Grammys TRA")</f>
        <v>Grammys</v>
      </c>
      <c r="I2186">
        <f>_xlfn.XLOOKUP(Grammys[[#This Row],[date]],mobile_visits[date],mobile_visits[mobile_visitors],0)</f>
        <v>12408</v>
      </c>
    </row>
    <row r="2187" spans="1:9">
      <c r="A2187" s="1">
        <v>44921</v>
      </c>
      <c r="B2187">
        <v>16458</v>
      </c>
      <c r="C2187">
        <v>41674</v>
      </c>
      <c r="D2187">
        <v>17884</v>
      </c>
      <c r="E2187">
        <v>7893</v>
      </c>
      <c r="F2187">
        <v>78</v>
      </c>
      <c r="G2187" t="s">
        <v>83</v>
      </c>
      <c r="H2187" t="str" cm="1">
        <f t="array" ref="H2187">_xlfn.IFS(Grammys[[#This Row],[date]] &gt;= DATE(2022,2,1),"Grammys",TRUE,"Grammys TRA")</f>
        <v>Grammys</v>
      </c>
      <c r="I2187">
        <f>_xlfn.XLOOKUP(Grammys[[#This Row],[date]],mobile_visits[date],mobile_visits[mobile_visitors],0)</f>
        <v>12416</v>
      </c>
    </row>
    <row r="2188" spans="1:9">
      <c r="A2188" s="1">
        <v>44922</v>
      </c>
      <c r="B2188">
        <v>16794</v>
      </c>
      <c r="C2188">
        <v>43657</v>
      </c>
      <c r="D2188">
        <v>18528</v>
      </c>
      <c r="E2188">
        <v>7997</v>
      </c>
      <c r="F2188">
        <v>81</v>
      </c>
      <c r="G2188" t="s">
        <v>83</v>
      </c>
      <c r="H2188" t="str" cm="1">
        <f t="array" ref="H2188">_xlfn.IFS(Grammys[[#This Row],[date]] &gt;= DATE(2022,2,1),"Grammys",TRUE,"Grammys TRA")</f>
        <v>Grammys</v>
      </c>
      <c r="I2188">
        <f>_xlfn.XLOOKUP(Grammys[[#This Row],[date]],mobile_visits[date],mobile_visits[mobile_visitors],0)</f>
        <v>12283</v>
      </c>
    </row>
    <row r="2189" spans="1:9">
      <c r="A2189" s="1">
        <v>44923</v>
      </c>
      <c r="B2189">
        <v>21087</v>
      </c>
      <c r="C2189">
        <v>53209</v>
      </c>
      <c r="D2189">
        <v>22893</v>
      </c>
      <c r="E2189">
        <v>10270</v>
      </c>
      <c r="F2189">
        <v>76</v>
      </c>
      <c r="G2189" t="s">
        <v>83</v>
      </c>
      <c r="H2189" t="str" cm="1">
        <f t="array" ref="H2189">_xlfn.IFS(Grammys[[#This Row],[date]] &gt;= DATE(2022,2,1),"Grammys",TRUE,"Grammys TRA")</f>
        <v>Grammys</v>
      </c>
      <c r="I2189">
        <f>_xlfn.XLOOKUP(Grammys[[#This Row],[date]],mobile_visits[date],mobile_visits[mobile_visitors],0)</f>
        <v>15716</v>
      </c>
    </row>
    <row r="2190" spans="1:9">
      <c r="A2190" s="1">
        <v>44924</v>
      </c>
      <c r="B2190">
        <v>19914</v>
      </c>
      <c r="C2190">
        <v>50427</v>
      </c>
      <c r="D2190">
        <v>21923</v>
      </c>
      <c r="E2190">
        <v>9872</v>
      </c>
      <c r="F2190">
        <v>74</v>
      </c>
      <c r="G2190" t="s">
        <v>83</v>
      </c>
      <c r="H2190" t="str" cm="1">
        <f t="array" ref="H2190">_xlfn.IFS(Grammys[[#This Row],[date]] &gt;= DATE(2022,2,1),"Grammys",TRUE,"Grammys TRA")</f>
        <v>Grammys</v>
      </c>
      <c r="I2190">
        <f>_xlfn.XLOOKUP(Grammys[[#This Row],[date]],mobile_visits[date],mobile_visits[mobile_visitors],0)</f>
        <v>15168</v>
      </c>
    </row>
    <row r="2191" spans="1:9">
      <c r="A2191" s="1">
        <v>44925</v>
      </c>
      <c r="B2191">
        <v>19732</v>
      </c>
      <c r="C2191">
        <v>51678</v>
      </c>
      <c r="D2191">
        <v>21632</v>
      </c>
      <c r="E2191">
        <v>9207</v>
      </c>
      <c r="F2191">
        <v>76</v>
      </c>
      <c r="G2191" t="s">
        <v>83</v>
      </c>
      <c r="H2191" t="str" cm="1">
        <f t="array" ref="H2191">_xlfn.IFS(Grammys[[#This Row],[date]] &gt;= DATE(2022,2,1),"Grammys",TRUE,"Grammys TRA")</f>
        <v>Grammys</v>
      </c>
      <c r="I2191">
        <f>_xlfn.XLOOKUP(Grammys[[#This Row],[date]],mobile_visits[date],mobile_visits[mobile_visitors],0)</f>
        <v>14673</v>
      </c>
    </row>
    <row r="2192" spans="1:9">
      <c r="A2192" s="1">
        <v>44926</v>
      </c>
      <c r="B2192">
        <v>27350</v>
      </c>
      <c r="C2192">
        <v>71840</v>
      </c>
      <c r="D2192">
        <v>29593</v>
      </c>
      <c r="E2192">
        <v>11796</v>
      </c>
      <c r="F2192">
        <v>64</v>
      </c>
      <c r="G2192" t="s">
        <v>83</v>
      </c>
      <c r="H2192" t="str" cm="1">
        <f t="array" ref="H2192">_xlfn.IFS(Grammys[[#This Row],[date]] &gt;= DATE(2022,2,1),"Grammys",TRUE,"Grammys TRA")</f>
        <v>Grammys</v>
      </c>
      <c r="I2192">
        <f>_xlfn.XLOOKUP(Grammys[[#This Row],[date]],mobile_visits[date],mobile_visits[mobile_visitors],0)</f>
        <v>22344</v>
      </c>
    </row>
    <row r="2193" spans="1:9">
      <c r="A2193" s="1">
        <v>44927</v>
      </c>
      <c r="B2193">
        <v>23236</v>
      </c>
      <c r="C2193">
        <v>60374</v>
      </c>
      <c r="D2193">
        <v>25532</v>
      </c>
      <c r="E2193">
        <v>11066</v>
      </c>
      <c r="F2193">
        <v>75</v>
      </c>
      <c r="G2193" t="s">
        <v>83</v>
      </c>
      <c r="H2193" t="str" cm="1">
        <f t="array" ref="H2193">_xlfn.IFS(Grammys[[#This Row],[date]] &gt;= DATE(2022,2,1),"Grammys",TRUE,"Grammys TRA")</f>
        <v>Grammys</v>
      </c>
      <c r="I2193">
        <f>_xlfn.XLOOKUP(Grammys[[#This Row],[date]],mobile_visits[date],mobile_visits[mobile_visitors],0)</f>
        <v>18542</v>
      </c>
    </row>
    <row r="2194" spans="1:9">
      <c r="A2194" s="1">
        <v>44928</v>
      </c>
      <c r="B2194">
        <v>21469</v>
      </c>
      <c r="C2194">
        <v>56678</v>
      </c>
      <c r="D2194">
        <v>23612</v>
      </c>
      <c r="E2194">
        <v>10036</v>
      </c>
      <c r="F2194">
        <v>81</v>
      </c>
      <c r="G2194" t="s">
        <v>83</v>
      </c>
      <c r="H2194" t="str" cm="1">
        <f t="array" ref="H2194">_xlfn.IFS(Grammys[[#This Row],[date]] &gt;= DATE(2022,2,1),"Grammys",TRUE,"Grammys TRA")</f>
        <v>Grammys</v>
      </c>
      <c r="I2194">
        <f>_xlfn.XLOOKUP(Grammys[[#This Row],[date]],mobile_visits[date],mobile_visits[mobile_visitors],0)</f>
        <v>16567</v>
      </c>
    </row>
    <row r="2195" spans="1:9">
      <c r="A2195" s="1">
        <v>44929</v>
      </c>
      <c r="B2195">
        <v>23516</v>
      </c>
      <c r="C2195">
        <v>60912</v>
      </c>
      <c r="D2195">
        <v>25660</v>
      </c>
      <c r="E2195">
        <v>10803</v>
      </c>
      <c r="F2195">
        <v>78</v>
      </c>
      <c r="G2195" t="s">
        <v>83</v>
      </c>
      <c r="H2195" t="str" cm="1">
        <f t="array" ref="H2195">_xlfn.IFS(Grammys[[#This Row],[date]] &gt;= DATE(2022,2,1),"Grammys",TRUE,"Grammys TRA")</f>
        <v>Grammys</v>
      </c>
      <c r="I2195">
        <f>_xlfn.XLOOKUP(Grammys[[#This Row],[date]],mobile_visits[date],mobile_visits[mobile_visitors],0)</f>
        <v>16684</v>
      </c>
    </row>
    <row r="2196" spans="1:9">
      <c r="A2196" s="1">
        <v>44930</v>
      </c>
      <c r="B2196">
        <v>26984</v>
      </c>
      <c r="C2196">
        <v>74166</v>
      </c>
      <c r="D2196">
        <v>29988</v>
      </c>
      <c r="E2196">
        <v>12314</v>
      </c>
      <c r="F2196">
        <v>82</v>
      </c>
      <c r="G2196" t="s">
        <v>83</v>
      </c>
      <c r="H2196" t="str" cm="1">
        <f t="array" ref="H2196">_xlfn.IFS(Grammys[[#This Row],[date]] &gt;= DATE(2022,2,1),"Grammys",TRUE,"Grammys TRA")</f>
        <v>Grammys</v>
      </c>
      <c r="I2196">
        <f>_xlfn.XLOOKUP(Grammys[[#This Row],[date]],mobile_visits[date],mobile_visits[mobile_visitors],0)</f>
        <v>19448</v>
      </c>
    </row>
    <row r="2197" spans="1:9">
      <c r="A2197" s="1">
        <v>44931</v>
      </c>
      <c r="B2197">
        <v>34723</v>
      </c>
      <c r="C2197">
        <v>86444</v>
      </c>
      <c r="D2197">
        <v>38021</v>
      </c>
      <c r="E2197">
        <v>17042</v>
      </c>
      <c r="F2197">
        <v>72</v>
      </c>
      <c r="G2197" t="s">
        <v>83</v>
      </c>
      <c r="H2197" t="str" cm="1">
        <f t="array" ref="H2197">_xlfn.IFS(Grammys[[#This Row],[date]] &gt;= DATE(2022,2,1),"Grammys",TRUE,"Grammys TRA")</f>
        <v>Grammys</v>
      </c>
      <c r="I2197">
        <f>_xlfn.XLOOKUP(Grammys[[#This Row],[date]],mobile_visits[date],mobile_visits[mobile_visitors],0)</f>
        <v>27265</v>
      </c>
    </row>
    <row r="2198" spans="1:9">
      <c r="A2198" s="1">
        <v>44932</v>
      </c>
      <c r="B2198">
        <v>25792</v>
      </c>
      <c r="C2198">
        <v>66397</v>
      </c>
      <c r="D2198">
        <v>28576</v>
      </c>
      <c r="E2198">
        <v>13265</v>
      </c>
      <c r="F2198">
        <v>78</v>
      </c>
      <c r="G2198" t="s">
        <v>83</v>
      </c>
      <c r="H2198" t="str" cm="1">
        <f t="array" ref="H2198">_xlfn.IFS(Grammys[[#This Row],[date]] &gt;= DATE(2022,2,1),"Grammys",TRUE,"Grammys TRA")</f>
        <v>Grammys</v>
      </c>
      <c r="I2198">
        <f>_xlfn.XLOOKUP(Grammys[[#This Row],[date]],mobile_visits[date],mobile_visits[mobile_visitors],0)</f>
        <v>19012</v>
      </c>
    </row>
    <row r="2199" spans="1:9">
      <c r="A2199" s="1">
        <v>44933</v>
      </c>
      <c r="B2199">
        <v>22199</v>
      </c>
      <c r="C2199">
        <v>58042</v>
      </c>
      <c r="D2199">
        <v>24459</v>
      </c>
      <c r="E2199">
        <v>10777</v>
      </c>
      <c r="F2199">
        <v>72</v>
      </c>
      <c r="G2199" t="s">
        <v>83</v>
      </c>
      <c r="H2199" t="str" cm="1">
        <f t="array" ref="H2199">_xlfn.IFS(Grammys[[#This Row],[date]] &gt;= DATE(2022,2,1),"Grammys",TRUE,"Grammys TRA")</f>
        <v>Grammys</v>
      </c>
      <c r="I2199">
        <f>_xlfn.XLOOKUP(Grammys[[#This Row],[date]],mobile_visits[date],mobile_visits[mobile_visitors],0)</f>
        <v>18131</v>
      </c>
    </row>
    <row r="2200" spans="1:9">
      <c r="A2200" s="1">
        <v>44934</v>
      </c>
      <c r="B2200">
        <v>24901</v>
      </c>
      <c r="C2200">
        <v>65539</v>
      </c>
      <c r="D2200">
        <v>27031</v>
      </c>
      <c r="E2200">
        <v>11672</v>
      </c>
      <c r="F2200">
        <v>80</v>
      </c>
      <c r="G2200" t="s">
        <v>83</v>
      </c>
      <c r="H2200" t="str" cm="1">
        <f t="array" ref="H2200">_xlfn.IFS(Grammys[[#This Row],[date]] &gt;= DATE(2022,2,1),"Grammys",TRUE,"Grammys TRA")</f>
        <v>Grammys</v>
      </c>
      <c r="I2200">
        <f>_xlfn.XLOOKUP(Grammys[[#This Row],[date]],mobile_visits[date],mobile_visits[mobile_visitors],0)</f>
        <v>18695</v>
      </c>
    </row>
    <row r="2201" spans="1:9">
      <c r="A2201" s="1">
        <v>44935</v>
      </c>
      <c r="B2201">
        <v>24156</v>
      </c>
      <c r="C2201">
        <v>64106</v>
      </c>
      <c r="D2201">
        <v>26744</v>
      </c>
      <c r="E2201">
        <v>11869</v>
      </c>
      <c r="F2201">
        <v>81</v>
      </c>
      <c r="G2201" t="s">
        <v>83</v>
      </c>
      <c r="H2201" t="str" cm="1">
        <f t="array" ref="H2201">_xlfn.IFS(Grammys[[#This Row],[date]] &gt;= DATE(2022,2,1),"Grammys",TRUE,"Grammys TRA")</f>
        <v>Grammys</v>
      </c>
      <c r="I2201">
        <f>_xlfn.XLOOKUP(Grammys[[#This Row],[date]],mobile_visits[date],mobile_visits[mobile_visitors],0)</f>
        <v>15812</v>
      </c>
    </row>
    <row r="2202" spans="1:9">
      <c r="A2202" s="1">
        <v>44936</v>
      </c>
      <c r="B2202">
        <v>29935</v>
      </c>
      <c r="C2202">
        <v>80496</v>
      </c>
      <c r="D2202">
        <v>32310</v>
      </c>
      <c r="E2202">
        <v>13913</v>
      </c>
      <c r="F2202">
        <v>82</v>
      </c>
      <c r="G2202" t="s">
        <v>83</v>
      </c>
      <c r="H2202" t="str" cm="1">
        <f t="array" ref="H2202">_xlfn.IFS(Grammys[[#This Row],[date]] &gt;= DATE(2022,2,1),"Grammys",TRUE,"Grammys TRA")</f>
        <v>Grammys</v>
      </c>
      <c r="I2202">
        <f>_xlfn.XLOOKUP(Grammys[[#This Row],[date]],mobile_visits[date],mobile_visits[mobile_visitors],0)</f>
        <v>19870</v>
      </c>
    </row>
    <row r="2203" spans="1:9">
      <c r="A2203" s="1">
        <v>44937</v>
      </c>
      <c r="B2203">
        <v>32371</v>
      </c>
      <c r="C2203">
        <v>86980</v>
      </c>
      <c r="D2203">
        <v>35562</v>
      </c>
      <c r="E2203">
        <v>15303</v>
      </c>
      <c r="F2203">
        <v>83</v>
      </c>
      <c r="G2203" t="s">
        <v>83</v>
      </c>
      <c r="H2203" t="str" cm="1">
        <f t="array" ref="H2203">_xlfn.IFS(Grammys[[#This Row],[date]] &gt;= DATE(2022,2,1),"Grammys",TRUE,"Grammys TRA")</f>
        <v>Grammys</v>
      </c>
      <c r="I2203">
        <f>_xlfn.XLOOKUP(Grammys[[#This Row],[date]],mobile_visits[date],mobile_visits[mobile_visitors],0)</f>
        <v>22150</v>
      </c>
    </row>
    <row r="2204" spans="1:9">
      <c r="A2204" s="1">
        <v>44938</v>
      </c>
      <c r="B2204">
        <v>29192</v>
      </c>
      <c r="C2204">
        <v>74991</v>
      </c>
      <c r="D2204">
        <v>31842</v>
      </c>
      <c r="E2204">
        <v>13976</v>
      </c>
      <c r="F2204">
        <v>87</v>
      </c>
      <c r="G2204" t="s">
        <v>83</v>
      </c>
      <c r="H2204" t="str" cm="1">
        <f t="array" ref="H2204">_xlfn.IFS(Grammys[[#This Row],[date]] &gt;= DATE(2022,2,1),"Grammys",TRUE,"Grammys TRA")</f>
        <v>Grammys</v>
      </c>
      <c r="I2204">
        <f>_xlfn.XLOOKUP(Grammys[[#This Row],[date]],mobile_visits[date],mobile_visits[mobile_visitors],0)</f>
        <v>19935</v>
      </c>
    </row>
    <row r="2205" spans="1:9">
      <c r="A2205" s="1">
        <v>44939</v>
      </c>
      <c r="B2205">
        <v>26645</v>
      </c>
      <c r="C2205">
        <v>69538</v>
      </c>
      <c r="D2205">
        <v>29965</v>
      </c>
      <c r="E2205">
        <v>13299</v>
      </c>
      <c r="F2205">
        <v>81</v>
      </c>
      <c r="G2205" t="s">
        <v>83</v>
      </c>
      <c r="H2205" t="str" cm="1">
        <f t="array" ref="H2205">_xlfn.IFS(Grammys[[#This Row],[date]] &gt;= DATE(2022,2,1),"Grammys",TRUE,"Grammys TRA")</f>
        <v>Grammys</v>
      </c>
      <c r="I2205">
        <f>_xlfn.XLOOKUP(Grammys[[#This Row],[date]],mobile_visits[date],mobile_visits[mobile_visitors],0)</f>
        <v>18744</v>
      </c>
    </row>
    <row r="2206" spans="1:9">
      <c r="A2206" s="1">
        <v>44940</v>
      </c>
      <c r="B2206">
        <v>24105</v>
      </c>
      <c r="C2206">
        <v>62570</v>
      </c>
      <c r="D2206">
        <v>26535</v>
      </c>
      <c r="E2206">
        <v>11395</v>
      </c>
      <c r="F2206">
        <v>76</v>
      </c>
      <c r="G2206" t="s">
        <v>83</v>
      </c>
      <c r="H2206" t="str" cm="1">
        <f t="array" ref="H2206">_xlfn.IFS(Grammys[[#This Row],[date]] &gt;= DATE(2022,2,1),"Grammys",TRUE,"Grammys TRA")</f>
        <v>Grammys</v>
      </c>
      <c r="I2206">
        <f>_xlfn.XLOOKUP(Grammys[[#This Row],[date]],mobile_visits[date],mobile_visits[mobile_visitors],0)</f>
        <v>19072</v>
      </c>
    </row>
    <row r="2207" spans="1:9">
      <c r="A2207" s="1">
        <v>44941</v>
      </c>
      <c r="B2207">
        <v>26010</v>
      </c>
      <c r="C2207">
        <v>68642</v>
      </c>
      <c r="D2207">
        <v>28347</v>
      </c>
      <c r="E2207">
        <v>11787</v>
      </c>
      <c r="F2207">
        <v>81</v>
      </c>
      <c r="G2207" t="s">
        <v>83</v>
      </c>
      <c r="H2207" t="str" cm="1">
        <f t="array" ref="H2207">_xlfn.IFS(Grammys[[#This Row],[date]] &gt;= DATE(2022,2,1),"Grammys",TRUE,"Grammys TRA")</f>
        <v>Grammys</v>
      </c>
      <c r="I2207">
        <f>_xlfn.XLOOKUP(Grammys[[#This Row],[date]],mobile_visits[date],mobile_visits[mobile_visitors],0)</f>
        <v>20586</v>
      </c>
    </row>
    <row r="2208" spans="1:9">
      <c r="A2208" s="1">
        <v>44942</v>
      </c>
      <c r="B2208">
        <v>23335</v>
      </c>
      <c r="C2208">
        <v>64038</v>
      </c>
      <c r="D2208">
        <v>25464</v>
      </c>
      <c r="E2208">
        <v>10420</v>
      </c>
      <c r="F2208">
        <v>87</v>
      </c>
      <c r="G2208" t="s">
        <v>83</v>
      </c>
      <c r="H2208" t="str" cm="1">
        <f t="array" ref="H2208">_xlfn.IFS(Grammys[[#This Row],[date]] &gt;= DATE(2022,2,1),"Grammys",TRUE,"Grammys TRA")</f>
        <v>Grammys</v>
      </c>
      <c r="I2208">
        <f>_xlfn.XLOOKUP(Grammys[[#This Row],[date]],mobile_visits[date],mobile_visits[mobile_visitors],0)</f>
        <v>18068</v>
      </c>
    </row>
    <row r="2209" spans="1:9">
      <c r="A2209" s="1">
        <v>44943</v>
      </c>
      <c r="B2209">
        <v>23291</v>
      </c>
      <c r="C2209">
        <v>145866</v>
      </c>
      <c r="D2209">
        <v>25791</v>
      </c>
      <c r="E2209">
        <v>5587</v>
      </c>
      <c r="F2209">
        <v>113</v>
      </c>
      <c r="G2209" t="s">
        <v>83</v>
      </c>
      <c r="H2209" t="str" cm="1">
        <f t="array" ref="H2209">_xlfn.IFS(Grammys[[#This Row],[date]] &gt;= DATE(2022,2,1),"Grammys",TRUE,"Grammys TRA")</f>
        <v>Grammys</v>
      </c>
      <c r="I2209">
        <f>_xlfn.XLOOKUP(Grammys[[#This Row],[date]],mobile_visits[date],mobile_visits[mobile_visitors],0)</f>
        <v>13904</v>
      </c>
    </row>
    <row r="2210" spans="1:9">
      <c r="A2210" s="1">
        <v>44944</v>
      </c>
      <c r="B2210">
        <v>25933</v>
      </c>
      <c r="C2210">
        <v>170210</v>
      </c>
      <c r="D2210">
        <v>28848</v>
      </c>
      <c r="E2210">
        <v>4602</v>
      </c>
      <c r="F2210">
        <v>137</v>
      </c>
      <c r="G2210" t="s">
        <v>83</v>
      </c>
      <c r="H2210" t="str" cm="1">
        <f t="array" ref="H2210">_xlfn.IFS(Grammys[[#This Row],[date]] &gt;= DATE(2022,2,1),"Grammys",TRUE,"Grammys TRA")</f>
        <v>Grammys</v>
      </c>
      <c r="I2210">
        <f>_xlfn.XLOOKUP(Grammys[[#This Row],[date]],mobile_visits[date],mobile_visits[mobile_visitors],0)</f>
        <v>16311</v>
      </c>
    </row>
    <row r="2211" spans="1:9">
      <c r="A2211" s="1">
        <v>44945</v>
      </c>
      <c r="B2211">
        <v>27785</v>
      </c>
      <c r="C2211">
        <v>183587</v>
      </c>
      <c r="D2211">
        <v>31964</v>
      </c>
      <c r="E2211">
        <v>4105</v>
      </c>
      <c r="F2211">
        <v>117</v>
      </c>
      <c r="G2211" t="s">
        <v>83</v>
      </c>
      <c r="H2211" t="str" cm="1">
        <f t="array" ref="H2211">_xlfn.IFS(Grammys[[#This Row],[date]] &gt;= DATE(2022,2,1),"Grammys",TRUE,"Grammys TRA")</f>
        <v>Grammys</v>
      </c>
      <c r="I2211">
        <f>_xlfn.XLOOKUP(Grammys[[#This Row],[date]],mobile_visits[date],mobile_visits[mobile_visitors],0)</f>
        <v>18633</v>
      </c>
    </row>
    <row r="2212" spans="1:9">
      <c r="A2212" s="1">
        <v>44946</v>
      </c>
      <c r="B2212">
        <v>26096</v>
      </c>
      <c r="C2212">
        <v>125693</v>
      </c>
      <c r="D2212">
        <v>29251</v>
      </c>
      <c r="E2212">
        <v>5146</v>
      </c>
      <c r="F2212">
        <v>103</v>
      </c>
      <c r="G2212" t="s">
        <v>83</v>
      </c>
      <c r="H2212" t="str" cm="1">
        <f t="array" ref="H2212">_xlfn.IFS(Grammys[[#This Row],[date]] &gt;= DATE(2022,2,1),"Grammys",TRUE,"Grammys TRA")</f>
        <v>Grammys</v>
      </c>
      <c r="I2212">
        <f>_xlfn.XLOOKUP(Grammys[[#This Row],[date]],mobile_visits[date],mobile_visits[mobile_visitors],0)</f>
        <v>17152</v>
      </c>
    </row>
    <row r="2213" spans="1:9">
      <c r="A2213" s="1">
        <v>44947</v>
      </c>
      <c r="B2213">
        <v>24615</v>
      </c>
      <c r="C2213">
        <v>64786</v>
      </c>
      <c r="D2213">
        <v>27040</v>
      </c>
      <c r="E2213">
        <v>6531</v>
      </c>
      <c r="F2213">
        <v>84</v>
      </c>
      <c r="G2213" t="s">
        <v>83</v>
      </c>
      <c r="H2213" t="str" cm="1">
        <f t="array" ref="H2213">_xlfn.IFS(Grammys[[#This Row],[date]] &gt;= DATE(2022,2,1),"Grammys",TRUE,"Grammys TRA")</f>
        <v>Grammys</v>
      </c>
      <c r="I2213">
        <f>_xlfn.XLOOKUP(Grammys[[#This Row],[date]],mobile_visits[date],mobile_visits[mobile_visitors],0)</f>
        <v>19191</v>
      </c>
    </row>
    <row r="2214" spans="1:9">
      <c r="A2214" s="1">
        <v>44948</v>
      </c>
      <c r="B2214">
        <v>39303</v>
      </c>
      <c r="C2214">
        <v>103388</v>
      </c>
      <c r="D2214">
        <v>43345</v>
      </c>
      <c r="E2214">
        <v>10022</v>
      </c>
      <c r="F2214">
        <v>84</v>
      </c>
      <c r="G2214" t="s">
        <v>83</v>
      </c>
      <c r="H2214" t="str" cm="1">
        <f t="array" ref="H2214">_xlfn.IFS(Grammys[[#This Row],[date]] &gt;= DATE(2022,2,1),"Grammys",TRUE,"Grammys TRA")</f>
        <v>Grammys</v>
      </c>
      <c r="I2214">
        <f>_xlfn.XLOOKUP(Grammys[[#This Row],[date]],mobile_visits[date],mobile_visits[mobile_visitors],0)</f>
        <v>32862</v>
      </c>
    </row>
    <row r="2215" spans="1:9">
      <c r="A2215" s="1">
        <v>44949</v>
      </c>
      <c r="B2215">
        <v>31024</v>
      </c>
      <c r="C2215">
        <v>81100</v>
      </c>
      <c r="D2215">
        <v>34421</v>
      </c>
      <c r="E2215">
        <v>8420</v>
      </c>
      <c r="F2215">
        <v>90</v>
      </c>
      <c r="G2215" t="s">
        <v>83</v>
      </c>
      <c r="H2215" t="str" cm="1">
        <f t="array" ref="H2215">_xlfn.IFS(Grammys[[#This Row],[date]] &gt;= DATE(2022,2,1),"Grammys",TRUE,"Grammys TRA")</f>
        <v>Grammys</v>
      </c>
      <c r="I2215">
        <f>_xlfn.XLOOKUP(Grammys[[#This Row],[date]],mobile_visits[date],mobile_visits[mobile_visitors],0)</f>
        <v>22211</v>
      </c>
    </row>
    <row r="2216" spans="1:9">
      <c r="A2216" s="1">
        <v>44950</v>
      </c>
      <c r="B2216">
        <v>43446</v>
      </c>
      <c r="C2216">
        <v>115557</v>
      </c>
      <c r="D2216">
        <v>47571</v>
      </c>
      <c r="E2216">
        <v>11770</v>
      </c>
      <c r="F2216">
        <v>90</v>
      </c>
      <c r="G2216" t="s">
        <v>83</v>
      </c>
      <c r="H2216" t="str" cm="1">
        <f t="array" ref="H2216">_xlfn.IFS(Grammys[[#This Row],[date]] &gt;= DATE(2022,2,1),"Grammys",TRUE,"Grammys TRA")</f>
        <v>Grammys</v>
      </c>
      <c r="I2216">
        <f>_xlfn.XLOOKUP(Grammys[[#This Row],[date]],mobile_visits[date],mobile_visits[mobile_visitors],0)</f>
        <v>29287</v>
      </c>
    </row>
    <row r="2217" spans="1:9">
      <c r="A2217" s="1">
        <v>44951</v>
      </c>
      <c r="B2217">
        <v>52127</v>
      </c>
      <c r="C2217">
        <v>140288</v>
      </c>
      <c r="D2217">
        <v>60202</v>
      </c>
      <c r="E2217">
        <v>11842</v>
      </c>
      <c r="F2217">
        <v>118</v>
      </c>
      <c r="G2217" t="s">
        <v>83</v>
      </c>
      <c r="H2217" t="str" cm="1">
        <f t="array" ref="H2217">_xlfn.IFS(Grammys[[#This Row],[date]] &gt;= DATE(2022,2,1),"Grammys",TRUE,"Grammys TRA")</f>
        <v>Grammys</v>
      </c>
      <c r="I2217">
        <f>_xlfn.XLOOKUP(Grammys[[#This Row],[date]],mobile_visits[date],mobile_visits[mobile_visitors],0)</f>
        <v>37577</v>
      </c>
    </row>
    <row r="2218" spans="1:9">
      <c r="A2218" s="1">
        <v>44952</v>
      </c>
      <c r="B2218">
        <v>48124</v>
      </c>
      <c r="C2218">
        <v>113561</v>
      </c>
      <c r="D2218">
        <v>53136</v>
      </c>
      <c r="E2218">
        <v>16956</v>
      </c>
      <c r="F2218">
        <v>101</v>
      </c>
      <c r="G2218" t="s">
        <v>83</v>
      </c>
      <c r="H2218" t="str" cm="1">
        <f t="array" ref="H2218">_xlfn.IFS(Grammys[[#This Row],[date]] &gt;= DATE(2022,2,1),"Grammys",TRUE,"Grammys TRA")</f>
        <v>Grammys</v>
      </c>
      <c r="I2218">
        <f>_xlfn.XLOOKUP(Grammys[[#This Row],[date]],mobile_visits[date],mobile_visits[mobile_visitors],0)</f>
        <v>34174</v>
      </c>
    </row>
    <row r="2219" spans="1:9">
      <c r="A2219" s="1">
        <v>44953</v>
      </c>
      <c r="B2219">
        <v>45990</v>
      </c>
      <c r="C2219">
        <v>99612</v>
      </c>
      <c r="D2219">
        <v>49837</v>
      </c>
      <c r="E2219">
        <v>21176</v>
      </c>
      <c r="F2219">
        <v>90</v>
      </c>
      <c r="G2219" t="s">
        <v>83</v>
      </c>
      <c r="H2219" t="str" cm="1">
        <f t="array" ref="H2219">_xlfn.IFS(Grammys[[#This Row],[date]] &gt;= DATE(2022,2,1),"Grammys",TRUE,"Grammys TRA")</f>
        <v>Grammys</v>
      </c>
      <c r="I2219">
        <f>_xlfn.XLOOKUP(Grammys[[#This Row],[date]],mobile_visits[date],mobile_visits[mobile_visitors],0)</f>
        <v>33917</v>
      </c>
    </row>
    <row r="2220" spans="1:9">
      <c r="A2220" s="1">
        <v>44954</v>
      </c>
      <c r="B2220">
        <v>42476</v>
      </c>
      <c r="C2220">
        <v>92595</v>
      </c>
      <c r="D2220">
        <v>45642</v>
      </c>
      <c r="E2220">
        <v>17463</v>
      </c>
      <c r="F2220">
        <v>85</v>
      </c>
      <c r="G2220" t="s">
        <v>83</v>
      </c>
      <c r="H2220" t="str" cm="1">
        <f t="array" ref="H2220">_xlfn.IFS(Grammys[[#This Row],[date]] &gt;= DATE(2022,2,1),"Grammys",TRUE,"Grammys TRA")</f>
        <v>Grammys</v>
      </c>
      <c r="I2220">
        <f>_xlfn.XLOOKUP(Grammys[[#This Row],[date]],mobile_visits[date],mobile_visits[mobile_visitors],0)</f>
        <v>34419</v>
      </c>
    </row>
    <row r="2221" spans="1:9">
      <c r="A2221" s="1">
        <v>44955</v>
      </c>
      <c r="B2221">
        <v>75403</v>
      </c>
      <c r="C2221">
        <v>173982</v>
      </c>
      <c r="D2221">
        <v>81523</v>
      </c>
      <c r="E2221">
        <v>22754</v>
      </c>
      <c r="F2221">
        <v>86</v>
      </c>
      <c r="G2221" t="s">
        <v>83</v>
      </c>
      <c r="H2221" t="str" cm="1">
        <f t="array" ref="H2221">_xlfn.IFS(Grammys[[#This Row],[date]] &gt;= DATE(2022,2,1),"Grammys",TRUE,"Grammys TRA")</f>
        <v>Grammys</v>
      </c>
      <c r="I2221">
        <f>_xlfn.XLOOKUP(Grammys[[#This Row],[date]],mobile_visits[date],mobile_visits[mobile_visitors],0)</f>
        <v>62861</v>
      </c>
    </row>
    <row r="2222" spans="1:9">
      <c r="A2222" s="1">
        <v>44956</v>
      </c>
      <c r="B2222">
        <v>65228</v>
      </c>
      <c r="C2222">
        <v>152244</v>
      </c>
      <c r="D2222">
        <v>72134</v>
      </c>
      <c r="E2222">
        <v>22932</v>
      </c>
      <c r="F2222">
        <v>90</v>
      </c>
      <c r="G2222" t="s">
        <v>83</v>
      </c>
      <c r="H2222" t="str" cm="1">
        <f t="array" ref="H2222">_xlfn.IFS(Grammys[[#This Row],[date]] &gt;= DATE(2022,2,1),"Grammys",TRUE,"Grammys TRA")</f>
        <v>Grammys</v>
      </c>
      <c r="I2222">
        <f>_xlfn.XLOOKUP(Grammys[[#This Row],[date]],mobile_visits[date],mobile_visits[mobile_visitors],0)</f>
        <v>47158</v>
      </c>
    </row>
    <row r="2223" spans="1:9">
      <c r="A2223" s="1">
        <v>44957</v>
      </c>
      <c r="B2223">
        <v>64084</v>
      </c>
      <c r="C2223">
        <v>146379</v>
      </c>
      <c r="D2223">
        <v>69878</v>
      </c>
      <c r="E2223">
        <v>26722</v>
      </c>
      <c r="F2223">
        <v>96</v>
      </c>
      <c r="G2223" t="s">
        <v>83</v>
      </c>
      <c r="H2223" t="str" cm="1">
        <f t="array" ref="H2223">_xlfn.IFS(Grammys[[#This Row],[date]] &gt;= DATE(2022,2,1),"Grammys",TRUE,"Grammys TRA")</f>
        <v>Grammys</v>
      </c>
      <c r="I2223">
        <f>_xlfn.XLOOKUP(Grammys[[#This Row],[date]],mobile_visits[date],mobile_visits[mobile_visitors],0)</f>
        <v>45623</v>
      </c>
    </row>
    <row r="2224" spans="1:9">
      <c r="A2224" s="1">
        <v>44958</v>
      </c>
      <c r="B2224">
        <v>77233</v>
      </c>
      <c r="C2224">
        <v>178624</v>
      </c>
      <c r="D2224">
        <v>84436</v>
      </c>
      <c r="E2224">
        <v>32382</v>
      </c>
      <c r="F2224">
        <v>95</v>
      </c>
      <c r="G2224" t="s">
        <v>83</v>
      </c>
      <c r="H2224" t="str" cm="1">
        <f t="array" ref="H2224">_xlfn.IFS(Grammys[[#This Row],[date]] &gt;= DATE(2022,2,1),"Grammys",TRUE,"Grammys TRA")</f>
        <v>Grammys</v>
      </c>
      <c r="I2224">
        <f>_xlfn.XLOOKUP(Grammys[[#This Row],[date]],mobile_visits[date],mobile_visits[mobile_visitors],0)</f>
        <v>57546</v>
      </c>
    </row>
    <row r="2225" spans="1:9">
      <c r="A2225" s="1">
        <v>44959</v>
      </c>
      <c r="B2225">
        <v>88913</v>
      </c>
      <c r="C2225">
        <v>203918</v>
      </c>
      <c r="D2225">
        <v>96686</v>
      </c>
      <c r="E2225">
        <v>37708</v>
      </c>
      <c r="F2225">
        <v>92</v>
      </c>
      <c r="G2225" t="s">
        <v>83</v>
      </c>
      <c r="H2225" t="str" cm="1">
        <f t="array" ref="H2225">_xlfn.IFS(Grammys[[#This Row],[date]] &gt;= DATE(2022,2,1),"Grammys",TRUE,"Grammys TRA")</f>
        <v>Grammys</v>
      </c>
      <c r="I2225">
        <f>_xlfn.XLOOKUP(Grammys[[#This Row],[date]],mobile_visits[date],mobile_visits[mobile_visitors],0)</f>
        <v>66488</v>
      </c>
    </row>
    <row r="2226" spans="1:9">
      <c r="A2226" s="1">
        <v>44960</v>
      </c>
      <c r="B2226">
        <v>123104</v>
      </c>
      <c r="C2226">
        <v>291271</v>
      </c>
      <c r="D2226">
        <v>135224</v>
      </c>
      <c r="E2226">
        <v>46639</v>
      </c>
      <c r="F2226">
        <v>92</v>
      </c>
      <c r="G2226" t="s">
        <v>83</v>
      </c>
      <c r="H2226" t="str" cm="1">
        <f t="array" ref="H2226">_xlfn.IFS(Grammys[[#This Row],[date]] &gt;= DATE(2022,2,1),"Grammys",TRUE,"Grammys TRA")</f>
        <v>Grammys</v>
      </c>
      <c r="I2226">
        <f>_xlfn.XLOOKUP(Grammys[[#This Row],[date]],mobile_visits[date],mobile_visits[mobile_visitors],0)</f>
        <v>93170</v>
      </c>
    </row>
    <row r="2227" spans="1:9">
      <c r="A2227" s="1">
        <v>44961</v>
      </c>
      <c r="B2227">
        <v>198665</v>
      </c>
      <c r="C2227">
        <v>483438</v>
      </c>
      <c r="D2227">
        <v>220567</v>
      </c>
      <c r="E2227">
        <v>68090</v>
      </c>
      <c r="F2227">
        <v>94</v>
      </c>
      <c r="G2227" t="s">
        <v>83</v>
      </c>
      <c r="H2227" t="str" cm="1">
        <f t="array" ref="H2227">_xlfn.IFS(Grammys[[#This Row],[date]] &gt;= DATE(2022,2,1),"Grammys",TRUE,"Grammys TRA")</f>
        <v>Grammys</v>
      </c>
      <c r="I2227">
        <f>_xlfn.XLOOKUP(Grammys[[#This Row],[date]],mobile_visits[date],mobile_visits[mobile_visitors],0)</f>
        <v>164559</v>
      </c>
    </row>
    <row r="2228" spans="1:9">
      <c r="A2228" s="1">
        <v>44962</v>
      </c>
      <c r="B2228">
        <v>2824595</v>
      </c>
      <c r="C2228">
        <v>7895521</v>
      </c>
      <c r="D2228">
        <v>3470476</v>
      </c>
      <c r="E2228">
        <v>841244</v>
      </c>
      <c r="F2228">
        <v>284</v>
      </c>
      <c r="G2228" t="s">
        <v>85</v>
      </c>
      <c r="H2228" t="str" cm="1">
        <f t="array" ref="H2228">_xlfn.IFS(Grammys[[#This Row],[date]] &gt;= DATE(2022,2,1),"Grammys",TRUE,"Grammys TRA")</f>
        <v>Grammys</v>
      </c>
      <c r="I2228">
        <f>_xlfn.XLOOKUP(Grammys[[#This Row],[date]],mobile_visits[date],mobile_visits[mobile_visitors],0)</f>
        <v>2278580</v>
      </c>
    </row>
    <row r="2229" spans="1:9">
      <c r="A2229" s="1">
        <v>44963</v>
      </c>
      <c r="B2229">
        <v>1441282</v>
      </c>
      <c r="C2229">
        <v>3390650</v>
      </c>
      <c r="D2229">
        <v>1563450</v>
      </c>
      <c r="E2229">
        <v>548615</v>
      </c>
      <c r="F2229">
        <v>97</v>
      </c>
      <c r="G2229" t="s">
        <v>83</v>
      </c>
      <c r="H2229" t="str" cm="1">
        <f t="array" ref="H2229">_xlfn.IFS(Grammys[[#This Row],[date]] &gt;= DATE(2022,2,1),"Grammys",TRUE,"Grammys TRA")</f>
        <v>Grammys</v>
      </c>
      <c r="I2229">
        <f>_xlfn.XLOOKUP(Grammys[[#This Row],[date]],mobile_visits[date],mobile_visits[mobile_visitors],0)</f>
        <v>1093047</v>
      </c>
    </row>
    <row r="2230" spans="1:9">
      <c r="A2230" s="1">
        <v>44964</v>
      </c>
      <c r="B2230">
        <v>367787</v>
      </c>
      <c r="C2230">
        <v>836729</v>
      </c>
      <c r="D2230">
        <v>404375</v>
      </c>
      <c r="E2230">
        <v>144120</v>
      </c>
      <c r="F2230">
        <v>107</v>
      </c>
      <c r="G2230" t="s">
        <v>83</v>
      </c>
      <c r="H2230" t="str" cm="1">
        <f t="array" ref="H2230">_xlfn.IFS(Grammys[[#This Row],[date]] &gt;= DATE(2022,2,1),"Grammys",TRUE,"Grammys TRA")</f>
        <v>Grammys</v>
      </c>
      <c r="I2230">
        <f>_xlfn.XLOOKUP(Grammys[[#This Row],[date]],mobile_visits[date],mobile_visits[mobile_visitors],0)</f>
        <v>276837</v>
      </c>
    </row>
    <row r="2231" spans="1:9">
      <c r="A2231" s="1">
        <v>44965</v>
      </c>
      <c r="B2231">
        <v>209378</v>
      </c>
      <c r="C2231">
        <v>473098</v>
      </c>
      <c r="D2231">
        <v>225201</v>
      </c>
      <c r="E2231">
        <v>72222</v>
      </c>
      <c r="F2231">
        <v>110</v>
      </c>
      <c r="G2231" t="s">
        <v>83</v>
      </c>
      <c r="H2231" t="str" cm="1">
        <f t="array" ref="H2231">_xlfn.IFS(Grammys[[#This Row],[date]] &gt;= DATE(2022,2,1),"Grammys",TRUE,"Grammys TRA")</f>
        <v>Grammys</v>
      </c>
      <c r="I2231">
        <f>_xlfn.XLOOKUP(Grammys[[#This Row],[date]],mobile_visits[date],mobile_visits[mobile_visitors],0)</f>
        <v>158349</v>
      </c>
    </row>
    <row r="2232" spans="1:9">
      <c r="A2232" s="1">
        <v>44966</v>
      </c>
      <c r="B2232">
        <v>151241</v>
      </c>
      <c r="C2232">
        <v>330990</v>
      </c>
      <c r="D2232">
        <v>162540</v>
      </c>
      <c r="E2232">
        <v>51737</v>
      </c>
      <c r="F2232">
        <v>102</v>
      </c>
      <c r="G2232" t="s">
        <v>83</v>
      </c>
      <c r="H2232" t="str" cm="1">
        <f t="array" ref="H2232">_xlfn.IFS(Grammys[[#This Row],[date]] &gt;= DATE(2022,2,1),"Grammys",TRUE,"Grammys TRA")</f>
        <v>Grammys</v>
      </c>
      <c r="I2232">
        <f>_xlfn.XLOOKUP(Grammys[[#This Row],[date]],mobile_visits[date],mobile_visits[mobile_visitors],0)</f>
        <v>112519</v>
      </c>
    </row>
    <row r="2233" spans="1:9">
      <c r="A2233" s="1">
        <v>44967</v>
      </c>
      <c r="B2233">
        <v>122553</v>
      </c>
      <c r="C2233">
        <v>275305</v>
      </c>
      <c r="D2233">
        <v>133148</v>
      </c>
      <c r="E2233">
        <v>43140</v>
      </c>
      <c r="F2233">
        <v>108</v>
      </c>
      <c r="G2233" t="s">
        <v>83</v>
      </c>
      <c r="H2233" t="str" cm="1">
        <f t="array" ref="H2233">_xlfn.IFS(Grammys[[#This Row],[date]] &gt;= DATE(2022,2,1),"Grammys",TRUE,"Grammys TRA")</f>
        <v>Grammys</v>
      </c>
      <c r="I2233">
        <f>_xlfn.XLOOKUP(Grammys[[#This Row],[date]],mobile_visits[date],mobile_visits[mobile_visitors],0)</f>
        <v>94314</v>
      </c>
    </row>
    <row r="2234" spans="1:9">
      <c r="A2234" s="1">
        <v>44968</v>
      </c>
      <c r="B2234">
        <v>122153</v>
      </c>
      <c r="C2234">
        <v>273913</v>
      </c>
      <c r="D2234">
        <v>130190</v>
      </c>
      <c r="E2234">
        <v>38302</v>
      </c>
      <c r="F2234">
        <v>109</v>
      </c>
      <c r="G2234" t="s">
        <v>83</v>
      </c>
      <c r="H2234" t="str" cm="1">
        <f t="array" ref="H2234">_xlfn.IFS(Grammys[[#This Row],[date]] &gt;= DATE(2022,2,1),"Grammys",TRUE,"Grammys TRA")</f>
        <v>Grammys</v>
      </c>
      <c r="I2234">
        <f>_xlfn.XLOOKUP(Grammys[[#This Row],[date]],mobile_visits[date],mobile_visits[mobile_visitors],0)</f>
        <v>99963</v>
      </c>
    </row>
    <row r="2235" spans="1:9">
      <c r="A2235" s="1">
        <v>44969</v>
      </c>
      <c r="B2235">
        <v>126021</v>
      </c>
      <c r="C2235">
        <v>260762</v>
      </c>
      <c r="D2235">
        <v>136061</v>
      </c>
      <c r="E2235">
        <v>34682</v>
      </c>
      <c r="F2235">
        <v>111</v>
      </c>
      <c r="G2235" t="s">
        <v>83</v>
      </c>
      <c r="H2235" t="str" cm="1">
        <f t="array" ref="H2235">_xlfn.IFS(Grammys[[#This Row],[date]] &gt;= DATE(2022,2,1),"Grammys",TRUE,"Grammys TRA")</f>
        <v>Grammys</v>
      </c>
      <c r="I2235">
        <f>_xlfn.XLOOKUP(Grammys[[#This Row],[date]],mobile_visits[date],mobile_visits[mobile_visitors],0)</f>
        <v>105474</v>
      </c>
    </row>
    <row r="2236" spans="1:9">
      <c r="A2236" s="1">
        <v>44970</v>
      </c>
      <c r="B2236">
        <v>81844</v>
      </c>
      <c r="C2236">
        <v>162329</v>
      </c>
      <c r="D2236">
        <v>86797</v>
      </c>
      <c r="E2236">
        <v>24139</v>
      </c>
      <c r="F2236">
        <v>111</v>
      </c>
      <c r="G2236" t="s">
        <v>83</v>
      </c>
      <c r="H2236" t="str" cm="1">
        <f t="array" ref="H2236">_xlfn.IFS(Grammys[[#This Row],[date]] &gt;= DATE(2022,2,1),"Grammys",TRUE,"Grammys TRA")</f>
        <v>Grammys</v>
      </c>
      <c r="I2236">
        <f>_xlfn.XLOOKUP(Grammys[[#This Row],[date]],mobile_visits[date],mobile_visits[mobile_visitors],0)</f>
        <v>58637</v>
      </c>
    </row>
    <row r="2237" spans="1:9">
      <c r="A2237" s="1">
        <v>44971</v>
      </c>
      <c r="B2237">
        <v>55874</v>
      </c>
      <c r="C2237">
        <v>109908</v>
      </c>
      <c r="D2237">
        <v>59977</v>
      </c>
      <c r="E2237">
        <v>19415</v>
      </c>
      <c r="F2237">
        <v>102</v>
      </c>
      <c r="G2237" t="s">
        <v>83</v>
      </c>
      <c r="H2237" t="str" cm="1">
        <f t="array" ref="H2237">_xlfn.IFS(Grammys[[#This Row],[date]] &gt;= DATE(2022,2,1),"Grammys",TRUE,"Grammys TRA")</f>
        <v>Grammys</v>
      </c>
      <c r="I2237">
        <f>_xlfn.XLOOKUP(Grammys[[#This Row],[date]],mobile_visits[date],mobile_visits[mobile_visitors],0)</f>
        <v>40385</v>
      </c>
    </row>
    <row r="2238" spans="1:9">
      <c r="A2238" s="1">
        <v>44972</v>
      </c>
      <c r="B2238">
        <v>48658</v>
      </c>
      <c r="C2238">
        <v>98360</v>
      </c>
      <c r="D2238">
        <v>52353</v>
      </c>
      <c r="E2238">
        <v>18492</v>
      </c>
      <c r="F2238">
        <v>101</v>
      </c>
      <c r="G2238" t="s">
        <v>83</v>
      </c>
      <c r="H2238" t="str" cm="1">
        <f t="array" ref="H2238">_xlfn.IFS(Grammys[[#This Row],[date]] &gt;= DATE(2022,2,1),"Grammys",TRUE,"Grammys TRA")</f>
        <v>Grammys</v>
      </c>
      <c r="I2238">
        <f>_xlfn.XLOOKUP(Grammys[[#This Row],[date]],mobile_visits[date],mobile_visits[mobile_visitors],0)</f>
        <v>33456</v>
      </c>
    </row>
    <row r="2239" spans="1:9">
      <c r="A2239" s="1">
        <v>44973</v>
      </c>
      <c r="B2239">
        <v>43914</v>
      </c>
      <c r="C2239">
        <v>87613</v>
      </c>
      <c r="D2239">
        <v>47169</v>
      </c>
      <c r="E2239">
        <v>17863</v>
      </c>
      <c r="F2239">
        <v>97</v>
      </c>
      <c r="G2239" t="s">
        <v>83</v>
      </c>
      <c r="H2239" t="str" cm="1">
        <f t="array" ref="H2239">_xlfn.IFS(Grammys[[#This Row],[date]] &gt;= DATE(2022,2,1),"Grammys",TRUE,"Grammys TRA")</f>
        <v>Grammys</v>
      </c>
      <c r="I2239">
        <f>_xlfn.XLOOKUP(Grammys[[#This Row],[date]],mobile_visits[date],mobile_visits[mobile_visitors],0)</f>
        <v>30511</v>
      </c>
    </row>
    <row r="2240" spans="1:9">
      <c r="A2240" s="1">
        <v>44974</v>
      </c>
      <c r="B2240">
        <v>42247</v>
      </c>
      <c r="C2240">
        <v>85376</v>
      </c>
      <c r="D2240">
        <v>45549</v>
      </c>
      <c r="E2240">
        <v>16931</v>
      </c>
      <c r="F2240">
        <v>99</v>
      </c>
      <c r="G2240" t="s">
        <v>83</v>
      </c>
      <c r="H2240" t="str" cm="1">
        <f t="array" ref="H2240">_xlfn.IFS(Grammys[[#This Row],[date]] &gt;= DATE(2022,2,1),"Grammys",TRUE,"Grammys TRA")</f>
        <v>Grammys</v>
      </c>
      <c r="I2240">
        <f>_xlfn.XLOOKUP(Grammys[[#This Row],[date]],mobile_visits[date],mobile_visits[mobile_visitors],0)</f>
        <v>30122</v>
      </c>
    </row>
    <row r="2241" spans="1:9">
      <c r="A2241" s="1">
        <v>44975</v>
      </c>
      <c r="B2241">
        <v>37337</v>
      </c>
      <c r="C2241">
        <v>75567</v>
      </c>
      <c r="D2241">
        <v>40138</v>
      </c>
      <c r="E2241">
        <v>14611</v>
      </c>
      <c r="F2241">
        <v>95</v>
      </c>
      <c r="G2241" t="s">
        <v>83</v>
      </c>
      <c r="H2241" t="str" cm="1">
        <f t="array" ref="H2241">_xlfn.IFS(Grammys[[#This Row],[date]] &gt;= DATE(2022,2,1),"Grammys",TRUE,"Grammys TRA")</f>
        <v>Grammys</v>
      </c>
      <c r="I2241">
        <f>_xlfn.XLOOKUP(Grammys[[#This Row],[date]],mobile_visits[date],mobile_visits[mobile_visitors],0)</f>
        <v>29749</v>
      </c>
    </row>
    <row r="2242" spans="1:9">
      <c r="A2242" s="1">
        <v>44976</v>
      </c>
      <c r="B2242">
        <v>34338</v>
      </c>
      <c r="C2242">
        <v>69655</v>
      </c>
      <c r="D2242">
        <v>37181</v>
      </c>
      <c r="E2242">
        <v>14118</v>
      </c>
      <c r="F2242">
        <v>92</v>
      </c>
      <c r="G2242" t="s">
        <v>83</v>
      </c>
      <c r="H2242" t="str" cm="1">
        <f t="array" ref="H2242">_xlfn.IFS(Grammys[[#This Row],[date]] &gt;= DATE(2022,2,1),"Grammys",TRUE,"Grammys TRA")</f>
        <v>Grammys</v>
      </c>
      <c r="I2242">
        <f>_xlfn.XLOOKUP(Grammys[[#This Row],[date]],mobile_visits[date],mobile_visits[mobile_visitors],0)</f>
        <v>27219</v>
      </c>
    </row>
    <row r="2243" spans="1:9">
      <c r="A2243" s="1">
        <v>44977</v>
      </c>
      <c r="B2243">
        <v>29949</v>
      </c>
      <c r="C2243">
        <v>59554</v>
      </c>
      <c r="D2243">
        <v>32092</v>
      </c>
      <c r="E2243">
        <v>12966</v>
      </c>
      <c r="F2243">
        <v>87</v>
      </c>
      <c r="G2243" t="s">
        <v>83</v>
      </c>
      <c r="H2243" t="str" cm="1">
        <f t="array" ref="H2243">_xlfn.IFS(Grammys[[#This Row],[date]] &gt;= DATE(2022,2,1),"Grammys",TRUE,"Grammys TRA")</f>
        <v>Grammys</v>
      </c>
      <c r="I2243">
        <f>_xlfn.XLOOKUP(Grammys[[#This Row],[date]],mobile_visits[date],mobile_visits[mobile_visitors],0)</f>
        <v>21944</v>
      </c>
    </row>
    <row r="2244" spans="1:9">
      <c r="A2244" s="1">
        <v>44978</v>
      </c>
      <c r="B2244">
        <v>27896</v>
      </c>
      <c r="C2244">
        <v>55157</v>
      </c>
      <c r="D2244">
        <v>29761</v>
      </c>
      <c r="E2244">
        <v>12726</v>
      </c>
      <c r="F2244">
        <v>90</v>
      </c>
      <c r="G2244" t="s">
        <v>83</v>
      </c>
      <c r="H2244" t="str" cm="1">
        <f t="array" ref="H2244">_xlfn.IFS(Grammys[[#This Row],[date]] &gt;= DATE(2022,2,1),"Grammys",TRUE,"Grammys TRA")</f>
        <v>Grammys</v>
      </c>
      <c r="I2244">
        <f>_xlfn.XLOOKUP(Grammys[[#This Row],[date]],mobile_visits[date],mobile_visits[mobile_visitors],0)</f>
        <v>19161</v>
      </c>
    </row>
    <row r="2245" spans="1:9">
      <c r="A2245" s="1">
        <v>44979</v>
      </c>
      <c r="B2245">
        <v>26660</v>
      </c>
      <c r="C2245">
        <v>51730</v>
      </c>
      <c r="D2245">
        <v>28476</v>
      </c>
      <c r="E2245">
        <v>13005</v>
      </c>
      <c r="F2245">
        <v>91</v>
      </c>
      <c r="G2245" t="s">
        <v>83</v>
      </c>
      <c r="H2245" t="str" cm="1">
        <f t="array" ref="H2245">_xlfn.IFS(Grammys[[#This Row],[date]] &gt;= DATE(2022,2,1),"Grammys",TRUE,"Grammys TRA")</f>
        <v>Grammys</v>
      </c>
      <c r="I2245">
        <f>_xlfn.XLOOKUP(Grammys[[#This Row],[date]],mobile_visits[date],mobile_visits[mobile_visitors],0)</f>
        <v>17351</v>
      </c>
    </row>
    <row r="2246" spans="1:9">
      <c r="A2246" s="1">
        <v>44980</v>
      </c>
      <c r="B2246">
        <v>26618</v>
      </c>
      <c r="C2246">
        <v>51344</v>
      </c>
      <c r="D2246">
        <v>28370</v>
      </c>
      <c r="E2246">
        <v>13164</v>
      </c>
      <c r="F2246">
        <v>88</v>
      </c>
      <c r="G2246" t="s">
        <v>83</v>
      </c>
      <c r="H2246" t="str" cm="1">
        <f t="array" ref="H2246">_xlfn.IFS(Grammys[[#This Row],[date]] &gt;= DATE(2022,2,1),"Grammys",TRUE,"Grammys TRA")</f>
        <v>Grammys</v>
      </c>
      <c r="I2246">
        <f>_xlfn.XLOOKUP(Grammys[[#This Row],[date]],mobile_visits[date],mobile_visits[mobile_visitors],0)</f>
        <v>17987</v>
      </c>
    </row>
    <row r="2247" spans="1:9">
      <c r="A2247" s="1">
        <v>44981</v>
      </c>
      <c r="B2247">
        <v>27396</v>
      </c>
      <c r="C2247">
        <v>53956</v>
      </c>
      <c r="D2247">
        <v>29299</v>
      </c>
      <c r="E2247">
        <v>13648</v>
      </c>
      <c r="F2247">
        <v>84</v>
      </c>
      <c r="G2247" t="s">
        <v>83</v>
      </c>
      <c r="H2247" t="str" cm="1">
        <f t="array" ref="H2247">_xlfn.IFS(Grammys[[#This Row],[date]] &gt;= DATE(2022,2,1),"Grammys",TRUE,"Grammys TRA")</f>
        <v>Grammys</v>
      </c>
      <c r="I2247">
        <f>_xlfn.XLOOKUP(Grammys[[#This Row],[date]],mobile_visits[date],mobile_visits[mobile_visitors],0)</f>
        <v>18504</v>
      </c>
    </row>
    <row r="2248" spans="1:9">
      <c r="A2248" s="1">
        <v>44982</v>
      </c>
      <c r="B2248">
        <v>24847</v>
      </c>
      <c r="C2248">
        <v>50086</v>
      </c>
      <c r="D2248">
        <v>26561</v>
      </c>
      <c r="E2248">
        <v>12357</v>
      </c>
      <c r="F2248">
        <v>83</v>
      </c>
      <c r="G2248" t="s">
        <v>83</v>
      </c>
      <c r="H2248" t="str" cm="1">
        <f t="array" ref="H2248">_xlfn.IFS(Grammys[[#This Row],[date]] &gt;= DATE(2022,2,1),"Grammys",TRUE,"Grammys TRA")</f>
        <v>Grammys</v>
      </c>
      <c r="I2248">
        <f>_xlfn.XLOOKUP(Grammys[[#This Row],[date]],mobile_visits[date],mobile_visits[mobile_visitors],0)</f>
        <v>19528</v>
      </c>
    </row>
    <row r="2249" spans="1:9">
      <c r="A2249" s="1">
        <v>44983</v>
      </c>
      <c r="B2249">
        <v>21871</v>
      </c>
      <c r="C2249">
        <v>43844</v>
      </c>
      <c r="D2249">
        <v>23439</v>
      </c>
      <c r="E2249">
        <v>11242</v>
      </c>
      <c r="F2249">
        <v>87</v>
      </c>
      <c r="G2249" t="s">
        <v>83</v>
      </c>
      <c r="H2249" t="str" cm="1">
        <f t="array" ref="H2249">_xlfn.IFS(Grammys[[#This Row],[date]] &gt;= DATE(2022,2,1),"Grammys",TRUE,"Grammys TRA")</f>
        <v>Grammys</v>
      </c>
      <c r="I2249">
        <f>_xlfn.XLOOKUP(Grammys[[#This Row],[date]],mobile_visits[date],mobile_visits[mobile_visitors],0)</f>
        <v>16500</v>
      </c>
    </row>
    <row r="2250" spans="1:9">
      <c r="A2250" s="1">
        <v>44984</v>
      </c>
      <c r="B2250">
        <v>21367</v>
      </c>
      <c r="C2250">
        <v>41234</v>
      </c>
      <c r="D2250">
        <v>22820</v>
      </c>
      <c r="E2250">
        <v>11280</v>
      </c>
      <c r="F2250">
        <v>77</v>
      </c>
      <c r="G2250" t="s">
        <v>83</v>
      </c>
      <c r="H2250" t="str" cm="1">
        <f t="array" ref="H2250">_xlfn.IFS(Grammys[[#This Row],[date]] &gt;= DATE(2022,2,1),"Grammys",TRUE,"Grammys TRA")</f>
        <v>Grammys</v>
      </c>
      <c r="I2250">
        <f>_xlfn.XLOOKUP(Grammys[[#This Row],[date]],mobile_visits[date],mobile_visits[mobile_visitors],0)</f>
        <v>13909</v>
      </c>
    </row>
    <row r="2251" spans="1:9">
      <c r="A2251" s="1">
        <v>44985</v>
      </c>
      <c r="B2251">
        <v>20536</v>
      </c>
      <c r="C2251">
        <v>40037</v>
      </c>
      <c r="D2251">
        <v>22000</v>
      </c>
      <c r="E2251">
        <v>10818</v>
      </c>
      <c r="F2251">
        <v>76</v>
      </c>
      <c r="G2251" t="s">
        <v>83</v>
      </c>
      <c r="H2251" t="str" cm="1">
        <f t="array" ref="H2251">_xlfn.IFS(Grammys[[#This Row],[date]] &gt;= DATE(2022,2,1),"Grammys",TRUE,"Grammys TRA")</f>
        <v>Grammys</v>
      </c>
      <c r="I2251">
        <f>_xlfn.XLOOKUP(Grammys[[#This Row],[date]],mobile_visits[date],mobile_visits[mobile_visitors],0)</f>
        <v>13000</v>
      </c>
    </row>
    <row r="2252" spans="1:9">
      <c r="A2252" s="1">
        <v>44986</v>
      </c>
      <c r="B2252">
        <v>20487</v>
      </c>
      <c r="C2252">
        <v>38927</v>
      </c>
      <c r="D2252">
        <v>21878</v>
      </c>
      <c r="E2252">
        <v>10762</v>
      </c>
      <c r="F2252">
        <v>80</v>
      </c>
      <c r="G2252" t="s">
        <v>83</v>
      </c>
      <c r="H2252" t="str" cm="1">
        <f t="array" ref="H2252">_xlfn.IFS(Grammys[[#This Row],[date]] &gt;= DATE(2022,2,1),"Grammys",TRUE,"Grammys TRA")</f>
        <v>Grammys</v>
      </c>
      <c r="I2252">
        <f>_xlfn.XLOOKUP(Grammys[[#This Row],[date]],mobile_visits[date],mobile_visits[mobile_visitors],0)</f>
        <v>13525</v>
      </c>
    </row>
    <row r="2253" spans="1:9">
      <c r="A2253" s="1">
        <v>44987</v>
      </c>
      <c r="B2253">
        <v>20803</v>
      </c>
      <c r="C2253">
        <v>39818</v>
      </c>
      <c r="D2253">
        <v>21899</v>
      </c>
      <c r="E2253">
        <v>11046</v>
      </c>
      <c r="F2253">
        <v>80</v>
      </c>
      <c r="G2253" t="s">
        <v>83</v>
      </c>
      <c r="H2253" t="str" cm="1">
        <f t="array" ref="H2253">_xlfn.IFS(Grammys[[#This Row],[date]] &gt;= DATE(2022,2,1),"Grammys",TRUE,"Grammys TRA")</f>
        <v>Grammys</v>
      </c>
      <c r="I2253">
        <f>_xlfn.XLOOKUP(Grammys[[#This Row],[date]],mobile_visits[date],mobile_visits[mobile_visitors],0)</f>
        <v>13476</v>
      </c>
    </row>
    <row r="2254" spans="1:9">
      <c r="A2254" s="1">
        <v>44988</v>
      </c>
      <c r="B2254">
        <v>19518</v>
      </c>
      <c r="C2254">
        <v>37294</v>
      </c>
      <c r="D2254">
        <v>20717</v>
      </c>
      <c r="E2254">
        <v>10280</v>
      </c>
      <c r="F2254">
        <v>76</v>
      </c>
      <c r="G2254" t="s">
        <v>83</v>
      </c>
      <c r="H2254" t="str" cm="1">
        <f t="array" ref="H2254">_xlfn.IFS(Grammys[[#This Row],[date]] &gt;= DATE(2022,2,1),"Grammys",TRUE,"Grammys TRA")</f>
        <v>Grammys</v>
      </c>
      <c r="I2254">
        <f>_xlfn.XLOOKUP(Grammys[[#This Row],[date]],mobile_visits[date],mobile_visits[mobile_visitors],0)</f>
        <v>14381</v>
      </c>
    </row>
    <row r="2255" spans="1:9">
      <c r="A2255" s="1">
        <v>44989</v>
      </c>
      <c r="B2255">
        <v>18295</v>
      </c>
      <c r="C2255">
        <v>35962</v>
      </c>
      <c r="D2255">
        <v>19545</v>
      </c>
      <c r="E2255">
        <v>9306</v>
      </c>
      <c r="F2255">
        <v>79</v>
      </c>
      <c r="G2255" t="s">
        <v>83</v>
      </c>
      <c r="H2255" t="str" cm="1">
        <f t="array" ref="H2255">_xlfn.IFS(Grammys[[#This Row],[date]] &gt;= DATE(2022,2,1),"Grammys",TRUE,"Grammys TRA")</f>
        <v>Grammys</v>
      </c>
      <c r="I2255">
        <f>_xlfn.XLOOKUP(Grammys[[#This Row],[date]],mobile_visits[date],mobile_visits[mobile_visitors],0)</f>
        <v>13706</v>
      </c>
    </row>
    <row r="2256" spans="1:9">
      <c r="A2256" s="1">
        <v>44990</v>
      </c>
      <c r="B2256">
        <v>18840</v>
      </c>
      <c r="C2256">
        <v>36418</v>
      </c>
      <c r="D2256">
        <v>20056</v>
      </c>
      <c r="E2256">
        <v>9774</v>
      </c>
      <c r="F2256">
        <v>78</v>
      </c>
      <c r="G2256" t="s">
        <v>83</v>
      </c>
      <c r="H2256" t="str" cm="1">
        <f t="array" ref="H2256">_xlfn.IFS(Grammys[[#This Row],[date]] &gt;= DATE(2022,2,1),"Grammys",TRUE,"Grammys TRA")</f>
        <v>Grammys</v>
      </c>
      <c r="I2256">
        <f>_xlfn.XLOOKUP(Grammys[[#This Row],[date]],mobile_visits[date],mobile_visits[mobile_visitors],0)</f>
        <v>14903</v>
      </c>
    </row>
    <row r="2257" spans="1:9">
      <c r="A2257" s="1">
        <v>44991</v>
      </c>
      <c r="B2257">
        <v>18650</v>
      </c>
      <c r="C2257">
        <v>35807</v>
      </c>
      <c r="D2257">
        <v>19985</v>
      </c>
      <c r="E2257">
        <v>9891</v>
      </c>
      <c r="F2257">
        <v>82</v>
      </c>
      <c r="G2257" t="s">
        <v>83</v>
      </c>
      <c r="H2257" t="str" cm="1">
        <f t="array" ref="H2257">_xlfn.IFS(Grammys[[#This Row],[date]] &gt;= DATE(2022,2,1),"Grammys",TRUE,"Grammys TRA")</f>
        <v>Grammys</v>
      </c>
      <c r="I2257">
        <f>_xlfn.XLOOKUP(Grammys[[#This Row],[date]],mobile_visits[date],mobile_visits[mobile_visitors],0)</f>
        <v>11923</v>
      </c>
    </row>
    <row r="2258" spans="1:9">
      <c r="A2258" s="1">
        <v>44992</v>
      </c>
      <c r="B2258">
        <v>18921</v>
      </c>
      <c r="C2258">
        <v>35836</v>
      </c>
      <c r="D2258">
        <v>20328</v>
      </c>
      <c r="E2258">
        <v>10347</v>
      </c>
      <c r="F2258">
        <v>81</v>
      </c>
      <c r="G2258" t="s">
        <v>83</v>
      </c>
      <c r="H2258" t="str" cm="1">
        <f t="array" ref="H2258">_xlfn.IFS(Grammys[[#This Row],[date]] &gt;= DATE(2022,2,1),"Grammys",TRUE,"Grammys TRA")</f>
        <v>Grammys</v>
      </c>
      <c r="I2258">
        <f>_xlfn.XLOOKUP(Grammys[[#This Row],[date]],mobile_visits[date],mobile_visits[mobile_visitors],0)</f>
        <v>11724</v>
      </c>
    </row>
    <row r="2259" spans="1:9">
      <c r="A2259" s="1">
        <v>44993</v>
      </c>
      <c r="B2259">
        <v>18656</v>
      </c>
      <c r="C2259">
        <v>35916</v>
      </c>
      <c r="D2259">
        <v>20085</v>
      </c>
      <c r="E2259">
        <v>10348</v>
      </c>
      <c r="F2259">
        <v>84</v>
      </c>
      <c r="G2259" t="s">
        <v>83</v>
      </c>
      <c r="H2259" t="str" cm="1">
        <f t="array" ref="H2259">_xlfn.IFS(Grammys[[#This Row],[date]] &gt;= DATE(2022,2,1),"Grammys",TRUE,"Grammys TRA")</f>
        <v>Grammys</v>
      </c>
      <c r="I2259">
        <f>_xlfn.XLOOKUP(Grammys[[#This Row],[date]],mobile_visits[date],mobile_visits[mobile_visitors],0)</f>
        <v>12007</v>
      </c>
    </row>
    <row r="2260" spans="1:9">
      <c r="A2260" s="1">
        <v>44994</v>
      </c>
      <c r="B2260">
        <v>17114</v>
      </c>
      <c r="C2260">
        <v>33313</v>
      </c>
      <c r="D2260">
        <v>18576</v>
      </c>
      <c r="E2260">
        <v>9461</v>
      </c>
      <c r="F2260">
        <v>81</v>
      </c>
      <c r="G2260" t="s">
        <v>83</v>
      </c>
      <c r="H2260" t="str" cm="1">
        <f t="array" ref="H2260">_xlfn.IFS(Grammys[[#This Row],[date]] &gt;= DATE(2022,2,1),"Grammys",TRUE,"Grammys TRA")</f>
        <v>Grammys</v>
      </c>
      <c r="I2260">
        <f>_xlfn.XLOOKUP(Grammys[[#This Row],[date]],mobile_visits[date],mobile_visits[mobile_visitors],0)</f>
        <v>9995</v>
      </c>
    </row>
    <row r="2261" spans="1:9">
      <c r="A2261" s="1">
        <v>44995</v>
      </c>
      <c r="B2261">
        <v>19174</v>
      </c>
      <c r="C2261">
        <v>36701</v>
      </c>
      <c r="D2261">
        <v>20546</v>
      </c>
      <c r="E2261">
        <v>10578</v>
      </c>
      <c r="F2261">
        <v>73</v>
      </c>
      <c r="G2261" t="s">
        <v>83</v>
      </c>
      <c r="H2261" t="str" cm="1">
        <f t="array" ref="H2261">_xlfn.IFS(Grammys[[#This Row],[date]] &gt;= DATE(2022,2,1),"Grammys",TRUE,"Grammys TRA")</f>
        <v>Grammys</v>
      </c>
      <c r="I2261">
        <f>_xlfn.XLOOKUP(Grammys[[#This Row],[date]],mobile_visits[date],mobile_visits[mobile_visitors],0)</f>
        <v>13750</v>
      </c>
    </row>
    <row r="2262" spans="1:9">
      <c r="A2262" s="1">
        <v>44996</v>
      </c>
      <c r="B2262">
        <v>18801</v>
      </c>
      <c r="C2262">
        <v>35623</v>
      </c>
      <c r="D2262">
        <v>19934</v>
      </c>
      <c r="E2262">
        <v>10087</v>
      </c>
      <c r="F2262">
        <v>68</v>
      </c>
      <c r="G2262" t="s">
        <v>83</v>
      </c>
      <c r="H2262" t="str" cm="1">
        <f t="array" ref="H2262">_xlfn.IFS(Grammys[[#This Row],[date]] &gt;= DATE(2022,2,1),"Grammys",TRUE,"Grammys TRA")</f>
        <v>Grammys</v>
      </c>
      <c r="I2262">
        <f>_xlfn.XLOOKUP(Grammys[[#This Row],[date]],mobile_visits[date],mobile_visits[mobile_visitors],0)</f>
        <v>14707</v>
      </c>
    </row>
    <row r="2263" spans="1:9">
      <c r="A2263" s="1">
        <v>44997</v>
      </c>
      <c r="B2263">
        <v>37150</v>
      </c>
      <c r="C2263">
        <v>75379</v>
      </c>
      <c r="D2263">
        <v>38967</v>
      </c>
      <c r="E2263">
        <v>17828</v>
      </c>
      <c r="F2263">
        <v>65</v>
      </c>
      <c r="G2263" t="s">
        <v>83</v>
      </c>
      <c r="H2263" t="str" cm="1">
        <f t="array" ref="H2263">_xlfn.IFS(Grammys[[#This Row],[date]] &gt;= DATE(2022,2,1),"Grammys",TRUE,"Grammys TRA")</f>
        <v>Grammys</v>
      </c>
      <c r="I2263">
        <f>_xlfn.XLOOKUP(Grammys[[#This Row],[date]],mobile_visits[date],mobile_visits[mobile_visitors],0)</f>
        <v>30240</v>
      </c>
    </row>
    <row r="2264" spans="1:9">
      <c r="A2264" s="1">
        <v>44998</v>
      </c>
      <c r="B2264">
        <v>36086</v>
      </c>
      <c r="C2264">
        <v>77071</v>
      </c>
      <c r="D2264">
        <v>38037</v>
      </c>
      <c r="E2264">
        <v>17197</v>
      </c>
      <c r="F2264">
        <v>64</v>
      </c>
      <c r="G2264" t="s">
        <v>83</v>
      </c>
      <c r="H2264" t="str" cm="1">
        <f t="array" ref="H2264">_xlfn.IFS(Grammys[[#This Row],[date]] &gt;= DATE(2022,2,1),"Grammys",TRUE,"Grammys TRA")</f>
        <v>Grammys</v>
      </c>
      <c r="I2264">
        <f>_xlfn.XLOOKUP(Grammys[[#This Row],[date]],mobile_visits[date],mobile_visits[mobile_visitors],0)</f>
        <v>27142</v>
      </c>
    </row>
    <row r="2265" spans="1:9">
      <c r="A2265" s="1">
        <v>44999</v>
      </c>
      <c r="B2265">
        <v>21167</v>
      </c>
      <c r="C2265">
        <v>41054</v>
      </c>
      <c r="D2265">
        <v>22488</v>
      </c>
      <c r="E2265">
        <v>11330</v>
      </c>
      <c r="F2265">
        <v>73</v>
      </c>
      <c r="G2265" t="s">
        <v>83</v>
      </c>
      <c r="H2265" t="str" cm="1">
        <f t="array" ref="H2265">_xlfn.IFS(Grammys[[#This Row],[date]] &gt;= DATE(2022,2,1),"Grammys",TRUE,"Grammys TRA")</f>
        <v>Grammys</v>
      </c>
      <c r="I2265">
        <f>_xlfn.XLOOKUP(Grammys[[#This Row],[date]],mobile_visits[date],mobile_visits[mobile_visitors],0)</f>
        <v>14831</v>
      </c>
    </row>
    <row r="2266" spans="1:9">
      <c r="A2266" s="1">
        <v>45000</v>
      </c>
      <c r="B2266">
        <v>18476</v>
      </c>
      <c r="C2266">
        <v>36023</v>
      </c>
      <c r="D2266">
        <v>19678</v>
      </c>
      <c r="E2266">
        <v>9967</v>
      </c>
      <c r="F2266">
        <v>77</v>
      </c>
      <c r="G2266" t="s">
        <v>83</v>
      </c>
      <c r="H2266" t="str" cm="1">
        <f t="array" ref="H2266">_xlfn.IFS(Grammys[[#This Row],[date]] &gt;= DATE(2022,2,1),"Grammys",TRUE,"Grammys TRA")</f>
        <v>Grammys</v>
      </c>
      <c r="I2266">
        <f>_xlfn.XLOOKUP(Grammys[[#This Row],[date]],mobile_visits[date],mobile_visits[mobile_visitors],0)</f>
        <v>11827</v>
      </c>
    </row>
    <row r="2267" spans="1:9">
      <c r="A2267" s="1">
        <v>45001</v>
      </c>
      <c r="B2267">
        <v>18763</v>
      </c>
      <c r="C2267">
        <v>35997</v>
      </c>
      <c r="D2267">
        <v>19991</v>
      </c>
      <c r="E2267">
        <v>10334</v>
      </c>
      <c r="F2267">
        <v>76</v>
      </c>
      <c r="G2267" t="s">
        <v>83</v>
      </c>
      <c r="H2267" t="str" cm="1">
        <f t="array" ref="H2267">_xlfn.IFS(Grammys[[#This Row],[date]] &gt;= DATE(2022,2,1),"Grammys",TRUE,"Grammys TRA")</f>
        <v>Grammys</v>
      </c>
      <c r="I2267">
        <f>_xlfn.XLOOKUP(Grammys[[#This Row],[date]],mobile_visits[date],mobile_visits[mobile_visitors],0)</f>
        <v>12088</v>
      </c>
    </row>
    <row r="2268" spans="1:9">
      <c r="A2268" s="1">
        <v>45002</v>
      </c>
      <c r="B2268">
        <v>18023</v>
      </c>
      <c r="C2268">
        <v>34579</v>
      </c>
      <c r="D2268">
        <v>19227</v>
      </c>
      <c r="E2268">
        <v>9672</v>
      </c>
      <c r="F2268">
        <v>72</v>
      </c>
      <c r="G2268" t="s">
        <v>83</v>
      </c>
      <c r="H2268" t="str" cm="1">
        <f t="array" ref="H2268">_xlfn.IFS(Grammys[[#This Row],[date]] &gt;= DATE(2022,2,1),"Grammys",TRUE,"Grammys TRA")</f>
        <v>Grammys</v>
      </c>
      <c r="I2268">
        <f>_xlfn.XLOOKUP(Grammys[[#This Row],[date]],mobile_visits[date],mobile_visits[mobile_visitors],0)</f>
        <v>12260</v>
      </c>
    </row>
    <row r="2269" spans="1:9">
      <c r="A2269" s="1">
        <v>45003</v>
      </c>
      <c r="B2269">
        <v>27380</v>
      </c>
      <c r="C2269">
        <v>50004</v>
      </c>
      <c r="D2269">
        <v>29080</v>
      </c>
      <c r="E2269">
        <v>14817</v>
      </c>
      <c r="F2269">
        <v>76</v>
      </c>
      <c r="G2269" t="s">
        <v>83</v>
      </c>
      <c r="H2269" t="str" cm="1">
        <f t="array" ref="H2269">_xlfn.IFS(Grammys[[#This Row],[date]] &gt;= DATE(2022,2,1),"Grammys",TRUE,"Grammys TRA")</f>
        <v>Grammys</v>
      </c>
      <c r="I2269">
        <f>_xlfn.XLOOKUP(Grammys[[#This Row],[date]],mobile_visits[date],mobile_visits[mobile_visitors],0)</f>
        <v>21774</v>
      </c>
    </row>
    <row r="2270" spans="1:9">
      <c r="A2270" s="1">
        <v>45004</v>
      </c>
      <c r="B2270">
        <v>20211</v>
      </c>
      <c r="C2270">
        <v>37913</v>
      </c>
      <c r="D2270">
        <v>21136</v>
      </c>
      <c r="E2270">
        <v>10363</v>
      </c>
      <c r="F2270">
        <v>68</v>
      </c>
      <c r="G2270" t="s">
        <v>83</v>
      </c>
      <c r="H2270" t="str" cm="1">
        <f t="array" ref="H2270">_xlfn.IFS(Grammys[[#This Row],[date]] &gt;= DATE(2022,2,1),"Grammys",TRUE,"Grammys TRA")</f>
        <v>Grammys</v>
      </c>
      <c r="I2270">
        <f>_xlfn.XLOOKUP(Grammys[[#This Row],[date]],mobile_visits[date],mobile_visits[mobile_visitors],0)</f>
        <v>15335</v>
      </c>
    </row>
    <row r="2271" spans="1:9">
      <c r="A2271" s="1">
        <v>45005</v>
      </c>
      <c r="B2271">
        <v>18764</v>
      </c>
      <c r="C2271">
        <v>34670</v>
      </c>
      <c r="D2271">
        <v>20154</v>
      </c>
      <c r="E2271">
        <v>10724</v>
      </c>
      <c r="F2271">
        <v>72</v>
      </c>
      <c r="G2271" t="s">
        <v>83</v>
      </c>
      <c r="H2271" t="str" cm="1">
        <f t="array" ref="H2271">_xlfn.IFS(Grammys[[#This Row],[date]] &gt;= DATE(2022,2,1),"Grammys",TRUE,"Grammys TRA")</f>
        <v>Grammys</v>
      </c>
      <c r="I2271">
        <f>_xlfn.XLOOKUP(Grammys[[#This Row],[date]],mobile_visits[date],mobile_visits[mobile_visitors],0)</f>
        <v>13784</v>
      </c>
    </row>
    <row r="2272" spans="1:9">
      <c r="A2272" s="1">
        <v>45006</v>
      </c>
      <c r="B2272">
        <v>17787</v>
      </c>
      <c r="C2272">
        <v>32293</v>
      </c>
      <c r="D2272">
        <v>18846</v>
      </c>
      <c r="E2272">
        <v>10326</v>
      </c>
      <c r="F2272">
        <v>71</v>
      </c>
      <c r="G2272" t="s">
        <v>83</v>
      </c>
      <c r="H2272" t="str" cm="1">
        <f t="array" ref="H2272">_xlfn.IFS(Grammys[[#This Row],[date]] &gt;= DATE(2022,2,1),"Grammys",TRUE,"Grammys TRA")</f>
        <v>Grammys</v>
      </c>
      <c r="I2272">
        <f>_xlfn.XLOOKUP(Grammys[[#This Row],[date]],mobile_visits[date],mobile_visits[mobile_visitors],0)</f>
        <v>11060</v>
      </c>
    </row>
    <row r="2273" spans="1:9">
      <c r="A2273" s="1">
        <v>45007</v>
      </c>
      <c r="B2273">
        <v>17157</v>
      </c>
      <c r="C2273">
        <v>30657</v>
      </c>
      <c r="D2273">
        <v>18191</v>
      </c>
      <c r="E2273">
        <v>9942</v>
      </c>
      <c r="F2273">
        <v>73</v>
      </c>
      <c r="G2273" t="s">
        <v>83</v>
      </c>
      <c r="H2273" t="str" cm="1">
        <f t="array" ref="H2273">_xlfn.IFS(Grammys[[#This Row],[date]] &gt;= DATE(2022,2,1),"Grammys",TRUE,"Grammys TRA")</f>
        <v>Grammys</v>
      </c>
      <c r="I2273">
        <f>_xlfn.XLOOKUP(Grammys[[#This Row],[date]],mobile_visits[date],mobile_visits[mobile_visitors],0)</f>
        <v>10638</v>
      </c>
    </row>
    <row r="2274" spans="1:9">
      <c r="A2274" s="1">
        <v>45008</v>
      </c>
      <c r="B2274">
        <v>16723</v>
      </c>
      <c r="C2274">
        <v>30548</v>
      </c>
      <c r="D2274">
        <v>17723</v>
      </c>
      <c r="E2274">
        <v>9426</v>
      </c>
      <c r="F2274">
        <v>74</v>
      </c>
      <c r="G2274" t="s">
        <v>83</v>
      </c>
      <c r="H2274" t="str" cm="1">
        <f t="array" ref="H2274">_xlfn.IFS(Grammys[[#This Row],[date]] &gt;= DATE(2022,2,1),"Grammys",TRUE,"Grammys TRA")</f>
        <v>Grammys</v>
      </c>
      <c r="I2274">
        <f>_xlfn.XLOOKUP(Grammys[[#This Row],[date]],mobile_visits[date],mobile_visits[mobile_visitors],0)</f>
        <v>9839</v>
      </c>
    </row>
    <row r="2275" spans="1:9">
      <c r="A2275" s="1">
        <v>45009</v>
      </c>
      <c r="B2275">
        <v>20952</v>
      </c>
      <c r="C2275">
        <v>39241</v>
      </c>
      <c r="D2275">
        <v>22200</v>
      </c>
      <c r="E2275">
        <v>11100</v>
      </c>
      <c r="F2275">
        <v>80</v>
      </c>
      <c r="G2275" t="s">
        <v>83</v>
      </c>
      <c r="H2275" t="str" cm="1">
        <f t="array" ref="H2275">_xlfn.IFS(Grammys[[#This Row],[date]] &gt;= DATE(2022,2,1),"Grammys",TRUE,"Grammys TRA")</f>
        <v>Grammys</v>
      </c>
      <c r="I2275">
        <f>_xlfn.XLOOKUP(Grammys[[#This Row],[date]],mobile_visits[date],mobile_visits[mobile_visitors],0)</f>
        <v>14981</v>
      </c>
    </row>
    <row r="2276" spans="1:9">
      <c r="A2276" s="1">
        <v>45010</v>
      </c>
      <c r="B2276">
        <v>18056</v>
      </c>
      <c r="C2276">
        <v>33788</v>
      </c>
      <c r="D2276">
        <v>18826</v>
      </c>
      <c r="E2276">
        <v>9346</v>
      </c>
      <c r="F2276">
        <v>76</v>
      </c>
      <c r="G2276" t="s">
        <v>83</v>
      </c>
      <c r="H2276" t="str" cm="1">
        <f t="array" ref="H2276">_xlfn.IFS(Grammys[[#This Row],[date]] &gt;= DATE(2022,2,1),"Grammys",TRUE,"Grammys TRA")</f>
        <v>Grammys</v>
      </c>
      <c r="I2276">
        <f>_xlfn.XLOOKUP(Grammys[[#This Row],[date]],mobile_visits[date],mobile_visits[mobile_visitors],0)</f>
        <v>13858</v>
      </c>
    </row>
    <row r="2277" spans="1:9">
      <c r="A2277" s="1">
        <v>45011</v>
      </c>
      <c r="B2277">
        <v>16435</v>
      </c>
      <c r="C2277">
        <v>31118</v>
      </c>
      <c r="D2277">
        <v>17461</v>
      </c>
      <c r="E2277">
        <v>8923</v>
      </c>
      <c r="F2277">
        <v>80</v>
      </c>
      <c r="G2277" t="s">
        <v>83</v>
      </c>
      <c r="H2277" t="str" cm="1">
        <f t="array" ref="H2277">_xlfn.IFS(Grammys[[#This Row],[date]] &gt;= DATE(2022,2,1),"Grammys",TRUE,"Grammys TRA")</f>
        <v>Grammys</v>
      </c>
      <c r="I2277">
        <f>_xlfn.XLOOKUP(Grammys[[#This Row],[date]],mobile_visits[date],mobile_visits[mobile_visitors],0)</f>
        <v>12445</v>
      </c>
    </row>
    <row r="2278" spans="1:9">
      <c r="A2278" s="1">
        <v>45012</v>
      </c>
      <c r="B2278">
        <v>17009</v>
      </c>
      <c r="C2278">
        <v>31091</v>
      </c>
      <c r="D2278">
        <v>17745</v>
      </c>
      <c r="E2278">
        <v>9333</v>
      </c>
      <c r="F2278">
        <v>79</v>
      </c>
      <c r="G2278" t="s">
        <v>83</v>
      </c>
      <c r="H2278" t="str" cm="1">
        <f t="array" ref="H2278">_xlfn.IFS(Grammys[[#This Row],[date]] &gt;= DATE(2022,2,1),"Grammys",TRUE,"Grammys TRA")</f>
        <v>Grammys</v>
      </c>
      <c r="I2278">
        <f>_xlfn.XLOOKUP(Grammys[[#This Row],[date]],mobile_visits[date],mobile_visits[mobile_visitors],0)</f>
        <v>12654</v>
      </c>
    </row>
    <row r="2279" spans="1:9">
      <c r="A2279" s="1">
        <v>45013</v>
      </c>
      <c r="B2279">
        <v>16828</v>
      </c>
      <c r="C2279">
        <v>30960</v>
      </c>
      <c r="D2279">
        <v>17826</v>
      </c>
      <c r="E2279">
        <v>9281</v>
      </c>
      <c r="F2279">
        <v>77</v>
      </c>
      <c r="G2279" t="s">
        <v>83</v>
      </c>
      <c r="H2279" t="str" cm="1">
        <f t="array" ref="H2279">_xlfn.IFS(Grammys[[#This Row],[date]] &gt;= DATE(2022,2,1),"Grammys",TRUE,"Grammys TRA")</f>
        <v>Grammys</v>
      </c>
      <c r="I2279">
        <f>_xlfn.XLOOKUP(Grammys[[#This Row],[date]],mobile_visits[date],mobile_visits[mobile_visitors],0)</f>
        <v>9996</v>
      </c>
    </row>
    <row r="2280" spans="1:9">
      <c r="A2280" s="1">
        <v>45014</v>
      </c>
      <c r="B2280">
        <v>18432</v>
      </c>
      <c r="C2280">
        <v>34576</v>
      </c>
      <c r="D2280">
        <v>19730</v>
      </c>
      <c r="E2280">
        <v>10165</v>
      </c>
      <c r="F2280">
        <v>78</v>
      </c>
      <c r="G2280" t="s">
        <v>83</v>
      </c>
      <c r="H2280" t="str" cm="1">
        <f t="array" ref="H2280">_xlfn.IFS(Grammys[[#This Row],[date]] &gt;= DATE(2022,2,1),"Grammys",TRUE,"Grammys TRA")</f>
        <v>Grammys</v>
      </c>
      <c r="I2280">
        <f>_xlfn.XLOOKUP(Grammys[[#This Row],[date]],mobile_visits[date],mobile_visits[mobile_visitors],0)</f>
        <v>12356</v>
      </c>
    </row>
    <row r="2281" spans="1:9">
      <c r="A2281" s="1">
        <v>45015</v>
      </c>
      <c r="B2281">
        <v>16727</v>
      </c>
      <c r="C2281">
        <v>30475</v>
      </c>
      <c r="D2281">
        <v>17954</v>
      </c>
      <c r="E2281">
        <v>9561</v>
      </c>
      <c r="F2281">
        <v>78</v>
      </c>
      <c r="G2281" t="s">
        <v>83</v>
      </c>
      <c r="H2281" t="str" cm="1">
        <f t="array" ref="H2281">_xlfn.IFS(Grammys[[#This Row],[date]] &gt;= DATE(2022,2,1),"Grammys",TRUE,"Grammys TRA")</f>
        <v>Grammys</v>
      </c>
      <c r="I2281">
        <f>_xlfn.XLOOKUP(Grammys[[#This Row],[date]],mobile_visits[date],mobile_visits[mobile_visitors],0)</f>
        <v>10260</v>
      </c>
    </row>
    <row r="2282" spans="1:9">
      <c r="A2282" s="1">
        <v>45016</v>
      </c>
      <c r="B2282">
        <v>17114</v>
      </c>
      <c r="C2282">
        <v>32051</v>
      </c>
      <c r="D2282">
        <v>18300</v>
      </c>
      <c r="E2282">
        <v>9612</v>
      </c>
      <c r="F2282">
        <v>77</v>
      </c>
      <c r="G2282" t="s">
        <v>83</v>
      </c>
      <c r="H2282" t="str" cm="1">
        <f t="array" ref="H2282">_xlfn.IFS(Grammys[[#This Row],[date]] &gt;= DATE(2022,2,1),"Grammys",TRUE,"Grammys TRA")</f>
        <v>Grammys</v>
      </c>
      <c r="I2282">
        <f>_xlfn.XLOOKUP(Grammys[[#This Row],[date]],mobile_visits[date],mobile_visits[mobile_visitors],0)</f>
        <v>12473</v>
      </c>
    </row>
    <row r="2283" spans="1:9">
      <c r="A2283" s="1">
        <v>45017</v>
      </c>
      <c r="B2283">
        <v>14697</v>
      </c>
      <c r="C2283">
        <v>28144</v>
      </c>
      <c r="D2283">
        <v>15740</v>
      </c>
      <c r="E2283">
        <v>8081</v>
      </c>
      <c r="F2283">
        <v>75</v>
      </c>
      <c r="G2283" t="s">
        <v>83</v>
      </c>
      <c r="H2283" t="str" cm="1">
        <f t="array" ref="H2283">_xlfn.IFS(Grammys[[#This Row],[date]] &gt;= DATE(2022,2,1),"Grammys",TRUE,"Grammys TRA")</f>
        <v>Grammys</v>
      </c>
      <c r="I2283">
        <f>_xlfn.XLOOKUP(Grammys[[#This Row],[date]],mobile_visits[date],mobile_visits[mobile_visitors],0)</f>
        <v>11907</v>
      </c>
    </row>
    <row r="2284" spans="1:9">
      <c r="A2284" s="1">
        <v>45018</v>
      </c>
      <c r="B2284">
        <v>15613</v>
      </c>
      <c r="C2284">
        <v>28868</v>
      </c>
      <c r="D2284">
        <v>16427</v>
      </c>
      <c r="E2284">
        <v>8551</v>
      </c>
      <c r="F2284">
        <v>72</v>
      </c>
      <c r="G2284" t="s">
        <v>83</v>
      </c>
      <c r="H2284" t="str" cm="1">
        <f t="array" ref="H2284">_xlfn.IFS(Grammys[[#This Row],[date]] &gt;= DATE(2022,2,1),"Grammys",TRUE,"Grammys TRA")</f>
        <v>Grammys</v>
      </c>
      <c r="I2284">
        <f>_xlfn.XLOOKUP(Grammys[[#This Row],[date]],mobile_visits[date],mobile_visits[mobile_visitors],0)</f>
        <v>13318</v>
      </c>
    </row>
    <row r="2285" spans="1:9">
      <c r="A2285" s="1">
        <v>45019</v>
      </c>
      <c r="B2285">
        <v>18315</v>
      </c>
      <c r="C2285">
        <v>34889</v>
      </c>
      <c r="D2285">
        <v>19462</v>
      </c>
      <c r="E2285">
        <v>10043</v>
      </c>
      <c r="F2285">
        <v>81</v>
      </c>
      <c r="G2285" t="s">
        <v>83</v>
      </c>
      <c r="H2285" t="str" cm="1">
        <f t="array" ref="H2285">_xlfn.IFS(Grammys[[#This Row],[date]] &gt;= DATE(2022,2,1),"Grammys",TRUE,"Grammys TRA")</f>
        <v>Grammys</v>
      </c>
      <c r="I2285">
        <f>_xlfn.XLOOKUP(Grammys[[#This Row],[date]],mobile_visits[date],mobile_visits[mobile_visitors],0)</f>
        <v>11796</v>
      </c>
    </row>
    <row r="2286" spans="1:9">
      <c r="A2286" s="1">
        <v>45020</v>
      </c>
      <c r="B2286">
        <v>18358</v>
      </c>
      <c r="C2286">
        <v>34544</v>
      </c>
      <c r="D2286">
        <v>19559</v>
      </c>
      <c r="E2286">
        <v>10019</v>
      </c>
      <c r="F2286">
        <v>86</v>
      </c>
      <c r="G2286" t="s">
        <v>83</v>
      </c>
      <c r="H2286" t="str" cm="1">
        <f t="array" ref="H2286">_xlfn.IFS(Grammys[[#This Row],[date]] &gt;= DATE(2022,2,1),"Grammys",TRUE,"Grammys TRA")</f>
        <v>Grammys</v>
      </c>
      <c r="I2286">
        <f>_xlfn.XLOOKUP(Grammys[[#This Row],[date]],mobile_visits[date],mobile_visits[mobile_visitors],0)</f>
        <v>11657</v>
      </c>
    </row>
    <row r="2287" spans="1:9">
      <c r="A2287" s="1">
        <v>45021</v>
      </c>
      <c r="B2287">
        <v>16876</v>
      </c>
      <c r="C2287">
        <v>31812</v>
      </c>
      <c r="D2287">
        <v>18092</v>
      </c>
      <c r="E2287">
        <v>9533</v>
      </c>
      <c r="F2287">
        <v>82</v>
      </c>
      <c r="G2287" t="s">
        <v>83</v>
      </c>
      <c r="H2287" t="str" cm="1">
        <f t="array" ref="H2287">_xlfn.IFS(Grammys[[#This Row],[date]] &gt;= DATE(2022,2,1),"Grammys",TRUE,"Grammys TRA")</f>
        <v>Grammys</v>
      </c>
      <c r="I2287">
        <f>_xlfn.XLOOKUP(Grammys[[#This Row],[date]],mobile_visits[date],mobile_visits[mobile_visitors],0)</f>
        <v>10566</v>
      </c>
    </row>
    <row r="2288" spans="1:9">
      <c r="A2288" s="1">
        <v>45022</v>
      </c>
      <c r="B2288">
        <v>17771</v>
      </c>
      <c r="C2288">
        <v>33022</v>
      </c>
      <c r="D2288">
        <v>18896</v>
      </c>
      <c r="E2288">
        <v>9906</v>
      </c>
      <c r="F2288">
        <v>77</v>
      </c>
      <c r="G2288" t="s">
        <v>83</v>
      </c>
      <c r="H2288" t="str" cm="1">
        <f t="array" ref="H2288">_xlfn.IFS(Grammys[[#This Row],[date]] &gt;= DATE(2022,2,1),"Grammys",TRUE,"Grammys TRA")</f>
        <v>Grammys</v>
      </c>
      <c r="I2288">
        <f>_xlfn.XLOOKUP(Grammys[[#This Row],[date]],mobile_visits[date],mobile_visits[mobile_visitors],0)</f>
        <v>11591</v>
      </c>
    </row>
    <row r="2289" spans="1:9">
      <c r="A2289" s="1">
        <v>45023</v>
      </c>
      <c r="B2289">
        <v>15930</v>
      </c>
      <c r="C2289">
        <v>29951</v>
      </c>
      <c r="D2289">
        <v>17074</v>
      </c>
      <c r="E2289">
        <v>9019</v>
      </c>
      <c r="F2289">
        <v>80</v>
      </c>
      <c r="G2289" t="s">
        <v>83</v>
      </c>
      <c r="H2289" t="str" cm="1">
        <f t="array" ref="H2289">_xlfn.IFS(Grammys[[#This Row],[date]] &gt;= DATE(2022,2,1),"Grammys",TRUE,"Grammys TRA")</f>
        <v>Grammys</v>
      </c>
      <c r="I2289">
        <f>_xlfn.XLOOKUP(Grammys[[#This Row],[date]],mobile_visits[date],mobile_visits[mobile_visitors],0)</f>
        <v>11106</v>
      </c>
    </row>
    <row r="2290" spans="1:9">
      <c r="A2290" s="1">
        <v>45024</v>
      </c>
      <c r="B2290">
        <v>17143</v>
      </c>
      <c r="C2290">
        <v>31697</v>
      </c>
      <c r="D2290">
        <v>18081</v>
      </c>
      <c r="E2290">
        <v>9419</v>
      </c>
      <c r="F2290">
        <v>73</v>
      </c>
      <c r="G2290" t="s">
        <v>83</v>
      </c>
      <c r="H2290" t="str" cm="1">
        <f t="array" ref="H2290">_xlfn.IFS(Grammys[[#This Row],[date]] &gt;= DATE(2022,2,1),"Grammys",TRUE,"Grammys TRA")</f>
        <v>Grammys</v>
      </c>
      <c r="I2290">
        <f>_xlfn.XLOOKUP(Grammys[[#This Row],[date]],mobile_visits[date],mobile_visits[mobile_visitors],0)</f>
        <v>13127</v>
      </c>
    </row>
    <row r="2291" spans="1:9">
      <c r="A2291" s="1">
        <v>45025</v>
      </c>
      <c r="B2291">
        <v>35841</v>
      </c>
      <c r="C2291">
        <v>78751</v>
      </c>
      <c r="D2291">
        <v>38082</v>
      </c>
      <c r="E2291">
        <v>14243</v>
      </c>
      <c r="F2291">
        <v>95</v>
      </c>
      <c r="G2291" t="s">
        <v>83</v>
      </c>
      <c r="H2291" t="str" cm="1">
        <f t="array" ref="H2291">_xlfn.IFS(Grammys[[#This Row],[date]] &gt;= DATE(2022,2,1),"Grammys",TRUE,"Grammys TRA")</f>
        <v>Grammys</v>
      </c>
      <c r="I2291">
        <f>_xlfn.XLOOKUP(Grammys[[#This Row],[date]],mobile_visits[date],mobile_visits[mobile_visitors],0)</f>
        <v>28592</v>
      </c>
    </row>
    <row r="2292" spans="1:9">
      <c r="A2292" s="1">
        <v>45026</v>
      </c>
      <c r="B2292">
        <v>22844</v>
      </c>
      <c r="C2292">
        <v>44119</v>
      </c>
      <c r="D2292">
        <v>24136</v>
      </c>
      <c r="E2292">
        <v>10707</v>
      </c>
      <c r="F2292">
        <v>76</v>
      </c>
      <c r="G2292" t="s">
        <v>83</v>
      </c>
      <c r="H2292" t="str" cm="1">
        <f t="array" ref="H2292">_xlfn.IFS(Grammys[[#This Row],[date]] &gt;= DATE(2022,2,1),"Grammys",TRUE,"Grammys TRA")</f>
        <v>Grammys</v>
      </c>
      <c r="I2292">
        <f>_xlfn.XLOOKUP(Grammys[[#This Row],[date]],mobile_visits[date],mobile_visits[mobile_visitors],0)</f>
        <v>16195</v>
      </c>
    </row>
    <row r="2293" spans="1:9">
      <c r="A2293" s="1">
        <v>45027</v>
      </c>
      <c r="B2293">
        <v>17192</v>
      </c>
      <c r="C2293">
        <v>32481</v>
      </c>
      <c r="D2293">
        <v>18227</v>
      </c>
      <c r="E2293">
        <v>9163</v>
      </c>
      <c r="F2293">
        <v>76</v>
      </c>
      <c r="G2293" t="s">
        <v>83</v>
      </c>
      <c r="H2293" t="str" cm="1">
        <f t="array" ref="H2293">_xlfn.IFS(Grammys[[#This Row],[date]] &gt;= DATE(2022,2,1),"Grammys",TRUE,"Grammys TRA")</f>
        <v>Grammys</v>
      </c>
      <c r="I2293">
        <f>_xlfn.XLOOKUP(Grammys[[#This Row],[date]],mobile_visits[date],mobile_visits[mobile_visitors],0)</f>
        <v>10960</v>
      </c>
    </row>
    <row r="2294" spans="1:9">
      <c r="A2294" s="1">
        <v>45028</v>
      </c>
      <c r="B2294">
        <v>16241</v>
      </c>
      <c r="C2294">
        <v>30063</v>
      </c>
      <c r="D2294">
        <v>17152</v>
      </c>
      <c r="E2294">
        <v>8872</v>
      </c>
      <c r="F2294">
        <v>84</v>
      </c>
      <c r="G2294" t="s">
        <v>83</v>
      </c>
      <c r="H2294" t="str" cm="1">
        <f t="array" ref="H2294">_xlfn.IFS(Grammys[[#This Row],[date]] &gt;= DATE(2022,2,1),"Grammys",TRUE,"Grammys TRA")</f>
        <v>Grammys</v>
      </c>
      <c r="I2294">
        <f>_xlfn.XLOOKUP(Grammys[[#This Row],[date]],mobile_visits[date],mobile_visits[mobile_visitors],0)</f>
        <v>9748</v>
      </c>
    </row>
    <row r="2295" spans="1:9">
      <c r="A2295" s="1">
        <v>45029</v>
      </c>
      <c r="B2295">
        <v>16256</v>
      </c>
      <c r="C2295">
        <v>29864</v>
      </c>
      <c r="D2295">
        <v>17339</v>
      </c>
      <c r="E2295">
        <v>9121</v>
      </c>
      <c r="F2295">
        <v>77</v>
      </c>
      <c r="G2295" t="s">
        <v>83</v>
      </c>
      <c r="H2295" t="str" cm="1">
        <f t="array" ref="H2295">_xlfn.IFS(Grammys[[#This Row],[date]] &gt;= DATE(2022,2,1),"Grammys",TRUE,"Grammys TRA")</f>
        <v>Grammys</v>
      </c>
      <c r="I2295">
        <f>_xlfn.XLOOKUP(Grammys[[#This Row],[date]],mobile_visits[date],mobile_visits[mobile_visitors],0)</f>
        <v>10076</v>
      </c>
    </row>
    <row r="2296" spans="1:9">
      <c r="A2296" s="1">
        <v>45030</v>
      </c>
      <c r="B2296">
        <v>16682</v>
      </c>
      <c r="C2296">
        <v>31019</v>
      </c>
      <c r="D2296">
        <v>17905</v>
      </c>
      <c r="E2296">
        <v>9363</v>
      </c>
      <c r="F2296">
        <v>75</v>
      </c>
      <c r="G2296" t="s">
        <v>83</v>
      </c>
      <c r="H2296" t="str" cm="1">
        <f t="array" ref="H2296">_xlfn.IFS(Grammys[[#This Row],[date]] &gt;= DATE(2022,2,1),"Grammys",TRUE,"Grammys TRA")</f>
        <v>Grammys</v>
      </c>
      <c r="I2296">
        <f>_xlfn.XLOOKUP(Grammys[[#This Row],[date]],mobile_visits[date],mobile_visits[mobile_visitors],0)</f>
        <v>11806</v>
      </c>
    </row>
    <row r="2297" spans="1:9">
      <c r="A2297" s="1">
        <v>45031</v>
      </c>
      <c r="B2297">
        <v>15644</v>
      </c>
      <c r="C2297">
        <v>29586</v>
      </c>
      <c r="D2297">
        <v>16539</v>
      </c>
      <c r="E2297">
        <v>8411</v>
      </c>
      <c r="F2297">
        <v>77</v>
      </c>
      <c r="G2297" t="s">
        <v>83</v>
      </c>
      <c r="H2297" t="str" cm="1">
        <f t="array" ref="H2297">_xlfn.IFS(Grammys[[#This Row],[date]] &gt;= DATE(2022,2,1),"Grammys",TRUE,"Grammys TRA")</f>
        <v>Grammys</v>
      </c>
      <c r="I2297">
        <f>_xlfn.XLOOKUP(Grammys[[#This Row],[date]],mobile_visits[date],mobile_visits[mobile_visitors],0)</f>
        <v>11785</v>
      </c>
    </row>
    <row r="2298" spans="1:9">
      <c r="A2298" s="1">
        <v>45032</v>
      </c>
      <c r="B2298">
        <v>15983</v>
      </c>
      <c r="C2298">
        <v>29801</v>
      </c>
      <c r="D2298">
        <v>16908</v>
      </c>
      <c r="E2298">
        <v>8762</v>
      </c>
      <c r="F2298">
        <v>71</v>
      </c>
      <c r="G2298" t="s">
        <v>83</v>
      </c>
      <c r="H2298" t="str" cm="1">
        <f t="array" ref="H2298">_xlfn.IFS(Grammys[[#This Row],[date]] &gt;= DATE(2022,2,1),"Grammys",TRUE,"Grammys TRA")</f>
        <v>Grammys</v>
      </c>
      <c r="I2298">
        <f>_xlfn.XLOOKUP(Grammys[[#This Row],[date]],mobile_visits[date],mobile_visits[mobile_visitors],0)</f>
        <v>12254</v>
      </c>
    </row>
    <row r="2299" spans="1:9">
      <c r="A2299" s="1">
        <v>45033</v>
      </c>
      <c r="B2299">
        <v>16776</v>
      </c>
      <c r="C2299">
        <v>30658</v>
      </c>
      <c r="D2299">
        <v>17788</v>
      </c>
      <c r="E2299">
        <v>9595</v>
      </c>
      <c r="F2299">
        <v>74</v>
      </c>
      <c r="G2299" t="s">
        <v>83</v>
      </c>
      <c r="H2299" t="str" cm="1">
        <f t="array" ref="H2299">_xlfn.IFS(Grammys[[#This Row],[date]] &gt;= DATE(2022,2,1),"Grammys",TRUE,"Grammys TRA")</f>
        <v>Grammys</v>
      </c>
      <c r="I2299">
        <f>_xlfn.XLOOKUP(Grammys[[#This Row],[date]],mobile_visits[date],mobile_visits[mobile_visitors],0)</f>
        <v>11900</v>
      </c>
    </row>
    <row r="2300" spans="1:9">
      <c r="A2300" s="1">
        <v>45034</v>
      </c>
      <c r="B2300">
        <v>15899</v>
      </c>
      <c r="C2300">
        <v>29916</v>
      </c>
      <c r="D2300">
        <v>16970</v>
      </c>
      <c r="E2300">
        <v>8847</v>
      </c>
      <c r="F2300">
        <v>82</v>
      </c>
      <c r="G2300" t="s">
        <v>83</v>
      </c>
      <c r="H2300" t="str" cm="1">
        <f t="array" ref="H2300">_xlfn.IFS(Grammys[[#This Row],[date]] &gt;= DATE(2022,2,1),"Grammys",TRUE,"Grammys TRA")</f>
        <v>Grammys</v>
      </c>
      <c r="I2300">
        <f>_xlfn.XLOOKUP(Grammys[[#This Row],[date]],mobile_visits[date],mobile_visits[mobile_visitors],0)</f>
        <v>9823</v>
      </c>
    </row>
    <row r="2301" spans="1:9">
      <c r="A2301" s="1">
        <v>45035</v>
      </c>
      <c r="B2301">
        <v>18310</v>
      </c>
      <c r="C2301">
        <v>35347</v>
      </c>
      <c r="D2301">
        <v>19534</v>
      </c>
      <c r="E2301">
        <v>10059</v>
      </c>
      <c r="F2301">
        <v>76</v>
      </c>
      <c r="G2301" t="s">
        <v>83</v>
      </c>
      <c r="H2301" t="str" cm="1">
        <f t="array" ref="H2301">_xlfn.IFS(Grammys[[#This Row],[date]] &gt;= DATE(2022,2,1),"Grammys",TRUE,"Grammys TRA")</f>
        <v>Grammys</v>
      </c>
      <c r="I2301">
        <f>_xlfn.XLOOKUP(Grammys[[#This Row],[date]],mobile_visits[date],mobile_visits[mobile_visitors],0)</f>
        <v>11113</v>
      </c>
    </row>
    <row r="2302" spans="1:9">
      <c r="A2302" s="1">
        <v>45036</v>
      </c>
      <c r="B2302">
        <v>18790</v>
      </c>
      <c r="C2302">
        <v>35413</v>
      </c>
      <c r="D2302">
        <v>19976</v>
      </c>
      <c r="E2302">
        <v>10274</v>
      </c>
      <c r="F2302">
        <v>73</v>
      </c>
      <c r="G2302" t="s">
        <v>83</v>
      </c>
      <c r="H2302" t="str" cm="1">
        <f t="array" ref="H2302">_xlfn.IFS(Grammys[[#This Row],[date]] &gt;= DATE(2022,2,1),"Grammys",TRUE,"Grammys TRA")</f>
        <v>Grammys</v>
      </c>
      <c r="I2302">
        <f>_xlfn.XLOOKUP(Grammys[[#This Row],[date]],mobile_visits[date],mobile_visits[mobile_visitors],0)</f>
        <v>12558</v>
      </c>
    </row>
    <row r="2303" spans="1:9">
      <c r="A2303" s="1">
        <v>45037</v>
      </c>
      <c r="B2303">
        <v>18368</v>
      </c>
      <c r="C2303">
        <v>34490</v>
      </c>
      <c r="D2303">
        <v>19436</v>
      </c>
      <c r="E2303">
        <v>9864</v>
      </c>
      <c r="F2303">
        <v>73</v>
      </c>
      <c r="G2303" t="s">
        <v>83</v>
      </c>
      <c r="H2303" t="str" cm="1">
        <f t="array" ref="H2303">_xlfn.IFS(Grammys[[#This Row],[date]] &gt;= DATE(2022,2,1),"Grammys",TRUE,"Grammys TRA")</f>
        <v>Grammys</v>
      </c>
      <c r="I2303">
        <f>_xlfn.XLOOKUP(Grammys[[#This Row],[date]],mobile_visits[date],mobile_visits[mobile_visitors],0)</f>
        <v>12684</v>
      </c>
    </row>
    <row r="2304" spans="1:9">
      <c r="A2304" s="1">
        <v>45038</v>
      </c>
      <c r="B2304">
        <v>16403</v>
      </c>
      <c r="C2304">
        <v>30386</v>
      </c>
      <c r="D2304">
        <v>17247</v>
      </c>
      <c r="E2304">
        <v>8812</v>
      </c>
      <c r="F2304">
        <v>67</v>
      </c>
      <c r="G2304" t="s">
        <v>83</v>
      </c>
      <c r="H2304" t="str" cm="1">
        <f t="array" ref="H2304">_xlfn.IFS(Grammys[[#This Row],[date]] &gt;= DATE(2022,2,1),"Grammys",TRUE,"Grammys TRA")</f>
        <v>Grammys</v>
      </c>
      <c r="I2304">
        <f>_xlfn.XLOOKUP(Grammys[[#This Row],[date]],mobile_visits[date],mobile_visits[mobile_visitors],0)</f>
        <v>12440</v>
      </c>
    </row>
    <row r="2305" spans="1:9">
      <c r="A2305" s="1">
        <v>45039</v>
      </c>
      <c r="B2305">
        <v>16362</v>
      </c>
      <c r="C2305">
        <v>30751</v>
      </c>
      <c r="D2305">
        <v>17153</v>
      </c>
      <c r="E2305">
        <v>8553</v>
      </c>
      <c r="F2305">
        <v>76</v>
      </c>
      <c r="G2305" t="s">
        <v>83</v>
      </c>
      <c r="H2305" t="str" cm="1">
        <f t="array" ref="H2305">_xlfn.IFS(Grammys[[#This Row],[date]] &gt;= DATE(2022,2,1),"Grammys",TRUE,"Grammys TRA")</f>
        <v>Grammys</v>
      </c>
      <c r="I2305">
        <f>_xlfn.XLOOKUP(Grammys[[#This Row],[date]],mobile_visits[date],mobile_visits[mobile_visitors],0)</f>
        <v>13024</v>
      </c>
    </row>
    <row r="2306" spans="1:9">
      <c r="A2306" s="1">
        <v>45040</v>
      </c>
      <c r="B2306">
        <v>17541</v>
      </c>
      <c r="C2306">
        <v>32689</v>
      </c>
      <c r="D2306">
        <v>18678</v>
      </c>
      <c r="E2306">
        <v>9668</v>
      </c>
      <c r="F2306">
        <v>72</v>
      </c>
      <c r="G2306" t="s">
        <v>83</v>
      </c>
      <c r="H2306" t="str" cm="1">
        <f t="array" ref="H2306">_xlfn.IFS(Grammys[[#This Row],[date]] &gt;= DATE(2022,2,1),"Grammys",TRUE,"Grammys TRA")</f>
        <v>Grammys</v>
      </c>
      <c r="I2306">
        <f>_xlfn.XLOOKUP(Grammys[[#This Row],[date]],mobile_visits[date],mobile_visits[mobile_visitors],0)</f>
        <v>12430</v>
      </c>
    </row>
    <row r="2307" spans="1:9">
      <c r="A2307" s="1">
        <v>45041</v>
      </c>
      <c r="B2307">
        <v>18262</v>
      </c>
      <c r="C2307">
        <v>33281</v>
      </c>
      <c r="D2307">
        <v>19327</v>
      </c>
      <c r="E2307">
        <v>10387</v>
      </c>
      <c r="F2307">
        <v>73</v>
      </c>
      <c r="G2307" t="s">
        <v>83</v>
      </c>
      <c r="H2307" t="str" cm="1">
        <f t="array" ref="H2307">_xlfn.IFS(Grammys[[#This Row],[date]] &gt;= DATE(2022,2,1),"Grammys",TRUE,"Grammys TRA")</f>
        <v>Grammys</v>
      </c>
      <c r="I2307">
        <f>_xlfn.XLOOKUP(Grammys[[#This Row],[date]],mobile_visits[date],mobile_visits[mobile_visitors],0)</f>
        <v>10518</v>
      </c>
    </row>
    <row r="2308" spans="1:9">
      <c r="A2308" s="1">
        <v>45042</v>
      </c>
      <c r="B2308">
        <v>15660</v>
      </c>
      <c r="C2308">
        <v>29018</v>
      </c>
      <c r="D2308">
        <v>16699</v>
      </c>
      <c r="E2308">
        <v>8868</v>
      </c>
      <c r="F2308">
        <v>76</v>
      </c>
      <c r="G2308" t="s">
        <v>83</v>
      </c>
      <c r="H2308" t="str" cm="1">
        <f t="array" ref="H2308">_xlfn.IFS(Grammys[[#This Row],[date]] &gt;= DATE(2022,2,1),"Grammys",TRUE,"Grammys TRA")</f>
        <v>Grammys</v>
      </c>
      <c r="I2308">
        <f>_xlfn.XLOOKUP(Grammys[[#This Row],[date]],mobile_visits[date],mobile_visits[mobile_visitors],0)</f>
        <v>8854</v>
      </c>
    </row>
    <row r="2309" spans="1:9">
      <c r="A2309" s="1">
        <v>45043</v>
      </c>
      <c r="B2309">
        <v>14039</v>
      </c>
      <c r="C2309">
        <v>25944</v>
      </c>
      <c r="D2309">
        <v>15052</v>
      </c>
      <c r="E2309">
        <v>8040</v>
      </c>
      <c r="F2309">
        <v>77</v>
      </c>
      <c r="G2309" t="s">
        <v>83</v>
      </c>
      <c r="H2309" t="str" cm="1">
        <f t="array" ref="H2309">_xlfn.IFS(Grammys[[#This Row],[date]] &gt;= DATE(2022,2,1),"Grammys",TRUE,"Grammys TRA")</f>
        <v>Grammys</v>
      </c>
      <c r="I2309">
        <f>_xlfn.XLOOKUP(Grammys[[#This Row],[date]],mobile_visits[date],mobile_visits[mobile_visitors],0)</f>
        <v>7546</v>
      </c>
    </row>
    <row r="2310" spans="1:9">
      <c r="A2310" s="1">
        <v>45044</v>
      </c>
      <c r="B2310">
        <v>13947</v>
      </c>
      <c r="C2310">
        <v>25573</v>
      </c>
      <c r="D2310">
        <v>14769</v>
      </c>
      <c r="E2310">
        <v>7828</v>
      </c>
      <c r="F2310">
        <v>74</v>
      </c>
      <c r="G2310" t="s">
        <v>83</v>
      </c>
      <c r="H2310" t="str" cm="1">
        <f t="array" ref="H2310">_xlfn.IFS(Grammys[[#This Row],[date]] &gt;= DATE(2022,2,1),"Grammys",TRUE,"Grammys TRA")</f>
        <v>Grammys</v>
      </c>
      <c r="I2310">
        <f>_xlfn.XLOOKUP(Grammys[[#This Row],[date]],mobile_visits[date],mobile_visits[mobile_visitors],0)</f>
        <v>8888</v>
      </c>
    </row>
    <row r="2311" spans="1:9">
      <c r="A2311" s="1">
        <v>45045</v>
      </c>
      <c r="B2311">
        <v>13127</v>
      </c>
      <c r="C2311">
        <v>24285</v>
      </c>
      <c r="D2311">
        <v>13849</v>
      </c>
      <c r="E2311">
        <v>7083</v>
      </c>
      <c r="F2311">
        <v>73</v>
      </c>
      <c r="G2311" t="s">
        <v>83</v>
      </c>
      <c r="H2311" t="str" cm="1">
        <f t="array" ref="H2311">_xlfn.IFS(Grammys[[#This Row],[date]] &gt;= DATE(2022,2,1),"Grammys",TRUE,"Grammys TRA")</f>
        <v>Grammys</v>
      </c>
      <c r="I2311">
        <f>_xlfn.XLOOKUP(Grammys[[#This Row],[date]],mobile_visits[date],mobile_visits[mobile_visitors],0)</f>
        <v>9372</v>
      </c>
    </row>
    <row r="2312" spans="1:9">
      <c r="A2312" s="1">
        <v>45046</v>
      </c>
      <c r="B2312">
        <v>13662</v>
      </c>
      <c r="C2312">
        <v>25691</v>
      </c>
      <c r="D2312">
        <v>14623</v>
      </c>
      <c r="E2312">
        <v>7536</v>
      </c>
      <c r="F2312">
        <v>71</v>
      </c>
      <c r="G2312" t="s">
        <v>83</v>
      </c>
      <c r="H2312" t="str" cm="1">
        <f t="array" ref="H2312">_xlfn.IFS(Grammys[[#This Row],[date]] &gt;= DATE(2022,2,1),"Grammys",TRUE,"Grammys TRA")</f>
        <v>Grammys</v>
      </c>
      <c r="I2312">
        <f>_xlfn.XLOOKUP(Grammys[[#This Row],[date]],mobile_visits[date],mobile_visits[mobile_visitors],0)</f>
        <v>10011</v>
      </c>
    </row>
    <row r="2313" spans="1:9">
      <c r="A2313" s="1">
        <v>45047</v>
      </c>
      <c r="B2313">
        <v>16266</v>
      </c>
      <c r="C2313">
        <v>30062</v>
      </c>
      <c r="D2313">
        <v>17346</v>
      </c>
      <c r="E2313">
        <v>9097</v>
      </c>
      <c r="F2313">
        <v>71</v>
      </c>
      <c r="G2313" t="s">
        <v>83</v>
      </c>
      <c r="H2313" t="str" cm="1">
        <f t="array" ref="H2313">_xlfn.IFS(Grammys[[#This Row],[date]] &gt;= DATE(2022,2,1),"Grammys",TRUE,"Grammys TRA")</f>
        <v>Grammys</v>
      </c>
      <c r="I2313">
        <f>_xlfn.XLOOKUP(Grammys[[#This Row],[date]],mobile_visits[date],mobile_visits[mobile_visitors],0)</f>
        <v>11833</v>
      </c>
    </row>
    <row r="2314" spans="1:9">
      <c r="A2314" s="1">
        <v>45048</v>
      </c>
      <c r="B2314">
        <v>18538</v>
      </c>
      <c r="C2314">
        <v>34007</v>
      </c>
      <c r="D2314">
        <v>20000</v>
      </c>
      <c r="E2314">
        <v>10524</v>
      </c>
      <c r="F2314">
        <v>77</v>
      </c>
      <c r="G2314" t="s">
        <v>83</v>
      </c>
      <c r="H2314" t="str" cm="1">
        <f t="array" ref="H2314">_xlfn.IFS(Grammys[[#This Row],[date]] &gt;= DATE(2022,2,1),"Grammys",TRUE,"Grammys TRA")</f>
        <v>Grammys</v>
      </c>
      <c r="I2314">
        <f>_xlfn.XLOOKUP(Grammys[[#This Row],[date]],mobile_visits[date],mobile_visits[mobile_visitors],0)</f>
        <v>13740</v>
      </c>
    </row>
    <row r="2315" spans="1:9">
      <c r="A2315" s="1">
        <v>45049</v>
      </c>
      <c r="B2315">
        <v>18070</v>
      </c>
      <c r="C2315">
        <v>32890</v>
      </c>
      <c r="D2315">
        <v>19495</v>
      </c>
      <c r="E2315">
        <v>10325</v>
      </c>
      <c r="F2315">
        <v>73</v>
      </c>
      <c r="G2315" t="s">
        <v>83</v>
      </c>
      <c r="H2315" t="str" cm="1">
        <f t="array" ref="H2315">_xlfn.IFS(Grammys[[#This Row],[date]] &gt;= DATE(2022,2,1),"Grammys",TRUE,"Grammys TRA")</f>
        <v>Grammys</v>
      </c>
      <c r="I2315">
        <f>_xlfn.XLOOKUP(Grammys[[#This Row],[date]],mobile_visits[date],mobile_visits[mobile_visitors],0)</f>
        <v>10769</v>
      </c>
    </row>
    <row r="2316" spans="1:9">
      <c r="A2316" s="1">
        <v>45050</v>
      </c>
      <c r="B2316">
        <v>17018</v>
      </c>
      <c r="C2316">
        <v>29738</v>
      </c>
      <c r="D2316">
        <v>18074</v>
      </c>
      <c r="E2316">
        <v>10084</v>
      </c>
      <c r="F2316">
        <v>69</v>
      </c>
      <c r="G2316" t="s">
        <v>83</v>
      </c>
      <c r="H2316" t="str" cm="1">
        <f t="array" ref="H2316">_xlfn.IFS(Grammys[[#This Row],[date]] &gt;= DATE(2022,2,1),"Grammys",TRUE,"Grammys TRA")</f>
        <v>Grammys</v>
      </c>
      <c r="I2316">
        <f>_xlfn.XLOOKUP(Grammys[[#This Row],[date]],mobile_visits[date],mobile_visits[mobile_visitors],0)</f>
        <v>10421</v>
      </c>
    </row>
    <row r="2317" spans="1:9">
      <c r="A2317" s="1">
        <v>45051</v>
      </c>
      <c r="B2317">
        <v>13993</v>
      </c>
      <c r="C2317">
        <v>25219</v>
      </c>
      <c r="D2317">
        <v>14897</v>
      </c>
      <c r="E2317">
        <v>7917</v>
      </c>
      <c r="F2317">
        <v>79</v>
      </c>
      <c r="G2317" t="s">
        <v>83</v>
      </c>
      <c r="H2317" t="str" cm="1">
        <f t="array" ref="H2317">_xlfn.IFS(Grammys[[#This Row],[date]] &gt;= DATE(2022,2,1),"Grammys",TRUE,"Grammys TRA")</f>
        <v>Grammys</v>
      </c>
      <c r="I2317">
        <f>_xlfn.XLOOKUP(Grammys[[#This Row],[date]],mobile_visits[date],mobile_visits[mobile_visitors],0)</f>
        <v>8569</v>
      </c>
    </row>
    <row r="2318" spans="1:9">
      <c r="A2318" s="1">
        <v>45052</v>
      </c>
      <c r="B2318">
        <v>12198</v>
      </c>
      <c r="C2318">
        <v>22095</v>
      </c>
      <c r="D2318">
        <v>12928</v>
      </c>
      <c r="E2318">
        <v>6679</v>
      </c>
      <c r="F2318">
        <v>73</v>
      </c>
      <c r="G2318" t="s">
        <v>83</v>
      </c>
      <c r="H2318" t="str" cm="1">
        <f t="array" ref="H2318">_xlfn.IFS(Grammys[[#This Row],[date]] &gt;= DATE(2022,2,1),"Grammys",TRUE,"Grammys TRA")</f>
        <v>Grammys</v>
      </c>
      <c r="I2318">
        <f>_xlfn.XLOOKUP(Grammys[[#This Row],[date]],mobile_visits[date],mobile_visits[mobile_visitors],0)</f>
        <v>9095</v>
      </c>
    </row>
    <row r="2319" spans="1:9">
      <c r="A2319" s="1">
        <v>45053</v>
      </c>
      <c r="B2319">
        <v>12689</v>
      </c>
      <c r="C2319">
        <v>22960</v>
      </c>
      <c r="D2319">
        <v>13553</v>
      </c>
      <c r="E2319">
        <v>7212</v>
      </c>
      <c r="F2319">
        <v>72</v>
      </c>
      <c r="G2319" t="s">
        <v>83</v>
      </c>
      <c r="H2319" t="str" cm="1">
        <f t="array" ref="H2319">_xlfn.IFS(Grammys[[#This Row],[date]] &gt;= DATE(2022,2,1),"Grammys",TRUE,"Grammys TRA")</f>
        <v>Grammys</v>
      </c>
      <c r="I2319">
        <f>_xlfn.XLOOKUP(Grammys[[#This Row],[date]],mobile_visits[date],mobile_visits[mobile_visitors],0)</f>
        <v>9664</v>
      </c>
    </row>
    <row r="2320" spans="1:9">
      <c r="A2320" s="1">
        <v>45054</v>
      </c>
      <c r="B2320">
        <v>25026</v>
      </c>
      <c r="C2320">
        <v>45418</v>
      </c>
      <c r="D2320">
        <v>26725</v>
      </c>
      <c r="E2320">
        <v>14101</v>
      </c>
      <c r="F2320">
        <v>66</v>
      </c>
      <c r="G2320" t="s">
        <v>83</v>
      </c>
      <c r="H2320" t="str" cm="1">
        <f t="array" ref="H2320">_xlfn.IFS(Grammys[[#This Row],[date]] &gt;= DATE(2022,2,1),"Grammys",TRUE,"Grammys TRA")</f>
        <v>Grammys</v>
      </c>
      <c r="I2320">
        <f>_xlfn.XLOOKUP(Grammys[[#This Row],[date]],mobile_visits[date],mobile_visits[mobile_visitors],0)</f>
        <v>18116</v>
      </c>
    </row>
    <row r="2321" spans="1:9">
      <c r="A2321" s="1">
        <v>45055</v>
      </c>
      <c r="B2321">
        <v>22255</v>
      </c>
      <c r="C2321">
        <v>39841</v>
      </c>
      <c r="D2321">
        <v>23948</v>
      </c>
      <c r="E2321">
        <v>13052</v>
      </c>
      <c r="F2321">
        <v>72</v>
      </c>
      <c r="G2321" t="s">
        <v>83</v>
      </c>
      <c r="H2321" t="str" cm="1">
        <f t="array" ref="H2321">_xlfn.IFS(Grammys[[#This Row],[date]] &gt;= DATE(2022,2,1),"Grammys",TRUE,"Grammys TRA")</f>
        <v>Grammys</v>
      </c>
      <c r="I2321">
        <f>_xlfn.XLOOKUP(Grammys[[#This Row],[date]],mobile_visits[date],mobile_visits[mobile_visitors],0)</f>
        <v>15006</v>
      </c>
    </row>
    <row r="2322" spans="1:9">
      <c r="A2322" s="1">
        <v>45056</v>
      </c>
      <c r="B2322">
        <v>25566</v>
      </c>
      <c r="C2322">
        <v>47510</v>
      </c>
      <c r="D2322">
        <v>27459</v>
      </c>
      <c r="E2322">
        <v>14356</v>
      </c>
      <c r="F2322">
        <v>97</v>
      </c>
      <c r="G2322" t="s">
        <v>83</v>
      </c>
      <c r="H2322" t="str" cm="1">
        <f t="array" ref="H2322">_xlfn.IFS(Grammys[[#This Row],[date]] &gt;= DATE(2022,2,1),"Grammys",TRUE,"Grammys TRA")</f>
        <v>Grammys</v>
      </c>
      <c r="I2322">
        <f>_xlfn.XLOOKUP(Grammys[[#This Row],[date]],mobile_visits[date],mobile_visits[mobile_visitors],0)</f>
        <v>19099</v>
      </c>
    </row>
    <row r="2323" spans="1:9">
      <c r="A2323" s="1">
        <v>45057</v>
      </c>
      <c r="B2323">
        <v>20696</v>
      </c>
      <c r="C2323">
        <v>38328</v>
      </c>
      <c r="D2323">
        <v>22126</v>
      </c>
      <c r="E2323">
        <v>11643</v>
      </c>
      <c r="F2323">
        <v>80</v>
      </c>
      <c r="G2323" t="s">
        <v>83</v>
      </c>
      <c r="H2323" t="str" cm="1">
        <f t="array" ref="H2323">_xlfn.IFS(Grammys[[#This Row],[date]] &gt;= DATE(2022,2,1),"Grammys",TRUE,"Grammys TRA")</f>
        <v>Grammys</v>
      </c>
      <c r="I2323">
        <f>_xlfn.XLOOKUP(Grammys[[#This Row],[date]],mobile_visits[date],mobile_visits[mobile_visitors],0)</f>
        <v>14490</v>
      </c>
    </row>
    <row r="2324" spans="1:9">
      <c r="A2324" s="1">
        <v>45058</v>
      </c>
      <c r="B2324">
        <v>16972</v>
      </c>
      <c r="C2324">
        <v>30792</v>
      </c>
      <c r="D2324">
        <v>18165</v>
      </c>
      <c r="E2324">
        <v>9717</v>
      </c>
      <c r="F2324">
        <v>78</v>
      </c>
      <c r="G2324" t="s">
        <v>83</v>
      </c>
      <c r="H2324" t="str" cm="1">
        <f t="array" ref="H2324">_xlfn.IFS(Grammys[[#This Row],[date]] &gt;= DATE(2022,2,1),"Grammys",TRUE,"Grammys TRA")</f>
        <v>Grammys</v>
      </c>
      <c r="I2324">
        <f>_xlfn.XLOOKUP(Grammys[[#This Row],[date]],mobile_visits[date],mobile_visits[mobile_visitors],0)</f>
        <v>12174</v>
      </c>
    </row>
    <row r="2325" spans="1:9">
      <c r="A2325" s="1">
        <v>45059</v>
      </c>
      <c r="B2325">
        <v>14081</v>
      </c>
      <c r="C2325">
        <v>26593</v>
      </c>
      <c r="D2325">
        <v>15387</v>
      </c>
      <c r="E2325">
        <v>8128</v>
      </c>
      <c r="F2325">
        <v>72</v>
      </c>
      <c r="G2325" t="s">
        <v>83</v>
      </c>
      <c r="H2325" t="str" cm="1">
        <f t="array" ref="H2325">_xlfn.IFS(Grammys[[#This Row],[date]] &gt;= DATE(2022,2,1),"Grammys",TRUE,"Grammys TRA")</f>
        <v>Grammys</v>
      </c>
      <c r="I2325">
        <f>_xlfn.XLOOKUP(Grammys[[#This Row],[date]],mobile_visits[date],mobile_visits[mobile_visitors],0)</f>
        <v>11056</v>
      </c>
    </row>
    <row r="2326" spans="1:9">
      <c r="A2326" s="1">
        <v>45060</v>
      </c>
      <c r="B2326">
        <v>17400</v>
      </c>
      <c r="C2326">
        <v>35653</v>
      </c>
      <c r="D2326">
        <v>19801</v>
      </c>
      <c r="E2326">
        <v>9907</v>
      </c>
      <c r="F2326">
        <v>66</v>
      </c>
      <c r="G2326" t="s">
        <v>83</v>
      </c>
      <c r="H2326" t="str" cm="1">
        <f t="array" ref="H2326">_xlfn.IFS(Grammys[[#This Row],[date]] &gt;= DATE(2022,2,1),"Grammys",TRUE,"Grammys TRA")</f>
        <v>Grammys</v>
      </c>
      <c r="I2326">
        <f>_xlfn.XLOOKUP(Grammys[[#This Row],[date]],mobile_visits[date],mobile_visits[mobile_visitors],0)</f>
        <v>14688</v>
      </c>
    </row>
    <row r="2327" spans="1:9">
      <c r="A2327" s="1">
        <v>45061</v>
      </c>
      <c r="B2327">
        <v>15662</v>
      </c>
      <c r="C2327">
        <v>29597</v>
      </c>
      <c r="D2327">
        <v>16850</v>
      </c>
      <c r="E2327">
        <v>8966</v>
      </c>
      <c r="F2327">
        <v>86</v>
      </c>
      <c r="G2327" t="s">
        <v>83</v>
      </c>
      <c r="H2327" t="str" cm="1">
        <f t="array" ref="H2327">_xlfn.IFS(Grammys[[#This Row],[date]] &gt;= DATE(2022,2,1),"Grammys",TRUE,"Grammys TRA")</f>
        <v>Grammys</v>
      </c>
      <c r="I2327">
        <f>_xlfn.XLOOKUP(Grammys[[#This Row],[date]],mobile_visits[date],mobile_visits[mobile_visitors],0)</f>
        <v>11255</v>
      </c>
    </row>
    <row r="2328" spans="1:9">
      <c r="A2328" s="1">
        <v>45062</v>
      </c>
      <c r="B2328">
        <v>13441</v>
      </c>
      <c r="C2328">
        <v>25008</v>
      </c>
      <c r="D2328">
        <v>14480</v>
      </c>
      <c r="E2328">
        <v>7802</v>
      </c>
      <c r="F2328">
        <v>81</v>
      </c>
      <c r="G2328" t="s">
        <v>83</v>
      </c>
      <c r="H2328" t="str" cm="1">
        <f t="array" ref="H2328">_xlfn.IFS(Grammys[[#This Row],[date]] &gt;= DATE(2022,2,1),"Grammys",TRUE,"Grammys TRA")</f>
        <v>Grammys</v>
      </c>
      <c r="I2328">
        <f>_xlfn.XLOOKUP(Grammys[[#This Row],[date]],mobile_visits[date],mobile_visits[mobile_visitors],0)</f>
        <v>8591</v>
      </c>
    </row>
    <row r="2329" spans="1:9">
      <c r="A2329" s="1">
        <v>45063</v>
      </c>
      <c r="B2329">
        <v>14293</v>
      </c>
      <c r="C2329">
        <v>26016</v>
      </c>
      <c r="D2329">
        <v>15375</v>
      </c>
      <c r="E2329">
        <v>8206</v>
      </c>
      <c r="F2329">
        <v>78</v>
      </c>
      <c r="G2329" t="s">
        <v>83</v>
      </c>
      <c r="H2329" t="str" cm="1">
        <f t="array" ref="H2329">_xlfn.IFS(Grammys[[#This Row],[date]] &gt;= DATE(2022,2,1),"Grammys",TRUE,"Grammys TRA")</f>
        <v>Grammys</v>
      </c>
      <c r="I2329">
        <f>_xlfn.XLOOKUP(Grammys[[#This Row],[date]],mobile_visits[date],mobile_visits[mobile_visitors],0)</f>
        <v>9052</v>
      </c>
    </row>
    <row r="2330" spans="1:9">
      <c r="A2330" s="1">
        <v>45064</v>
      </c>
      <c r="B2330">
        <v>13468</v>
      </c>
      <c r="C2330">
        <v>24487</v>
      </c>
      <c r="D2330">
        <v>14315</v>
      </c>
      <c r="E2330">
        <v>7459</v>
      </c>
      <c r="F2330">
        <v>83</v>
      </c>
      <c r="G2330" t="s">
        <v>83</v>
      </c>
      <c r="H2330" t="str" cm="1">
        <f t="array" ref="H2330">_xlfn.IFS(Grammys[[#This Row],[date]] &gt;= DATE(2022,2,1),"Grammys",TRUE,"Grammys TRA")</f>
        <v>Grammys</v>
      </c>
      <c r="I2330">
        <f>_xlfn.XLOOKUP(Grammys[[#This Row],[date]],mobile_visits[date],mobile_visits[mobile_visitors],0)</f>
        <v>8279</v>
      </c>
    </row>
    <row r="2331" spans="1:9">
      <c r="A2331" s="1">
        <v>45065</v>
      </c>
      <c r="B2331">
        <v>17532</v>
      </c>
      <c r="C2331">
        <v>33040</v>
      </c>
      <c r="D2331">
        <v>18615</v>
      </c>
      <c r="E2331">
        <v>9198</v>
      </c>
      <c r="F2331">
        <v>84</v>
      </c>
      <c r="G2331" t="s">
        <v>83</v>
      </c>
      <c r="H2331" t="str" cm="1">
        <f t="array" ref="H2331">_xlfn.IFS(Grammys[[#This Row],[date]] &gt;= DATE(2022,2,1),"Grammys",TRUE,"Grammys TRA")</f>
        <v>Grammys</v>
      </c>
      <c r="I2331">
        <f>_xlfn.XLOOKUP(Grammys[[#This Row],[date]],mobile_visits[date],mobile_visits[mobile_visitors],0)</f>
        <v>12395</v>
      </c>
    </row>
    <row r="2332" spans="1:9">
      <c r="A2332" s="1">
        <v>45066</v>
      </c>
      <c r="B2332">
        <v>17796</v>
      </c>
      <c r="C2332">
        <v>33296</v>
      </c>
      <c r="D2332">
        <v>18934</v>
      </c>
      <c r="E2332">
        <v>9166</v>
      </c>
      <c r="F2332">
        <v>75</v>
      </c>
      <c r="G2332" t="s">
        <v>83</v>
      </c>
      <c r="H2332" t="str" cm="1">
        <f t="array" ref="H2332">_xlfn.IFS(Grammys[[#This Row],[date]] &gt;= DATE(2022,2,1),"Grammys",TRUE,"Grammys TRA")</f>
        <v>Grammys</v>
      </c>
      <c r="I2332">
        <f>_xlfn.XLOOKUP(Grammys[[#This Row],[date]],mobile_visits[date],mobile_visits[mobile_visitors],0)</f>
        <v>13937</v>
      </c>
    </row>
    <row r="2333" spans="1:9">
      <c r="A2333" s="1">
        <v>45067</v>
      </c>
      <c r="B2333">
        <v>16294</v>
      </c>
      <c r="C2333">
        <v>30442</v>
      </c>
      <c r="D2333">
        <v>17846</v>
      </c>
      <c r="E2333">
        <v>9248</v>
      </c>
      <c r="F2333">
        <v>71</v>
      </c>
      <c r="G2333" t="s">
        <v>83</v>
      </c>
      <c r="H2333" t="str" cm="1">
        <f t="array" ref="H2333">_xlfn.IFS(Grammys[[#This Row],[date]] &gt;= DATE(2022,2,1),"Grammys",TRUE,"Grammys TRA")</f>
        <v>Grammys</v>
      </c>
      <c r="I2333">
        <f>_xlfn.XLOOKUP(Grammys[[#This Row],[date]],mobile_visits[date],mobile_visits[mobile_visitors],0)</f>
        <v>12513</v>
      </c>
    </row>
    <row r="2334" spans="1:9">
      <c r="A2334" s="1">
        <v>45068</v>
      </c>
      <c r="B2334">
        <v>15471</v>
      </c>
      <c r="C2334">
        <v>34636</v>
      </c>
      <c r="D2334">
        <v>17583</v>
      </c>
      <c r="E2334">
        <v>7157</v>
      </c>
      <c r="F2334">
        <v>73</v>
      </c>
      <c r="G2334" t="s">
        <v>83</v>
      </c>
      <c r="H2334" t="str" cm="1">
        <f t="array" ref="H2334">_xlfn.IFS(Grammys[[#This Row],[date]] &gt;= DATE(2022,2,1),"Grammys",TRUE,"Grammys TRA")</f>
        <v>Grammys</v>
      </c>
      <c r="I2334">
        <f>_xlfn.XLOOKUP(Grammys[[#This Row],[date]],mobile_visits[date],mobile_visits[mobile_visitors],0)</f>
        <v>11455</v>
      </c>
    </row>
    <row r="2335" spans="1:9">
      <c r="A2335" s="1">
        <v>45069</v>
      </c>
      <c r="B2335">
        <v>17691</v>
      </c>
      <c r="C2335">
        <v>41993</v>
      </c>
      <c r="D2335">
        <v>18982</v>
      </c>
      <c r="E2335">
        <v>6916</v>
      </c>
      <c r="F2335">
        <v>77</v>
      </c>
      <c r="G2335" t="s">
        <v>83</v>
      </c>
      <c r="H2335" t="str" cm="1">
        <f t="array" ref="H2335">_xlfn.IFS(Grammys[[#This Row],[date]] &gt;= DATE(2022,2,1),"Grammys",TRUE,"Grammys TRA")</f>
        <v>Grammys</v>
      </c>
      <c r="I2335">
        <f>_xlfn.XLOOKUP(Grammys[[#This Row],[date]],mobile_visits[date],mobile_visits[mobile_visitors],0)</f>
        <v>11146</v>
      </c>
    </row>
    <row r="2336" spans="1:9">
      <c r="A2336" s="1">
        <v>45070</v>
      </c>
      <c r="B2336">
        <v>19607</v>
      </c>
      <c r="C2336">
        <v>46388</v>
      </c>
      <c r="D2336">
        <v>20908</v>
      </c>
      <c r="E2336">
        <v>7918</v>
      </c>
      <c r="F2336">
        <v>83</v>
      </c>
      <c r="G2336" t="s">
        <v>83</v>
      </c>
      <c r="H2336" t="str" cm="1">
        <f t="array" ref="H2336">_xlfn.IFS(Grammys[[#This Row],[date]] &gt;= DATE(2022,2,1),"Grammys",TRUE,"Grammys TRA")</f>
        <v>Grammys</v>
      </c>
      <c r="I2336">
        <f>_xlfn.XLOOKUP(Grammys[[#This Row],[date]],mobile_visits[date],mobile_visits[mobile_visitors],0)</f>
        <v>13245</v>
      </c>
    </row>
    <row r="2337" spans="1:9">
      <c r="A2337" s="1">
        <v>45071</v>
      </c>
      <c r="B2337">
        <v>21680</v>
      </c>
      <c r="C2337">
        <v>51484</v>
      </c>
      <c r="D2337">
        <v>23319</v>
      </c>
      <c r="E2337">
        <v>8353</v>
      </c>
      <c r="F2337">
        <v>80</v>
      </c>
      <c r="G2337" t="s">
        <v>83</v>
      </c>
      <c r="H2337" t="str" cm="1">
        <f t="array" ref="H2337">_xlfn.IFS(Grammys[[#This Row],[date]] &gt;= DATE(2022,2,1),"Grammys",TRUE,"Grammys TRA")</f>
        <v>Grammys</v>
      </c>
      <c r="I2337">
        <f>_xlfn.XLOOKUP(Grammys[[#This Row],[date]],mobile_visits[date],mobile_visits[mobile_visitors],0)</f>
        <v>15970</v>
      </c>
    </row>
    <row r="2338" spans="1:9">
      <c r="A2338" s="1">
        <v>45072</v>
      </c>
      <c r="B2338">
        <v>17211</v>
      </c>
      <c r="C2338">
        <v>41580</v>
      </c>
      <c r="D2338">
        <v>18453</v>
      </c>
      <c r="E2338">
        <v>6417</v>
      </c>
      <c r="F2338">
        <v>74</v>
      </c>
      <c r="G2338" t="s">
        <v>83</v>
      </c>
      <c r="H2338" t="str" cm="1">
        <f t="array" ref="H2338">_xlfn.IFS(Grammys[[#This Row],[date]] &gt;= DATE(2022,2,1),"Grammys",TRUE,"Grammys TRA")</f>
        <v>Grammys</v>
      </c>
      <c r="I2338">
        <f>_xlfn.XLOOKUP(Grammys[[#This Row],[date]],mobile_visits[date],mobile_visits[mobile_visitors],0)</f>
        <v>12674</v>
      </c>
    </row>
    <row r="2339" spans="1:9">
      <c r="A2339" s="1">
        <v>45073</v>
      </c>
      <c r="B2339">
        <v>14332</v>
      </c>
      <c r="C2339">
        <v>34178</v>
      </c>
      <c r="D2339">
        <v>15430</v>
      </c>
      <c r="E2339">
        <v>5424</v>
      </c>
      <c r="F2339">
        <v>75</v>
      </c>
      <c r="G2339" t="s">
        <v>83</v>
      </c>
      <c r="H2339" t="str" cm="1">
        <f t="array" ref="H2339">_xlfn.IFS(Grammys[[#This Row],[date]] &gt;= DATE(2022,2,1),"Grammys",TRUE,"Grammys TRA")</f>
        <v>Grammys</v>
      </c>
      <c r="I2339">
        <f>_xlfn.XLOOKUP(Grammys[[#This Row],[date]],mobile_visits[date],mobile_visits[mobile_visitors],0)</f>
        <v>11412</v>
      </c>
    </row>
    <row r="2340" spans="1:9">
      <c r="A2340" s="1">
        <v>45074</v>
      </c>
      <c r="B2340">
        <v>13798</v>
      </c>
      <c r="C2340">
        <v>31708</v>
      </c>
      <c r="D2340">
        <v>14662</v>
      </c>
      <c r="E2340">
        <v>5509</v>
      </c>
      <c r="F2340">
        <v>73</v>
      </c>
      <c r="G2340" t="s">
        <v>83</v>
      </c>
      <c r="H2340" t="str" cm="1">
        <f t="array" ref="H2340">_xlfn.IFS(Grammys[[#This Row],[date]] &gt;= DATE(2022,2,1),"Grammys",TRUE,"Grammys TRA")</f>
        <v>Grammys</v>
      </c>
      <c r="I2340">
        <f>_xlfn.XLOOKUP(Grammys[[#This Row],[date]],mobile_visits[date],mobile_visits[mobile_visitors],0)</f>
        <v>11060</v>
      </c>
    </row>
    <row r="2341" spans="1:9">
      <c r="A2341" s="1">
        <v>45075</v>
      </c>
      <c r="B2341">
        <v>20563</v>
      </c>
      <c r="C2341">
        <v>53396</v>
      </c>
      <c r="D2341">
        <v>22244</v>
      </c>
      <c r="E2341">
        <v>7005</v>
      </c>
      <c r="F2341">
        <v>92</v>
      </c>
      <c r="G2341" t="s">
        <v>83</v>
      </c>
      <c r="H2341" t="str" cm="1">
        <f t="array" ref="H2341">_xlfn.IFS(Grammys[[#This Row],[date]] &gt;= DATE(2022,2,1),"Grammys",TRUE,"Grammys TRA")</f>
        <v>Grammys</v>
      </c>
      <c r="I2341">
        <f>_xlfn.XLOOKUP(Grammys[[#This Row],[date]],mobile_visits[date],mobile_visits[mobile_visitors],0)</f>
        <v>16834</v>
      </c>
    </row>
    <row r="2342" spans="1:9">
      <c r="A2342" s="1">
        <v>45076</v>
      </c>
      <c r="B2342">
        <v>16105</v>
      </c>
      <c r="C2342">
        <v>37950</v>
      </c>
      <c r="D2342">
        <v>17264</v>
      </c>
      <c r="E2342">
        <v>6452</v>
      </c>
      <c r="F2342">
        <v>87</v>
      </c>
      <c r="G2342" t="s">
        <v>83</v>
      </c>
      <c r="H2342" t="str" cm="1">
        <f t="array" ref="H2342">_xlfn.IFS(Grammys[[#This Row],[date]] &gt;= DATE(2022,2,1),"Grammys",TRUE,"Grammys TRA")</f>
        <v>Grammys</v>
      </c>
      <c r="I2342">
        <f>_xlfn.XLOOKUP(Grammys[[#This Row],[date]],mobile_visits[date],mobile_visits[mobile_visitors],0)</f>
        <v>10734</v>
      </c>
    </row>
    <row r="2343" spans="1:9">
      <c r="A2343" s="1">
        <v>45077</v>
      </c>
      <c r="B2343">
        <v>31253</v>
      </c>
      <c r="C2343">
        <v>85686</v>
      </c>
      <c r="D2343">
        <v>33237</v>
      </c>
      <c r="E2343">
        <v>8200</v>
      </c>
      <c r="F2343">
        <v>106</v>
      </c>
      <c r="G2343" t="s">
        <v>83</v>
      </c>
      <c r="H2343" t="str" cm="1">
        <f t="array" ref="H2343">_xlfn.IFS(Grammys[[#This Row],[date]] &gt;= DATE(2022,2,1),"Grammys",TRUE,"Grammys TRA")</f>
        <v>Grammys</v>
      </c>
      <c r="I2343">
        <f>_xlfn.XLOOKUP(Grammys[[#This Row],[date]],mobile_visits[date],mobile_visits[mobile_visitors],0)</f>
        <v>22726</v>
      </c>
    </row>
  </sheetData>
  <conditionalFormatting sqref="H2:H2343">
    <cfRule type="expression" dxfId="17" priority="1">
      <formula>MOD(ROW(),2)=0</formula>
    </cfRule>
  </conditionalFormatting>
  <conditionalFormatting sqref="I2:I2343">
    <cfRule type="expression" dxfId="16" priority="2">
      <formula>MOD(ROW(),2)=0</formula>
    </cfRule>
  </conditionalFormatting>
  <pageMargins left="0.75" right="0.75" top="1" bottom="1" header="0.5" footer="0.5"/>
  <drawing r:id="rId2"/>
  <tableParts count="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486"/>
  <sheetViews>
    <sheetView topLeftCell="C1" workbookViewId="0">
      <selection sqref="A1:G1"/>
    </sheetView>
  </sheetViews>
  <sheetFormatPr defaultColWidth="11" defaultRowHeight="15.95"/>
  <cols>
    <col min="1" max="1" width="16" customWidth="1"/>
    <col min="2" max="2" width="18.375" style="2" customWidth="1"/>
    <col min="4" max="4" width="12.375" customWidth="1"/>
    <col min="6" max="6" width="18.125" customWidth="1"/>
    <col min="7" max="7" width="25.875" customWidth="1"/>
  </cols>
  <sheetData>
    <row r="1" spans="1:7">
      <c r="A1" t="s">
        <v>75</v>
      </c>
      <c r="B1" s="2" t="s">
        <v>86</v>
      </c>
      <c r="C1" t="s">
        <v>76</v>
      </c>
      <c r="D1" t="s">
        <v>77</v>
      </c>
      <c r="E1" t="s">
        <v>78</v>
      </c>
      <c r="F1" t="s">
        <v>79</v>
      </c>
      <c r="G1" t="s">
        <v>80</v>
      </c>
    </row>
    <row r="2" spans="1:7">
      <c r="A2" s="1">
        <v>44593</v>
      </c>
      <c r="B2" s="2">
        <f>YEAR(TRA[[#This Row],[date]])</f>
        <v>2022</v>
      </c>
      <c r="C2">
        <v>928</v>
      </c>
      <c r="D2">
        <v>2856</v>
      </c>
      <c r="E2">
        <v>1092</v>
      </c>
      <c r="F2">
        <v>591</v>
      </c>
      <c r="G2">
        <v>148</v>
      </c>
    </row>
    <row r="3" spans="1:7">
      <c r="A3" s="1">
        <v>44594</v>
      </c>
      <c r="B3" s="2">
        <f>YEAR(TRA[[#This Row],[date]])</f>
        <v>2022</v>
      </c>
      <c r="C3">
        <v>1329</v>
      </c>
      <c r="D3">
        <v>3233</v>
      </c>
      <c r="E3">
        <v>1490</v>
      </c>
      <c r="F3">
        <v>923</v>
      </c>
      <c r="G3">
        <v>90</v>
      </c>
    </row>
    <row r="4" spans="1:7">
      <c r="A4" s="1">
        <v>44595</v>
      </c>
      <c r="B4" s="2">
        <f>YEAR(TRA[[#This Row],[date]])</f>
        <v>2022</v>
      </c>
      <c r="C4">
        <v>1138</v>
      </c>
      <c r="D4">
        <v>3340</v>
      </c>
      <c r="E4">
        <v>1322</v>
      </c>
      <c r="F4">
        <v>754</v>
      </c>
      <c r="G4">
        <v>127</v>
      </c>
    </row>
    <row r="5" spans="1:7">
      <c r="A5" s="1">
        <v>44596</v>
      </c>
      <c r="B5" s="2">
        <f>YEAR(TRA[[#This Row],[date]])</f>
        <v>2022</v>
      </c>
      <c r="C5">
        <v>811</v>
      </c>
      <c r="D5">
        <v>2552</v>
      </c>
      <c r="E5">
        <v>963</v>
      </c>
      <c r="F5">
        <v>534</v>
      </c>
      <c r="G5">
        <v>142</v>
      </c>
    </row>
    <row r="6" spans="1:7">
      <c r="A6" s="1">
        <v>44597</v>
      </c>
      <c r="B6" s="2">
        <f>YEAR(TRA[[#This Row],[date]])</f>
        <v>2022</v>
      </c>
      <c r="C6">
        <v>541</v>
      </c>
      <c r="D6">
        <v>1530</v>
      </c>
      <c r="E6">
        <v>602</v>
      </c>
      <c r="F6">
        <v>326</v>
      </c>
      <c r="G6">
        <v>111</v>
      </c>
    </row>
    <row r="7" spans="1:7">
      <c r="A7" s="1">
        <v>44598</v>
      </c>
      <c r="B7" s="2">
        <f>YEAR(TRA[[#This Row],[date]])</f>
        <v>2022</v>
      </c>
      <c r="C7">
        <v>536</v>
      </c>
      <c r="D7">
        <v>1669</v>
      </c>
      <c r="E7">
        <v>610</v>
      </c>
      <c r="F7">
        <v>339</v>
      </c>
      <c r="G7">
        <v>147</v>
      </c>
    </row>
    <row r="8" spans="1:7">
      <c r="A8" s="1">
        <v>44599</v>
      </c>
      <c r="B8" s="2">
        <f>YEAR(TRA[[#This Row],[date]])</f>
        <v>2022</v>
      </c>
      <c r="C8">
        <v>921</v>
      </c>
      <c r="D8">
        <v>3512</v>
      </c>
      <c r="E8">
        <v>1117</v>
      </c>
      <c r="F8">
        <v>567</v>
      </c>
      <c r="G8">
        <v>198</v>
      </c>
    </row>
    <row r="9" spans="1:7">
      <c r="A9" s="1">
        <v>44600</v>
      </c>
      <c r="B9" s="2">
        <f>YEAR(TRA[[#This Row],[date]])</f>
        <v>2022</v>
      </c>
      <c r="C9">
        <v>1106</v>
      </c>
      <c r="D9">
        <v>3662</v>
      </c>
      <c r="E9">
        <v>1296</v>
      </c>
      <c r="F9">
        <v>661</v>
      </c>
      <c r="G9">
        <v>163</v>
      </c>
    </row>
    <row r="10" spans="1:7">
      <c r="A10" s="1">
        <v>44601</v>
      </c>
      <c r="B10" s="2">
        <f>YEAR(TRA[[#This Row],[date]])</f>
        <v>2022</v>
      </c>
      <c r="C10">
        <v>1181</v>
      </c>
      <c r="D10">
        <v>4209</v>
      </c>
      <c r="E10">
        <v>1382</v>
      </c>
      <c r="F10">
        <v>725</v>
      </c>
      <c r="G10">
        <v>150</v>
      </c>
    </row>
    <row r="11" spans="1:7">
      <c r="A11" s="1">
        <v>44602</v>
      </c>
      <c r="B11" s="2">
        <f>YEAR(TRA[[#This Row],[date]])</f>
        <v>2022</v>
      </c>
      <c r="C11">
        <v>1134</v>
      </c>
      <c r="D11">
        <v>3473</v>
      </c>
      <c r="E11">
        <v>1341</v>
      </c>
      <c r="F11">
        <v>727</v>
      </c>
      <c r="G11">
        <v>140</v>
      </c>
    </row>
    <row r="12" spans="1:7">
      <c r="A12" s="1">
        <v>44603</v>
      </c>
      <c r="B12" s="2">
        <f>YEAR(TRA[[#This Row],[date]])</f>
        <v>2022</v>
      </c>
      <c r="C12">
        <v>871</v>
      </c>
      <c r="D12">
        <v>3263</v>
      </c>
      <c r="E12">
        <v>1045</v>
      </c>
      <c r="F12">
        <v>577</v>
      </c>
      <c r="G12">
        <v>183</v>
      </c>
    </row>
    <row r="13" spans="1:7">
      <c r="A13" s="1">
        <v>44604</v>
      </c>
      <c r="B13" s="2">
        <f>YEAR(TRA[[#This Row],[date]])</f>
        <v>2022</v>
      </c>
      <c r="C13">
        <v>628</v>
      </c>
      <c r="D13">
        <v>1791</v>
      </c>
      <c r="E13">
        <v>726</v>
      </c>
      <c r="F13">
        <v>418</v>
      </c>
      <c r="G13">
        <v>116</v>
      </c>
    </row>
    <row r="14" spans="1:7">
      <c r="A14" s="1">
        <v>44605</v>
      </c>
      <c r="B14" s="2">
        <f>YEAR(TRA[[#This Row],[date]])</f>
        <v>2022</v>
      </c>
      <c r="C14">
        <v>658</v>
      </c>
      <c r="D14">
        <v>1861</v>
      </c>
      <c r="E14">
        <v>766</v>
      </c>
      <c r="F14">
        <v>443</v>
      </c>
      <c r="G14">
        <v>122</v>
      </c>
    </row>
    <row r="15" spans="1:7">
      <c r="A15" s="1">
        <v>44606</v>
      </c>
      <c r="B15" s="2">
        <f>YEAR(TRA[[#This Row],[date]])</f>
        <v>2022</v>
      </c>
      <c r="C15">
        <v>1111</v>
      </c>
      <c r="D15">
        <v>4054</v>
      </c>
      <c r="E15">
        <v>1365</v>
      </c>
      <c r="F15">
        <v>687</v>
      </c>
      <c r="G15">
        <v>167</v>
      </c>
    </row>
    <row r="16" spans="1:7">
      <c r="A16" s="1">
        <v>44607</v>
      </c>
      <c r="B16" s="2">
        <f>YEAR(TRA[[#This Row],[date]])</f>
        <v>2022</v>
      </c>
      <c r="C16">
        <v>1331</v>
      </c>
      <c r="D16">
        <v>4734</v>
      </c>
      <c r="E16">
        <v>1656</v>
      </c>
      <c r="F16">
        <v>849</v>
      </c>
      <c r="G16">
        <v>171</v>
      </c>
    </row>
    <row r="17" spans="1:7">
      <c r="A17" s="1">
        <v>44608</v>
      </c>
      <c r="B17" s="2">
        <f>YEAR(TRA[[#This Row],[date]])</f>
        <v>2022</v>
      </c>
      <c r="C17">
        <v>1136</v>
      </c>
      <c r="D17">
        <v>3648</v>
      </c>
      <c r="E17">
        <v>1350</v>
      </c>
      <c r="F17">
        <v>722</v>
      </c>
      <c r="G17">
        <v>148</v>
      </c>
    </row>
    <row r="18" spans="1:7">
      <c r="A18" s="1">
        <v>44609</v>
      </c>
      <c r="B18" s="2">
        <f>YEAR(TRA[[#This Row],[date]])</f>
        <v>2022</v>
      </c>
      <c r="C18">
        <v>1121</v>
      </c>
      <c r="D18">
        <v>3612</v>
      </c>
      <c r="E18">
        <v>1319</v>
      </c>
      <c r="F18">
        <v>711</v>
      </c>
      <c r="G18">
        <v>138</v>
      </c>
    </row>
    <row r="19" spans="1:7">
      <c r="A19" s="1">
        <v>44610</v>
      </c>
      <c r="B19" s="2">
        <f>YEAR(TRA[[#This Row],[date]])</f>
        <v>2022</v>
      </c>
      <c r="C19">
        <v>1077</v>
      </c>
      <c r="D19">
        <v>3590</v>
      </c>
      <c r="E19">
        <v>1283</v>
      </c>
      <c r="F19">
        <v>742</v>
      </c>
      <c r="G19">
        <v>159</v>
      </c>
    </row>
    <row r="20" spans="1:7">
      <c r="A20" s="1">
        <v>44611</v>
      </c>
      <c r="B20" s="2">
        <f>YEAR(TRA[[#This Row],[date]])</f>
        <v>2022</v>
      </c>
      <c r="C20">
        <v>726</v>
      </c>
      <c r="D20">
        <v>1954</v>
      </c>
      <c r="E20">
        <v>830</v>
      </c>
      <c r="F20">
        <v>515</v>
      </c>
      <c r="G20">
        <v>128</v>
      </c>
    </row>
    <row r="21" spans="1:7">
      <c r="A21" s="1">
        <v>44612</v>
      </c>
      <c r="B21" s="2">
        <f>YEAR(TRA[[#This Row],[date]])</f>
        <v>2022</v>
      </c>
      <c r="C21">
        <v>717</v>
      </c>
      <c r="D21">
        <v>1927</v>
      </c>
      <c r="E21">
        <v>828</v>
      </c>
      <c r="F21">
        <v>511</v>
      </c>
      <c r="G21">
        <v>146</v>
      </c>
    </row>
    <row r="22" spans="1:7">
      <c r="A22" s="1">
        <v>44613</v>
      </c>
      <c r="B22" s="2">
        <f>YEAR(TRA[[#This Row],[date]])</f>
        <v>2022</v>
      </c>
      <c r="C22">
        <v>1071</v>
      </c>
      <c r="D22">
        <v>3469</v>
      </c>
      <c r="E22">
        <v>1278</v>
      </c>
      <c r="F22">
        <v>717</v>
      </c>
      <c r="G22">
        <v>144</v>
      </c>
    </row>
    <row r="23" spans="1:7">
      <c r="A23" s="1">
        <v>44614</v>
      </c>
      <c r="B23" s="2">
        <f>YEAR(TRA[[#This Row],[date]])</f>
        <v>2022</v>
      </c>
      <c r="C23">
        <v>1498</v>
      </c>
      <c r="D23">
        <v>5491</v>
      </c>
      <c r="E23">
        <v>1842</v>
      </c>
      <c r="F23">
        <v>968</v>
      </c>
      <c r="G23">
        <v>159</v>
      </c>
    </row>
    <row r="24" spans="1:7">
      <c r="A24" s="1">
        <v>44615</v>
      </c>
      <c r="B24" s="2">
        <f>YEAR(TRA[[#This Row],[date]])</f>
        <v>2022</v>
      </c>
      <c r="C24">
        <v>1584</v>
      </c>
      <c r="D24">
        <v>6208</v>
      </c>
      <c r="E24">
        <v>1937</v>
      </c>
      <c r="F24">
        <v>936</v>
      </c>
      <c r="G24">
        <v>169</v>
      </c>
    </row>
    <row r="25" spans="1:7">
      <c r="A25" s="1">
        <v>44616</v>
      </c>
      <c r="B25" s="2">
        <f>YEAR(TRA[[#This Row],[date]])</f>
        <v>2022</v>
      </c>
      <c r="C25">
        <v>1367</v>
      </c>
      <c r="D25">
        <v>5040</v>
      </c>
      <c r="E25">
        <v>1697</v>
      </c>
      <c r="F25">
        <v>852</v>
      </c>
      <c r="G25">
        <v>194</v>
      </c>
    </row>
    <row r="26" spans="1:7">
      <c r="A26" s="1">
        <v>44617</v>
      </c>
      <c r="B26" s="2">
        <f>YEAR(TRA[[#This Row],[date]])</f>
        <v>2022</v>
      </c>
      <c r="C26">
        <v>1513</v>
      </c>
      <c r="D26">
        <v>4637</v>
      </c>
      <c r="E26">
        <v>1818</v>
      </c>
      <c r="F26">
        <v>991</v>
      </c>
      <c r="G26">
        <v>141</v>
      </c>
    </row>
    <row r="27" spans="1:7">
      <c r="A27" s="1">
        <v>44618</v>
      </c>
      <c r="B27" s="2">
        <f>YEAR(TRA[[#This Row],[date]])</f>
        <v>2022</v>
      </c>
      <c r="C27">
        <v>925</v>
      </c>
      <c r="D27">
        <v>2699</v>
      </c>
      <c r="E27">
        <v>1085</v>
      </c>
      <c r="F27">
        <v>602</v>
      </c>
      <c r="G27">
        <v>129</v>
      </c>
    </row>
    <row r="28" spans="1:7">
      <c r="A28" s="1">
        <v>44619</v>
      </c>
      <c r="B28" s="2">
        <f>YEAR(TRA[[#This Row],[date]])</f>
        <v>2022</v>
      </c>
      <c r="C28">
        <v>952</v>
      </c>
      <c r="D28">
        <v>3214</v>
      </c>
      <c r="E28">
        <v>1161</v>
      </c>
      <c r="F28">
        <v>565</v>
      </c>
      <c r="G28">
        <v>201</v>
      </c>
    </row>
    <row r="29" spans="1:7">
      <c r="A29" s="1">
        <v>44620</v>
      </c>
      <c r="B29" s="2">
        <f>YEAR(TRA[[#This Row],[date]])</f>
        <v>2022</v>
      </c>
      <c r="C29">
        <v>1966</v>
      </c>
      <c r="D29">
        <v>8951</v>
      </c>
      <c r="E29">
        <v>2717</v>
      </c>
      <c r="F29">
        <v>1114</v>
      </c>
      <c r="G29">
        <v>237</v>
      </c>
    </row>
    <row r="30" spans="1:7">
      <c r="A30" s="1">
        <v>44621</v>
      </c>
      <c r="B30" s="2">
        <f>YEAR(TRA[[#This Row],[date]])</f>
        <v>2022</v>
      </c>
      <c r="C30">
        <v>1571</v>
      </c>
      <c r="D30">
        <v>6180</v>
      </c>
      <c r="E30">
        <v>2073</v>
      </c>
      <c r="F30">
        <v>1008</v>
      </c>
      <c r="G30">
        <v>188</v>
      </c>
    </row>
    <row r="31" spans="1:7">
      <c r="A31" s="1">
        <v>44622</v>
      </c>
      <c r="B31" s="2">
        <f>YEAR(TRA[[#This Row],[date]])</f>
        <v>2022</v>
      </c>
      <c r="C31">
        <v>1052</v>
      </c>
      <c r="D31">
        <v>2885</v>
      </c>
      <c r="E31">
        <v>1207</v>
      </c>
      <c r="F31">
        <v>719</v>
      </c>
      <c r="G31">
        <v>107</v>
      </c>
    </row>
    <row r="32" spans="1:7">
      <c r="A32" s="1">
        <v>44623</v>
      </c>
      <c r="B32" s="2">
        <f>YEAR(TRA[[#This Row],[date]])</f>
        <v>2022</v>
      </c>
      <c r="C32">
        <v>1012</v>
      </c>
      <c r="D32">
        <v>2752</v>
      </c>
      <c r="E32">
        <v>1194</v>
      </c>
      <c r="F32">
        <v>717</v>
      </c>
      <c r="G32">
        <v>117</v>
      </c>
    </row>
    <row r="33" spans="1:7">
      <c r="A33" s="1">
        <v>44624</v>
      </c>
      <c r="B33" s="2">
        <f>YEAR(TRA[[#This Row],[date]])</f>
        <v>2022</v>
      </c>
      <c r="C33">
        <v>831</v>
      </c>
      <c r="D33">
        <v>2431</v>
      </c>
      <c r="E33">
        <v>977</v>
      </c>
      <c r="F33">
        <v>582</v>
      </c>
      <c r="G33">
        <v>126</v>
      </c>
    </row>
    <row r="34" spans="1:7">
      <c r="A34" s="1">
        <v>44625</v>
      </c>
      <c r="B34" s="2">
        <f>YEAR(TRA[[#This Row],[date]])</f>
        <v>2022</v>
      </c>
      <c r="C34">
        <v>579</v>
      </c>
      <c r="D34">
        <v>1409</v>
      </c>
      <c r="E34">
        <v>648</v>
      </c>
      <c r="F34">
        <v>412</v>
      </c>
      <c r="G34">
        <v>89</v>
      </c>
    </row>
    <row r="35" spans="1:7">
      <c r="A35" s="1">
        <v>44626</v>
      </c>
      <c r="B35" s="2">
        <f>YEAR(TRA[[#This Row],[date]])</f>
        <v>2022</v>
      </c>
      <c r="C35">
        <v>653</v>
      </c>
      <c r="D35">
        <v>1574</v>
      </c>
      <c r="E35">
        <v>719</v>
      </c>
      <c r="F35">
        <v>462</v>
      </c>
      <c r="G35">
        <v>98</v>
      </c>
    </row>
    <row r="36" spans="1:7">
      <c r="A36" s="1">
        <v>44627</v>
      </c>
      <c r="B36" s="2">
        <f>YEAR(TRA[[#This Row],[date]])</f>
        <v>2022</v>
      </c>
      <c r="C36">
        <v>1015</v>
      </c>
      <c r="D36">
        <v>2878</v>
      </c>
      <c r="E36">
        <v>1175</v>
      </c>
      <c r="F36">
        <v>723</v>
      </c>
      <c r="G36">
        <v>127</v>
      </c>
    </row>
    <row r="37" spans="1:7">
      <c r="A37" s="1">
        <v>44628</v>
      </c>
      <c r="B37" s="2">
        <f>YEAR(TRA[[#This Row],[date]])</f>
        <v>2022</v>
      </c>
      <c r="C37">
        <v>1493</v>
      </c>
      <c r="D37">
        <v>3662</v>
      </c>
      <c r="E37">
        <v>1703</v>
      </c>
      <c r="F37">
        <v>966</v>
      </c>
      <c r="G37">
        <v>99</v>
      </c>
    </row>
    <row r="38" spans="1:7">
      <c r="A38" s="1">
        <v>44629</v>
      </c>
      <c r="B38" s="2">
        <f>YEAR(TRA[[#This Row],[date]])</f>
        <v>2022</v>
      </c>
      <c r="C38">
        <v>1111</v>
      </c>
      <c r="D38">
        <v>3393</v>
      </c>
      <c r="E38">
        <v>1293</v>
      </c>
      <c r="F38">
        <v>753</v>
      </c>
      <c r="G38">
        <v>112</v>
      </c>
    </row>
    <row r="39" spans="1:7">
      <c r="A39" s="1">
        <v>44630</v>
      </c>
      <c r="B39" s="2">
        <f>YEAR(TRA[[#This Row],[date]])</f>
        <v>2022</v>
      </c>
      <c r="C39">
        <v>1000</v>
      </c>
      <c r="D39">
        <v>2796</v>
      </c>
      <c r="E39">
        <v>1160</v>
      </c>
      <c r="F39">
        <v>696</v>
      </c>
      <c r="G39">
        <v>101</v>
      </c>
    </row>
    <row r="40" spans="1:7">
      <c r="A40" s="1">
        <v>44631</v>
      </c>
      <c r="B40" s="2">
        <f>YEAR(TRA[[#This Row],[date]])</f>
        <v>2022</v>
      </c>
      <c r="C40">
        <v>925</v>
      </c>
      <c r="D40">
        <v>2592</v>
      </c>
      <c r="E40">
        <v>1082</v>
      </c>
      <c r="F40">
        <v>648</v>
      </c>
      <c r="G40">
        <v>116</v>
      </c>
    </row>
    <row r="41" spans="1:7">
      <c r="A41" s="1">
        <v>44632</v>
      </c>
      <c r="B41" s="2">
        <f>YEAR(TRA[[#This Row],[date]])</f>
        <v>2022</v>
      </c>
      <c r="C41">
        <v>637</v>
      </c>
      <c r="D41">
        <v>1589</v>
      </c>
      <c r="E41">
        <v>722</v>
      </c>
      <c r="F41">
        <v>456</v>
      </c>
      <c r="G41">
        <v>115</v>
      </c>
    </row>
    <row r="42" spans="1:7">
      <c r="A42" s="1">
        <v>44633</v>
      </c>
      <c r="B42" s="2">
        <f>YEAR(TRA[[#This Row],[date]])</f>
        <v>2022</v>
      </c>
      <c r="C42">
        <v>720</v>
      </c>
      <c r="D42">
        <v>1622</v>
      </c>
      <c r="E42">
        <v>792</v>
      </c>
      <c r="F42">
        <v>492</v>
      </c>
      <c r="G42">
        <v>67</v>
      </c>
    </row>
    <row r="43" spans="1:7">
      <c r="A43" s="1">
        <v>44634</v>
      </c>
      <c r="B43" s="2">
        <f>YEAR(TRA[[#This Row],[date]])</f>
        <v>2022</v>
      </c>
      <c r="C43">
        <v>1109</v>
      </c>
      <c r="D43">
        <v>2742</v>
      </c>
      <c r="E43">
        <v>1254</v>
      </c>
      <c r="F43">
        <v>765</v>
      </c>
      <c r="G43">
        <v>99</v>
      </c>
    </row>
    <row r="44" spans="1:7">
      <c r="A44" s="1">
        <v>44635</v>
      </c>
      <c r="B44" s="2">
        <f>YEAR(TRA[[#This Row],[date]])</f>
        <v>2022</v>
      </c>
      <c r="C44">
        <v>1974</v>
      </c>
      <c r="D44">
        <v>4475</v>
      </c>
      <c r="E44">
        <v>2199</v>
      </c>
      <c r="F44">
        <v>1365</v>
      </c>
      <c r="G44">
        <v>73</v>
      </c>
    </row>
    <row r="45" spans="1:7">
      <c r="A45" s="1">
        <v>44636</v>
      </c>
      <c r="B45" s="2">
        <f>YEAR(TRA[[#This Row],[date]])</f>
        <v>2022</v>
      </c>
      <c r="C45">
        <v>1433</v>
      </c>
      <c r="D45">
        <v>3572</v>
      </c>
      <c r="E45">
        <v>1622</v>
      </c>
      <c r="F45">
        <v>993</v>
      </c>
      <c r="G45">
        <v>93</v>
      </c>
    </row>
    <row r="46" spans="1:7">
      <c r="A46" s="1">
        <v>44637</v>
      </c>
      <c r="B46" s="2">
        <f>YEAR(TRA[[#This Row],[date]])</f>
        <v>2022</v>
      </c>
      <c r="C46">
        <v>1186</v>
      </c>
      <c r="D46">
        <v>2802</v>
      </c>
      <c r="E46">
        <v>1331</v>
      </c>
      <c r="F46">
        <v>854</v>
      </c>
      <c r="G46">
        <v>85</v>
      </c>
    </row>
    <row r="47" spans="1:7">
      <c r="A47" s="1">
        <v>44638</v>
      </c>
      <c r="B47" s="2">
        <f>YEAR(TRA[[#This Row],[date]])</f>
        <v>2022</v>
      </c>
      <c r="C47">
        <v>1320</v>
      </c>
      <c r="D47">
        <v>2796</v>
      </c>
      <c r="E47">
        <v>1483</v>
      </c>
      <c r="F47">
        <v>1042</v>
      </c>
      <c r="G47">
        <v>80</v>
      </c>
    </row>
    <row r="48" spans="1:7">
      <c r="A48" s="1">
        <v>44639</v>
      </c>
      <c r="B48" s="2">
        <f>YEAR(TRA[[#This Row],[date]])</f>
        <v>2022</v>
      </c>
      <c r="C48">
        <v>978</v>
      </c>
      <c r="D48">
        <v>2000</v>
      </c>
      <c r="E48">
        <v>1100</v>
      </c>
      <c r="F48">
        <v>756</v>
      </c>
      <c r="G48">
        <v>69</v>
      </c>
    </row>
    <row r="49" spans="1:7">
      <c r="A49" s="1">
        <v>44640</v>
      </c>
      <c r="B49" s="2">
        <f>YEAR(TRA[[#This Row],[date]])</f>
        <v>2022</v>
      </c>
      <c r="C49">
        <v>1006</v>
      </c>
      <c r="D49">
        <v>2165</v>
      </c>
      <c r="E49">
        <v>1103</v>
      </c>
      <c r="F49">
        <v>722</v>
      </c>
      <c r="G49">
        <v>72</v>
      </c>
    </row>
    <row r="50" spans="1:7">
      <c r="A50" s="1">
        <v>44641</v>
      </c>
      <c r="B50" s="2">
        <f>YEAR(TRA[[#This Row],[date]])</f>
        <v>2022</v>
      </c>
      <c r="C50">
        <v>1508</v>
      </c>
      <c r="D50">
        <v>3417</v>
      </c>
      <c r="E50">
        <v>1682</v>
      </c>
      <c r="F50">
        <v>1080</v>
      </c>
      <c r="G50">
        <v>84</v>
      </c>
    </row>
    <row r="51" spans="1:7">
      <c r="A51" s="1">
        <v>44642</v>
      </c>
      <c r="B51" s="2">
        <f>YEAR(TRA[[#This Row],[date]])</f>
        <v>2022</v>
      </c>
      <c r="C51">
        <v>1701</v>
      </c>
      <c r="D51">
        <v>3735</v>
      </c>
      <c r="E51">
        <v>1894</v>
      </c>
      <c r="F51">
        <v>1230</v>
      </c>
      <c r="G51">
        <v>73</v>
      </c>
    </row>
    <row r="52" spans="1:7">
      <c r="A52" s="1">
        <v>44643</v>
      </c>
      <c r="B52" s="2">
        <f>YEAR(TRA[[#This Row],[date]])</f>
        <v>2022</v>
      </c>
      <c r="C52">
        <v>1519</v>
      </c>
      <c r="D52">
        <v>3374</v>
      </c>
      <c r="E52">
        <v>1726</v>
      </c>
      <c r="F52">
        <v>1137</v>
      </c>
      <c r="G52">
        <v>91</v>
      </c>
    </row>
    <row r="53" spans="1:7">
      <c r="A53" s="1">
        <v>44644</v>
      </c>
      <c r="B53" s="2">
        <f>YEAR(TRA[[#This Row],[date]])</f>
        <v>2022</v>
      </c>
      <c r="C53">
        <v>1603</v>
      </c>
      <c r="D53">
        <v>3748</v>
      </c>
      <c r="E53">
        <v>1823</v>
      </c>
      <c r="F53">
        <v>1148</v>
      </c>
      <c r="G53">
        <v>105</v>
      </c>
    </row>
    <row r="54" spans="1:7">
      <c r="A54" s="1">
        <v>44645</v>
      </c>
      <c r="B54" s="2">
        <f>YEAR(TRA[[#This Row],[date]])</f>
        <v>2022</v>
      </c>
      <c r="C54">
        <v>1387</v>
      </c>
      <c r="D54">
        <v>3329</v>
      </c>
      <c r="E54">
        <v>1586</v>
      </c>
      <c r="F54">
        <v>1042</v>
      </c>
      <c r="G54">
        <v>97</v>
      </c>
    </row>
    <row r="55" spans="1:7">
      <c r="A55" s="1">
        <v>44646</v>
      </c>
      <c r="B55" s="2">
        <f>YEAR(TRA[[#This Row],[date]])</f>
        <v>2022</v>
      </c>
      <c r="C55">
        <v>1113</v>
      </c>
      <c r="D55">
        <v>2419</v>
      </c>
      <c r="E55">
        <v>1240</v>
      </c>
      <c r="F55">
        <v>840</v>
      </c>
      <c r="G55">
        <v>94</v>
      </c>
    </row>
    <row r="56" spans="1:7">
      <c r="A56" s="1">
        <v>44647</v>
      </c>
      <c r="B56" s="2">
        <f>YEAR(TRA[[#This Row],[date]])</f>
        <v>2022</v>
      </c>
      <c r="C56">
        <v>2656</v>
      </c>
      <c r="D56">
        <v>4702</v>
      </c>
      <c r="E56">
        <v>2890</v>
      </c>
      <c r="F56">
        <v>2013</v>
      </c>
      <c r="G56">
        <v>55</v>
      </c>
    </row>
    <row r="57" spans="1:7">
      <c r="A57" s="1">
        <v>44648</v>
      </c>
      <c r="B57" s="2">
        <f>YEAR(TRA[[#This Row],[date]])</f>
        <v>2022</v>
      </c>
      <c r="C57">
        <v>4746</v>
      </c>
      <c r="D57">
        <v>9155</v>
      </c>
      <c r="E57">
        <v>5278</v>
      </c>
      <c r="F57">
        <v>3561</v>
      </c>
      <c r="G57">
        <v>59</v>
      </c>
    </row>
    <row r="58" spans="1:7">
      <c r="A58" s="1">
        <v>44649</v>
      </c>
      <c r="B58" s="2">
        <f>YEAR(TRA[[#This Row],[date]])</f>
        <v>2022</v>
      </c>
      <c r="C58">
        <v>4532</v>
      </c>
      <c r="D58">
        <v>9373</v>
      </c>
      <c r="E58">
        <v>5008</v>
      </c>
      <c r="F58">
        <v>3251</v>
      </c>
      <c r="G58">
        <v>64</v>
      </c>
    </row>
    <row r="59" spans="1:7">
      <c r="A59" s="1">
        <v>44650</v>
      </c>
      <c r="B59" s="2">
        <f>YEAR(TRA[[#This Row],[date]])</f>
        <v>2022</v>
      </c>
      <c r="C59">
        <v>3711</v>
      </c>
      <c r="D59">
        <v>8221</v>
      </c>
      <c r="E59">
        <v>4171</v>
      </c>
      <c r="F59">
        <v>2662</v>
      </c>
      <c r="G59">
        <v>77</v>
      </c>
    </row>
    <row r="60" spans="1:7">
      <c r="A60" s="1">
        <v>44651</v>
      </c>
      <c r="B60" s="2">
        <f>YEAR(TRA[[#This Row],[date]])</f>
        <v>2022</v>
      </c>
      <c r="C60">
        <v>3118</v>
      </c>
      <c r="D60">
        <v>6953</v>
      </c>
      <c r="E60">
        <v>3479</v>
      </c>
      <c r="F60">
        <v>2281</v>
      </c>
      <c r="G60">
        <v>78</v>
      </c>
    </row>
    <row r="61" spans="1:7">
      <c r="A61" s="1">
        <v>44652</v>
      </c>
      <c r="B61" s="2">
        <f>YEAR(TRA[[#This Row],[date]])</f>
        <v>2022</v>
      </c>
      <c r="C61">
        <v>3918</v>
      </c>
      <c r="D61">
        <v>8155</v>
      </c>
      <c r="E61">
        <v>4309</v>
      </c>
      <c r="F61">
        <v>2829</v>
      </c>
      <c r="G61">
        <v>67</v>
      </c>
    </row>
    <row r="62" spans="1:7">
      <c r="A62" s="1">
        <v>44653</v>
      </c>
      <c r="B62" s="2">
        <f>YEAR(TRA[[#This Row],[date]])</f>
        <v>2022</v>
      </c>
      <c r="C62">
        <v>6955</v>
      </c>
      <c r="D62">
        <v>12913</v>
      </c>
      <c r="E62">
        <v>7465</v>
      </c>
      <c r="F62">
        <v>5174</v>
      </c>
      <c r="G62">
        <v>54</v>
      </c>
    </row>
    <row r="63" spans="1:7">
      <c r="A63" s="1">
        <v>44654</v>
      </c>
      <c r="B63" s="2">
        <f>YEAR(TRA[[#This Row],[date]])</f>
        <v>2022</v>
      </c>
      <c r="C63">
        <v>65411</v>
      </c>
      <c r="D63">
        <v>114987</v>
      </c>
      <c r="E63">
        <v>70782</v>
      </c>
      <c r="F63">
        <v>49152</v>
      </c>
      <c r="G63">
        <v>53</v>
      </c>
    </row>
    <row r="64" spans="1:7">
      <c r="A64" s="1">
        <v>44655</v>
      </c>
      <c r="B64" s="2">
        <f>YEAR(TRA[[#This Row],[date]])</f>
        <v>2022</v>
      </c>
      <c r="C64">
        <v>15241</v>
      </c>
      <c r="D64">
        <v>27645</v>
      </c>
      <c r="E64">
        <v>16523</v>
      </c>
      <c r="F64">
        <v>11763</v>
      </c>
      <c r="G64">
        <v>57</v>
      </c>
    </row>
    <row r="65" spans="1:7">
      <c r="A65" s="1">
        <v>44656</v>
      </c>
      <c r="B65" s="2">
        <f>YEAR(TRA[[#This Row],[date]])</f>
        <v>2022</v>
      </c>
      <c r="C65">
        <v>5493</v>
      </c>
      <c r="D65">
        <v>10697</v>
      </c>
      <c r="E65">
        <v>6066</v>
      </c>
      <c r="F65">
        <v>4241</v>
      </c>
      <c r="G65">
        <v>69</v>
      </c>
    </row>
    <row r="66" spans="1:7">
      <c r="A66" s="1">
        <v>44657</v>
      </c>
      <c r="B66" s="2">
        <f>YEAR(TRA[[#This Row],[date]])</f>
        <v>2022</v>
      </c>
      <c r="C66">
        <v>3061</v>
      </c>
      <c r="D66">
        <v>6253</v>
      </c>
      <c r="E66">
        <v>3452</v>
      </c>
      <c r="F66">
        <v>2383</v>
      </c>
      <c r="G66">
        <v>73</v>
      </c>
    </row>
    <row r="67" spans="1:7">
      <c r="A67" s="1">
        <v>44658</v>
      </c>
      <c r="B67" s="2">
        <f>YEAR(TRA[[#This Row],[date]])</f>
        <v>2022</v>
      </c>
      <c r="C67">
        <v>2281</v>
      </c>
      <c r="D67">
        <v>4857</v>
      </c>
      <c r="E67">
        <v>2560</v>
      </c>
      <c r="F67">
        <v>1694</v>
      </c>
      <c r="G67">
        <v>88</v>
      </c>
    </row>
    <row r="68" spans="1:7">
      <c r="A68" s="1">
        <v>44659</v>
      </c>
      <c r="B68" s="2">
        <f>YEAR(TRA[[#This Row],[date]])</f>
        <v>2022</v>
      </c>
      <c r="C68">
        <v>1855</v>
      </c>
      <c r="D68">
        <v>3833</v>
      </c>
      <c r="E68">
        <v>2069</v>
      </c>
      <c r="F68">
        <v>1401</v>
      </c>
      <c r="G68">
        <v>76</v>
      </c>
    </row>
    <row r="69" spans="1:7">
      <c r="A69" s="1">
        <v>44660</v>
      </c>
      <c r="B69" s="2">
        <f>YEAR(TRA[[#This Row],[date]])</f>
        <v>2022</v>
      </c>
      <c r="C69">
        <v>1528</v>
      </c>
      <c r="D69">
        <v>2844</v>
      </c>
      <c r="E69">
        <v>1700</v>
      </c>
      <c r="F69">
        <v>1255</v>
      </c>
      <c r="G69">
        <v>61</v>
      </c>
    </row>
    <row r="70" spans="1:7">
      <c r="A70" s="1">
        <v>44661</v>
      </c>
      <c r="B70" s="2">
        <f>YEAR(TRA[[#This Row],[date]])</f>
        <v>2022</v>
      </c>
      <c r="C70">
        <v>1165</v>
      </c>
      <c r="D70">
        <v>2336</v>
      </c>
      <c r="E70">
        <v>1308</v>
      </c>
      <c r="F70">
        <v>920</v>
      </c>
      <c r="G70">
        <v>78</v>
      </c>
    </row>
    <row r="71" spans="1:7">
      <c r="A71" s="1">
        <v>44662</v>
      </c>
      <c r="B71" s="2">
        <f>YEAR(TRA[[#This Row],[date]])</f>
        <v>2022</v>
      </c>
      <c r="C71">
        <v>1481</v>
      </c>
      <c r="D71">
        <v>3440</v>
      </c>
      <c r="E71">
        <v>1695</v>
      </c>
      <c r="F71">
        <v>1110</v>
      </c>
      <c r="G71">
        <v>92</v>
      </c>
    </row>
    <row r="72" spans="1:7">
      <c r="A72" s="1">
        <v>44663</v>
      </c>
      <c r="B72" s="2">
        <f>YEAR(TRA[[#This Row],[date]])</f>
        <v>2022</v>
      </c>
      <c r="C72">
        <v>1278</v>
      </c>
      <c r="D72">
        <v>3721</v>
      </c>
      <c r="E72">
        <v>1558</v>
      </c>
      <c r="F72">
        <v>954</v>
      </c>
      <c r="G72">
        <v>136</v>
      </c>
    </row>
    <row r="73" spans="1:7">
      <c r="A73" s="1">
        <v>44664</v>
      </c>
      <c r="B73" s="2">
        <f>YEAR(TRA[[#This Row],[date]])</f>
        <v>2022</v>
      </c>
      <c r="C73">
        <v>1127</v>
      </c>
      <c r="D73">
        <v>2813</v>
      </c>
      <c r="E73">
        <v>1278</v>
      </c>
      <c r="F73">
        <v>790</v>
      </c>
      <c r="G73">
        <v>132</v>
      </c>
    </row>
    <row r="74" spans="1:7">
      <c r="A74" s="1">
        <v>44665</v>
      </c>
      <c r="B74" s="2">
        <f>YEAR(TRA[[#This Row],[date]])</f>
        <v>2022</v>
      </c>
      <c r="C74">
        <v>1011</v>
      </c>
      <c r="D74">
        <v>2270</v>
      </c>
      <c r="E74">
        <v>1146</v>
      </c>
      <c r="F74">
        <v>769</v>
      </c>
      <c r="G74">
        <v>91</v>
      </c>
    </row>
    <row r="75" spans="1:7">
      <c r="A75" s="1">
        <v>44666</v>
      </c>
      <c r="B75" s="2">
        <f>YEAR(TRA[[#This Row],[date]])</f>
        <v>2022</v>
      </c>
      <c r="C75">
        <v>812</v>
      </c>
      <c r="D75">
        <v>1781</v>
      </c>
      <c r="E75">
        <v>900</v>
      </c>
      <c r="F75">
        <v>589</v>
      </c>
      <c r="G75">
        <v>82</v>
      </c>
    </row>
    <row r="76" spans="1:7">
      <c r="A76" s="1">
        <v>44667</v>
      </c>
      <c r="B76" s="2">
        <f>YEAR(TRA[[#This Row],[date]])</f>
        <v>2022</v>
      </c>
      <c r="C76">
        <v>665</v>
      </c>
      <c r="D76">
        <v>1375</v>
      </c>
      <c r="E76">
        <v>753</v>
      </c>
      <c r="F76">
        <v>529</v>
      </c>
      <c r="G76">
        <v>80</v>
      </c>
    </row>
    <row r="77" spans="1:7">
      <c r="A77" s="1">
        <v>44668</v>
      </c>
      <c r="B77" s="2">
        <f>YEAR(TRA[[#This Row],[date]])</f>
        <v>2022</v>
      </c>
      <c r="C77">
        <v>687</v>
      </c>
      <c r="D77">
        <v>1521</v>
      </c>
      <c r="E77">
        <v>782</v>
      </c>
      <c r="F77">
        <v>530</v>
      </c>
      <c r="G77">
        <v>84</v>
      </c>
    </row>
    <row r="78" spans="1:7">
      <c r="A78" s="1">
        <v>44669</v>
      </c>
      <c r="B78" s="2">
        <f>YEAR(TRA[[#This Row],[date]])</f>
        <v>2022</v>
      </c>
      <c r="C78">
        <v>1014</v>
      </c>
      <c r="D78">
        <v>2311</v>
      </c>
      <c r="E78">
        <v>1138</v>
      </c>
      <c r="F78">
        <v>737</v>
      </c>
      <c r="G78">
        <v>85</v>
      </c>
    </row>
    <row r="79" spans="1:7">
      <c r="A79" s="1">
        <v>44670</v>
      </c>
      <c r="B79" s="2">
        <f>YEAR(TRA[[#This Row],[date]])</f>
        <v>2022</v>
      </c>
      <c r="C79">
        <v>1017</v>
      </c>
      <c r="D79">
        <v>2534</v>
      </c>
      <c r="E79">
        <v>1147</v>
      </c>
      <c r="F79">
        <v>729</v>
      </c>
      <c r="G79">
        <v>102</v>
      </c>
    </row>
    <row r="80" spans="1:7">
      <c r="A80" s="1">
        <v>44671</v>
      </c>
      <c r="B80" s="2">
        <f>YEAR(TRA[[#This Row],[date]])</f>
        <v>2022</v>
      </c>
      <c r="C80">
        <v>916</v>
      </c>
      <c r="D80">
        <v>2232</v>
      </c>
      <c r="E80">
        <v>1072</v>
      </c>
      <c r="F80">
        <v>686</v>
      </c>
      <c r="G80">
        <v>110</v>
      </c>
    </row>
    <row r="81" spans="1:7">
      <c r="A81" s="1">
        <v>44672</v>
      </c>
      <c r="B81" s="2">
        <f>YEAR(TRA[[#This Row],[date]])</f>
        <v>2022</v>
      </c>
      <c r="C81">
        <v>994</v>
      </c>
      <c r="D81">
        <v>2350</v>
      </c>
      <c r="E81">
        <v>1145</v>
      </c>
      <c r="F81">
        <v>723</v>
      </c>
      <c r="G81">
        <v>92</v>
      </c>
    </row>
    <row r="82" spans="1:7">
      <c r="A82" s="1">
        <v>44673</v>
      </c>
      <c r="B82" s="2">
        <f>YEAR(TRA[[#This Row],[date]])</f>
        <v>2022</v>
      </c>
      <c r="C82">
        <v>862</v>
      </c>
      <c r="D82">
        <v>2105</v>
      </c>
      <c r="E82">
        <v>988</v>
      </c>
      <c r="F82">
        <v>636</v>
      </c>
      <c r="G82">
        <v>120</v>
      </c>
    </row>
    <row r="83" spans="1:7">
      <c r="A83" s="1">
        <v>44674</v>
      </c>
      <c r="B83" s="2">
        <f>YEAR(TRA[[#This Row],[date]])</f>
        <v>2022</v>
      </c>
      <c r="C83">
        <v>660</v>
      </c>
      <c r="D83">
        <v>1415</v>
      </c>
      <c r="E83">
        <v>767</v>
      </c>
      <c r="F83">
        <v>533</v>
      </c>
      <c r="G83">
        <v>68</v>
      </c>
    </row>
    <row r="84" spans="1:7">
      <c r="A84" s="1">
        <v>44675</v>
      </c>
      <c r="B84" s="2">
        <f>YEAR(TRA[[#This Row],[date]])</f>
        <v>2022</v>
      </c>
      <c r="C84">
        <v>663</v>
      </c>
      <c r="D84">
        <v>1368</v>
      </c>
      <c r="E84">
        <v>750</v>
      </c>
      <c r="F84">
        <v>525</v>
      </c>
      <c r="G84">
        <v>80</v>
      </c>
    </row>
    <row r="85" spans="1:7">
      <c r="A85" s="1">
        <v>44676</v>
      </c>
      <c r="B85" s="2">
        <f>YEAR(TRA[[#This Row],[date]])</f>
        <v>2022</v>
      </c>
      <c r="C85">
        <v>1282</v>
      </c>
      <c r="D85">
        <v>3091</v>
      </c>
      <c r="E85">
        <v>1528</v>
      </c>
      <c r="F85">
        <v>983</v>
      </c>
      <c r="G85">
        <v>97</v>
      </c>
    </row>
    <row r="86" spans="1:7">
      <c r="A86" s="1">
        <v>44677</v>
      </c>
      <c r="B86" s="2">
        <f>YEAR(TRA[[#This Row],[date]])</f>
        <v>2022</v>
      </c>
      <c r="C86">
        <v>1092</v>
      </c>
      <c r="D86">
        <v>3324</v>
      </c>
      <c r="E86">
        <v>1296</v>
      </c>
      <c r="F86">
        <v>845</v>
      </c>
      <c r="G86">
        <v>112</v>
      </c>
    </row>
    <row r="87" spans="1:7">
      <c r="A87" s="1">
        <v>44678</v>
      </c>
      <c r="B87" s="2">
        <f>YEAR(TRA[[#This Row],[date]])</f>
        <v>2022</v>
      </c>
      <c r="C87">
        <v>1088</v>
      </c>
      <c r="D87">
        <v>3052</v>
      </c>
      <c r="E87">
        <v>1298</v>
      </c>
      <c r="F87">
        <v>837</v>
      </c>
      <c r="G87">
        <v>98</v>
      </c>
    </row>
    <row r="88" spans="1:7">
      <c r="A88" s="1">
        <v>44679</v>
      </c>
      <c r="B88" s="2">
        <f>YEAR(TRA[[#This Row],[date]])</f>
        <v>2022</v>
      </c>
      <c r="C88">
        <v>1748</v>
      </c>
      <c r="D88">
        <v>3652</v>
      </c>
      <c r="E88">
        <v>2049</v>
      </c>
      <c r="F88">
        <v>1518</v>
      </c>
      <c r="G88">
        <v>79</v>
      </c>
    </row>
    <row r="89" spans="1:7">
      <c r="A89" s="1">
        <v>44680</v>
      </c>
      <c r="B89" s="2">
        <f>YEAR(TRA[[#This Row],[date]])</f>
        <v>2022</v>
      </c>
      <c r="C89">
        <v>977</v>
      </c>
      <c r="D89">
        <v>2304</v>
      </c>
      <c r="E89">
        <v>1151</v>
      </c>
      <c r="F89">
        <v>771</v>
      </c>
      <c r="G89">
        <v>81</v>
      </c>
    </row>
    <row r="90" spans="1:7">
      <c r="A90" s="1">
        <v>44681</v>
      </c>
      <c r="B90" s="2">
        <f>YEAR(TRA[[#This Row],[date]])</f>
        <v>2022</v>
      </c>
      <c r="C90">
        <v>658</v>
      </c>
      <c r="D90">
        <v>1448</v>
      </c>
      <c r="E90">
        <v>741</v>
      </c>
      <c r="F90">
        <v>532</v>
      </c>
      <c r="G90">
        <v>70</v>
      </c>
    </row>
    <row r="91" spans="1:7">
      <c r="A91" s="1">
        <v>44682</v>
      </c>
      <c r="B91" s="2">
        <f>YEAR(TRA[[#This Row],[date]])</f>
        <v>2022</v>
      </c>
      <c r="C91">
        <v>700</v>
      </c>
      <c r="D91">
        <v>1544</v>
      </c>
      <c r="E91">
        <v>813</v>
      </c>
      <c r="F91">
        <v>580</v>
      </c>
      <c r="G91">
        <v>76</v>
      </c>
    </row>
    <row r="92" spans="1:7">
      <c r="A92" s="1">
        <v>44683</v>
      </c>
      <c r="B92" s="2">
        <f>YEAR(TRA[[#This Row],[date]])</f>
        <v>2022</v>
      </c>
      <c r="C92">
        <v>878</v>
      </c>
      <c r="D92">
        <v>2311</v>
      </c>
      <c r="E92">
        <v>990</v>
      </c>
      <c r="F92">
        <v>631</v>
      </c>
      <c r="G92">
        <v>100</v>
      </c>
    </row>
    <row r="93" spans="1:7">
      <c r="A93" s="1">
        <v>44684</v>
      </c>
      <c r="B93" s="2">
        <f>YEAR(TRA[[#This Row],[date]])</f>
        <v>2022</v>
      </c>
      <c r="C93">
        <v>1338</v>
      </c>
      <c r="D93">
        <v>2777</v>
      </c>
      <c r="E93">
        <v>1482</v>
      </c>
      <c r="F93">
        <v>1026</v>
      </c>
      <c r="G93">
        <v>88</v>
      </c>
    </row>
    <row r="94" spans="1:7">
      <c r="A94" s="1">
        <v>44685</v>
      </c>
      <c r="B94" s="2">
        <f>YEAR(TRA[[#This Row],[date]])</f>
        <v>2022</v>
      </c>
      <c r="C94">
        <v>979</v>
      </c>
      <c r="D94">
        <v>2139</v>
      </c>
      <c r="E94">
        <v>1111</v>
      </c>
      <c r="F94">
        <v>751</v>
      </c>
      <c r="G94">
        <v>90</v>
      </c>
    </row>
    <row r="95" spans="1:7">
      <c r="A95" s="1">
        <v>44686</v>
      </c>
      <c r="B95" s="2">
        <f>YEAR(TRA[[#This Row],[date]])</f>
        <v>2022</v>
      </c>
      <c r="C95">
        <v>887</v>
      </c>
      <c r="D95">
        <v>2971</v>
      </c>
      <c r="E95">
        <v>1047</v>
      </c>
      <c r="F95">
        <v>652</v>
      </c>
      <c r="G95">
        <v>126</v>
      </c>
    </row>
    <row r="96" spans="1:7">
      <c r="A96" s="1">
        <v>44687</v>
      </c>
      <c r="B96" s="2">
        <f>YEAR(TRA[[#This Row],[date]])</f>
        <v>2022</v>
      </c>
      <c r="C96">
        <v>818</v>
      </c>
      <c r="D96">
        <v>2363</v>
      </c>
      <c r="E96">
        <v>944</v>
      </c>
      <c r="F96">
        <v>599</v>
      </c>
      <c r="G96">
        <v>121</v>
      </c>
    </row>
    <row r="97" spans="1:7">
      <c r="A97" s="1">
        <v>44688</v>
      </c>
      <c r="B97" s="2">
        <f>YEAR(TRA[[#This Row],[date]])</f>
        <v>2022</v>
      </c>
      <c r="C97">
        <v>541</v>
      </c>
      <c r="D97">
        <v>1118</v>
      </c>
      <c r="E97">
        <v>607</v>
      </c>
      <c r="F97">
        <v>418</v>
      </c>
      <c r="G97">
        <v>79</v>
      </c>
    </row>
    <row r="98" spans="1:7">
      <c r="A98" s="1">
        <v>44689</v>
      </c>
      <c r="B98" s="2">
        <f>YEAR(TRA[[#This Row],[date]])</f>
        <v>2022</v>
      </c>
      <c r="C98">
        <v>589</v>
      </c>
      <c r="D98">
        <v>1260</v>
      </c>
      <c r="E98">
        <v>649</v>
      </c>
      <c r="F98">
        <v>464</v>
      </c>
      <c r="G98">
        <v>92</v>
      </c>
    </row>
    <row r="99" spans="1:7">
      <c r="A99" s="1">
        <v>44690</v>
      </c>
      <c r="B99" s="2">
        <f>YEAR(TRA[[#This Row],[date]])</f>
        <v>2022</v>
      </c>
      <c r="C99">
        <v>908</v>
      </c>
      <c r="D99">
        <v>2244</v>
      </c>
      <c r="E99">
        <v>1026</v>
      </c>
      <c r="F99">
        <v>662</v>
      </c>
      <c r="G99">
        <v>105</v>
      </c>
    </row>
    <row r="100" spans="1:7">
      <c r="A100" s="1">
        <v>44691</v>
      </c>
      <c r="B100" s="2">
        <f>YEAR(TRA[[#This Row],[date]])</f>
        <v>2022</v>
      </c>
      <c r="C100">
        <v>1066</v>
      </c>
      <c r="D100">
        <v>2661</v>
      </c>
      <c r="E100">
        <v>1234</v>
      </c>
      <c r="F100">
        <v>798</v>
      </c>
      <c r="G100">
        <v>106</v>
      </c>
    </row>
    <row r="101" spans="1:7">
      <c r="A101" s="1">
        <v>44692</v>
      </c>
      <c r="B101" s="2">
        <f>YEAR(TRA[[#This Row],[date]])</f>
        <v>2022</v>
      </c>
      <c r="C101">
        <v>943</v>
      </c>
      <c r="D101">
        <v>2459</v>
      </c>
      <c r="E101">
        <v>1083</v>
      </c>
      <c r="F101">
        <v>698</v>
      </c>
      <c r="G101">
        <v>107</v>
      </c>
    </row>
    <row r="102" spans="1:7">
      <c r="A102" s="1">
        <v>44693</v>
      </c>
      <c r="B102" s="2">
        <f>YEAR(TRA[[#This Row],[date]])</f>
        <v>2022</v>
      </c>
      <c r="C102">
        <v>1303</v>
      </c>
      <c r="D102">
        <v>2982</v>
      </c>
      <c r="E102">
        <v>1492</v>
      </c>
      <c r="F102">
        <v>1047</v>
      </c>
      <c r="G102">
        <v>97</v>
      </c>
    </row>
    <row r="103" spans="1:7">
      <c r="A103" s="1">
        <v>44694</v>
      </c>
      <c r="B103" s="2">
        <f>YEAR(TRA[[#This Row],[date]])</f>
        <v>2022</v>
      </c>
      <c r="C103">
        <v>1100</v>
      </c>
      <c r="D103">
        <v>2713</v>
      </c>
      <c r="E103">
        <v>1246</v>
      </c>
      <c r="F103">
        <v>814</v>
      </c>
      <c r="G103">
        <v>92</v>
      </c>
    </row>
    <row r="104" spans="1:7">
      <c r="A104" s="1">
        <v>44695</v>
      </c>
      <c r="B104" s="2">
        <f>YEAR(TRA[[#This Row],[date]])</f>
        <v>2022</v>
      </c>
      <c r="C104">
        <v>701</v>
      </c>
      <c r="D104">
        <v>1446</v>
      </c>
      <c r="E104">
        <v>786</v>
      </c>
      <c r="F104">
        <v>550</v>
      </c>
      <c r="G104">
        <v>66</v>
      </c>
    </row>
    <row r="105" spans="1:7">
      <c r="A105" s="1">
        <v>44696</v>
      </c>
      <c r="B105" s="2">
        <f>YEAR(TRA[[#This Row],[date]])</f>
        <v>2022</v>
      </c>
      <c r="C105">
        <v>715</v>
      </c>
      <c r="D105">
        <v>1538</v>
      </c>
      <c r="E105">
        <v>789</v>
      </c>
      <c r="F105">
        <v>543</v>
      </c>
      <c r="G105">
        <v>96</v>
      </c>
    </row>
    <row r="106" spans="1:7">
      <c r="A106" s="1">
        <v>44697</v>
      </c>
      <c r="B106" s="2">
        <f>YEAR(TRA[[#This Row],[date]])</f>
        <v>2022</v>
      </c>
      <c r="C106">
        <v>1085</v>
      </c>
      <c r="D106">
        <v>2626</v>
      </c>
      <c r="E106">
        <v>1219</v>
      </c>
      <c r="F106">
        <v>808</v>
      </c>
      <c r="G106">
        <v>98</v>
      </c>
    </row>
    <row r="107" spans="1:7">
      <c r="A107" s="1">
        <v>44698</v>
      </c>
      <c r="B107" s="2">
        <f>YEAR(TRA[[#This Row],[date]])</f>
        <v>2022</v>
      </c>
      <c r="C107">
        <v>1078</v>
      </c>
      <c r="D107">
        <v>3435</v>
      </c>
      <c r="E107">
        <v>1252</v>
      </c>
      <c r="F107">
        <v>768</v>
      </c>
      <c r="G107">
        <v>129</v>
      </c>
    </row>
    <row r="108" spans="1:7">
      <c r="A108" s="1">
        <v>44699</v>
      </c>
      <c r="B108" s="2">
        <f>YEAR(TRA[[#This Row],[date]])</f>
        <v>2022</v>
      </c>
      <c r="C108">
        <v>1015</v>
      </c>
      <c r="D108">
        <v>3480</v>
      </c>
      <c r="E108">
        <v>1179</v>
      </c>
      <c r="F108">
        <v>764</v>
      </c>
      <c r="G108">
        <v>147</v>
      </c>
    </row>
    <row r="109" spans="1:7">
      <c r="A109" s="1">
        <v>44700</v>
      </c>
      <c r="B109" s="2">
        <f>YEAR(TRA[[#This Row],[date]])</f>
        <v>2022</v>
      </c>
      <c r="C109">
        <v>867</v>
      </c>
      <c r="D109">
        <v>1937</v>
      </c>
      <c r="E109">
        <v>985</v>
      </c>
      <c r="F109">
        <v>665</v>
      </c>
      <c r="G109">
        <v>89</v>
      </c>
    </row>
    <row r="110" spans="1:7">
      <c r="A110" s="1">
        <v>44701</v>
      </c>
      <c r="B110" s="2">
        <f>YEAR(TRA[[#This Row],[date]])</f>
        <v>2022</v>
      </c>
      <c r="C110">
        <v>800</v>
      </c>
      <c r="D110">
        <v>1582</v>
      </c>
      <c r="E110">
        <v>873</v>
      </c>
      <c r="F110">
        <v>607</v>
      </c>
      <c r="G110">
        <v>73</v>
      </c>
    </row>
    <row r="111" spans="1:7">
      <c r="A111" s="1">
        <v>44702</v>
      </c>
      <c r="B111" s="2">
        <f>YEAR(TRA[[#This Row],[date]])</f>
        <v>2022</v>
      </c>
      <c r="C111">
        <v>590</v>
      </c>
      <c r="D111">
        <v>1074</v>
      </c>
      <c r="E111">
        <v>648</v>
      </c>
      <c r="F111">
        <v>457</v>
      </c>
      <c r="G111">
        <v>56</v>
      </c>
    </row>
    <row r="112" spans="1:7">
      <c r="A112" s="1">
        <v>44703</v>
      </c>
      <c r="B112" s="2">
        <f>YEAR(TRA[[#This Row],[date]])</f>
        <v>2022</v>
      </c>
      <c r="C112">
        <v>646</v>
      </c>
      <c r="D112">
        <v>1074</v>
      </c>
      <c r="E112">
        <v>697</v>
      </c>
      <c r="F112">
        <v>521</v>
      </c>
      <c r="G112">
        <v>52</v>
      </c>
    </row>
    <row r="113" spans="1:7">
      <c r="A113" s="1">
        <v>44704</v>
      </c>
      <c r="B113" s="2">
        <f>YEAR(TRA[[#This Row],[date]])</f>
        <v>2022</v>
      </c>
      <c r="C113">
        <v>925</v>
      </c>
      <c r="D113">
        <v>1798</v>
      </c>
      <c r="E113">
        <v>1036</v>
      </c>
      <c r="F113">
        <v>750</v>
      </c>
      <c r="G113">
        <v>66</v>
      </c>
    </row>
    <row r="114" spans="1:7">
      <c r="A114" s="1">
        <v>44705</v>
      </c>
      <c r="B114" s="2">
        <f>YEAR(TRA[[#This Row],[date]])</f>
        <v>2022</v>
      </c>
      <c r="C114">
        <v>977</v>
      </c>
      <c r="D114">
        <v>1765</v>
      </c>
      <c r="E114">
        <v>1077</v>
      </c>
      <c r="F114">
        <v>797</v>
      </c>
      <c r="G114">
        <v>71</v>
      </c>
    </row>
    <row r="115" spans="1:7">
      <c r="A115" s="1">
        <v>44706</v>
      </c>
      <c r="B115" s="2">
        <f>YEAR(TRA[[#This Row],[date]])</f>
        <v>2022</v>
      </c>
      <c r="C115">
        <v>928</v>
      </c>
      <c r="D115">
        <v>1646</v>
      </c>
      <c r="E115">
        <v>1037</v>
      </c>
      <c r="F115">
        <v>756</v>
      </c>
      <c r="G115">
        <v>61</v>
      </c>
    </row>
    <row r="116" spans="1:7">
      <c r="A116" s="1">
        <v>44707</v>
      </c>
      <c r="B116" s="2">
        <f>YEAR(TRA[[#This Row],[date]])</f>
        <v>2022</v>
      </c>
      <c r="C116">
        <v>987</v>
      </c>
      <c r="D116">
        <v>1810</v>
      </c>
      <c r="E116">
        <v>1090</v>
      </c>
      <c r="F116">
        <v>805</v>
      </c>
      <c r="G116">
        <v>75</v>
      </c>
    </row>
    <row r="117" spans="1:7">
      <c r="A117" s="1">
        <v>44708</v>
      </c>
      <c r="B117" s="2">
        <f>YEAR(TRA[[#This Row],[date]])</f>
        <v>2022</v>
      </c>
      <c r="C117">
        <v>844</v>
      </c>
      <c r="D117">
        <v>1381</v>
      </c>
      <c r="E117">
        <v>920</v>
      </c>
      <c r="F117">
        <v>712</v>
      </c>
      <c r="G117">
        <v>60</v>
      </c>
    </row>
    <row r="118" spans="1:7">
      <c r="A118" s="1">
        <v>44709</v>
      </c>
      <c r="B118" s="2">
        <f>YEAR(TRA[[#This Row],[date]])</f>
        <v>2022</v>
      </c>
      <c r="C118">
        <v>814</v>
      </c>
      <c r="D118">
        <v>1249</v>
      </c>
      <c r="E118">
        <v>881</v>
      </c>
      <c r="F118">
        <v>728</v>
      </c>
      <c r="G118">
        <v>69</v>
      </c>
    </row>
    <row r="119" spans="1:7">
      <c r="A119" s="1">
        <v>44710</v>
      </c>
      <c r="B119" s="2">
        <f>YEAR(TRA[[#This Row],[date]])</f>
        <v>2022</v>
      </c>
      <c r="C119">
        <v>552</v>
      </c>
      <c r="D119">
        <v>1098</v>
      </c>
      <c r="E119">
        <v>609</v>
      </c>
      <c r="F119">
        <v>479</v>
      </c>
      <c r="G119">
        <v>63</v>
      </c>
    </row>
    <row r="120" spans="1:7">
      <c r="A120" s="1">
        <v>44711</v>
      </c>
      <c r="B120" s="2">
        <f>YEAR(TRA[[#This Row],[date]])</f>
        <v>2022</v>
      </c>
      <c r="C120">
        <v>619</v>
      </c>
      <c r="D120">
        <v>1146</v>
      </c>
      <c r="E120">
        <v>683</v>
      </c>
      <c r="F120">
        <v>496</v>
      </c>
      <c r="G120">
        <v>55</v>
      </c>
    </row>
    <row r="121" spans="1:7">
      <c r="A121" s="1">
        <v>44712</v>
      </c>
      <c r="B121" s="2">
        <f>YEAR(TRA[[#This Row],[date]])</f>
        <v>2022</v>
      </c>
      <c r="C121">
        <v>787</v>
      </c>
      <c r="D121">
        <v>1473</v>
      </c>
      <c r="E121">
        <v>872</v>
      </c>
      <c r="F121">
        <v>625</v>
      </c>
      <c r="G121">
        <v>80</v>
      </c>
    </row>
    <row r="122" spans="1:7">
      <c r="A122" s="1">
        <v>44713</v>
      </c>
      <c r="B122" s="2">
        <f>YEAR(TRA[[#This Row],[date]])</f>
        <v>2022</v>
      </c>
      <c r="C122">
        <v>1548</v>
      </c>
      <c r="D122">
        <v>2937</v>
      </c>
      <c r="E122">
        <v>1737</v>
      </c>
      <c r="F122">
        <v>1229</v>
      </c>
      <c r="G122">
        <v>63</v>
      </c>
    </row>
    <row r="123" spans="1:7">
      <c r="A123" s="1">
        <v>44714</v>
      </c>
      <c r="B123" s="2">
        <f>YEAR(TRA[[#This Row],[date]])</f>
        <v>2022</v>
      </c>
      <c r="C123">
        <v>1060</v>
      </c>
      <c r="D123">
        <v>2050</v>
      </c>
      <c r="E123">
        <v>1178</v>
      </c>
      <c r="F123">
        <v>829</v>
      </c>
      <c r="G123">
        <v>76</v>
      </c>
    </row>
    <row r="124" spans="1:7">
      <c r="A124" s="1">
        <v>44715</v>
      </c>
      <c r="B124" s="2">
        <f>YEAR(TRA[[#This Row],[date]])</f>
        <v>2022</v>
      </c>
      <c r="C124">
        <v>874</v>
      </c>
      <c r="D124">
        <v>1780</v>
      </c>
      <c r="E124">
        <v>968</v>
      </c>
      <c r="F124">
        <v>690</v>
      </c>
      <c r="G124">
        <v>93</v>
      </c>
    </row>
    <row r="125" spans="1:7">
      <c r="A125" s="1">
        <v>44716</v>
      </c>
      <c r="B125" s="2">
        <f>YEAR(TRA[[#This Row],[date]])</f>
        <v>2022</v>
      </c>
      <c r="C125">
        <v>636</v>
      </c>
      <c r="D125">
        <v>1142</v>
      </c>
      <c r="E125">
        <v>708</v>
      </c>
      <c r="F125">
        <v>530</v>
      </c>
      <c r="G125">
        <v>69</v>
      </c>
    </row>
    <row r="126" spans="1:7">
      <c r="A126" s="1">
        <v>44717</v>
      </c>
      <c r="B126" s="2">
        <f>YEAR(TRA[[#This Row],[date]])</f>
        <v>2022</v>
      </c>
      <c r="C126">
        <v>673</v>
      </c>
      <c r="D126">
        <v>1275</v>
      </c>
      <c r="E126">
        <v>731</v>
      </c>
      <c r="F126">
        <v>523</v>
      </c>
      <c r="G126">
        <v>86</v>
      </c>
    </row>
    <row r="127" spans="1:7">
      <c r="A127" s="1">
        <v>44718</v>
      </c>
      <c r="B127" s="2">
        <f>YEAR(TRA[[#This Row],[date]])</f>
        <v>2022</v>
      </c>
      <c r="C127">
        <v>993</v>
      </c>
      <c r="D127">
        <v>1801</v>
      </c>
      <c r="E127">
        <v>1086</v>
      </c>
      <c r="F127">
        <v>784</v>
      </c>
      <c r="G127">
        <v>63</v>
      </c>
    </row>
    <row r="128" spans="1:7">
      <c r="A128" s="1">
        <v>44719</v>
      </c>
      <c r="B128" s="2">
        <f>YEAR(TRA[[#This Row],[date]])</f>
        <v>2022</v>
      </c>
      <c r="C128">
        <v>1042</v>
      </c>
      <c r="D128">
        <v>2184</v>
      </c>
      <c r="E128">
        <v>1176</v>
      </c>
      <c r="F128">
        <v>829</v>
      </c>
      <c r="G128">
        <v>94</v>
      </c>
    </row>
    <row r="129" spans="1:7">
      <c r="A129" s="1">
        <v>44720</v>
      </c>
      <c r="B129" s="2">
        <f>YEAR(TRA[[#This Row],[date]])</f>
        <v>2022</v>
      </c>
      <c r="C129">
        <v>1077</v>
      </c>
      <c r="D129">
        <v>2024</v>
      </c>
      <c r="E129">
        <v>1216</v>
      </c>
      <c r="F129">
        <v>884</v>
      </c>
      <c r="G129">
        <v>67</v>
      </c>
    </row>
    <row r="130" spans="1:7">
      <c r="A130" s="1">
        <v>44721</v>
      </c>
      <c r="B130" s="2">
        <f>YEAR(TRA[[#This Row],[date]])</f>
        <v>2022</v>
      </c>
      <c r="C130">
        <v>1090</v>
      </c>
      <c r="D130">
        <v>1010</v>
      </c>
      <c r="E130">
        <v>513</v>
      </c>
      <c r="F130">
        <v>339</v>
      </c>
      <c r="G130">
        <v>152</v>
      </c>
    </row>
    <row r="131" spans="1:7">
      <c r="A131" s="1">
        <v>44722</v>
      </c>
      <c r="B131" s="2">
        <f>YEAR(TRA[[#This Row],[date]])</f>
        <v>2022</v>
      </c>
      <c r="C131">
        <v>634</v>
      </c>
      <c r="D131">
        <v>746</v>
      </c>
      <c r="E131">
        <v>96</v>
      </c>
      <c r="F131">
        <v>39</v>
      </c>
      <c r="G131">
        <v>543</v>
      </c>
    </row>
    <row r="132" spans="1:7">
      <c r="A132" s="1">
        <v>44723</v>
      </c>
      <c r="B132" s="2">
        <f>YEAR(TRA[[#This Row],[date]])</f>
        <v>2022</v>
      </c>
      <c r="C132">
        <v>299</v>
      </c>
      <c r="D132">
        <v>121</v>
      </c>
      <c r="E132">
        <v>19</v>
      </c>
      <c r="F132">
        <v>7</v>
      </c>
      <c r="G132">
        <v>517</v>
      </c>
    </row>
    <row r="133" spans="1:7">
      <c r="A133" s="1">
        <v>44724</v>
      </c>
      <c r="B133" s="2">
        <f>YEAR(TRA[[#This Row],[date]])</f>
        <v>2022</v>
      </c>
      <c r="C133">
        <v>324</v>
      </c>
      <c r="D133">
        <v>235</v>
      </c>
      <c r="E133">
        <v>21</v>
      </c>
      <c r="F133">
        <v>6</v>
      </c>
      <c r="G133">
        <v>1269</v>
      </c>
    </row>
    <row r="134" spans="1:7">
      <c r="A134" s="1">
        <v>44725</v>
      </c>
      <c r="B134" s="2">
        <f>YEAR(TRA[[#This Row],[date]])</f>
        <v>2022</v>
      </c>
      <c r="C134">
        <v>497</v>
      </c>
      <c r="D134">
        <v>582</v>
      </c>
      <c r="E134">
        <v>62</v>
      </c>
      <c r="F134">
        <v>14</v>
      </c>
      <c r="G134">
        <v>707</v>
      </c>
    </row>
    <row r="135" spans="1:7">
      <c r="A135" s="1">
        <v>44726</v>
      </c>
      <c r="B135" s="2">
        <f>YEAR(TRA[[#This Row],[date]])</f>
        <v>2022</v>
      </c>
      <c r="C135">
        <v>742</v>
      </c>
      <c r="D135">
        <v>2931</v>
      </c>
      <c r="E135">
        <v>256</v>
      </c>
      <c r="F135">
        <v>118</v>
      </c>
      <c r="G135">
        <v>272</v>
      </c>
    </row>
    <row r="136" spans="1:7">
      <c r="A136" s="1">
        <v>44727</v>
      </c>
      <c r="B136" s="2">
        <f>YEAR(TRA[[#This Row],[date]])</f>
        <v>2022</v>
      </c>
      <c r="C136">
        <v>920</v>
      </c>
      <c r="D136">
        <v>4471</v>
      </c>
      <c r="E136">
        <v>824</v>
      </c>
      <c r="F136">
        <v>477</v>
      </c>
      <c r="G136">
        <v>199</v>
      </c>
    </row>
    <row r="137" spans="1:7">
      <c r="A137" s="1">
        <v>44728</v>
      </c>
      <c r="B137" s="2">
        <f>YEAR(TRA[[#This Row],[date]])</f>
        <v>2022</v>
      </c>
      <c r="C137">
        <v>1397</v>
      </c>
      <c r="D137">
        <v>4204</v>
      </c>
      <c r="E137">
        <v>1627</v>
      </c>
      <c r="F137">
        <v>1114</v>
      </c>
      <c r="G137">
        <v>85</v>
      </c>
    </row>
    <row r="138" spans="1:7">
      <c r="A138" s="1">
        <v>44729</v>
      </c>
      <c r="B138" s="2">
        <f>YEAR(TRA[[#This Row],[date]])</f>
        <v>2022</v>
      </c>
      <c r="C138">
        <v>1210</v>
      </c>
      <c r="D138">
        <v>2810</v>
      </c>
      <c r="E138">
        <v>1373</v>
      </c>
      <c r="F138">
        <v>986</v>
      </c>
      <c r="G138">
        <v>92</v>
      </c>
    </row>
    <row r="139" spans="1:7">
      <c r="A139" s="1">
        <v>44730</v>
      </c>
      <c r="B139" s="2">
        <f>YEAR(TRA[[#This Row],[date]])</f>
        <v>2022</v>
      </c>
      <c r="C139">
        <v>970</v>
      </c>
      <c r="D139">
        <v>1707</v>
      </c>
      <c r="E139">
        <v>1074</v>
      </c>
      <c r="F139">
        <v>788</v>
      </c>
      <c r="G139">
        <v>63</v>
      </c>
    </row>
    <row r="140" spans="1:7">
      <c r="A140" s="1">
        <v>44731</v>
      </c>
      <c r="B140" s="2">
        <f>YEAR(TRA[[#This Row],[date]])</f>
        <v>2022</v>
      </c>
      <c r="C140">
        <v>867</v>
      </c>
      <c r="D140">
        <v>1486</v>
      </c>
      <c r="E140">
        <v>936</v>
      </c>
      <c r="F140">
        <v>705</v>
      </c>
      <c r="G140">
        <v>61</v>
      </c>
    </row>
    <row r="141" spans="1:7">
      <c r="A141" s="1">
        <v>44732</v>
      </c>
      <c r="B141" s="2">
        <f>YEAR(TRA[[#This Row],[date]])</f>
        <v>2022</v>
      </c>
      <c r="C141">
        <v>1024</v>
      </c>
      <c r="D141">
        <v>2188</v>
      </c>
      <c r="E141">
        <v>1173</v>
      </c>
      <c r="F141">
        <v>819</v>
      </c>
      <c r="G141">
        <v>87</v>
      </c>
    </row>
    <row r="142" spans="1:7">
      <c r="A142" s="1">
        <v>44733</v>
      </c>
      <c r="B142" s="2">
        <f>YEAR(TRA[[#This Row],[date]])</f>
        <v>2022</v>
      </c>
      <c r="C142">
        <v>1436</v>
      </c>
      <c r="D142">
        <v>3587</v>
      </c>
      <c r="E142">
        <v>1756</v>
      </c>
      <c r="F142">
        <v>1176</v>
      </c>
      <c r="G142">
        <v>98</v>
      </c>
    </row>
    <row r="143" spans="1:7">
      <c r="A143" s="1">
        <v>44734</v>
      </c>
      <c r="B143" s="2">
        <f>YEAR(TRA[[#This Row],[date]])</f>
        <v>2022</v>
      </c>
      <c r="C143">
        <v>1660</v>
      </c>
      <c r="D143">
        <v>3966</v>
      </c>
      <c r="E143">
        <v>1980</v>
      </c>
      <c r="F143">
        <v>1367</v>
      </c>
      <c r="G143">
        <v>83</v>
      </c>
    </row>
    <row r="144" spans="1:7">
      <c r="A144" s="1">
        <v>44735</v>
      </c>
      <c r="B144" s="2">
        <f>YEAR(TRA[[#This Row],[date]])</f>
        <v>2022</v>
      </c>
      <c r="C144">
        <v>1331</v>
      </c>
      <c r="D144">
        <v>4801</v>
      </c>
      <c r="E144">
        <v>1635</v>
      </c>
      <c r="F144">
        <v>1117</v>
      </c>
      <c r="G144">
        <v>157</v>
      </c>
    </row>
    <row r="145" spans="1:7">
      <c r="A145" s="1">
        <v>44736</v>
      </c>
      <c r="B145" s="2">
        <f>YEAR(TRA[[#This Row],[date]])</f>
        <v>2022</v>
      </c>
      <c r="C145">
        <v>895</v>
      </c>
      <c r="D145">
        <v>3035</v>
      </c>
      <c r="E145">
        <v>1108</v>
      </c>
      <c r="F145">
        <v>758</v>
      </c>
      <c r="G145">
        <v>170</v>
      </c>
    </row>
    <row r="146" spans="1:7">
      <c r="A146" s="1">
        <v>44737</v>
      </c>
      <c r="B146" s="2">
        <f>YEAR(TRA[[#This Row],[date]])</f>
        <v>2022</v>
      </c>
      <c r="C146">
        <v>609</v>
      </c>
      <c r="D146">
        <v>2004</v>
      </c>
      <c r="E146">
        <v>734</v>
      </c>
      <c r="F146">
        <v>515</v>
      </c>
      <c r="G146">
        <v>223</v>
      </c>
    </row>
    <row r="147" spans="1:7">
      <c r="A147" s="1">
        <v>44738</v>
      </c>
      <c r="B147" s="2">
        <f>YEAR(TRA[[#This Row],[date]])</f>
        <v>2022</v>
      </c>
      <c r="C147">
        <v>598</v>
      </c>
      <c r="D147">
        <v>3180</v>
      </c>
      <c r="E147">
        <v>724</v>
      </c>
      <c r="F147">
        <v>511</v>
      </c>
      <c r="G147">
        <v>276</v>
      </c>
    </row>
    <row r="148" spans="1:7">
      <c r="A148" s="1">
        <v>44739</v>
      </c>
      <c r="B148" s="2">
        <f>YEAR(TRA[[#This Row],[date]])</f>
        <v>2022</v>
      </c>
      <c r="C148">
        <v>928</v>
      </c>
      <c r="D148">
        <v>2248</v>
      </c>
      <c r="E148">
        <v>1165</v>
      </c>
      <c r="F148">
        <v>765</v>
      </c>
      <c r="G148">
        <v>145</v>
      </c>
    </row>
    <row r="149" spans="1:7">
      <c r="A149" s="1">
        <v>44740</v>
      </c>
      <c r="B149" s="2">
        <f>YEAR(TRA[[#This Row],[date]])</f>
        <v>2022</v>
      </c>
      <c r="C149">
        <v>1875</v>
      </c>
      <c r="D149">
        <v>4975</v>
      </c>
      <c r="E149">
        <v>2302</v>
      </c>
      <c r="F149">
        <v>1384</v>
      </c>
      <c r="G149">
        <v>139</v>
      </c>
    </row>
    <row r="150" spans="1:7">
      <c r="A150" s="1">
        <v>44741</v>
      </c>
      <c r="B150" s="2">
        <f>YEAR(TRA[[#This Row],[date]])</f>
        <v>2022</v>
      </c>
      <c r="C150">
        <v>1741</v>
      </c>
      <c r="D150">
        <v>4458</v>
      </c>
      <c r="E150">
        <v>2181</v>
      </c>
      <c r="F150">
        <v>1313</v>
      </c>
      <c r="G150">
        <v>113</v>
      </c>
    </row>
    <row r="151" spans="1:7">
      <c r="A151" s="1">
        <v>44742</v>
      </c>
      <c r="B151" s="2">
        <f>YEAR(TRA[[#This Row],[date]])</f>
        <v>2022</v>
      </c>
      <c r="C151">
        <v>1470</v>
      </c>
      <c r="D151">
        <v>3707</v>
      </c>
      <c r="E151">
        <v>1796</v>
      </c>
      <c r="F151">
        <v>1101</v>
      </c>
      <c r="G151">
        <v>107</v>
      </c>
    </row>
    <row r="152" spans="1:7">
      <c r="A152" s="1">
        <v>44743</v>
      </c>
      <c r="B152" s="2">
        <f>YEAR(TRA[[#This Row],[date]])</f>
        <v>2022</v>
      </c>
      <c r="C152">
        <v>1263</v>
      </c>
      <c r="D152">
        <v>3291</v>
      </c>
      <c r="E152">
        <v>1534</v>
      </c>
      <c r="F152">
        <v>918</v>
      </c>
      <c r="G152">
        <v>99</v>
      </c>
    </row>
    <row r="153" spans="1:7">
      <c r="A153" s="1">
        <v>44744</v>
      </c>
      <c r="B153" s="2">
        <f>YEAR(TRA[[#This Row],[date]])</f>
        <v>2022</v>
      </c>
      <c r="C153">
        <v>790</v>
      </c>
      <c r="D153">
        <v>1953</v>
      </c>
      <c r="E153">
        <v>968</v>
      </c>
      <c r="F153">
        <v>597</v>
      </c>
      <c r="G153">
        <v>79</v>
      </c>
    </row>
    <row r="154" spans="1:7">
      <c r="A154" s="1">
        <v>44745</v>
      </c>
      <c r="B154" s="2">
        <f>YEAR(TRA[[#This Row],[date]])</f>
        <v>2022</v>
      </c>
      <c r="C154">
        <v>708</v>
      </c>
      <c r="D154">
        <v>1618</v>
      </c>
      <c r="E154">
        <v>823</v>
      </c>
      <c r="F154">
        <v>504</v>
      </c>
      <c r="G154">
        <v>103</v>
      </c>
    </row>
    <row r="155" spans="1:7">
      <c r="A155" s="1">
        <v>44746</v>
      </c>
      <c r="B155" s="2">
        <f>YEAR(TRA[[#This Row],[date]])</f>
        <v>2022</v>
      </c>
      <c r="C155">
        <v>639</v>
      </c>
      <c r="D155">
        <v>1305</v>
      </c>
      <c r="E155">
        <v>760</v>
      </c>
      <c r="F155">
        <v>533</v>
      </c>
      <c r="G155">
        <v>89</v>
      </c>
    </row>
    <row r="156" spans="1:7">
      <c r="A156" s="1">
        <v>44747</v>
      </c>
      <c r="B156" s="2">
        <f>YEAR(TRA[[#This Row],[date]])</f>
        <v>2022</v>
      </c>
      <c r="C156">
        <v>1273</v>
      </c>
      <c r="D156">
        <v>2921</v>
      </c>
      <c r="E156">
        <v>1560</v>
      </c>
      <c r="F156">
        <v>1065</v>
      </c>
      <c r="G156">
        <v>85</v>
      </c>
    </row>
    <row r="157" spans="1:7">
      <c r="A157" s="1">
        <v>44748</v>
      </c>
      <c r="B157" s="2">
        <f>YEAR(TRA[[#This Row],[date]])</f>
        <v>2022</v>
      </c>
      <c r="C157">
        <v>1169</v>
      </c>
      <c r="D157">
        <v>2757</v>
      </c>
      <c r="E157">
        <v>1389</v>
      </c>
      <c r="F157">
        <v>914</v>
      </c>
      <c r="G157">
        <v>83</v>
      </c>
    </row>
    <row r="158" spans="1:7">
      <c r="A158" s="1">
        <v>44749</v>
      </c>
      <c r="B158" s="2">
        <f>YEAR(TRA[[#This Row],[date]])</f>
        <v>2022</v>
      </c>
      <c r="C158">
        <v>956</v>
      </c>
      <c r="D158">
        <v>2246</v>
      </c>
      <c r="E158">
        <v>1238</v>
      </c>
      <c r="F158">
        <v>807</v>
      </c>
      <c r="G158">
        <v>98</v>
      </c>
    </row>
    <row r="159" spans="1:7">
      <c r="A159" s="1">
        <v>44750</v>
      </c>
      <c r="B159" s="2">
        <f>YEAR(TRA[[#This Row],[date]])</f>
        <v>2022</v>
      </c>
      <c r="C159">
        <v>795</v>
      </c>
      <c r="D159">
        <v>1845</v>
      </c>
      <c r="E159">
        <v>992</v>
      </c>
      <c r="F159">
        <v>669</v>
      </c>
      <c r="G159">
        <v>112</v>
      </c>
    </row>
    <row r="160" spans="1:7">
      <c r="A160" s="1">
        <v>44751</v>
      </c>
      <c r="B160" s="2">
        <f>YEAR(TRA[[#This Row],[date]])</f>
        <v>2022</v>
      </c>
      <c r="C160">
        <v>573</v>
      </c>
      <c r="D160">
        <v>1123</v>
      </c>
      <c r="E160">
        <v>686</v>
      </c>
      <c r="F160">
        <v>475</v>
      </c>
      <c r="G160">
        <v>82</v>
      </c>
    </row>
    <row r="161" spans="1:7">
      <c r="A161" s="1">
        <v>44752</v>
      </c>
      <c r="B161" s="2">
        <f>YEAR(TRA[[#This Row],[date]])</f>
        <v>2022</v>
      </c>
      <c r="C161">
        <v>563</v>
      </c>
      <c r="D161">
        <v>1183</v>
      </c>
      <c r="E161">
        <v>664</v>
      </c>
      <c r="F161">
        <v>446</v>
      </c>
      <c r="G161">
        <v>81</v>
      </c>
    </row>
    <row r="162" spans="1:7">
      <c r="A162" s="1">
        <v>44753</v>
      </c>
      <c r="B162" s="2">
        <f>YEAR(TRA[[#This Row],[date]])</f>
        <v>2022</v>
      </c>
      <c r="C162">
        <v>1169</v>
      </c>
      <c r="D162">
        <v>2830</v>
      </c>
      <c r="E162">
        <v>1516</v>
      </c>
      <c r="F162">
        <v>985</v>
      </c>
      <c r="G162">
        <v>108</v>
      </c>
    </row>
    <row r="163" spans="1:7">
      <c r="A163" s="1">
        <v>44754</v>
      </c>
      <c r="B163" s="2">
        <f>YEAR(TRA[[#This Row],[date]])</f>
        <v>2022</v>
      </c>
      <c r="C163">
        <v>1320</v>
      </c>
      <c r="D163">
        <v>2946</v>
      </c>
      <c r="E163">
        <v>1663</v>
      </c>
      <c r="F163">
        <v>1114</v>
      </c>
      <c r="G163">
        <v>93</v>
      </c>
    </row>
    <row r="164" spans="1:7">
      <c r="A164" s="1">
        <v>44755</v>
      </c>
      <c r="B164" s="2">
        <f>YEAR(TRA[[#This Row],[date]])</f>
        <v>2022</v>
      </c>
      <c r="C164">
        <v>1113</v>
      </c>
      <c r="D164">
        <v>2548</v>
      </c>
      <c r="E164">
        <v>1448</v>
      </c>
      <c r="F164">
        <v>966</v>
      </c>
      <c r="G164">
        <v>119</v>
      </c>
    </row>
    <row r="165" spans="1:7">
      <c r="A165" s="1">
        <v>44756</v>
      </c>
      <c r="B165" s="2">
        <f>YEAR(TRA[[#This Row],[date]])</f>
        <v>2022</v>
      </c>
      <c r="C165">
        <v>1219</v>
      </c>
      <c r="D165">
        <v>2880</v>
      </c>
      <c r="E165">
        <v>1543</v>
      </c>
      <c r="F165">
        <v>1042</v>
      </c>
      <c r="G165">
        <v>117</v>
      </c>
    </row>
    <row r="166" spans="1:7">
      <c r="A166" s="1">
        <v>44757</v>
      </c>
      <c r="B166" s="2">
        <f>YEAR(TRA[[#This Row],[date]])</f>
        <v>2022</v>
      </c>
      <c r="C166">
        <v>898</v>
      </c>
      <c r="D166">
        <v>2085</v>
      </c>
      <c r="E166">
        <v>1157</v>
      </c>
      <c r="F166">
        <v>801</v>
      </c>
      <c r="G166">
        <v>107</v>
      </c>
    </row>
    <row r="167" spans="1:7">
      <c r="A167" s="1">
        <v>44758</v>
      </c>
      <c r="B167" s="2">
        <f>YEAR(TRA[[#This Row],[date]])</f>
        <v>2022</v>
      </c>
      <c r="C167">
        <v>682</v>
      </c>
      <c r="D167">
        <v>1541</v>
      </c>
      <c r="E167">
        <v>816</v>
      </c>
      <c r="F167">
        <v>580</v>
      </c>
      <c r="G167">
        <v>131</v>
      </c>
    </row>
    <row r="168" spans="1:7">
      <c r="A168" s="1">
        <v>44759</v>
      </c>
      <c r="B168" s="2">
        <f>YEAR(TRA[[#This Row],[date]])</f>
        <v>2022</v>
      </c>
      <c r="C168">
        <v>615</v>
      </c>
      <c r="D168">
        <v>1347</v>
      </c>
      <c r="E168">
        <v>730</v>
      </c>
      <c r="F168">
        <v>513</v>
      </c>
      <c r="G168">
        <v>104</v>
      </c>
    </row>
    <row r="169" spans="1:7">
      <c r="A169" s="1">
        <v>44760</v>
      </c>
      <c r="B169" s="2">
        <f>YEAR(TRA[[#This Row],[date]])</f>
        <v>2022</v>
      </c>
      <c r="C169">
        <v>1225</v>
      </c>
      <c r="D169">
        <v>2876</v>
      </c>
      <c r="E169">
        <v>1550</v>
      </c>
      <c r="F169">
        <v>1044</v>
      </c>
      <c r="G169">
        <v>126</v>
      </c>
    </row>
    <row r="170" spans="1:7">
      <c r="A170" s="1">
        <v>44761</v>
      </c>
      <c r="B170" s="2">
        <f>YEAR(TRA[[#This Row],[date]])</f>
        <v>2022</v>
      </c>
      <c r="C170">
        <v>1305</v>
      </c>
      <c r="D170">
        <v>2958</v>
      </c>
      <c r="E170">
        <v>1659</v>
      </c>
      <c r="F170">
        <v>1175</v>
      </c>
      <c r="G170">
        <v>112</v>
      </c>
    </row>
    <row r="171" spans="1:7">
      <c r="A171" s="1">
        <v>44762</v>
      </c>
      <c r="B171" s="2">
        <f>YEAR(TRA[[#This Row],[date]])</f>
        <v>2022</v>
      </c>
      <c r="C171">
        <v>1410</v>
      </c>
      <c r="D171">
        <v>3491</v>
      </c>
      <c r="E171">
        <v>1795</v>
      </c>
      <c r="F171">
        <v>1219</v>
      </c>
      <c r="G171">
        <v>164</v>
      </c>
    </row>
    <row r="172" spans="1:7">
      <c r="A172" s="1">
        <v>44763</v>
      </c>
      <c r="B172" s="2">
        <f>YEAR(TRA[[#This Row],[date]])</f>
        <v>2022</v>
      </c>
      <c r="C172">
        <v>1258</v>
      </c>
      <c r="D172">
        <v>3064</v>
      </c>
      <c r="E172">
        <v>1613</v>
      </c>
      <c r="F172">
        <v>1056</v>
      </c>
      <c r="G172">
        <v>162</v>
      </c>
    </row>
    <row r="173" spans="1:7">
      <c r="A173" s="1">
        <v>44764</v>
      </c>
      <c r="B173" s="2">
        <f>YEAR(TRA[[#This Row],[date]])</f>
        <v>2022</v>
      </c>
      <c r="C173">
        <v>1034</v>
      </c>
      <c r="D173">
        <v>2193</v>
      </c>
      <c r="E173">
        <v>1334</v>
      </c>
      <c r="F173">
        <v>925</v>
      </c>
      <c r="G173">
        <v>104</v>
      </c>
    </row>
    <row r="174" spans="1:7">
      <c r="A174" s="1">
        <v>44765</v>
      </c>
      <c r="B174" s="2">
        <f>YEAR(TRA[[#This Row],[date]])</f>
        <v>2022</v>
      </c>
      <c r="C174">
        <v>730</v>
      </c>
      <c r="D174">
        <v>1482</v>
      </c>
      <c r="E174">
        <v>887</v>
      </c>
      <c r="F174">
        <v>636</v>
      </c>
      <c r="G174">
        <v>81</v>
      </c>
    </row>
    <row r="175" spans="1:7">
      <c r="A175" s="1">
        <v>44766</v>
      </c>
      <c r="B175" s="2">
        <f>YEAR(TRA[[#This Row],[date]])</f>
        <v>2022</v>
      </c>
      <c r="C175">
        <v>606</v>
      </c>
      <c r="D175">
        <v>1389</v>
      </c>
      <c r="E175">
        <v>787</v>
      </c>
      <c r="F175">
        <v>567</v>
      </c>
      <c r="G175">
        <v>90</v>
      </c>
    </row>
    <row r="176" spans="1:7">
      <c r="A176" s="1">
        <v>44767</v>
      </c>
      <c r="B176" s="2">
        <f>YEAR(TRA[[#This Row],[date]])</f>
        <v>2022</v>
      </c>
      <c r="C176">
        <v>1089</v>
      </c>
      <c r="D176">
        <v>2558</v>
      </c>
      <c r="E176">
        <v>1390</v>
      </c>
      <c r="F176">
        <v>1010</v>
      </c>
      <c r="G176">
        <v>93</v>
      </c>
    </row>
    <row r="177" spans="1:7">
      <c r="A177" s="1">
        <v>44768</v>
      </c>
      <c r="B177" s="2">
        <f>YEAR(TRA[[#This Row],[date]])</f>
        <v>2022</v>
      </c>
      <c r="C177">
        <v>1032</v>
      </c>
      <c r="D177">
        <v>2483</v>
      </c>
      <c r="E177">
        <v>1417</v>
      </c>
      <c r="F177">
        <v>963</v>
      </c>
      <c r="G177">
        <v>82</v>
      </c>
    </row>
    <row r="178" spans="1:7">
      <c r="A178" s="1">
        <v>44769</v>
      </c>
      <c r="B178" s="2">
        <f>YEAR(TRA[[#This Row],[date]])</f>
        <v>2022</v>
      </c>
      <c r="C178">
        <v>1109</v>
      </c>
      <c r="D178">
        <v>2675</v>
      </c>
      <c r="E178">
        <v>1446</v>
      </c>
      <c r="F178">
        <v>998</v>
      </c>
      <c r="G178">
        <v>97</v>
      </c>
    </row>
    <row r="179" spans="1:7">
      <c r="A179" s="1">
        <v>44770</v>
      </c>
      <c r="B179" s="2">
        <f>YEAR(TRA[[#This Row],[date]])</f>
        <v>2022</v>
      </c>
      <c r="C179">
        <v>993</v>
      </c>
      <c r="D179">
        <v>3075</v>
      </c>
      <c r="E179">
        <v>1356</v>
      </c>
      <c r="F179">
        <v>903</v>
      </c>
      <c r="G179">
        <v>127</v>
      </c>
    </row>
    <row r="180" spans="1:7">
      <c r="A180" s="1">
        <v>44771</v>
      </c>
      <c r="B180" s="2">
        <f>YEAR(TRA[[#This Row],[date]])</f>
        <v>2022</v>
      </c>
      <c r="C180">
        <v>1087</v>
      </c>
      <c r="D180">
        <v>2353</v>
      </c>
      <c r="E180">
        <v>1393</v>
      </c>
      <c r="F180">
        <v>985</v>
      </c>
      <c r="G180">
        <v>89</v>
      </c>
    </row>
    <row r="181" spans="1:7">
      <c r="A181" s="1">
        <v>44772</v>
      </c>
      <c r="B181" s="2">
        <f>YEAR(TRA[[#This Row],[date]])</f>
        <v>2022</v>
      </c>
      <c r="C181">
        <v>673</v>
      </c>
      <c r="D181">
        <v>1314</v>
      </c>
      <c r="E181">
        <v>834</v>
      </c>
      <c r="F181">
        <v>627</v>
      </c>
      <c r="G181">
        <v>64</v>
      </c>
    </row>
    <row r="182" spans="1:7">
      <c r="A182" s="1">
        <v>44773</v>
      </c>
      <c r="B182" s="2">
        <f>YEAR(TRA[[#This Row],[date]])</f>
        <v>2022</v>
      </c>
      <c r="C182">
        <v>633</v>
      </c>
      <c r="D182">
        <v>1258</v>
      </c>
      <c r="E182">
        <v>769</v>
      </c>
      <c r="F182">
        <v>563</v>
      </c>
      <c r="G182">
        <v>59</v>
      </c>
    </row>
    <row r="183" spans="1:7">
      <c r="A183" s="1">
        <v>44774</v>
      </c>
      <c r="B183" s="2">
        <f>YEAR(TRA[[#This Row],[date]])</f>
        <v>2022</v>
      </c>
      <c r="C183">
        <v>973</v>
      </c>
      <c r="D183">
        <v>2055</v>
      </c>
      <c r="E183">
        <v>1207</v>
      </c>
      <c r="F183">
        <v>812</v>
      </c>
      <c r="G183">
        <v>84</v>
      </c>
    </row>
    <row r="184" spans="1:7">
      <c r="A184" s="1">
        <v>44775</v>
      </c>
      <c r="B184" s="2">
        <f>YEAR(TRA[[#This Row],[date]])</f>
        <v>2022</v>
      </c>
      <c r="C184">
        <v>1063</v>
      </c>
      <c r="D184">
        <v>2251</v>
      </c>
      <c r="E184">
        <v>1341</v>
      </c>
      <c r="F184">
        <v>959</v>
      </c>
      <c r="G184">
        <v>89</v>
      </c>
    </row>
    <row r="185" spans="1:7">
      <c r="A185" s="1">
        <v>44776</v>
      </c>
      <c r="B185" s="2">
        <f>YEAR(TRA[[#This Row],[date]])</f>
        <v>2022</v>
      </c>
      <c r="C185">
        <v>1136</v>
      </c>
      <c r="D185">
        <v>2289</v>
      </c>
      <c r="E185">
        <v>1400</v>
      </c>
      <c r="F185">
        <v>994</v>
      </c>
      <c r="G185">
        <v>65</v>
      </c>
    </row>
    <row r="186" spans="1:7">
      <c r="A186" s="1">
        <v>44777</v>
      </c>
      <c r="B186" s="2">
        <f>YEAR(TRA[[#This Row],[date]])</f>
        <v>2022</v>
      </c>
      <c r="C186">
        <v>1328</v>
      </c>
      <c r="D186">
        <v>2621</v>
      </c>
      <c r="E186">
        <v>1595</v>
      </c>
      <c r="F186">
        <v>1143</v>
      </c>
      <c r="G186">
        <v>85</v>
      </c>
    </row>
    <row r="187" spans="1:7">
      <c r="A187" s="1">
        <v>44778</v>
      </c>
      <c r="B187" s="2">
        <f>YEAR(TRA[[#This Row],[date]])</f>
        <v>2022</v>
      </c>
      <c r="C187">
        <v>1053</v>
      </c>
      <c r="D187">
        <v>2721</v>
      </c>
      <c r="E187">
        <v>1322</v>
      </c>
      <c r="F187">
        <v>940</v>
      </c>
      <c r="G187">
        <v>177</v>
      </c>
    </row>
    <row r="188" spans="1:7">
      <c r="A188" s="1">
        <v>44779</v>
      </c>
      <c r="B188" s="2">
        <f>YEAR(TRA[[#This Row],[date]])</f>
        <v>2022</v>
      </c>
      <c r="C188">
        <v>739</v>
      </c>
      <c r="D188">
        <v>2115</v>
      </c>
      <c r="E188">
        <v>925</v>
      </c>
      <c r="F188">
        <v>685</v>
      </c>
      <c r="G188">
        <v>224</v>
      </c>
    </row>
    <row r="189" spans="1:7">
      <c r="A189" s="1">
        <v>44780</v>
      </c>
      <c r="B189" s="2">
        <f>YEAR(TRA[[#This Row],[date]])</f>
        <v>2022</v>
      </c>
      <c r="C189">
        <v>761</v>
      </c>
      <c r="D189">
        <v>1928</v>
      </c>
      <c r="E189">
        <v>917</v>
      </c>
      <c r="F189">
        <v>701</v>
      </c>
      <c r="G189">
        <v>127</v>
      </c>
    </row>
    <row r="190" spans="1:7">
      <c r="A190" s="1">
        <v>44781</v>
      </c>
      <c r="B190" s="2">
        <f>YEAR(TRA[[#This Row],[date]])</f>
        <v>2022</v>
      </c>
      <c r="C190">
        <v>1212</v>
      </c>
      <c r="D190">
        <v>2493</v>
      </c>
      <c r="E190">
        <v>1492</v>
      </c>
      <c r="F190">
        <v>1075</v>
      </c>
      <c r="G190">
        <v>79</v>
      </c>
    </row>
    <row r="191" spans="1:7">
      <c r="A191" s="1">
        <v>44782</v>
      </c>
      <c r="B191" s="2">
        <f>YEAR(TRA[[#This Row],[date]])</f>
        <v>2022</v>
      </c>
      <c r="C191">
        <v>1213</v>
      </c>
      <c r="D191">
        <v>3230</v>
      </c>
      <c r="E191">
        <v>1524</v>
      </c>
      <c r="F191">
        <v>821</v>
      </c>
      <c r="G191">
        <v>126</v>
      </c>
    </row>
    <row r="192" spans="1:7">
      <c r="A192" s="1">
        <v>44783</v>
      </c>
      <c r="B192" s="2">
        <f>YEAR(TRA[[#This Row],[date]])</f>
        <v>2022</v>
      </c>
      <c r="C192">
        <v>1037</v>
      </c>
      <c r="D192">
        <v>4184</v>
      </c>
      <c r="E192">
        <v>1321</v>
      </c>
      <c r="F192">
        <v>118</v>
      </c>
      <c r="G192">
        <v>118</v>
      </c>
    </row>
    <row r="193" spans="1:7">
      <c r="A193" s="1">
        <v>44784</v>
      </c>
      <c r="B193" s="2">
        <f>YEAR(TRA[[#This Row],[date]])</f>
        <v>2022</v>
      </c>
      <c r="C193">
        <v>1086</v>
      </c>
      <c r="D193">
        <v>4370</v>
      </c>
      <c r="E193">
        <v>1367</v>
      </c>
      <c r="F193">
        <v>127</v>
      </c>
      <c r="G193">
        <v>125</v>
      </c>
    </row>
    <row r="194" spans="1:7">
      <c r="A194" s="1">
        <v>44785</v>
      </c>
      <c r="B194" s="2">
        <f>YEAR(TRA[[#This Row],[date]])</f>
        <v>2022</v>
      </c>
      <c r="C194">
        <v>1044</v>
      </c>
      <c r="D194">
        <v>3901</v>
      </c>
      <c r="E194">
        <v>1304</v>
      </c>
      <c r="F194">
        <v>125</v>
      </c>
      <c r="G194">
        <v>83</v>
      </c>
    </row>
    <row r="195" spans="1:7">
      <c r="A195" s="1">
        <v>44786</v>
      </c>
      <c r="B195" s="2">
        <f>YEAR(TRA[[#This Row],[date]])</f>
        <v>2022</v>
      </c>
      <c r="C195">
        <v>751</v>
      </c>
      <c r="D195">
        <v>3055</v>
      </c>
      <c r="E195">
        <v>936</v>
      </c>
      <c r="F195">
        <v>119</v>
      </c>
      <c r="G195">
        <v>107</v>
      </c>
    </row>
    <row r="196" spans="1:7">
      <c r="A196" s="1">
        <v>44787</v>
      </c>
      <c r="B196" s="2">
        <f>YEAR(TRA[[#This Row],[date]])</f>
        <v>2022</v>
      </c>
      <c r="C196">
        <v>719</v>
      </c>
      <c r="D196">
        <v>2631</v>
      </c>
      <c r="E196">
        <v>912</v>
      </c>
      <c r="F196">
        <v>75</v>
      </c>
      <c r="G196">
        <v>71</v>
      </c>
    </row>
    <row r="197" spans="1:7">
      <c r="A197" s="1">
        <v>44788</v>
      </c>
      <c r="B197" s="2">
        <f>YEAR(TRA[[#This Row],[date]])</f>
        <v>2022</v>
      </c>
      <c r="C197">
        <v>1114</v>
      </c>
      <c r="D197">
        <v>4493</v>
      </c>
      <c r="E197">
        <v>1415</v>
      </c>
      <c r="F197">
        <v>125</v>
      </c>
      <c r="G197">
        <v>93</v>
      </c>
    </row>
    <row r="198" spans="1:7">
      <c r="A198" s="1">
        <v>44789</v>
      </c>
      <c r="B198" s="2">
        <f>YEAR(TRA[[#This Row],[date]])</f>
        <v>2022</v>
      </c>
      <c r="C198">
        <v>1081</v>
      </c>
      <c r="D198">
        <v>4713</v>
      </c>
      <c r="E198">
        <v>1406</v>
      </c>
      <c r="F198">
        <v>110</v>
      </c>
      <c r="G198">
        <v>145</v>
      </c>
    </row>
    <row r="199" spans="1:7">
      <c r="A199" s="1">
        <v>44790</v>
      </c>
      <c r="B199" s="2">
        <f>YEAR(TRA[[#This Row],[date]])</f>
        <v>2022</v>
      </c>
      <c r="C199">
        <v>1284</v>
      </c>
      <c r="D199">
        <v>5535</v>
      </c>
      <c r="E199">
        <v>1687</v>
      </c>
      <c r="F199">
        <v>109</v>
      </c>
      <c r="G199">
        <v>150</v>
      </c>
    </row>
    <row r="200" spans="1:7">
      <c r="A200" s="1">
        <v>44791</v>
      </c>
      <c r="B200" s="2">
        <f>YEAR(TRA[[#This Row],[date]])</f>
        <v>2022</v>
      </c>
      <c r="C200">
        <v>1082</v>
      </c>
      <c r="D200">
        <v>4582</v>
      </c>
      <c r="E200">
        <v>1424</v>
      </c>
      <c r="F200">
        <v>89</v>
      </c>
      <c r="G200">
        <v>144</v>
      </c>
    </row>
    <row r="201" spans="1:7">
      <c r="A201" s="1">
        <v>44792</v>
      </c>
      <c r="B201" s="2">
        <f>YEAR(TRA[[#This Row],[date]])</f>
        <v>2022</v>
      </c>
      <c r="C201">
        <v>1064</v>
      </c>
      <c r="D201">
        <v>4047</v>
      </c>
      <c r="E201">
        <v>1362</v>
      </c>
      <c r="F201">
        <v>112</v>
      </c>
      <c r="G201">
        <v>110</v>
      </c>
    </row>
    <row r="202" spans="1:7">
      <c r="A202" s="1">
        <v>44793</v>
      </c>
      <c r="B202" s="2">
        <f>YEAR(TRA[[#This Row],[date]])</f>
        <v>2022</v>
      </c>
      <c r="C202">
        <v>758</v>
      </c>
      <c r="D202">
        <v>2744</v>
      </c>
      <c r="E202">
        <v>951</v>
      </c>
      <c r="F202">
        <v>88</v>
      </c>
      <c r="G202">
        <v>91</v>
      </c>
    </row>
    <row r="203" spans="1:7">
      <c r="A203" s="1">
        <v>44794</v>
      </c>
      <c r="B203" s="2">
        <f>YEAR(TRA[[#This Row],[date]])</f>
        <v>2022</v>
      </c>
      <c r="C203">
        <v>800</v>
      </c>
      <c r="D203">
        <v>3073</v>
      </c>
      <c r="E203">
        <v>1038</v>
      </c>
      <c r="F203">
        <v>79</v>
      </c>
      <c r="G203">
        <v>141</v>
      </c>
    </row>
    <row r="204" spans="1:7">
      <c r="A204" s="1">
        <v>44795</v>
      </c>
      <c r="B204" s="2">
        <f>YEAR(TRA[[#This Row],[date]])</f>
        <v>2022</v>
      </c>
      <c r="C204">
        <v>1272</v>
      </c>
      <c r="D204">
        <v>4843</v>
      </c>
      <c r="E204">
        <v>1634</v>
      </c>
      <c r="F204">
        <v>97</v>
      </c>
      <c r="G204">
        <v>106</v>
      </c>
    </row>
    <row r="205" spans="1:7">
      <c r="A205" s="1">
        <v>44796</v>
      </c>
      <c r="B205" s="2">
        <f>YEAR(TRA[[#This Row],[date]])</f>
        <v>2022</v>
      </c>
      <c r="C205">
        <v>1295</v>
      </c>
      <c r="D205">
        <v>5388</v>
      </c>
      <c r="E205">
        <v>1711</v>
      </c>
      <c r="F205">
        <v>107</v>
      </c>
      <c r="G205">
        <v>114</v>
      </c>
    </row>
    <row r="206" spans="1:7">
      <c r="A206" s="1">
        <v>44797</v>
      </c>
      <c r="B206" s="2">
        <f>YEAR(TRA[[#This Row],[date]])</f>
        <v>2022</v>
      </c>
      <c r="C206">
        <v>1373</v>
      </c>
      <c r="D206">
        <v>5466</v>
      </c>
      <c r="E206">
        <v>1721</v>
      </c>
      <c r="F206">
        <v>126</v>
      </c>
      <c r="G206">
        <v>105</v>
      </c>
    </row>
    <row r="207" spans="1:7">
      <c r="A207" s="1">
        <v>44798</v>
      </c>
      <c r="B207" s="2">
        <f>YEAR(TRA[[#This Row],[date]])</f>
        <v>2022</v>
      </c>
      <c r="C207">
        <v>1383</v>
      </c>
      <c r="D207">
        <v>5278</v>
      </c>
      <c r="E207">
        <v>1754</v>
      </c>
      <c r="F207">
        <v>119</v>
      </c>
      <c r="G207">
        <v>111</v>
      </c>
    </row>
    <row r="208" spans="1:7">
      <c r="A208" s="1">
        <v>44799</v>
      </c>
      <c r="B208" s="2">
        <f>YEAR(TRA[[#This Row],[date]])</f>
        <v>2022</v>
      </c>
      <c r="C208">
        <v>1261</v>
      </c>
      <c r="D208">
        <v>4638</v>
      </c>
      <c r="E208">
        <v>1546</v>
      </c>
      <c r="F208">
        <v>124</v>
      </c>
      <c r="G208">
        <v>102</v>
      </c>
    </row>
    <row r="209" spans="1:7">
      <c r="A209" s="1">
        <v>44800</v>
      </c>
      <c r="B209" s="2">
        <f>YEAR(TRA[[#This Row],[date]])</f>
        <v>2022</v>
      </c>
      <c r="C209">
        <v>817</v>
      </c>
      <c r="D209">
        <v>3146</v>
      </c>
      <c r="E209">
        <v>1032</v>
      </c>
      <c r="F209">
        <v>105</v>
      </c>
      <c r="G209">
        <v>95</v>
      </c>
    </row>
    <row r="210" spans="1:7">
      <c r="A210" s="1">
        <v>44801</v>
      </c>
      <c r="B210" s="2">
        <f>YEAR(TRA[[#This Row],[date]])</f>
        <v>2022</v>
      </c>
      <c r="C210">
        <v>989</v>
      </c>
      <c r="D210">
        <v>3511</v>
      </c>
      <c r="E210">
        <v>1230</v>
      </c>
      <c r="F210">
        <v>71</v>
      </c>
      <c r="G210">
        <v>71</v>
      </c>
    </row>
    <row r="211" spans="1:7">
      <c r="A211" s="1">
        <v>44802</v>
      </c>
      <c r="B211" s="2">
        <f>YEAR(TRA[[#This Row],[date]])</f>
        <v>2022</v>
      </c>
      <c r="C211">
        <v>1558</v>
      </c>
      <c r="D211">
        <v>5890</v>
      </c>
      <c r="E211">
        <v>2015</v>
      </c>
      <c r="F211">
        <v>144</v>
      </c>
      <c r="G211">
        <v>100</v>
      </c>
    </row>
    <row r="212" spans="1:7">
      <c r="A212" s="1">
        <v>44803</v>
      </c>
      <c r="B212" s="2">
        <f>YEAR(TRA[[#This Row],[date]])</f>
        <v>2022</v>
      </c>
      <c r="C212">
        <v>1539</v>
      </c>
      <c r="D212">
        <v>6951</v>
      </c>
      <c r="E212">
        <v>2068</v>
      </c>
      <c r="F212">
        <v>119</v>
      </c>
      <c r="G212">
        <v>126</v>
      </c>
    </row>
    <row r="213" spans="1:7">
      <c r="A213" s="1">
        <v>44804</v>
      </c>
      <c r="B213" s="2">
        <f>YEAR(TRA[[#This Row],[date]])</f>
        <v>2022</v>
      </c>
      <c r="C213">
        <v>2147</v>
      </c>
      <c r="D213">
        <v>7972</v>
      </c>
      <c r="E213">
        <v>2679</v>
      </c>
      <c r="F213">
        <v>127</v>
      </c>
      <c r="G213">
        <v>109</v>
      </c>
    </row>
    <row r="214" spans="1:7">
      <c r="A214" s="1">
        <v>44805</v>
      </c>
      <c r="B214" s="2">
        <f>YEAR(TRA[[#This Row],[date]])</f>
        <v>2022</v>
      </c>
      <c r="C214">
        <v>1330</v>
      </c>
      <c r="D214">
        <v>5228</v>
      </c>
      <c r="E214">
        <v>1718</v>
      </c>
      <c r="F214">
        <v>137</v>
      </c>
      <c r="G214">
        <v>114</v>
      </c>
    </row>
    <row r="215" spans="1:7">
      <c r="A215" s="1">
        <v>44806</v>
      </c>
      <c r="B215" s="2">
        <f>YEAR(TRA[[#This Row],[date]])</f>
        <v>2022</v>
      </c>
      <c r="C215">
        <v>1041</v>
      </c>
      <c r="D215">
        <v>3745</v>
      </c>
      <c r="E215">
        <v>1313</v>
      </c>
      <c r="F215">
        <v>116</v>
      </c>
      <c r="G215">
        <v>101</v>
      </c>
    </row>
    <row r="216" spans="1:7">
      <c r="A216" s="1">
        <v>44807</v>
      </c>
      <c r="B216" s="2">
        <f>YEAR(TRA[[#This Row],[date]])</f>
        <v>2022</v>
      </c>
      <c r="C216">
        <v>600</v>
      </c>
      <c r="D216">
        <v>1922</v>
      </c>
      <c r="E216">
        <v>707</v>
      </c>
      <c r="F216">
        <v>76</v>
      </c>
      <c r="G216">
        <v>85</v>
      </c>
    </row>
    <row r="217" spans="1:7">
      <c r="A217" s="1">
        <v>44808</v>
      </c>
      <c r="B217" s="2">
        <f>YEAR(TRA[[#This Row],[date]])</f>
        <v>2022</v>
      </c>
      <c r="C217">
        <v>651</v>
      </c>
      <c r="D217">
        <v>2275</v>
      </c>
      <c r="E217">
        <v>780</v>
      </c>
      <c r="F217">
        <v>76</v>
      </c>
      <c r="G217">
        <v>86</v>
      </c>
    </row>
    <row r="218" spans="1:7">
      <c r="A218" s="1">
        <v>44809</v>
      </c>
      <c r="B218" s="2">
        <f>YEAR(TRA[[#This Row],[date]])</f>
        <v>2022</v>
      </c>
      <c r="C218">
        <v>851</v>
      </c>
      <c r="D218">
        <v>2901</v>
      </c>
      <c r="E218">
        <v>1003</v>
      </c>
      <c r="F218">
        <v>88</v>
      </c>
      <c r="G218">
        <v>109</v>
      </c>
    </row>
    <row r="219" spans="1:7">
      <c r="A219" s="1">
        <v>44810</v>
      </c>
      <c r="B219" s="2">
        <f>YEAR(TRA[[#This Row],[date]])</f>
        <v>2022</v>
      </c>
      <c r="C219">
        <v>1049</v>
      </c>
      <c r="D219">
        <v>4600</v>
      </c>
      <c r="E219">
        <v>1342</v>
      </c>
      <c r="F219">
        <v>113</v>
      </c>
      <c r="G219">
        <v>134</v>
      </c>
    </row>
    <row r="220" spans="1:7">
      <c r="A220" s="1">
        <v>44811</v>
      </c>
      <c r="B220" s="2">
        <f>YEAR(TRA[[#This Row],[date]])</f>
        <v>2022</v>
      </c>
      <c r="C220">
        <v>984</v>
      </c>
      <c r="D220">
        <v>3920</v>
      </c>
      <c r="E220">
        <v>1278</v>
      </c>
      <c r="F220">
        <v>105</v>
      </c>
      <c r="G220">
        <v>103</v>
      </c>
    </row>
    <row r="221" spans="1:7">
      <c r="A221" s="1">
        <v>44812</v>
      </c>
      <c r="B221" s="2">
        <f>YEAR(TRA[[#This Row],[date]])</f>
        <v>2022</v>
      </c>
      <c r="C221">
        <v>1047</v>
      </c>
      <c r="D221">
        <v>4185</v>
      </c>
      <c r="E221">
        <v>1343</v>
      </c>
      <c r="F221">
        <v>95</v>
      </c>
      <c r="G221">
        <v>147</v>
      </c>
    </row>
    <row r="222" spans="1:7">
      <c r="A222" s="1">
        <v>44813</v>
      </c>
      <c r="B222" s="2">
        <f>YEAR(TRA[[#This Row],[date]])</f>
        <v>2022</v>
      </c>
      <c r="C222">
        <v>1158</v>
      </c>
      <c r="D222">
        <v>4227</v>
      </c>
      <c r="E222">
        <v>1416</v>
      </c>
      <c r="F222">
        <v>113</v>
      </c>
      <c r="G222">
        <v>98</v>
      </c>
    </row>
    <row r="223" spans="1:7">
      <c r="A223" s="1">
        <v>44814</v>
      </c>
      <c r="B223" s="2">
        <f>YEAR(TRA[[#This Row],[date]])</f>
        <v>2022</v>
      </c>
      <c r="C223">
        <v>593</v>
      </c>
      <c r="D223">
        <v>2113</v>
      </c>
      <c r="E223">
        <v>733</v>
      </c>
      <c r="F223">
        <v>117</v>
      </c>
      <c r="G223">
        <v>98</v>
      </c>
    </row>
    <row r="224" spans="1:7">
      <c r="A224" s="1">
        <v>44815</v>
      </c>
      <c r="B224" s="2">
        <f>YEAR(TRA[[#This Row],[date]])</f>
        <v>2022</v>
      </c>
      <c r="C224">
        <v>610</v>
      </c>
      <c r="D224">
        <v>2185</v>
      </c>
      <c r="E224">
        <v>759</v>
      </c>
      <c r="F224">
        <v>93</v>
      </c>
      <c r="G224">
        <v>93</v>
      </c>
    </row>
    <row r="225" spans="1:7">
      <c r="A225" s="1">
        <v>44816</v>
      </c>
      <c r="B225" s="2">
        <f>YEAR(TRA[[#This Row],[date]])</f>
        <v>2022</v>
      </c>
      <c r="C225">
        <v>1125</v>
      </c>
      <c r="D225">
        <v>4175</v>
      </c>
      <c r="E225">
        <v>1434</v>
      </c>
      <c r="F225">
        <v>116</v>
      </c>
      <c r="G225">
        <v>116</v>
      </c>
    </row>
    <row r="226" spans="1:7">
      <c r="A226" s="1">
        <v>44817</v>
      </c>
      <c r="B226" s="2">
        <f>YEAR(TRA[[#This Row],[date]])</f>
        <v>2022</v>
      </c>
      <c r="C226">
        <v>1490</v>
      </c>
      <c r="D226">
        <v>5561</v>
      </c>
      <c r="E226">
        <v>1846</v>
      </c>
      <c r="F226">
        <v>120</v>
      </c>
      <c r="G226">
        <v>97</v>
      </c>
    </row>
    <row r="227" spans="1:7">
      <c r="A227" s="1">
        <v>44818</v>
      </c>
      <c r="B227" s="2">
        <f>YEAR(TRA[[#This Row],[date]])</f>
        <v>2022</v>
      </c>
      <c r="C227">
        <v>1206</v>
      </c>
      <c r="D227">
        <v>4594</v>
      </c>
      <c r="E227">
        <v>1527</v>
      </c>
      <c r="F227">
        <v>101</v>
      </c>
      <c r="G227">
        <v>92</v>
      </c>
    </row>
    <row r="228" spans="1:7">
      <c r="A228" s="1">
        <v>44819</v>
      </c>
      <c r="B228" s="2">
        <f>YEAR(TRA[[#This Row],[date]])</f>
        <v>2022</v>
      </c>
      <c r="C228">
        <v>1321</v>
      </c>
      <c r="D228">
        <v>5016</v>
      </c>
      <c r="E228">
        <v>1647</v>
      </c>
      <c r="F228">
        <v>116</v>
      </c>
      <c r="G228">
        <v>100</v>
      </c>
    </row>
    <row r="229" spans="1:7">
      <c r="A229" s="1">
        <v>44820</v>
      </c>
      <c r="B229" s="2">
        <f>YEAR(TRA[[#This Row],[date]])</f>
        <v>2022</v>
      </c>
      <c r="C229">
        <v>1083</v>
      </c>
      <c r="D229">
        <v>4399</v>
      </c>
      <c r="E229">
        <v>1381</v>
      </c>
      <c r="F229">
        <v>75</v>
      </c>
      <c r="G229">
        <v>112</v>
      </c>
    </row>
    <row r="230" spans="1:7">
      <c r="A230" s="1">
        <v>44821</v>
      </c>
      <c r="B230" s="2">
        <f>YEAR(TRA[[#This Row],[date]])</f>
        <v>2022</v>
      </c>
      <c r="C230">
        <v>654</v>
      </c>
      <c r="D230">
        <v>2216</v>
      </c>
      <c r="E230">
        <v>824</v>
      </c>
      <c r="F230">
        <v>94</v>
      </c>
      <c r="G230">
        <v>66</v>
      </c>
    </row>
    <row r="231" spans="1:7">
      <c r="A231" s="1">
        <v>44822</v>
      </c>
      <c r="B231" s="2">
        <f>YEAR(TRA[[#This Row],[date]])</f>
        <v>2022</v>
      </c>
      <c r="C231">
        <v>640</v>
      </c>
      <c r="D231">
        <v>2307</v>
      </c>
      <c r="E231">
        <v>799</v>
      </c>
      <c r="F231">
        <v>90</v>
      </c>
      <c r="G231">
        <v>99</v>
      </c>
    </row>
    <row r="232" spans="1:7">
      <c r="A232" s="1">
        <v>44823</v>
      </c>
      <c r="B232" s="2">
        <f>YEAR(TRA[[#This Row],[date]])</f>
        <v>2022</v>
      </c>
      <c r="C232">
        <v>1347</v>
      </c>
      <c r="D232">
        <v>4817</v>
      </c>
      <c r="E232">
        <v>1640</v>
      </c>
      <c r="F232">
        <v>117</v>
      </c>
      <c r="G232">
        <v>89</v>
      </c>
    </row>
    <row r="233" spans="1:7">
      <c r="A233" s="1">
        <v>44824</v>
      </c>
      <c r="B233" s="2">
        <f>YEAR(TRA[[#This Row],[date]])</f>
        <v>2022</v>
      </c>
      <c r="C233">
        <v>2127</v>
      </c>
      <c r="D233">
        <v>6692</v>
      </c>
      <c r="E233">
        <v>2477</v>
      </c>
      <c r="F233">
        <v>159</v>
      </c>
      <c r="G233">
        <v>66</v>
      </c>
    </row>
    <row r="234" spans="1:7">
      <c r="A234" s="1">
        <v>44825</v>
      </c>
      <c r="B234" s="2">
        <f>YEAR(TRA[[#This Row],[date]])</f>
        <v>2022</v>
      </c>
      <c r="C234">
        <v>1382</v>
      </c>
      <c r="D234">
        <v>5022</v>
      </c>
      <c r="E234">
        <v>1707</v>
      </c>
      <c r="F234">
        <v>125</v>
      </c>
      <c r="G234">
        <v>119</v>
      </c>
    </row>
    <row r="235" spans="1:7">
      <c r="A235" s="1">
        <v>44826</v>
      </c>
      <c r="B235" s="2">
        <f>YEAR(TRA[[#This Row],[date]])</f>
        <v>2022</v>
      </c>
      <c r="C235">
        <v>1337</v>
      </c>
      <c r="D235">
        <v>4971</v>
      </c>
      <c r="E235">
        <v>1727</v>
      </c>
      <c r="F235">
        <v>135</v>
      </c>
      <c r="G235">
        <v>84</v>
      </c>
    </row>
    <row r="236" spans="1:7">
      <c r="A236" s="1">
        <v>44827</v>
      </c>
      <c r="B236" s="2">
        <f>YEAR(TRA[[#This Row],[date]])</f>
        <v>2022</v>
      </c>
      <c r="C236">
        <v>1141</v>
      </c>
      <c r="D236">
        <v>4382</v>
      </c>
      <c r="E236">
        <v>1417</v>
      </c>
      <c r="F236">
        <v>102</v>
      </c>
      <c r="G236">
        <v>92</v>
      </c>
    </row>
    <row r="237" spans="1:7">
      <c r="A237" s="1">
        <v>44828</v>
      </c>
      <c r="B237" s="2">
        <f>YEAR(TRA[[#This Row],[date]])</f>
        <v>2022</v>
      </c>
      <c r="C237">
        <v>725</v>
      </c>
      <c r="D237">
        <v>2234</v>
      </c>
      <c r="E237">
        <v>886</v>
      </c>
      <c r="F237">
        <v>209</v>
      </c>
      <c r="G237">
        <v>94</v>
      </c>
    </row>
    <row r="238" spans="1:7">
      <c r="A238" s="1">
        <v>44829</v>
      </c>
      <c r="B238" s="2">
        <f>YEAR(TRA[[#This Row],[date]])</f>
        <v>2022</v>
      </c>
      <c r="C238">
        <v>817</v>
      </c>
      <c r="D238">
        <v>2885</v>
      </c>
      <c r="E238">
        <v>974</v>
      </c>
      <c r="F238">
        <v>206</v>
      </c>
      <c r="G238">
        <v>98</v>
      </c>
    </row>
    <row r="239" spans="1:7">
      <c r="A239" s="1">
        <v>44830</v>
      </c>
      <c r="B239" s="2">
        <f>YEAR(TRA[[#This Row],[date]])</f>
        <v>2022</v>
      </c>
      <c r="C239">
        <v>1333</v>
      </c>
      <c r="D239">
        <v>4703</v>
      </c>
      <c r="E239">
        <v>1603</v>
      </c>
      <c r="F239">
        <v>173</v>
      </c>
      <c r="G239">
        <v>86</v>
      </c>
    </row>
    <row r="240" spans="1:7">
      <c r="A240" s="1">
        <v>44831</v>
      </c>
      <c r="B240" s="2">
        <f>YEAR(TRA[[#This Row],[date]])</f>
        <v>2022</v>
      </c>
      <c r="C240">
        <v>1363</v>
      </c>
      <c r="D240">
        <v>5174</v>
      </c>
      <c r="E240">
        <v>1649</v>
      </c>
      <c r="F240">
        <v>98</v>
      </c>
      <c r="G240">
        <v>138</v>
      </c>
    </row>
    <row r="241" spans="1:7">
      <c r="A241" s="1">
        <v>44832</v>
      </c>
      <c r="B241" s="2">
        <f>YEAR(TRA[[#This Row],[date]])</f>
        <v>2022</v>
      </c>
      <c r="C241">
        <v>1343</v>
      </c>
      <c r="D241">
        <v>5184</v>
      </c>
      <c r="E241">
        <v>1679</v>
      </c>
      <c r="F241">
        <v>135</v>
      </c>
      <c r="G241">
        <v>107</v>
      </c>
    </row>
    <row r="242" spans="1:7">
      <c r="A242" s="1">
        <v>44833</v>
      </c>
      <c r="B242" s="2">
        <f>YEAR(TRA[[#This Row],[date]])</f>
        <v>2022</v>
      </c>
      <c r="C242">
        <v>1345</v>
      </c>
      <c r="D242">
        <v>5045</v>
      </c>
      <c r="E242">
        <v>1665</v>
      </c>
      <c r="F242">
        <v>115</v>
      </c>
      <c r="G242">
        <v>119</v>
      </c>
    </row>
    <row r="243" spans="1:7">
      <c r="A243" s="1">
        <v>44834</v>
      </c>
      <c r="B243" s="2">
        <f>YEAR(TRA[[#This Row],[date]])</f>
        <v>2022</v>
      </c>
      <c r="C243">
        <v>1540</v>
      </c>
      <c r="D243">
        <v>6126</v>
      </c>
      <c r="E243">
        <v>1912</v>
      </c>
      <c r="F243">
        <v>118</v>
      </c>
      <c r="G243">
        <v>122</v>
      </c>
    </row>
    <row r="244" spans="1:7">
      <c r="A244" s="1">
        <v>44835</v>
      </c>
      <c r="B244" s="2">
        <f>YEAR(TRA[[#This Row],[date]])</f>
        <v>2022</v>
      </c>
      <c r="C244">
        <v>1297</v>
      </c>
      <c r="D244">
        <v>4353</v>
      </c>
      <c r="E244">
        <v>1480</v>
      </c>
      <c r="F244">
        <v>106</v>
      </c>
      <c r="G244">
        <v>57</v>
      </c>
    </row>
    <row r="245" spans="1:7">
      <c r="A245" s="1">
        <v>44836</v>
      </c>
      <c r="B245" s="2">
        <f>YEAR(TRA[[#This Row],[date]])</f>
        <v>2022</v>
      </c>
      <c r="C245">
        <v>2553</v>
      </c>
      <c r="D245">
        <v>8530</v>
      </c>
      <c r="E245">
        <v>2875</v>
      </c>
      <c r="F245">
        <v>517</v>
      </c>
      <c r="G245">
        <v>67</v>
      </c>
    </row>
    <row r="246" spans="1:7">
      <c r="A246" s="1">
        <v>44837</v>
      </c>
      <c r="B246" s="2">
        <f>YEAR(TRA[[#This Row],[date]])</f>
        <v>2022</v>
      </c>
      <c r="C246">
        <v>2504</v>
      </c>
      <c r="D246">
        <v>9575</v>
      </c>
      <c r="E246">
        <v>3006</v>
      </c>
      <c r="F246">
        <v>288</v>
      </c>
      <c r="G246">
        <v>103</v>
      </c>
    </row>
    <row r="247" spans="1:7">
      <c r="A247" s="1">
        <v>44838</v>
      </c>
      <c r="B247" s="2">
        <f>YEAR(TRA[[#This Row],[date]])</f>
        <v>2022</v>
      </c>
      <c r="C247">
        <v>1876</v>
      </c>
      <c r="D247">
        <v>7250</v>
      </c>
      <c r="E247">
        <v>2301</v>
      </c>
      <c r="F247">
        <v>116</v>
      </c>
      <c r="G247">
        <v>117</v>
      </c>
    </row>
    <row r="248" spans="1:7">
      <c r="A248" s="1">
        <v>44839</v>
      </c>
      <c r="B248" s="2">
        <f>YEAR(TRA[[#This Row],[date]])</f>
        <v>2022</v>
      </c>
      <c r="C248">
        <v>1601</v>
      </c>
      <c r="D248">
        <v>6688</v>
      </c>
      <c r="E248">
        <v>2013</v>
      </c>
      <c r="F248">
        <v>57</v>
      </c>
      <c r="G248">
        <v>126</v>
      </c>
    </row>
    <row r="249" spans="1:7">
      <c r="A249" s="1">
        <v>44840</v>
      </c>
      <c r="B249" s="2">
        <f>YEAR(TRA[[#This Row],[date]])</f>
        <v>2022</v>
      </c>
      <c r="C249">
        <v>1942</v>
      </c>
      <c r="D249">
        <v>7979</v>
      </c>
      <c r="E249">
        <v>2466</v>
      </c>
      <c r="F249">
        <v>79</v>
      </c>
      <c r="G249">
        <v>128</v>
      </c>
    </row>
    <row r="250" spans="1:7">
      <c r="A250" s="1">
        <v>44841</v>
      </c>
      <c r="B250" s="2">
        <f>YEAR(TRA[[#This Row],[date]])</f>
        <v>2022</v>
      </c>
      <c r="C250">
        <v>1366</v>
      </c>
      <c r="D250">
        <v>5168</v>
      </c>
      <c r="E250">
        <v>1687</v>
      </c>
      <c r="F250">
        <v>64</v>
      </c>
      <c r="G250">
        <v>112</v>
      </c>
    </row>
    <row r="251" spans="1:7">
      <c r="A251" s="1">
        <v>44842</v>
      </c>
      <c r="B251" s="2">
        <f>YEAR(TRA[[#This Row],[date]])</f>
        <v>2022</v>
      </c>
      <c r="C251">
        <v>835</v>
      </c>
      <c r="D251">
        <v>2899</v>
      </c>
      <c r="E251">
        <v>1010</v>
      </c>
      <c r="F251">
        <v>59</v>
      </c>
      <c r="G251">
        <v>68</v>
      </c>
    </row>
    <row r="252" spans="1:7">
      <c r="A252" s="1">
        <v>44843</v>
      </c>
      <c r="B252" s="2">
        <f>YEAR(TRA[[#This Row],[date]])</f>
        <v>2022</v>
      </c>
      <c r="C252">
        <v>840</v>
      </c>
      <c r="D252">
        <v>3030</v>
      </c>
      <c r="E252">
        <v>1015</v>
      </c>
      <c r="F252">
        <v>47</v>
      </c>
      <c r="G252">
        <v>96</v>
      </c>
    </row>
    <row r="253" spans="1:7">
      <c r="A253" s="1">
        <v>44844</v>
      </c>
      <c r="B253" s="2">
        <f>YEAR(TRA[[#This Row],[date]])</f>
        <v>2022</v>
      </c>
      <c r="C253">
        <v>1429</v>
      </c>
      <c r="D253">
        <v>5341</v>
      </c>
      <c r="E253">
        <v>1741</v>
      </c>
      <c r="F253">
        <v>61</v>
      </c>
      <c r="G253">
        <v>103</v>
      </c>
    </row>
    <row r="254" spans="1:7">
      <c r="A254" s="1">
        <v>44845</v>
      </c>
      <c r="B254" s="2">
        <f>YEAR(TRA[[#This Row],[date]])</f>
        <v>2022</v>
      </c>
      <c r="C254">
        <v>3688</v>
      </c>
      <c r="D254">
        <v>12321</v>
      </c>
      <c r="E254">
        <v>4195</v>
      </c>
      <c r="F254">
        <v>95</v>
      </c>
      <c r="G254">
        <v>101</v>
      </c>
    </row>
    <row r="255" spans="1:7">
      <c r="A255" s="1">
        <v>44846</v>
      </c>
      <c r="B255" s="2">
        <f>YEAR(TRA[[#This Row],[date]])</f>
        <v>2022</v>
      </c>
      <c r="C255">
        <v>3525</v>
      </c>
      <c r="D255">
        <v>13224</v>
      </c>
      <c r="E255">
        <v>4247</v>
      </c>
      <c r="F255">
        <v>110</v>
      </c>
      <c r="G255">
        <v>100</v>
      </c>
    </row>
    <row r="256" spans="1:7">
      <c r="A256" s="1">
        <v>44847</v>
      </c>
      <c r="B256" s="2">
        <f>YEAR(TRA[[#This Row],[date]])</f>
        <v>2022</v>
      </c>
      <c r="C256">
        <v>11797</v>
      </c>
      <c r="D256">
        <v>44500</v>
      </c>
      <c r="E256">
        <v>13620</v>
      </c>
      <c r="F256">
        <v>243</v>
      </c>
      <c r="G256">
        <v>66</v>
      </c>
    </row>
    <row r="257" spans="1:7">
      <c r="A257" s="1">
        <v>44848</v>
      </c>
      <c r="B257" s="2">
        <f>YEAR(TRA[[#This Row],[date]])</f>
        <v>2022</v>
      </c>
      <c r="C257">
        <v>9872</v>
      </c>
      <c r="D257">
        <v>36593</v>
      </c>
      <c r="E257">
        <v>11327</v>
      </c>
      <c r="F257">
        <v>228</v>
      </c>
      <c r="G257">
        <v>66</v>
      </c>
    </row>
    <row r="258" spans="1:7">
      <c r="A258" s="1">
        <v>44849</v>
      </c>
      <c r="B258" s="2">
        <f>YEAR(TRA[[#This Row],[date]])</f>
        <v>2022</v>
      </c>
      <c r="C258">
        <v>4951</v>
      </c>
      <c r="D258">
        <v>18032</v>
      </c>
      <c r="E258">
        <v>5609</v>
      </c>
      <c r="F258">
        <v>105</v>
      </c>
      <c r="G258">
        <v>66</v>
      </c>
    </row>
    <row r="259" spans="1:7">
      <c r="A259" s="1">
        <v>44850</v>
      </c>
      <c r="B259" s="2">
        <f>YEAR(TRA[[#This Row],[date]])</f>
        <v>2022</v>
      </c>
      <c r="C259">
        <v>4003</v>
      </c>
      <c r="D259">
        <v>14968</v>
      </c>
      <c r="E259">
        <v>4582</v>
      </c>
      <c r="F259">
        <v>103</v>
      </c>
      <c r="G259">
        <v>67</v>
      </c>
    </row>
    <row r="260" spans="1:7">
      <c r="A260" s="1">
        <v>44851</v>
      </c>
      <c r="B260" s="2">
        <f>YEAR(TRA[[#This Row],[date]])</f>
        <v>2022</v>
      </c>
      <c r="C260">
        <v>5034</v>
      </c>
      <c r="D260">
        <v>18634</v>
      </c>
      <c r="E260">
        <v>5893</v>
      </c>
      <c r="F260">
        <v>144</v>
      </c>
      <c r="G260">
        <v>76</v>
      </c>
    </row>
    <row r="261" spans="1:7">
      <c r="A261" s="1">
        <v>44852</v>
      </c>
      <c r="B261" s="2">
        <f>YEAR(TRA[[#This Row],[date]])</f>
        <v>2022</v>
      </c>
      <c r="C261">
        <v>5367</v>
      </c>
      <c r="D261">
        <v>20446</v>
      </c>
      <c r="E261">
        <v>6294</v>
      </c>
      <c r="F261">
        <v>140</v>
      </c>
      <c r="G261">
        <v>91</v>
      </c>
    </row>
    <row r="262" spans="1:7">
      <c r="A262" s="1">
        <v>44853</v>
      </c>
      <c r="B262" s="2">
        <f>YEAR(TRA[[#This Row],[date]])</f>
        <v>2022</v>
      </c>
      <c r="C262">
        <v>5866</v>
      </c>
      <c r="D262">
        <v>20983</v>
      </c>
      <c r="E262">
        <v>6720</v>
      </c>
      <c r="F262">
        <v>109</v>
      </c>
      <c r="G262">
        <v>72</v>
      </c>
    </row>
    <row r="263" spans="1:7">
      <c r="A263" s="1">
        <v>44854</v>
      </c>
      <c r="B263" s="2">
        <f>YEAR(TRA[[#This Row],[date]])</f>
        <v>2022</v>
      </c>
      <c r="C263">
        <v>4678</v>
      </c>
      <c r="D263">
        <v>16412</v>
      </c>
      <c r="E263">
        <v>5414</v>
      </c>
      <c r="F263">
        <v>93</v>
      </c>
      <c r="G263">
        <v>67</v>
      </c>
    </row>
    <row r="264" spans="1:7">
      <c r="A264" s="1">
        <v>44855</v>
      </c>
      <c r="B264" s="2">
        <f>YEAR(TRA[[#This Row],[date]])</f>
        <v>2022</v>
      </c>
      <c r="C264">
        <v>4246</v>
      </c>
      <c r="D264">
        <v>16224</v>
      </c>
      <c r="E264">
        <v>4936</v>
      </c>
      <c r="F264">
        <v>102</v>
      </c>
      <c r="G264">
        <v>73</v>
      </c>
    </row>
    <row r="265" spans="1:7">
      <c r="A265" s="1">
        <v>44856</v>
      </c>
      <c r="B265" s="2">
        <f>YEAR(TRA[[#This Row],[date]])</f>
        <v>2022</v>
      </c>
      <c r="C265">
        <v>3716</v>
      </c>
      <c r="D265">
        <v>14263</v>
      </c>
      <c r="E265">
        <v>4255</v>
      </c>
      <c r="F265">
        <v>100</v>
      </c>
      <c r="G265">
        <v>65</v>
      </c>
    </row>
    <row r="266" spans="1:7">
      <c r="A266" s="1">
        <v>44857</v>
      </c>
      <c r="B266" s="2">
        <f>YEAR(TRA[[#This Row],[date]])</f>
        <v>2022</v>
      </c>
      <c r="C266">
        <v>6353</v>
      </c>
      <c r="D266">
        <v>24953</v>
      </c>
      <c r="E266">
        <v>7257</v>
      </c>
      <c r="F266">
        <v>78</v>
      </c>
      <c r="G266">
        <v>65</v>
      </c>
    </row>
    <row r="267" spans="1:7">
      <c r="A267" s="1">
        <v>44858</v>
      </c>
      <c r="B267" s="2">
        <f>YEAR(TRA[[#This Row],[date]])</f>
        <v>2022</v>
      </c>
      <c r="C267">
        <v>3377</v>
      </c>
      <c r="D267">
        <v>12692</v>
      </c>
      <c r="E267">
        <v>3977</v>
      </c>
      <c r="F267">
        <v>82</v>
      </c>
      <c r="G267">
        <v>86</v>
      </c>
    </row>
    <row r="268" spans="1:7">
      <c r="A268" s="1">
        <v>44859</v>
      </c>
      <c r="B268" s="2">
        <f>YEAR(TRA[[#This Row],[date]])</f>
        <v>2022</v>
      </c>
      <c r="C268">
        <v>2040</v>
      </c>
      <c r="D268">
        <v>7907</v>
      </c>
      <c r="E268">
        <v>2443</v>
      </c>
      <c r="F268">
        <v>54</v>
      </c>
      <c r="G268">
        <v>121</v>
      </c>
    </row>
    <row r="269" spans="1:7">
      <c r="A269" s="1">
        <v>44860</v>
      </c>
      <c r="B269" s="2">
        <f>YEAR(TRA[[#This Row],[date]])</f>
        <v>2022</v>
      </c>
      <c r="C269">
        <v>1811</v>
      </c>
      <c r="D269">
        <v>7009</v>
      </c>
      <c r="E269">
        <v>2222</v>
      </c>
      <c r="F269">
        <v>64</v>
      </c>
      <c r="G269">
        <v>121</v>
      </c>
    </row>
    <row r="270" spans="1:7">
      <c r="A270" s="1">
        <v>44861</v>
      </c>
      <c r="B270" s="2">
        <f>YEAR(TRA[[#This Row],[date]])</f>
        <v>2022</v>
      </c>
      <c r="C270">
        <v>1680</v>
      </c>
      <c r="D270">
        <v>6546</v>
      </c>
      <c r="E270">
        <v>2035</v>
      </c>
      <c r="F270">
        <v>74</v>
      </c>
      <c r="G270">
        <v>142</v>
      </c>
    </row>
    <row r="271" spans="1:7">
      <c r="A271" s="1">
        <v>44862</v>
      </c>
      <c r="B271" s="2">
        <f>YEAR(TRA[[#This Row],[date]])</f>
        <v>2022</v>
      </c>
      <c r="C271">
        <v>1305</v>
      </c>
      <c r="D271">
        <v>4586</v>
      </c>
      <c r="E271">
        <v>1514</v>
      </c>
      <c r="F271">
        <v>47</v>
      </c>
      <c r="G271">
        <v>85</v>
      </c>
    </row>
    <row r="272" spans="1:7">
      <c r="A272" s="1">
        <v>44863</v>
      </c>
      <c r="B272" s="2">
        <f>YEAR(TRA[[#This Row],[date]])</f>
        <v>2022</v>
      </c>
      <c r="C272">
        <v>897</v>
      </c>
      <c r="D272">
        <v>3156</v>
      </c>
      <c r="E272">
        <v>1037</v>
      </c>
      <c r="F272">
        <v>55</v>
      </c>
      <c r="G272">
        <v>86</v>
      </c>
    </row>
    <row r="273" spans="1:7">
      <c r="A273" s="1">
        <v>44864</v>
      </c>
      <c r="B273" s="2">
        <f>YEAR(TRA[[#This Row],[date]])</f>
        <v>2022</v>
      </c>
      <c r="C273">
        <v>972</v>
      </c>
      <c r="D273">
        <v>3496</v>
      </c>
      <c r="E273">
        <v>1116</v>
      </c>
      <c r="F273">
        <v>17</v>
      </c>
      <c r="G273">
        <v>70</v>
      </c>
    </row>
    <row r="274" spans="1:7">
      <c r="A274" s="1">
        <v>44865</v>
      </c>
      <c r="B274" s="2">
        <f>YEAR(TRA[[#This Row],[date]])</f>
        <v>2022</v>
      </c>
      <c r="C274">
        <v>1251</v>
      </c>
      <c r="D274">
        <v>4734</v>
      </c>
      <c r="E274">
        <v>1543</v>
      </c>
      <c r="F274">
        <v>34</v>
      </c>
      <c r="G274">
        <v>91</v>
      </c>
    </row>
    <row r="275" spans="1:7">
      <c r="A275" s="1">
        <v>44866</v>
      </c>
      <c r="B275" s="2">
        <f>YEAR(TRA[[#This Row],[date]])</f>
        <v>2022</v>
      </c>
      <c r="C275">
        <v>1517</v>
      </c>
      <c r="D275">
        <v>6560</v>
      </c>
      <c r="E275">
        <v>1887</v>
      </c>
      <c r="F275">
        <v>38</v>
      </c>
      <c r="G275">
        <v>133</v>
      </c>
    </row>
    <row r="276" spans="1:7">
      <c r="A276" s="1">
        <v>44867</v>
      </c>
      <c r="B276" s="2">
        <f>YEAR(TRA[[#This Row],[date]])</f>
        <v>2022</v>
      </c>
      <c r="C276">
        <v>1612</v>
      </c>
      <c r="D276">
        <v>6107</v>
      </c>
      <c r="E276">
        <v>1940</v>
      </c>
      <c r="F276">
        <v>40</v>
      </c>
      <c r="G276">
        <v>97</v>
      </c>
    </row>
    <row r="277" spans="1:7">
      <c r="A277" s="1">
        <v>44868</v>
      </c>
      <c r="B277" s="2">
        <f>YEAR(TRA[[#This Row],[date]])</f>
        <v>2022</v>
      </c>
      <c r="C277">
        <v>1409</v>
      </c>
      <c r="D277">
        <v>5882</v>
      </c>
      <c r="E277">
        <v>1774</v>
      </c>
      <c r="F277">
        <v>51</v>
      </c>
      <c r="G277">
        <v>119</v>
      </c>
    </row>
    <row r="278" spans="1:7">
      <c r="A278" s="1">
        <v>44869</v>
      </c>
      <c r="B278" s="2">
        <f>YEAR(TRA[[#This Row],[date]])</f>
        <v>2022</v>
      </c>
      <c r="C278">
        <v>1147</v>
      </c>
      <c r="D278">
        <v>4383</v>
      </c>
      <c r="E278">
        <v>1398</v>
      </c>
      <c r="F278">
        <v>38</v>
      </c>
      <c r="G278">
        <v>98</v>
      </c>
    </row>
    <row r="279" spans="1:7">
      <c r="A279" s="1">
        <v>44870</v>
      </c>
      <c r="B279" s="2">
        <f>YEAR(TRA[[#This Row],[date]])</f>
        <v>2022</v>
      </c>
      <c r="C279">
        <v>883</v>
      </c>
      <c r="D279">
        <v>3151</v>
      </c>
      <c r="E279">
        <v>1029</v>
      </c>
      <c r="F279">
        <v>49</v>
      </c>
      <c r="G279">
        <v>111</v>
      </c>
    </row>
    <row r="280" spans="1:7">
      <c r="A280" s="1">
        <v>44871</v>
      </c>
      <c r="B280" s="2">
        <f>YEAR(TRA[[#This Row],[date]])</f>
        <v>2022</v>
      </c>
      <c r="C280">
        <v>916</v>
      </c>
      <c r="D280">
        <v>3350</v>
      </c>
      <c r="E280">
        <v>1089</v>
      </c>
      <c r="F280">
        <v>41</v>
      </c>
      <c r="G280">
        <v>88</v>
      </c>
    </row>
    <row r="281" spans="1:7">
      <c r="A281" s="1">
        <v>44872</v>
      </c>
      <c r="B281" s="2">
        <f>YEAR(TRA[[#This Row],[date]])</f>
        <v>2022</v>
      </c>
      <c r="C281">
        <v>1521</v>
      </c>
      <c r="D281">
        <v>5130</v>
      </c>
      <c r="E281">
        <v>1726</v>
      </c>
      <c r="F281">
        <v>41</v>
      </c>
      <c r="G281">
        <v>82</v>
      </c>
    </row>
    <row r="282" spans="1:7">
      <c r="A282" s="1">
        <v>44873</v>
      </c>
      <c r="B282" s="2">
        <f>YEAR(TRA[[#This Row],[date]])</f>
        <v>2022</v>
      </c>
      <c r="C282">
        <v>1332</v>
      </c>
      <c r="D282">
        <v>4876</v>
      </c>
      <c r="E282">
        <v>1583</v>
      </c>
      <c r="F282">
        <v>38</v>
      </c>
      <c r="G282">
        <v>78</v>
      </c>
    </row>
    <row r="283" spans="1:7">
      <c r="A283" s="1">
        <v>44874</v>
      </c>
      <c r="B283" s="2">
        <f>YEAR(TRA[[#This Row],[date]])</f>
        <v>2022</v>
      </c>
      <c r="C283">
        <v>1233</v>
      </c>
      <c r="D283">
        <v>4585</v>
      </c>
      <c r="E283">
        <v>1479</v>
      </c>
      <c r="F283">
        <v>36</v>
      </c>
      <c r="G283">
        <v>93</v>
      </c>
    </row>
    <row r="284" spans="1:7">
      <c r="A284" s="1">
        <v>44875</v>
      </c>
      <c r="B284" s="2">
        <f>YEAR(TRA[[#This Row],[date]])</f>
        <v>2022</v>
      </c>
      <c r="C284">
        <v>1413</v>
      </c>
      <c r="D284">
        <v>5606</v>
      </c>
      <c r="E284">
        <v>1767</v>
      </c>
      <c r="F284">
        <v>48</v>
      </c>
      <c r="G284">
        <v>89</v>
      </c>
    </row>
    <row r="285" spans="1:7">
      <c r="A285" s="1">
        <v>44876</v>
      </c>
      <c r="B285" s="2">
        <f>YEAR(TRA[[#This Row],[date]])</f>
        <v>2022</v>
      </c>
      <c r="C285">
        <v>1068</v>
      </c>
      <c r="D285">
        <v>4047</v>
      </c>
      <c r="E285">
        <v>1293</v>
      </c>
      <c r="F285">
        <v>40</v>
      </c>
      <c r="G285">
        <v>106</v>
      </c>
    </row>
    <row r="286" spans="1:7">
      <c r="A286" s="1">
        <v>44877</v>
      </c>
      <c r="B286" s="2">
        <f>YEAR(TRA[[#This Row],[date]])</f>
        <v>2022</v>
      </c>
      <c r="C286">
        <v>898</v>
      </c>
      <c r="D286">
        <v>3404</v>
      </c>
      <c r="E286">
        <v>1051</v>
      </c>
      <c r="F286">
        <v>51</v>
      </c>
      <c r="G286">
        <v>70</v>
      </c>
    </row>
    <row r="287" spans="1:7">
      <c r="A287" s="1">
        <v>44878</v>
      </c>
      <c r="B287" s="2">
        <f>YEAR(TRA[[#This Row],[date]])</f>
        <v>2022</v>
      </c>
      <c r="C287">
        <v>1077</v>
      </c>
      <c r="D287">
        <v>3706</v>
      </c>
      <c r="E287">
        <v>1238</v>
      </c>
      <c r="F287">
        <v>31</v>
      </c>
      <c r="G287">
        <v>71</v>
      </c>
    </row>
    <row r="288" spans="1:7">
      <c r="A288" s="1">
        <v>44879</v>
      </c>
      <c r="B288" s="2">
        <f>YEAR(TRA[[#This Row],[date]])</f>
        <v>2022</v>
      </c>
      <c r="C288">
        <v>2383</v>
      </c>
      <c r="D288">
        <v>8805</v>
      </c>
      <c r="E288">
        <v>2791</v>
      </c>
      <c r="F288">
        <v>282</v>
      </c>
      <c r="G288">
        <v>108</v>
      </c>
    </row>
    <row r="289" spans="1:7">
      <c r="A289" s="1">
        <v>44880</v>
      </c>
      <c r="B289" s="2">
        <f>YEAR(TRA[[#This Row],[date]])</f>
        <v>2022</v>
      </c>
      <c r="C289">
        <v>21558</v>
      </c>
      <c r="D289">
        <v>73647</v>
      </c>
      <c r="E289">
        <v>23876</v>
      </c>
      <c r="F289">
        <v>1968</v>
      </c>
      <c r="G289">
        <v>69</v>
      </c>
    </row>
    <row r="290" spans="1:7">
      <c r="A290" s="1">
        <v>44881</v>
      </c>
      <c r="B290" s="2">
        <f>YEAR(TRA[[#This Row],[date]])</f>
        <v>2022</v>
      </c>
      <c r="C290">
        <v>9843</v>
      </c>
      <c r="D290">
        <v>34442</v>
      </c>
      <c r="E290">
        <v>11247</v>
      </c>
      <c r="F290">
        <v>1226</v>
      </c>
      <c r="G290">
        <v>79</v>
      </c>
    </row>
    <row r="291" spans="1:7">
      <c r="A291" s="1">
        <v>44882</v>
      </c>
      <c r="B291" s="2">
        <f>YEAR(TRA[[#This Row],[date]])</f>
        <v>2022</v>
      </c>
      <c r="C291">
        <v>7315</v>
      </c>
      <c r="D291">
        <v>24683</v>
      </c>
      <c r="E291">
        <v>8304</v>
      </c>
      <c r="F291">
        <v>1797</v>
      </c>
      <c r="G291">
        <v>99</v>
      </c>
    </row>
    <row r="292" spans="1:7">
      <c r="A292" s="1">
        <v>44883</v>
      </c>
      <c r="B292" s="2">
        <f>YEAR(TRA[[#This Row],[date]])</f>
        <v>2022</v>
      </c>
      <c r="C292">
        <v>3882</v>
      </c>
      <c r="D292">
        <v>13079</v>
      </c>
      <c r="E292">
        <v>4587</v>
      </c>
      <c r="F292">
        <v>954</v>
      </c>
      <c r="G292">
        <v>94</v>
      </c>
    </row>
    <row r="293" spans="1:7">
      <c r="A293" s="1">
        <v>44884</v>
      </c>
      <c r="B293" s="2">
        <f>YEAR(TRA[[#This Row],[date]])</f>
        <v>2022</v>
      </c>
      <c r="C293">
        <v>2425</v>
      </c>
      <c r="D293">
        <v>8359</v>
      </c>
      <c r="E293">
        <v>2814</v>
      </c>
      <c r="F293">
        <v>510</v>
      </c>
      <c r="G293">
        <v>90</v>
      </c>
    </row>
    <row r="294" spans="1:7">
      <c r="A294" s="1">
        <v>44885</v>
      </c>
      <c r="B294" s="2">
        <f>YEAR(TRA[[#This Row],[date]])</f>
        <v>2022</v>
      </c>
      <c r="C294">
        <v>2476</v>
      </c>
      <c r="D294">
        <v>8463</v>
      </c>
      <c r="E294">
        <v>2855</v>
      </c>
      <c r="F294">
        <v>414</v>
      </c>
      <c r="G294">
        <v>81</v>
      </c>
    </row>
    <row r="295" spans="1:7">
      <c r="A295" s="1">
        <v>44886</v>
      </c>
      <c r="B295" s="2">
        <f>YEAR(TRA[[#This Row],[date]])</f>
        <v>2022</v>
      </c>
      <c r="C295">
        <v>2454</v>
      </c>
      <c r="D295">
        <v>9306</v>
      </c>
      <c r="E295">
        <v>3034</v>
      </c>
      <c r="F295">
        <v>477</v>
      </c>
      <c r="G295">
        <v>97</v>
      </c>
    </row>
    <row r="296" spans="1:7">
      <c r="A296" s="1">
        <v>44887</v>
      </c>
      <c r="B296" s="2">
        <f>YEAR(TRA[[#This Row],[date]])</f>
        <v>2022</v>
      </c>
      <c r="C296">
        <v>1947</v>
      </c>
      <c r="D296">
        <v>7482</v>
      </c>
      <c r="E296">
        <v>2387</v>
      </c>
      <c r="F296">
        <v>388</v>
      </c>
      <c r="G296">
        <v>111</v>
      </c>
    </row>
    <row r="297" spans="1:7">
      <c r="A297" s="1">
        <v>44888</v>
      </c>
      <c r="B297" s="2">
        <f>YEAR(TRA[[#This Row],[date]])</f>
        <v>2022</v>
      </c>
      <c r="C297">
        <v>1490</v>
      </c>
      <c r="D297">
        <v>5636</v>
      </c>
      <c r="E297">
        <v>1758</v>
      </c>
      <c r="F297">
        <v>278</v>
      </c>
      <c r="G297">
        <v>124</v>
      </c>
    </row>
    <row r="298" spans="1:7">
      <c r="A298" s="1">
        <v>44889</v>
      </c>
      <c r="B298" s="2">
        <f>YEAR(TRA[[#This Row],[date]])</f>
        <v>2022</v>
      </c>
      <c r="C298">
        <v>1111</v>
      </c>
      <c r="D298">
        <v>4097</v>
      </c>
      <c r="E298">
        <v>1335</v>
      </c>
      <c r="F298">
        <v>198</v>
      </c>
      <c r="G298">
        <v>137</v>
      </c>
    </row>
    <row r="299" spans="1:7">
      <c r="A299" s="1">
        <v>44890</v>
      </c>
      <c r="B299" s="2">
        <f>YEAR(TRA[[#This Row],[date]])</f>
        <v>2022</v>
      </c>
      <c r="C299">
        <v>1092</v>
      </c>
      <c r="D299">
        <v>4166</v>
      </c>
      <c r="E299">
        <v>1290</v>
      </c>
      <c r="F299">
        <v>228</v>
      </c>
      <c r="G299">
        <v>117</v>
      </c>
    </row>
    <row r="300" spans="1:7">
      <c r="A300" s="1">
        <v>44891</v>
      </c>
      <c r="B300" s="2">
        <f>YEAR(TRA[[#This Row],[date]])</f>
        <v>2022</v>
      </c>
      <c r="C300">
        <v>1070</v>
      </c>
      <c r="D300">
        <v>3823</v>
      </c>
      <c r="E300">
        <v>1230</v>
      </c>
      <c r="F300">
        <v>215</v>
      </c>
      <c r="G300">
        <v>94</v>
      </c>
    </row>
    <row r="301" spans="1:7">
      <c r="A301" s="1">
        <v>44892</v>
      </c>
      <c r="B301" s="2">
        <f>YEAR(TRA[[#This Row],[date]])</f>
        <v>2022</v>
      </c>
      <c r="C301">
        <v>1038</v>
      </c>
      <c r="D301">
        <v>3748</v>
      </c>
      <c r="E301">
        <v>1196</v>
      </c>
      <c r="F301">
        <v>183</v>
      </c>
      <c r="G301">
        <v>135</v>
      </c>
    </row>
    <row r="302" spans="1:7">
      <c r="A302" s="1">
        <v>44893</v>
      </c>
      <c r="B302" s="2">
        <f>YEAR(TRA[[#This Row],[date]])</f>
        <v>2022</v>
      </c>
      <c r="C302">
        <v>2179</v>
      </c>
      <c r="D302">
        <v>9463</v>
      </c>
      <c r="E302">
        <v>2739</v>
      </c>
      <c r="F302">
        <v>578</v>
      </c>
      <c r="G302">
        <v>160</v>
      </c>
    </row>
    <row r="303" spans="1:7">
      <c r="A303" s="1">
        <v>44894</v>
      </c>
      <c r="B303" s="2">
        <f>YEAR(TRA[[#This Row],[date]])</f>
        <v>2022</v>
      </c>
      <c r="C303">
        <v>2047</v>
      </c>
      <c r="D303">
        <v>8804</v>
      </c>
      <c r="E303">
        <v>2586</v>
      </c>
      <c r="F303">
        <v>561</v>
      </c>
      <c r="G303">
        <v>165</v>
      </c>
    </row>
    <row r="304" spans="1:7">
      <c r="A304" s="1">
        <v>44895</v>
      </c>
      <c r="B304" s="2">
        <f>YEAR(TRA[[#This Row],[date]])</f>
        <v>2022</v>
      </c>
      <c r="C304">
        <v>1812</v>
      </c>
      <c r="D304">
        <v>7907</v>
      </c>
      <c r="E304">
        <v>2330</v>
      </c>
      <c r="F304">
        <v>408</v>
      </c>
      <c r="G304">
        <v>165</v>
      </c>
    </row>
    <row r="305" spans="1:7">
      <c r="A305" s="1">
        <v>44896</v>
      </c>
      <c r="B305" s="2">
        <f>YEAR(TRA[[#This Row],[date]])</f>
        <v>2022</v>
      </c>
      <c r="C305">
        <v>1651</v>
      </c>
      <c r="D305">
        <v>6934</v>
      </c>
      <c r="E305">
        <v>2127</v>
      </c>
      <c r="F305">
        <v>404</v>
      </c>
      <c r="G305">
        <v>145</v>
      </c>
    </row>
    <row r="306" spans="1:7">
      <c r="A306" s="1">
        <v>44897</v>
      </c>
      <c r="B306" s="2">
        <f>YEAR(TRA[[#This Row],[date]])</f>
        <v>2022</v>
      </c>
      <c r="C306">
        <v>1392</v>
      </c>
      <c r="D306">
        <v>6520</v>
      </c>
      <c r="E306">
        <v>1755</v>
      </c>
      <c r="F306">
        <v>327</v>
      </c>
      <c r="G306">
        <v>188</v>
      </c>
    </row>
    <row r="307" spans="1:7">
      <c r="A307" s="1">
        <v>44898</v>
      </c>
      <c r="B307" s="2">
        <f>YEAR(TRA[[#This Row],[date]])</f>
        <v>2022</v>
      </c>
      <c r="C307">
        <v>989</v>
      </c>
      <c r="D307">
        <v>3685</v>
      </c>
      <c r="E307">
        <v>1160</v>
      </c>
      <c r="F307">
        <v>224</v>
      </c>
      <c r="G307">
        <v>129</v>
      </c>
    </row>
    <row r="308" spans="1:7">
      <c r="A308" s="1">
        <v>44899</v>
      </c>
      <c r="B308" s="2">
        <f>YEAR(TRA[[#This Row],[date]])</f>
        <v>2022</v>
      </c>
      <c r="C308">
        <v>1236</v>
      </c>
      <c r="D308">
        <v>5126</v>
      </c>
      <c r="E308">
        <v>1442</v>
      </c>
      <c r="F308">
        <v>207</v>
      </c>
      <c r="G308">
        <v>117</v>
      </c>
    </row>
    <row r="309" spans="1:7">
      <c r="A309" s="1">
        <v>44900</v>
      </c>
      <c r="B309" s="2">
        <f>YEAR(TRA[[#This Row],[date]])</f>
        <v>2022</v>
      </c>
      <c r="C309">
        <v>1714</v>
      </c>
      <c r="D309">
        <v>7819</v>
      </c>
      <c r="E309">
        <v>2256</v>
      </c>
      <c r="F309">
        <v>430</v>
      </c>
      <c r="G309">
        <v>163</v>
      </c>
    </row>
    <row r="310" spans="1:7">
      <c r="A310" s="1">
        <v>44901</v>
      </c>
      <c r="B310" s="2">
        <f>YEAR(TRA[[#This Row],[date]])</f>
        <v>2022</v>
      </c>
      <c r="C310">
        <v>2140</v>
      </c>
      <c r="D310">
        <v>9894</v>
      </c>
      <c r="E310">
        <v>2734</v>
      </c>
      <c r="F310">
        <v>539</v>
      </c>
      <c r="G310">
        <v>176</v>
      </c>
    </row>
    <row r="311" spans="1:7">
      <c r="A311" s="1">
        <v>44902</v>
      </c>
      <c r="B311" s="2">
        <f>YEAR(TRA[[#This Row],[date]])</f>
        <v>2022</v>
      </c>
      <c r="C311">
        <v>4256</v>
      </c>
      <c r="D311">
        <v>29158</v>
      </c>
      <c r="E311">
        <v>6458</v>
      </c>
      <c r="F311">
        <v>1647</v>
      </c>
      <c r="G311">
        <v>350</v>
      </c>
    </row>
    <row r="312" spans="1:7">
      <c r="A312" s="1">
        <v>44903</v>
      </c>
      <c r="B312" s="2">
        <f>YEAR(TRA[[#This Row],[date]])</f>
        <v>2022</v>
      </c>
      <c r="C312">
        <v>2053</v>
      </c>
      <c r="D312">
        <v>8875</v>
      </c>
      <c r="E312">
        <v>2665</v>
      </c>
      <c r="F312">
        <v>628</v>
      </c>
      <c r="G312">
        <v>160</v>
      </c>
    </row>
    <row r="313" spans="1:7">
      <c r="A313" s="1">
        <v>44904</v>
      </c>
      <c r="B313" s="2">
        <f>YEAR(TRA[[#This Row],[date]])</f>
        <v>2022</v>
      </c>
      <c r="C313">
        <v>1598</v>
      </c>
      <c r="D313">
        <v>6460</v>
      </c>
      <c r="E313">
        <v>1995</v>
      </c>
      <c r="F313">
        <v>449</v>
      </c>
      <c r="G313">
        <v>152</v>
      </c>
    </row>
    <row r="314" spans="1:7">
      <c r="A314" s="1">
        <v>44905</v>
      </c>
      <c r="B314" s="2">
        <f>YEAR(TRA[[#This Row],[date]])</f>
        <v>2022</v>
      </c>
      <c r="C314">
        <v>1065</v>
      </c>
      <c r="D314">
        <v>4000</v>
      </c>
      <c r="E314">
        <v>1268</v>
      </c>
      <c r="F314">
        <v>297</v>
      </c>
      <c r="G314">
        <v>138</v>
      </c>
    </row>
    <row r="315" spans="1:7">
      <c r="A315" s="1">
        <v>44906</v>
      </c>
      <c r="B315" s="2">
        <f>YEAR(TRA[[#This Row],[date]])</f>
        <v>2022</v>
      </c>
      <c r="C315">
        <v>1003</v>
      </c>
      <c r="D315">
        <v>4198</v>
      </c>
      <c r="E315">
        <v>1218</v>
      </c>
      <c r="F315">
        <v>223</v>
      </c>
      <c r="G315">
        <v>128</v>
      </c>
    </row>
    <row r="316" spans="1:7">
      <c r="A316" s="1">
        <v>44907</v>
      </c>
      <c r="B316" s="2">
        <f>YEAR(TRA[[#This Row],[date]])</f>
        <v>2022</v>
      </c>
      <c r="C316">
        <v>1784</v>
      </c>
      <c r="D316">
        <v>7476</v>
      </c>
      <c r="E316">
        <v>2213</v>
      </c>
      <c r="F316">
        <v>490</v>
      </c>
      <c r="G316">
        <v>152</v>
      </c>
    </row>
    <row r="317" spans="1:7">
      <c r="A317" s="1">
        <v>44908</v>
      </c>
      <c r="B317" s="2">
        <f>YEAR(TRA[[#This Row],[date]])</f>
        <v>2022</v>
      </c>
      <c r="C317">
        <v>1850</v>
      </c>
      <c r="D317">
        <v>8109</v>
      </c>
      <c r="E317">
        <v>2304</v>
      </c>
      <c r="F317">
        <v>450</v>
      </c>
      <c r="G317">
        <v>154</v>
      </c>
    </row>
    <row r="318" spans="1:7">
      <c r="A318" s="1">
        <v>44909</v>
      </c>
      <c r="B318" s="2">
        <f>YEAR(TRA[[#This Row],[date]])</f>
        <v>2022</v>
      </c>
      <c r="C318">
        <v>3850</v>
      </c>
      <c r="D318">
        <v>15743</v>
      </c>
      <c r="E318">
        <v>4722</v>
      </c>
      <c r="F318">
        <v>848</v>
      </c>
      <c r="G318">
        <v>144</v>
      </c>
    </row>
    <row r="319" spans="1:7">
      <c r="A319" s="1">
        <v>44910</v>
      </c>
      <c r="B319" s="2">
        <f>YEAR(TRA[[#This Row],[date]])</f>
        <v>2022</v>
      </c>
      <c r="C319">
        <v>2863</v>
      </c>
      <c r="D319">
        <v>11821</v>
      </c>
      <c r="E319">
        <v>3439</v>
      </c>
      <c r="F319">
        <v>549</v>
      </c>
      <c r="G319">
        <v>132</v>
      </c>
    </row>
    <row r="320" spans="1:7">
      <c r="A320" s="1">
        <v>44911</v>
      </c>
      <c r="B320" s="2">
        <f>YEAR(TRA[[#This Row],[date]])</f>
        <v>2022</v>
      </c>
      <c r="C320">
        <v>2070</v>
      </c>
      <c r="D320">
        <v>8804</v>
      </c>
      <c r="E320">
        <v>2513</v>
      </c>
      <c r="F320">
        <v>440</v>
      </c>
      <c r="G320">
        <v>166</v>
      </c>
    </row>
    <row r="321" spans="1:7">
      <c r="A321" s="1">
        <v>44912</v>
      </c>
      <c r="B321" s="2">
        <f>YEAR(TRA[[#This Row],[date]])</f>
        <v>2022</v>
      </c>
      <c r="C321">
        <v>1452</v>
      </c>
      <c r="D321">
        <v>5647</v>
      </c>
      <c r="E321">
        <v>1736</v>
      </c>
      <c r="F321">
        <v>310</v>
      </c>
      <c r="G321">
        <v>111</v>
      </c>
    </row>
    <row r="322" spans="1:7">
      <c r="A322" s="1">
        <v>44913</v>
      </c>
      <c r="B322" s="2">
        <f>YEAR(TRA[[#This Row],[date]])</f>
        <v>2022</v>
      </c>
      <c r="C322">
        <v>1309</v>
      </c>
      <c r="D322">
        <v>4985</v>
      </c>
      <c r="E322">
        <v>1580</v>
      </c>
      <c r="F322">
        <v>292</v>
      </c>
      <c r="G322">
        <v>106</v>
      </c>
    </row>
    <row r="323" spans="1:7">
      <c r="A323" s="1">
        <v>44914</v>
      </c>
      <c r="B323" s="2">
        <f>YEAR(TRA[[#This Row],[date]])</f>
        <v>2022</v>
      </c>
      <c r="C323">
        <v>1693</v>
      </c>
      <c r="D323">
        <v>6783</v>
      </c>
      <c r="E323">
        <v>2100</v>
      </c>
      <c r="F323">
        <v>431</v>
      </c>
      <c r="G323">
        <v>170</v>
      </c>
    </row>
    <row r="324" spans="1:7">
      <c r="A324" s="1">
        <v>44915</v>
      </c>
      <c r="B324" s="2">
        <f>YEAR(TRA[[#This Row],[date]])</f>
        <v>2022</v>
      </c>
      <c r="C324">
        <v>1743</v>
      </c>
      <c r="D324">
        <v>7171</v>
      </c>
      <c r="E324">
        <v>2178</v>
      </c>
      <c r="F324">
        <v>452</v>
      </c>
      <c r="G324">
        <v>164</v>
      </c>
    </row>
    <row r="325" spans="1:7">
      <c r="A325" s="1">
        <v>44916</v>
      </c>
      <c r="B325" s="2">
        <f>YEAR(TRA[[#This Row],[date]])</f>
        <v>2022</v>
      </c>
      <c r="C325">
        <v>1890</v>
      </c>
      <c r="D325">
        <v>7597</v>
      </c>
      <c r="E325">
        <v>2372</v>
      </c>
      <c r="F325">
        <v>519</v>
      </c>
      <c r="G325">
        <v>151</v>
      </c>
    </row>
    <row r="326" spans="1:7">
      <c r="A326" s="1">
        <v>44917</v>
      </c>
      <c r="B326" s="2">
        <f>YEAR(TRA[[#This Row],[date]])</f>
        <v>2022</v>
      </c>
      <c r="C326">
        <v>1544</v>
      </c>
      <c r="D326">
        <v>6421</v>
      </c>
      <c r="E326">
        <v>1894</v>
      </c>
      <c r="F326">
        <v>368</v>
      </c>
      <c r="G326">
        <v>156</v>
      </c>
    </row>
    <row r="327" spans="1:7">
      <c r="A327" s="1">
        <v>44918</v>
      </c>
      <c r="B327" s="2">
        <f>YEAR(TRA[[#This Row],[date]])</f>
        <v>2022</v>
      </c>
      <c r="C327">
        <v>1198</v>
      </c>
      <c r="D327">
        <v>4302</v>
      </c>
      <c r="E327">
        <v>1433</v>
      </c>
      <c r="F327">
        <v>271</v>
      </c>
      <c r="G327">
        <v>99</v>
      </c>
    </row>
    <row r="328" spans="1:7">
      <c r="A328" s="1">
        <v>44919</v>
      </c>
      <c r="B328" s="2">
        <f>YEAR(TRA[[#This Row],[date]])</f>
        <v>2022</v>
      </c>
      <c r="C328">
        <v>820</v>
      </c>
      <c r="D328">
        <v>3003</v>
      </c>
      <c r="E328">
        <v>981</v>
      </c>
      <c r="F328">
        <v>202</v>
      </c>
      <c r="G328">
        <v>116</v>
      </c>
    </row>
    <row r="329" spans="1:7">
      <c r="A329" s="1">
        <v>44920</v>
      </c>
      <c r="B329" s="2">
        <f>YEAR(TRA[[#This Row],[date]])</f>
        <v>2022</v>
      </c>
      <c r="C329">
        <v>735</v>
      </c>
      <c r="D329">
        <v>3053</v>
      </c>
      <c r="E329">
        <v>873</v>
      </c>
      <c r="F329">
        <v>181</v>
      </c>
      <c r="G329">
        <v>163</v>
      </c>
    </row>
    <row r="330" spans="1:7">
      <c r="A330" s="1">
        <v>44921</v>
      </c>
      <c r="B330" s="2">
        <f>YEAR(TRA[[#This Row],[date]])</f>
        <v>2022</v>
      </c>
      <c r="C330">
        <v>1062</v>
      </c>
      <c r="D330">
        <v>4284</v>
      </c>
      <c r="E330">
        <v>1270</v>
      </c>
      <c r="F330">
        <v>261</v>
      </c>
      <c r="G330">
        <v>149</v>
      </c>
    </row>
    <row r="331" spans="1:7">
      <c r="A331" s="1">
        <v>44922</v>
      </c>
      <c r="B331" s="2">
        <f>YEAR(TRA[[#This Row],[date]])</f>
        <v>2022</v>
      </c>
      <c r="C331">
        <v>1204</v>
      </c>
      <c r="D331">
        <v>4983</v>
      </c>
      <c r="E331">
        <v>1437</v>
      </c>
      <c r="F331">
        <v>266</v>
      </c>
      <c r="G331">
        <v>160</v>
      </c>
    </row>
    <row r="332" spans="1:7">
      <c r="A332" s="1">
        <v>44923</v>
      </c>
      <c r="B332" s="2">
        <f>YEAR(TRA[[#This Row],[date]])</f>
        <v>2022</v>
      </c>
      <c r="C332">
        <v>1741</v>
      </c>
      <c r="D332">
        <v>7374</v>
      </c>
      <c r="E332">
        <v>2155</v>
      </c>
      <c r="F332">
        <v>456</v>
      </c>
      <c r="G332">
        <v>190</v>
      </c>
    </row>
    <row r="333" spans="1:7">
      <c r="A333" s="1">
        <v>44924</v>
      </c>
      <c r="B333" s="2">
        <f>YEAR(TRA[[#This Row],[date]])</f>
        <v>2022</v>
      </c>
      <c r="C333">
        <v>1621</v>
      </c>
      <c r="D333">
        <v>7079</v>
      </c>
      <c r="E333">
        <v>1986</v>
      </c>
      <c r="F333">
        <v>418</v>
      </c>
      <c r="G333">
        <v>221</v>
      </c>
    </row>
    <row r="334" spans="1:7">
      <c r="A334" s="1">
        <v>44925</v>
      </c>
      <c r="B334" s="2">
        <f>YEAR(TRA[[#This Row],[date]])</f>
        <v>2022</v>
      </c>
      <c r="C334">
        <v>1407</v>
      </c>
      <c r="D334">
        <v>5356</v>
      </c>
      <c r="E334">
        <v>1678</v>
      </c>
      <c r="F334">
        <v>308</v>
      </c>
      <c r="G334">
        <v>164</v>
      </c>
    </row>
    <row r="335" spans="1:7">
      <c r="A335" s="1">
        <v>44926</v>
      </c>
      <c r="B335" s="2">
        <f>YEAR(TRA[[#This Row],[date]])</f>
        <v>2022</v>
      </c>
      <c r="C335">
        <v>1107</v>
      </c>
      <c r="D335">
        <v>4012</v>
      </c>
      <c r="E335">
        <v>1301</v>
      </c>
      <c r="F335">
        <v>253</v>
      </c>
      <c r="G335">
        <v>90</v>
      </c>
    </row>
    <row r="336" spans="1:7">
      <c r="A336" s="1">
        <v>44927</v>
      </c>
      <c r="B336" s="2">
        <f>YEAR(TRA[[#This Row],[date]])</f>
        <v>2023</v>
      </c>
      <c r="C336">
        <v>1290</v>
      </c>
      <c r="D336">
        <v>4887</v>
      </c>
      <c r="E336">
        <v>1522</v>
      </c>
      <c r="F336">
        <v>278</v>
      </c>
      <c r="G336">
        <v>124</v>
      </c>
    </row>
    <row r="337" spans="1:7">
      <c r="A337" s="1">
        <v>44928</v>
      </c>
      <c r="B337" s="2">
        <f>YEAR(TRA[[#This Row],[date]])</f>
        <v>2023</v>
      </c>
      <c r="C337">
        <v>3208</v>
      </c>
      <c r="D337">
        <v>12519</v>
      </c>
      <c r="E337">
        <v>3840</v>
      </c>
      <c r="F337">
        <v>552</v>
      </c>
      <c r="G337">
        <v>124</v>
      </c>
    </row>
    <row r="338" spans="1:7">
      <c r="A338" s="1">
        <v>44929</v>
      </c>
      <c r="B338" s="2">
        <f>YEAR(TRA[[#This Row],[date]])</f>
        <v>2023</v>
      </c>
      <c r="C338">
        <v>4813</v>
      </c>
      <c r="D338">
        <v>19933</v>
      </c>
      <c r="E338">
        <v>5920</v>
      </c>
      <c r="F338">
        <v>1096</v>
      </c>
      <c r="G338">
        <v>173</v>
      </c>
    </row>
    <row r="339" spans="1:7">
      <c r="A339" s="1">
        <v>44930</v>
      </c>
      <c r="B339" s="2">
        <f>YEAR(TRA[[#This Row],[date]])</f>
        <v>2023</v>
      </c>
      <c r="C339">
        <v>7721</v>
      </c>
      <c r="D339">
        <v>30001</v>
      </c>
      <c r="E339">
        <v>9344</v>
      </c>
      <c r="F339">
        <v>1820</v>
      </c>
      <c r="G339">
        <v>130</v>
      </c>
    </row>
    <row r="340" spans="1:7">
      <c r="A340" s="1">
        <v>44931</v>
      </c>
      <c r="B340" s="2">
        <f>YEAR(TRA[[#This Row],[date]])</f>
        <v>2023</v>
      </c>
      <c r="C340">
        <v>2661</v>
      </c>
      <c r="D340">
        <v>10505</v>
      </c>
      <c r="E340">
        <v>3206</v>
      </c>
      <c r="F340">
        <v>712</v>
      </c>
      <c r="G340">
        <v>127</v>
      </c>
    </row>
    <row r="341" spans="1:7">
      <c r="A341" s="1">
        <v>44932</v>
      </c>
      <c r="B341" s="2">
        <f>YEAR(TRA[[#This Row],[date]])</f>
        <v>2023</v>
      </c>
      <c r="C341">
        <v>1871</v>
      </c>
      <c r="D341">
        <v>7882</v>
      </c>
      <c r="E341">
        <v>2295</v>
      </c>
      <c r="F341">
        <v>432</v>
      </c>
      <c r="G341">
        <v>145</v>
      </c>
    </row>
    <row r="342" spans="1:7">
      <c r="A342" s="1">
        <v>44933</v>
      </c>
      <c r="B342" s="2">
        <f>YEAR(TRA[[#This Row],[date]])</f>
        <v>2023</v>
      </c>
      <c r="C342">
        <v>1202</v>
      </c>
      <c r="D342">
        <v>4420</v>
      </c>
      <c r="E342">
        <v>1423</v>
      </c>
      <c r="F342">
        <v>275</v>
      </c>
      <c r="G342">
        <v>113</v>
      </c>
    </row>
    <row r="343" spans="1:7">
      <c r="A343" s="1">
        <v>44934</v>
      </c>
      <c r="B343" s="2">
        <f>YEAR(TRA[[#This Row],[date]])</f>
        <v>2023</v>
      </c>
      <c r="C343">
        <v>1294</v>
      </c>
      <c r="D343">
        <v>5143</v>
      </c>
      <c r="E343">
        <v>1503</v>
      </c>
      <c r="F343">
        <v>276</v>
      </c>
      <c r="G343">
        <v>129</v>
      </c>
    </row>
    <row r="344" spans="1:7">
      <c r="A344" s="1">
        <v>44935</v>
      </c>
      <c r="B344" s="2">
        <f>YEAR(TRA[[#This Row],[date]])</f>
        <v>2023</v>
      </c>
      <c r="C344">
        <v>2131</v>
      </c>
      <c r="D344">
        <v>8856</v>
      </c>
      <c r="E344">
        <v>2562</v>
      </c>
      <c r="F344">
        <v>438</v>
      </c>
      <c r="G344">
        <v>133</v>
      </c>
    </row>
    <row r="345" spans="1:7">
      <c r="A345" s="1">
        <v>44936</v>
      </c>
      <c r="B345" s="2">
        <f>YEAR(TRA[[#This Row],[date]])</f>
        <v>2023</v>
      </c>
      <c r="C345">
        <v>2341</v>
      </c>
      <c r="D345">
        <v>10018</v>
      </c>
      <c r="E345">
        <v>2852</v>
      </c>
      <c r="F345">
        <v>520</v>
      </c>
      <c r="G345">
        <v>157</v>
      </c>
    </row>
    <row r="346" spans="1:7">
      <c r="A346" s="1">
        <v>44937</v>
      </c>
      <c r="B346" s="2">
        <f>YEAR(TRA[[#This Row],[date]])</f>
        <v>2023</v>
      </c>
      <c r="C346">
        <v>2389</v>
      </c>
      <c r="D346">
        <v>10388</v>
      </c>
      <c r="E346">
        <v>3020</v>
      </c>
      <c r="F346">
        <v>524</v>
      </c>
      <c r="G346">
        <v>142</v>
      </c>
    </row>
    <row r="347" spans="1:7">
      <c r="A347" s="1">
        <v>44938</v>
      </c>
      <c r="B347" s="2">
        <f>YEAR(TRA[[#This Row],[date]])</f>
        <v>2023</v>
      </c>
      <c r="C347">
        <v>2062</v>
      </c>
      <c r="D347">
        <v>8428</v>
      </c>
      <c r="E347">
        <v>2582</v>
      </c>
      <c r="F347">
        <v>490</v>
      </c>
      <c r="G347">
        <v>136</v>
      </c>
    </row>
    <row r="348" spans="1:7">
      <c r="A348" s="1">
        <v>44939</v>
      </c>
      <c r="B348" s="2">
        <f>YEAR(TRA[[#This Row],[date]])</f>
        <v>2023</v>
      </c>
      <c r="C348">
        <v>1902</v>
      </c>
      <c r="D348">
        <v>7908</v>
      </c>
      <c r="E348">
        <v>2390</v>
      </c>
      <c r="F348">
        <v>520</v>
      </c>
      <c r="G348">
        <v>146</v>
      </c>
    </row>
    <row r="349" spans="1:7">
      <c r="A349" s="1">
        <v>44940</v>
      </c>
      <c r="B349" s="2">
        <f>YEAR(TRA[[#This Row],[date]])</f>
        <v>2023</v>
      </c>
      <c r="C349">
        <v>1284</v>
      </c>
      <c r="D349">
        <v>4952</v>
      </c>
      <c r="E349">
        <v>1577</v>
      </c>
      <c r="F349">
        <v>326</v>
      </c>
      <c r="G349">
        <v>120</v>
      </c>
    </row>
    <row r="350" spans="1:7">
      <c r="A350" s="1">
        <v>44941</v>
      </c>
      <c r="B350" s="2">
        <f>YEAR(TRA[[#This Row],[date]])</f>
        <v>2023</v>
      </c>
      <c r="C350">
        <v>1334</v>
      </c>
      <c r="D350">
        <v>5448</v>
      </c>
      <c r="E350">
        <v>1656</v>
      </c>
      <c r="F350">
        <v>316</v>
      </c>
      <c r="G350">
        <v>124</v>
      </c>
    </row>
    <row r="351" spans="1:7">
      <c r="A351" s="1">
        <v>44942</v>
      </c>
      <c r="B351" s="2">
        <f>YEAR(TRA[[#This Row],[date]])</f>
        <v>2023</v>
      </c>
      <c r="C351">
        <v>1456</v>
      </c>
      <c r="D351">
        <v>6463</v>
      </c>
      <c r="E351">
        <v>1858</v>
      </c>
      <c r="F351">
        <v>304</v>
      </c>
      <c r="G351">
        <v>166</v>
      </c>
    </row>
    <row r="352" spans="1:7">
      <c r="A352" s="1">
        <v>44943</v>
      </c>
      <c r="B352" s="2">
        <f>YEAR(TRA[[#This Row],[date]])</f>
        <v>2023</v>
      </c>
      <c r="C352">
        <v>2209</v>
      </c>
      <c r="D352">
        <v>9858</v>
      </c>
      <c r="E352">
        <v>2806</v>
      </c>
      <c r="F352">
        <v>538</v>
      </c>
      <c r="G352">
        <v>159</v>
      </c>
    </row>
    <row r="353" spans="1:7">
      <c r="A353" s="1">
        <v>44944</v>
      </c>
      <c r="B353" s="2">
        <f>YEAR(TRA[[#This Row],[date]])</f>
        <v>2023</v>
      </c>
      <c r="C353">
        <v>2252</v>
      </c>
      <c r="D353">
        <v>9380</v>
      </c>
      <c r="E353">
        <v>2841</v>
      </c>
      <c r="F353">
        <v>589</v>
      </c>
      <c r="G353">
        <v>154</v>
      </c>
    </row>
    <row r="354" spans="1:7">
      <c r="A354" s="1">
        <v>44945</v>
      </c>
      <c r="B354" s="2">
        <f>YEAR(TRA[[#This Row],[date]])</f>
        <v>2023</v>
      </c>
      <c r="C354">
        <v>2150</v>
      </c>
      <c r="D354">
        <v>9507</v>
      </c>
      <c r="E354">
        <v>2700</v>
      </c>
      <c r="F354">
        <v>543</v>
      </c>
      <c r="G354">
        <v>153</v>
      </c>
    </row>
    <row r="355" spans="1:7">
      <c r="A355" s="1">
        <v>44946</v>
      </c>
      <c r="B355" s="2">
        <f>YEAR(TRA[[#This Row],[date]])</f>
        <v>2023</v>
      </c>
      <c r="C355">
        <v>1938</v>
      </c>
      <c r="D355">
        <v>8322</v>
      </c>
      <c r="E355">
        <v>2440</v>
      </c>
      <c r="F355">
        <v>421</v>
      </c>
      <c r="G355">
        <v>172</v>
      </c>
    </row>
    <row r="356" spans="1:7">
      <c r="A356" s="1">
        <v>44947</v>
      </c>
      <c r="B356" s="2">
        <f>YEAR(TRA[[#This Row],[date]])</f>
        <v>2023</v>
      </c>
      <c r="C356">
        <v>1431</v>
      </c>
      <c r="D356">
        <v>5560</v>
      </c>
      <c r="E356">
        <v>1741</v>
      </c>
      <c r="F356">
        <v>365</v>
      </c>
      <c r="G356">
        <v>130</v>
      </c>
    </row>
    <row r="357" spans="1:7">
      <c r="A357" s="1">
        <v>44948</v>
      </c>
      <c r="B357" s="2">
        <f>YEAR(TRA[[#This Row],[date]])</f>
        <v>2023</v>
      </c>
      <c r="C357">
        <v>2325</v>
      </c>
      <c r="D357">
        <v>8399</v>
      </c>
      <c r="E357">
        <v>2757</v>
      </c>
      <c r="F357">
        <v>398</v>
      </c>
      <c r="G357">
        <v>100</v>
      </c>
    </row>
    <row r="358" spans="1:7">
      <c r="A358" s="1">
        <v>44949</v>
      </c>
      <c r="B358" s="2">
        <f>YEAR(TRA[[#This Row],[date]])</f>
        <v>2023</v>
      </c>
      <c r="C358">
        <v>2627</v>
      </c>
      <c r="D358">
        <v>11517</v>
      </c>
      <c r="E358">
        <v>3303</v>
      </c>
      <c r="F358">
        <v>571</v>
      </c>
      <c r="G358">
        <v>162</v>
      </c>
    </row>
    <row r="359" spans="1:7">
      <c r="A359" s="1">
        <v>44950</v>
      </c>
      <c r="B359" s="2">
        <f>YEAR(TRA[[#This Row],[date]])</f>
        <v>2023</v>
      </c>
      <c r="C359">
        <v>2842</v>
      </c>
      <c r="D359">
        <v>12622</v>
      </c>
      <c r="E359">
        <v>3558</v>
      </c>
      <c r="F359">
        <v>621</v>
      </c>
      <c r="G359">
        <v>160</v>
      </c>
    </row>
    <row r="360" spans="1:7">
      <c r="A360" s="1">
        <v>44951</v>
      </c>
      <c r="B360" s="2">
        <f>YEAR(TRA[[#This Row],[date]])</f>
        <v>2023</v>
      </c>
      <c r="C360">
        <v>2919</v>
      </c>
      <c r="D360">
        <v>12116</v>
      </c>
      <c r="E360">
        <v>3674</v>
      </c>
      <c r="F360">
        <v>668</v>
      </c>
      <c r="G360">
        <v>146</v>
      </c>
    </row>
    <row r="361" spans="1:7">
      <c r="A361" s="1">
        <v>44952</v>
      </c>
      <c r="B361" s="2">
        <f>YEAR(TRA[[#This Row],[date]])</f>
        <v>2023</v>
      </c>
      <c r="C361">
        <v>2786</v>
      </c>
      <c r="D361">
        <v>11842</v>
      </c>
      <c r="E361">
        <v>3447</v>
      </c>
      <c r="F361">
        <v>537</v>
      </c>
      <c r="G361">
        <v>155</v>
      </c>
    </row>
    <row r="362" spans="1:7">
      <c r="A362" s="1">
        <v>44953</v>
      </c>
      <c r="B362" s="2">
        <f>YEAR(TRA[[#This Row],[date]])</f>
        <v>2023</v>
      </c>
      <c r="C362">
        <v>2382</v>
      </c>
      <c r="D362">
        <v>10047</v>
      </c>
      <c r="E362">
        <v>2996</v>
      </c>
      <c r="F362">
        <v>533</v>
      </c>
      <c r="G362">
        <v>148</v>
      </c>
    </row>
    <row r="363" spans="1:7">
      <c r="A363" s="1">
        <v>44954</v>
      </c>
      <c r="B363" s="2">
        <f>YEAR(TRA[[#This Row],[date]])</f>
        <v>2023</v>
      </c>
      <c r="C363">
        <v>1706</v>
      </c>
      <c r="D363">
        <v>6936</v>
      </c>
      <c r="E363">
        <v>2080</v>
      </c>
      <c r="F363">
        <v>310</v>
      </c>
      <c r="G363">
        <v>132</v>
      </c>
    </row>
    <row r="364" spans="1:7">
      <c r="A364" s="1">
        <v>44955</v>
      </c>
      <c r="B364" s="2">
        <f>YEAR(TRA[[#This Row],[date]])</f>
        <v>2023</v>
      </c>
      <c r="C364">
        <v>3212</v>
      </c>
      <c r="D364">
        <v>11975</v>
      </c>
      <c r="E364">
        <v>3830</v>
      </c>
      <c r="F364">
        <v>444</v>
      </c>
      <c r="G364">
        <v>98</v>
      </c>
    </row>
    <row r="365" spans="1:7">
      <c r="A365" s="1">
        <v>44956</v>
      </c>
      <c r="B365" s="2">
        <f>YEAR(TRA[[#This Row],[date]])</f>
        <v>2023</v>
      </c>
      <c r="C365">
        <v>3958</v>
      </c>
      <c r="D365">
        <v>16517</v>
      </c>
      <c r="E365">
        <v>4883</v>
      </c>
      <c r="F365">
        <v>763</v>
      </c>
      <c r="G365">
        <v>149</v>
      </c>
    </row>
    <row r="366" spans="1:7">
      <c r="A366" s="1">
        <v>44957</v>
      </c>
      <c r="B366" s="2">
        <f>YEAR(TRA[[#This Row],[date]])</f>
        <v>2023</v>
      </c>
      <c r="C366">
        <v>4051</v>
      </c>
      <c r="D366">
        <v>17993</v>
      </c>
      <c r="E366">
        <v>5114</v>
      </c>
      <c r="F366">
        <v>814</v>
      </c>
      <c r="G366">
        <v>152</v>
      </c>
    </row>
    <row r="367" spans="1:7">
      <c r="A367" s="1">
        <v>44958</v>
      </c>
      <c r="B367" s="2">
        <f>YEAR(TRA[[#This Row],[date]])</f>
        <v>2023</v>
      </c>
      <c r="C367">
        <v>4393</v>
      </c>
      <c r="D367">
        <v>18337</v>
      </c>
      <c r="E367">
        <v>5354</v>
      </c>
      <c r="F367">
        <v>798</v>
      </c>
      <c r="G367">
        <v>137</v>
      </c>
    </row>
    <row r="368" spans="1:7">
      <c r="A368" s="1">
        <v>44959</v>
      </c>
      <c r="B368" s="2">
        <f>YEAR(TRA[[#This Row],[date]])</f>
        <v>2023</v>
      </c>
      <c r="C368">
        <v>4851</v>
      </c>
      <c r="D368">
        <v>19186</v>
      </c>
      <c r="E368">
        <v>5815</v>
      </c>
      <c r="F368">
        <v>741</v>
      </c>
      <c r="G368">
        <v>126</v>
      </c>
    </row>
    <row r="369" spans="1:7">
      <c r="A369" s="1">
        <v>44960</v>
      </c>
      <c r="B369" s="2">
        <f>YEAR(TRA[[#This Row],[date]])</f>
        <v>2023</v>
      </c>
      <c r="C369">
        <v>6366</v>
      </c>
      <c r="D369">
        <v>23321</v>
      </c>
      <c r="E369">
        <v>7448</v>
      </c>
      <c r="F369">
        <v>902</v>
      </c>
      <c r="G369">
        <v>96</v>
      </c>
    </row>
    <row r="370" spans="1:7">
      <c r="A370" s="1">
        <v>44961</v>
      </c>
      <c r="B370" s="2">
        <f>YEAR(TRA[[#This Row],[date]])</f>
        <v>2023</v>
      </c>
      <c r="C370">
        <v>7618</v>
      </c>
      <c r="D370">
        <v>27906</v>
      </c>
      <c r="E370">
        <v>8796</v>
      </c>
      <c r="F370">
        <v>1118</v>
      </c>
      <c r="G370">
        <v>79</v>
      </c>
    </row>
    <row r="371" spans="1:7">
      <c r="A371" s="1">
        <v>44962</v>
      </c>
      <c r="B371" s="2">
        <f>YEAR(TRA[[#This Row],[date]])</f>
        <v>2023</v>
      </c>
      <c r="C371">
        <v>65106</v>
      </c>
      <c r="D371">
        <v>180432</v>
      </c>
      <c r="E371">
        <v>69413</v>
      </c>
      <c r="F371">
        <v>15202</v>
      </c>
      <c r="G371">
        <v>56</v>
      </c>
    </row>
    <row r="372" spans="1:7">
      <c r="A372" s="1">
        <v>44963</v>
      </c>
      <c r="B372" s="2">
        <f>YEAR(TRA[[#This Row],[date]])</f>
        <v>2023</v>
      </c>
      <c r="C372">
        <v>21736</v>
      </c>
      <c r="D372">
        <v>66012</v>
      </c>
      <c r="E372">
        <v>24058</v>
      </c>
      <c r="F372">
        <v>3953</v>
      </c>
      <c r="G372">
        <v>72</v>
      </c>
    </row>
    <row r="373" spans="1:7">
      <c r="A373" s="1">
        <v>44964</v>
      </c>
      <c r="B373" s="2">
        <f>YEAR(TRA[[#This Row],[date]])</f>
        <v>2023</v>
      </c>
      <c r="C373">
        <v>9349</v>
      </c>
      <c r="D373">
        <v>30780</v>
      </c>
      <c r="E373">
        <v>10672</v>
      </c>
      <c r="F373">
        <v>2000</v>
      </c>
      <c r="G373">
        <v>99</v>
      </c>
    </row>
    <row r="374" spans="1:7">
      <c r="A374" s="1">
        <v>44965</v>
      </c>
      <c r="B374" s="2">
        <f>YEAR(TRA[[#This Row],[date]])</f>
        <v>2023</v>
      </c>
      <c r="C374">
        <v>5839</v>
      </c>
      <c r="D374">
        <v>21176</v>
      </c>
      <c r="E374">
        <v>6944</v>
      </c>
      <c r="F374">
        <v>1318</v>
      </c>
      <c r="G374">
        <v>114</v>
      </c>
    </row>
    <row r="375" spans="1:7">
      <c r="A375" s="1">
        <v>44966</v>
      </c>
      <c r="B375" s="2">
        <f>YEAR(TRA[[#This Row],[date]])</f>
        <v>2023</v>
      </c>
      <c r="C375">
        <v>4395</v>
      </c>
      <c r="D375">
        <v>16272</v>
      </c>
      <c r="E375">
        <v>5240</v>
      </c>
      <c r="F375">
        <v>1106</v>
      </c>
      <c r="G375">
        <v>126</v>
      </c>
    </row>
    <row r="376" spans="1:7">
      <c r="A376" s="1">
        <v>44967</v>
      </c>
      <c r="B376" s="2">
        <f>YEAR(TRA[[#This Row],[date]])</f>
        <v>2023</v>
      </c>
      <c r="C376">
        <v>3178</v>
      </c>
      <c r="D376">
        <v>11740</v>
      </c>
      <c r="E376">
        <v>3831</v>
      </c>
      <c r="F376">
        <v>844</v>
      </c>
      <c r="G376">
        <v>142</v>
      </c>
    </row>
    <row r="377" spans="1:7">
      <c r="A377" s="1">
        <v>44968</v>
      </c>
      <c r="B377" s="2">
        <f>YEAR(TRA[[#This Row],[date]])</f>
        <v>2023</v>
      </c>
      <c r="C377">
        <v>2485</v>
      </c>
      <c r="D377">
        <v>8561</v>
      </c>
      <c r="E377">
        <v>2879</v>
      </c>
      <c r="F377">
        <v>683</v>
      </c>
      <c r="G377">
        <v>148</v>
      </c>
    </row>
    <row r="378" spans="1:7">
      <c r="A378" s="1">
        <v>44969</v>
      </c>
      <c r="B378" s="2">
        <f>YEAR(TRA[[#This Row],[date]])</f>
        <v>2023</v>
      </c>
      <c r="C378">
        <v>2243</v>
      </c>
      <c r="D378">
        <v>7739</v>
      </c>
      <c r="E378">
        <v>2591</v>
      </c>
      <c r="F378">
        <v>554</v>
      </c>
      <c r="G378">
        <v>139</v>
      </c>
    </row>
    <row r="379" spans="1:7">
      <c r="A379" s="1">
        <v>44970</v>
      </c>
      <c r="B379" s="2">
        <f>YEAR(TRA[[#This Row],[date]])</f>
        <v>2023</v>
      </c>
      <c r="C379">
        <v>2815</v>
      </c>
      <c r="D379">
        <v>11892</v>
      </c>
      <c r="E379">
        <v>3553</v>
      </c>
      <c r="F379">
        <v>891</v>
      </c>
      <c r="G379">
        <v>187</v>
      </c>
    </row>
    <row r="380" spans="1:7">
      <c r="A380" s="1">
        <v>44971</v>
      </c>
      <c r="B380" s="2">
        <f>YEAR(TRA[[#This Row],[date]])</f>
        <v>2023</v>
      </c>
      <c r="C380">
        <v>2617</v>
      </c>
      <c r="D380">
        <v>12639</v>
      </c>
      <c r="E380">
        <v>3377</v>
      </c>
      <c r="F380">
        <v>872</v>
      </c>
      <c r="G380">
        <v>198</v>
      </c>
    </row>
    <row r="381" spans="1:7">
      <c r="A381" s="1">
        <v>44972</v>
      </c>
      <c r="B381" s="2">
        <f>YEAR(TRA[[#This Row],[date]])</f>
        <v>2023</v>
      </c>
      <c r="C381">
        <v>2835</v>
      </c>
      <c r="D381">
        <v>12653</v>
      </c>
      <c r="E381">
        <v>3742</v>
      </c>
      <c r="F381">
        <v>988</v>
      </c>
      <c r="G381">
        <v>182</v>
      </c>
    </row>
    <row r="382" spans="1:7">
      <c r="A382" s="1">
        <v>44973</v>
      </c>
      <c r="B382" s="2">
        <f>YEAR(TRA[[#This Row],[date]])</f>
        <v>2023</v>
      </c>
      <c r="C382">
        <v>2910</v>
      </c>
      <c r="D382">
        <v>12080</v>
      </c>
      <c r="E382">
        <v>3656</v>
      </c>
      <c r="F382">
        <v>1082</v>
      </c>
      <c r="G382">
        <v>191</v>
      </c>
    </row>
    <row r="383" spans="1:7">
      <c r="A383" s="1">
        <v>44974</v>
      </c>
      <c r="B383" s="2">
        <f>YEAR(TRA[[#This Row],[date]])</f>
        <v>2023</v>
      </c>
      <c r="C383">
        <v>2142</v>
      </c>
      <c r="D383">
        <v>8522</v>
      </c>
      <c r="E383">
        <v>2631</v>
      </c>
      <c r="F383">
        <v>758</v>
      </c>
      <c r="G383">
        <v>179</v>
      </c>
    </row>
    <row r="384" spans="1:7">
      <c r="A384" s="1">
        <v>44975</v>
      </c>
      <c r="B384" s="2">
        <f>YEAR(TRA[[#This Row],[date]])</f>
        <v>2023</v>
      </c>
      <c r="C384">
        <v>1359</v>
      </c>
      <c r="D384">
        <v>5421</v>
      </c>
      <c r="E384">
        <v>1655</v>
      </c>
      <c r="F384">
        <v>430</v>
      </c>
      <c r="G384">
        <v>192</v>
      </c>
    </row>
    <row r="385" spans="1:7">
      <c r="A385" s="1">
        <v>44976</v>
      </c>
      <c r="B385" s="2">
        <f>YEAR(TRA[[#This Row],[date]])</f>
        <v>2023</v>
      </c>
      <c r="C385">
        <v>1705</v>
      </c>
      <c r="D385">
        <v>6358</v>
      </c>
      <c r="E385">
        <v>2029</v>
      </c>
      <c r="F385">
        <v>623</v>
      </c>
      <c r="G385">
        <v>170</v>
      </c>
    </row>
    <row r="386" spans="1:7">
      <c r="A386" s="1">
        <v>44977</v>
      </c>
      <c r="B386" s="2">
        <f>YEAR(TRA[[#This Row],[date]])</f>
        <v>2023</v>
      </c>
      <c r="C386">
        <v>1876</v>
      </c>
      <c r="D386">
        <v>7863</v>
      </c>
      <c r="E386">
        <v>2390</v>
      </c>
      <c r="F386">
        <v>659</v>
      </c>
      <c r="G386">
        <v>170</v>
      </c>
    </row>
    <row r="387" spans="1:7">
      <c r="A387" s="1">
        <v>44978</v>
      </c>
      <c r="B387" s="2">
        <f>YEAR(TRA[[#This Row],[date]])</f>
        <v>2023</v>
      </c>
      <c r="C387">
        <v>2378</v>
      </c>
      <c r="D387">
        <v>10328</v>
      </c>
      <c r="E387">
        <v>3124</v>
      </c>
      <c r="F387">
        <v>929</v>
      </c>
      <c r="G387">
        <v>174</v>
      </c>
    </row>
    <row r="388" spans="1:7">
      <c r="A388" s="1">
        <v>44979</v>
      </c>
      <c r="B388" s="2">
        <f>YEAR(TRA[[#This Row],[date]])</f>
        <v>2023</v>
      </c>
      <c r="C388">
        <v>2715</v>
      </c>
      <c r="D388">
        <v>11646</v>
      </c>
      <c r="E388">
        <v>3483</v>
      </c>
      <c r="F388">
        <v>1070</v>
      </c>
      <c r="G388">
        <v>182</v>
      </c>
    </row>
    <row r="389" spans="1:7">
      <c r="A389" s="1">
        <v>44980</v>
      </c>
      <c r="B389" s="2">
        <f>YEAR(TRA[[#This Row],[date]])</f>
        <v>2023</v>
      </c>
      <c r="C389">
        <v>2387</v>
      </c>
      <c r="D389">
        <v>11081</v>
      </c>
      <c r="E389">
        <v>3118</v>
      </c>
      <c r="F389">
        <v>858</v>
      </c>
      <c r="G389">
        <v>203</v>
      </c>
    </row>
    <row r="390" spans="1:7">
      <c r="A390" s="1">
        <v>44981</v>
      </c>
      <c r="B390" s="2">
        <f>YEAR(TRA[[#This Row],[date]])</f>
        <v>2023</v>
      </c>
      <c r="C390">
        <v>2049</v>
      </c>
      <c r="D390">
        <v>9244</v>
      </c>
      <c r="E390">
        <v>2659</v>
      </c>
      <c r="F390">
        <v>723</v>
      </c>
      <c r="G390">
        <v>190</v>
      </c>
    </row>
    <row r="391" spans="1:7">
      <c r="A391" s="1">
        <v>44982</v>
      </c>
      <c r="B391" s="2">
        <f>YEAR(TRA[[#This Row],[date]])</f>
        <v>2023</v>
      </c>
      <c r="C391">
        <v>1355</v>
      </c>
      <c r="D391">
        <v>5747</v>
      </c>
      <c r="E391">
        <v>1718</v>
      </c>
      <c r="F391">
        <v>446</v>
      </c>
      <c r="G391">
        <v>179</v>
      </c>
    </row>
    <row r="392" spans="1:7">
      <c r="A392" s="1">
        <v>44983</v>
      </c>
      <c r="B392" s="2">
        <f>YEAR(TRA[[#This Row],[date]])</f>
        <v>2023</v>
      </c>
      <c r="C392">
        <v>1537</v>
      </c>
      <c r="D392">
        <v>7705</v>
      </c>
      <c r="E392">
        <v>1964</v>
      </c>
      <c r="F392">
        <v>526</v>
      </c>
      <c r="G392">
        <v>212</v>
      </c>
    </row>
    <row r="393" spans="1:7">
      <c r="A393" s="1">
        <v>44984</v>
      </c>
      <c r="B393" s="2">
        <f>YEAR(TRA[[#This Row],[date]])</f>
        <v>2023</v>
      </c>
      <c r="C393">
        <v>2940</v>
      </c>
      <c r="D393">
        <v>17107</v>
      </c>
      <c r="E393">
        <v>4185</v>
      </c>
      <c r="F393">
        <v>1176</v>
      </c>
      <c r="G393">
        <v>287</v>
      </c>
    </row>
    <row r="394" spans="1:7">
      <c r="A394" s="1">
        <v>44985</v>
      </c>
      <c r="B394" s="2">
        <f>YEAR(TRA[[#This Row],[date]])</f>
        <v>2023</v>
      </c>
      <c r="C394">
        <v>3627</v>
      </c>
      <c r="D394">
        <v>22170</v>
      </c>
      <c r="E394">
        <v>5350</v>
      </c>
      <c r="F394">
        <v>1548</v>
      </c>
      <c r="G394">
        <v>294</v>
      </c>
    </row>
    <row r="395" spans="1:7">
      <c r="A395" s="1">
        <v>44986</v>
      </c>
      <c r="B395" s="2">
        <f>YEAR(TRA[[#This Row],[date]])</f>
        <v>2023</v>
      </c>
      <c r="C395">
        <v>3171</v>
      </c>
      <c r="D395">
        <v>18295</v>
      </c>
      <c r="E395">
        <v>4468</v>
      </c>
      <c r="F395">
        <v>1284</v>
      </c>
      <c r="G395">
        <v>261</v>
      </c>
    </row>
    <row r="396" spans="1:7">
      <c r="A396" s="1">
        <v>44987</v>
      </c>
      <c r="B396" s="2">
        <f>YEAR(TRA[[#This Row],[date]])</f>
        <v>2023</v>
      </c>
      <c r="C396">
        <v>2612</v>
      </c>
      <c r="D396">
        <v>10955</v>
      </c>
      <c r="E396">
        <v>3245</v>
      </c>
      <c r="F396">
        <v>761</v>
      </c>
      <c r="G396">
        <v>161</v>
      </c>
    </row>
    <row r="397" spans="1:7">
      <c r="A397" s="1">
        <v>44988</v>
      </c>
      <c r="B397" s="2">
        <f>YEAR(TRA[[#This Row],[date]])</f>
        <v>2023</v>
      </c>
      <c r="C397">
        <v>2364</v>
      </c>
      <c r="D397">
        <v>9465</v>
      </c>
      <c r="E397">
        <v>2898</v>
      </c>
      <c r="F397">
        <v>699</v>
      </c>
      <c r="G397">
        <v>157</v>
      </c>
    </row>
    <row r="398" spans="1:7">
      <c r="A398" s="1">
        <v>44989</v>
      </c>
      <c r="B398" s="2">
        <f>YEAR(TRA[[#This Row],[date]])</f>
        <v>2023</v>
      </c>
      <c r="C398">
        <v>1644</v>
      </c>
      <c r="D398">
        <v>6164</v>
      </c>
      <c r="E398">
        <v>1942</v>
      </c>
      <c r="F398">
        <v>491</v>
      </c>
      <c r="G398">
        <v>148</v>
      </c>
    </row>
    <row r="399" spans="1:7">
      <c r="A399" s="1">
        <v>44990</v>
      </c>
      <c r="B399" s="2">
        <f>YEAR(TRA[[#This Row],[date]])</f>
        <v>2023</v>
      </c>
      <c r="C399">
        <v>1160</v>
      </c>
      <c r="D399">
        <v>4484</v>
      </c>
      <c r="E399">
        <v>1390</v>
      </c>
      <c r="F399">
        <v>345</v>
      </c>
      <c r="G399">
        <v>132</v>
      </c>
    </row>
    <row r="400" spans="1:7">
      <c r="A400" s="1">
        <v>44991</v>
      </c>
      <c r="B400" s="2">
        <f>YEAR(TRA[[#This Row],[date]])</f>
        <v>2023</v>
      </c>
      <c r="C400">
        <v>1835</v>
      </c>
      <c r="D400">
        <v>8505</v>
      </c>
      <c r="E400">
        <v>2386</v>
      </c>
      <c r="F400">
        <v>525</v>
      </c>
      <c r="G400">
        <v>188</v>
      </c>
    </row>
    <row r="401" spans="1:7">
      <c r="A401" s="1">
        <v>44992</v>
      </c>
      <c r="B401" s="2">
        <f>YEAR(TRA[[#This Row],[date]])</f>
        <v>2023</v>
      </c>
      <c r="C401">
        <v>2104</v>
      </c>
      <c r="D401">
        <v>9600</v>
      </c>
      <c r="E401">
        <v>2649</v>
      </c>
      <c r="F401">
        <v>532</v>
      </c>
      <c r="G401">
        <v>192</v>
      </c>
    </row>
    <row r="402" spans="1:7">
      <c r="A402" s="1">
        <v>44993</v>
      </c>
      <c r="B402" s="2">
        <f>YEAR(TRA[[#This Row],[date]])</f>
        <v>2023</v>
      </c>
      <c r="C402">
        <v>2020</v>
      </c>
      <c r="D402">
        <v>8962</v>
      </c>
      <c r="E402">
        <v>2642</v>
      </c>
      <c r="F402">
        <v>496</v>
      </c>
      <c r="G402">
        <v>167</v>
      </c>
    </row>
    <row r="403" spans="1:7">
      <c r="A403" s="1">
        <v>44994</v>
      </c>
      <c r="B403" s="2">
        <f>YEAR(TRA[[#This Row],[date]])</f>
        <v>2023</v>
      </c>
      <c r="C403">
        <v>1859</v>
      </c>
      <c r="D403">
        <v>8820</v>
      </c>
      <c r="E403">
        <v>2432</v>
      </c>
      <c r="F403">
        <v>513</v>
      </c>
      <c r="G403">
        <v>205</v>
      </c>
    </row>
    <row r="404" spans="1:7">
      <c r="A404" s="1">
        <v>44995</v>
      </c>
      <c r="B404" s="2">
        <f>YEAR(TRA[[#This Row],[date]])</f>
        <v>2023</v>
      </c>
      <c r="C404">
        <v>1807</v>
      </c>
      <c r="D404">
        <v>8612</v>
      </c>
      <c r="E404">
        <v>2319</v>
      </c>
      <c r="F404">
        <v>517</v>
      </c>
      <c r="G404">
        <v>198</v>
      </c>
    </row>
    <row r="405" spans="1:7">
      <c r="A405" s="1">
        <v>44996</v>
      </c>
      <c r="B405" s="2">
        <f>YEAR(TRA[[#This Row],[date]])</f>
        <v>2023</v>
      </c>
      <c r="C405">
        <v>1063</v>
      </c>
      <c r="D405">
        <v>4907</v>
      </c>
      <c r="E405">
        <v>1335</v>
      </c>
      <c r="F405">
        <v>321</v>
      </c>
      <c r="G405">
        <v>162</v>
      </c>
    </row>
    <row r="406" spans="1:7">
      <c r="A406" s="1">
        <v>44997</v>
      </c>
      <c r="B406" s="2">
        <f>YEAR(TRA[[#This Row],[date]])</f>
        <v>2023</v>
      </c>
      <c r="C406">
        <v>1509</v>
      </c>
      <c r="D406">
        <v>7113</v>
      </c>
      <c r="E406">
        <v>1824</v>
      </c>
      <c r="F406">
        <v>382</v>
      </c>
      <c r="G406">
        <v>171</v>
      </c>
    </row>
    <row r="407" spans="1:7">
      <c r="A407" s="1">
        <v>44998</v>
      </c>
      <c r="B407" s="2">
        <f>YEAR(TRA[[#This Row],[date]])</f>
        <v>2023</v>
      </c>
      <c r="C407">
        <v>2238</v>
      </c>
      <c r="D407">
        <v>11259</v>
      </c>
      <c r="E407">
        <v>2916</v>
      </c>
      <c r="F407">
        <v>674</v>
      </c>
      <c r="G407">
        <v>235</v>
      </c>
    </row>
    <row r="408" spans="1:7">
      <c r="A408" s="1">
        <v>44999</v>
      </c>
      <c r="B408" s="2">
        <f>YEAR(TRA[[#This Row],[date]])</f>
        <v>2023</v>
      </c>
      <c r="C408">
        <v>1694</v>
      </c>
      <c r="D408">
        <v>7278</v>
      </c>
      <c r="E408">
        <v>2158</v>
      </c>
      <c r="F408">
        <v>472</v>
      </c>
      <c r="G408">
        <v>158</v>
      </c>
    </row>
    <row r="409" spans="1:7">
      <c r="A409" s="1">
        <v>45000</v>
      </c>
      <c r="B409" s="2">
        <f>YEAR(TRA[[#This Row],[date]])</f>
        <v>2023</v>
      </c>
      <c r="C409">
        <v>1780</v>
      </c>
      <c r="D409">
        <v>7599</v>
      </c>
      <c r="E409">
        <v>2258</v>
      </c>
      <c r="F409">
        <v>504</v>
      </c>
      <c r="G409">
        <v>189</v>
      </c>
    </row>
    <row r="410" spans="1:7">
      <c r="A410" s="1">
        <v>45001</v>
      </c>
      <c r="B410" s="2">
        <f>YEAR(TRA[[#This Row],[date]])</f>
        <v>2023</v>
      </c>
      <c r="C410">
        <v>1599</v>
      </c>
      <c r="D410">
        <v>6712</v>
      </c>
      <c r="E410">
        <v>1981</v>
      </c>
      <c r="F410">
        <v>388</v>
      </c>
      <c r="G410">
        <v>164</v>
      </c>
    </row>
    <row r="411" spans="1:7">
      <c r="A411" s="1">
        <v>45002</v>
      </c>
      <c r="B411" s="2">
        <f>YEAR(TRA[[#This Row],[date]])</f>
        <v>2023</v>
      </c>
      <c r="C411">
        <v>1279</v>
      </c>
      <c r="D411">
        <v>5255</v>
      </c>
      <c r="E411">
        <v>1603</v>
      </c>
      <c r="F411">
        <v>332</v>
      </c>
      <c r="G411">
        <v>145</v>
      </c>
    </row>
    <row r="412" spans="1:7">
      <c r="A412" s="1">
        <v>45003</v>
      </c>
      <c r="B412" s="2">
        <f>YEAR(TRA[[#This Row],[date]])</f>
        <v>2023</v>
      </c>
      <c r="C412">
        <v>812</v>
      </c>
      <c r="D412">
        <v>3279</v>
      </c>
      <c r="E412">
        <v>982</v>
      </c>
      <c r="F412">
        <v>222</v>
      </c>
      <c r="G412">
        <v>152</v>
      </c>
    </row>
    <row r="413" spans="1:7">
      <c r="A413" s="1">
        <v>45004</v>
      </c>
      <c r="B413" s="2">
        <f>YEAR(TRA[[#This Row],[date]])</f>
        <v>2023</v>
      </c>
      <c r="C413">
        <v>833</v>
      </c>
      <c r="D413">
        <v>3263</v>
      </c>
      <c r="E413">
        <v>1022</v>
      </c>
      <c r="F413">
        <v>212</v>
      </c>
      <c r="G413">
        <v>152</v>
      </c>
    </row>
    <row r="414" spans="1:7">
      <c r="A414" s="1">
        <v>45005</v>
      </c>
      <c r="B414" s="2">
        <f>YEAR(TRA[[#This Row],[date]])</f>
        <v>2023</v>
      </c>
      <c r="C414">
        <v>1490</v>
      </c>
      <c r="D414">
        <v>6745</v>
      </c>
      <c r="E414">
        <v>1901</v>
      </c>
      <c r="F414">
        <v>358</v>
      </c>
      <c r="G414">
        <v>177</v>
      </c>
    </row>
    <row r="415" spans="1:7">
      <c r="A415" s="1">
        <v>45006</v>
      </c>
      <c r="B415" s="2">
        <f>YEAR(TRA[[#This Row],[date]])</f>
        <v>2023</v>
      </c>
      <c r="C415">
        <v>1470</v>
      </c>
      <c r="D415">
        <v>6400</v>
      </c>
      <c r="E415">
        <v>1841</v>
      </c>
      <c r="F415">
        <v>382</v>
      </c>
      <c r="G415">
        <v>171</v>
      </c>
    </row>
    <row r="416" spans="1:7">
      <c r="A416" s="1">
        <v>45007</v>
      </c>
      <c r="B416" s="2">
        <f>YEAR(TRA[[#This Row],[date]])</f>
        <v>2023</v>
      </c>
      <c r="C416">
        <v>1529</v>
      </c>
      <c r="D416">
        <v>6197</v>
      </c>
      <c r="E416">
        <v>1895</v>
      </c>
      <c r="F416">
        <v>390</v>
      </c>
      <c r="G416">
        <v>150</v>
      </c>
    </row>
    <row r="417" spans="1:7">
      <c r="A417" s="1">
        <v>45008</v>
      </c>
      <c r="B417" s="2">
        <f>YEAR(TRA[[#This Row],[date]])</f>
        <v>2023</v>
      </c>
      <c r="C417">
        <v>1922</v>
      </c>
      <c r="D417">
        <v>9078</v>
      </c>
      <c r="E417">
        <v>2559</v>
      </c>
      <c r="F417">
        <v>625</v>
      </c>
      <c r="G417">
        <v>197</v>
      </c>
    </row>
    <row r="418" spans="1:7">
      <c r="A418" s="1">
        <v>45009</v>
      </c>
      <c r="B418" s="2">
        <f>YEAR(TRA[[#This Row],[date]])</f>
        <v>2023</v>
      </c>
      <c r="C418">
        <v>1983</v>
      </c>
      <c r="D418">
        <v>9327</v>
      </c>
      <c r="E418">
        <v>2487</v>
      </c>
      <c r="F418">
        <v>523</v>
      </c>
      <c r="G418">
        <v>196</v>
      </c>
    </row>
    <row r="419" spans="1:7">
      <c r="A419" s="1">
        <v>45010</v>
      </c>
      <c r="B419" s="2">
        <f>YEAR(TRA[[#This Row],[date]])</f>
        <v>2023</v>
      </c>
      <c r="C419">
        <v>1085</v>
      </c>
      <c r="D419">
        <v>4221</v>
      </c>
      <c r="E419">
        <v>1317</v>
      </c>
      <c r="F419">
        <v>314</v>
      </c>
      <c r="G419">
        <v>141</v>
      </c>
    </row>
    <row r="420" spans="1:7">
      <c r="A420" s="1">
        <v>45011</v>
      </c>
      <c r="B420" s="2">
        <f>YEAR(TRA[[#This Row],[date]])</f>
        <v>2023</v>
      </c>
      <c r="C420">
        <v>957</v>
      </c>
      <c r="D420">
        <v>3684</v>
      </c>
      <c r="E420">
        <v>1152</v>
      </c>
      <c r="F420">
        <v>225</v>
      </c>
      <c r="G420">
        <v>129</v>
      </c>
    </row>
    <row r="421" spans="1:7">
      <c r="A421" s="1">
        <v>45012</v>
      </c>
      <c r="B421" s="2">
        <f>YEAR(TRA[[#This Row],[date]])</f>
        <v>2023</v>
      </c>
      <c r="C421">
        <v>1897</v>
      </c>
      <c r="D421">
        <v>8613</v>
      </c>
      <c r="E421">
        <v>2388</v>
      </c>
      <c r="F421">
        <v>508</v>
      </c>
      <c r="G421">
        <v>174</v>
      </c>
    </row>
    <row r="422" spans="1:7">
      <c r="A422" s="1">
        <v>45013</v>
      </c>
      <c r="B422" s="2">
        <f>YEAR(TRA[[#This Row],[date]])</f>
        <v>2023</v>
      </c>
      <c r="C422">
        <v>1859</v>
      </c>
      <c r="D422">
        <v>8552</v>
      </c>
      <c r="E422">
        <v>2370</v>
      </c>
      <c r="F422">
        <v>511</v>
      </c>
      <c r="G422">
        <v>180</v>
      </c>
    </row>
    <row r="423" spans="1:7">
      <c r="A423" s="1">
        <v>45014</v>
      </c>
      <c r="B423" s="2">
        <f>YEAR(TRA[[#This Row],[date]])</f>
        <v>2023</v>
      </c>
      <c r="C423">
        <v>1747</v>
      </c>
      <c r="D423">
        <v>7756</v>
      </c>
      <c r="E423">
        <v>2249</v>
      </c>
      <c r="F423">
        <v>543</v>
      </c>
      <c r="G423">
        <v>178</v>
      </c>
    </row>
    <row r="424" spans="1:7">
      <c r="A424" s="1">
        <v>45015</v>
      </c>
      <c r="B424" s="2">
        <f>YEAR(TRA[[#This Row],[date]])</f>
        <v>2023</v>
      </c>
      <c r="C424">
        <v>1912</v>
      </c>
      <c r="D424">
        <v>9086</v>
      </c>
      <c r="E424">
        <v>2426</v>
      </c>
      <c r="F424">
        <v>493</v>
      </c>
      <c r="G424">
        <v>157</v>
      </c>
    </row>
    <row r="425" spans="1:7">
      <c r="A425" s="1">
        <v>45016</v>
      </c>
      <c r="B425" s="2">
        <f>YEAR(TRA[[#This Row],[date]])</f>
        <v>2023</v>
      </c>
      <c r="C425">
        <v>1644</v>
      </c>
      <c r="D425">
        <v>7025</v>
      </c>
      <c r="E425">
        <v>2066</v>
      </c>
      <c r="F425">
        <v>529</v>
      </c>
      <c r="G425">
        <v>177</v>
      </c>
    </row>
    <row r="426" spans="1:7">
      <c r="A426" s="1">
        <v>45017</v>
      </c>
      <c r="B426" s="2">
        <f>YEAR(TRA[[#This Row],[date]])</f>
        <v>2023</v>
      </c>
      <c r="C426">
        <v>964</v>
      </c>
      <c r="D426">
        <v>3554</v>
      </c>
      <c r="E426">
        <v>1164</v>
      </c>
      <c r="F426">
        <v>303</v>
      </c>
      <c r="G426">
        <v>148</v>
      </c>
    </row>
    <row r="427" spans="1:7">
      <c r="A427" s="1">
        <v>45018</v>
      </c>
      <c r="B427" s="2">
        <f>YEAR(TRA[[#This Row],[date]])</f>
        <v>2023</v>
      </c>
      <c r="C427">
        <v>878</v>
      </c>
      <c r="D427">
        <v>3389</v>
      </c>
      <c r="E427">
        <v>1069</v>
      </c>
      <c r="F427">
        <v>231</v>
      </c>
      <c r="G427">
        <v>117</v>
      </c>
    </row>
    <row r="428" spans="1:7">
      <c r="A428" s="1">
        <v>45019</v>
      </c>
      <c r="B428" s="2">
        <f>YEAR(TRA[[#This Row],[date]])</f>
        <v>2023</v>
      </c>
      <c r="C428">
        <v>1822</v>
      </c>
      <c r="D428">
        <v>8136</v>
      </c>
      <c r="E428">
        <v>2319</v>
      </c>
      <c r="F428">
        <v>427</v>
      </c>
      <c r="G428">
        <v>185</v>
      </c>
    </row>
    <row r="429" spans="1:7">
      <c r="A429" s="1">
        <v>45020</v>
      </c>
      <c r="B429" s="2">
        <f>YEAR(TRA[[#This Row],[date]])</f>
        <v>2023</v>
      </c>
      <c r="C429">
        <v>2065</v>
      </c>
      <c r="D429">
        <v>9065</v>
      </c>
      <c r="E429">
        <v>2716</v>
      </c>
      <c r="F429">
        <v>524</v>
      </c>
      <c r="G429">
        <v>148</v>
      </c>
    </row>
    <row r="430" spans="1:7">
      <c r="A430" s="1">
        <v>45021</v>
      </c>
      <c r="B430" s="2">
        <f>YEAR(TRA[[#This Row],[date]])</f>
        <v>2023</v>
      </c>
      <c r="C430">
        <v>2083</v>
      </c>
      <c r="D430">
        <v>9051</v>
      </c>
      <c r="E430">
        <v>2728</v>
      </c>
      <c r="F430">
        <v>594</v>
      </c>
      <c r="G430">
        <v>168</v>
      </c>
    </row>
    <row r="431" spans="1:7">
      <c r="A431" s="1">
        <v>45022</v>
      </c>
      <c r="B431" s="2">
        <f>YEAR(TRA[[#This Row],[date]])</f>
        <v>2023</v>
      </c>
      <c r="C431">
        <v>1797</v>
      </c>
      <c r="D431">
        <v>6842</v>
      </c>
      <c r="E431">
        <v>2369</v>
      </c>
      <c r="F431">
        <v>1036</v>
      </c>
      <c r="G431">
        <v>178</v>
      </c>
    </row>
    <row r="432" spans="1:7">
      <c r="A432" s="1">
        <v>45023</v>
      </c>
      <c r="B432" s="2">
        <f>YEAR(TRA[[#This Row],[date]])</f>
        <v>2023</v>
      </c>
      <c r="C432">
        <v>1446</v>
      </c>
      <c r="D432">
        <v>4691</v>
      </c>
      <c r="E432">
        <v>1853</v>
      </c>
      <c r="F432">
        <v>984</v>
      </c>
      <c r="G432">
        <v>154</v>
      </c>
    </row>
    <row r="433" spans="1:7">
      <c r="A433" s="1">
        <v>45024</v>
      </c>
      <c r="B433" s="2">
        <f>YEAR(TRA[[#This Row],[date]])</f>
        <v>2023</v>
      </c>
      <c r="C433">
        <v>985</v>
      </c>
      <c r="D433">
        <v>3053</v>
      </c>
      <c r="E433">
        <v>1277</v>
      </c>
      <c r="F433">
        <v>736</v>
      </c>
      <c r="G433">
        <v>141</v>
      </c>
    </row>
    <row r="434" spans="1:7">
      <c r="A434" s="1">
        <v>45025</v>
      </c>
      <c r="B434" s="2">
        <f>YEAR(TRA[[#This Row],[date]])</f>
        <v>2023</v>
      </c>
      <c r="C434">
        <v>2132</v>
      </c>
      <c r="D434">
        <v>5241</v>
      </c>
      <c r="E434">
        <v>2503</v>
      </c>
      <c r="F434">
        <v>1689</v>
      </c>
      <c r="G434">
        <v>108</v>
      </c>
    </row>
    <row r="435" spans="1:7">
      <c r="A435" s="1">
        <v>45026</v>
      </c>
      <c r="B435" s="2">
        <f>YEAR(TRA[[#This Row],[date]])</f>
        <v>2023</v>
      </c>
      <c r="C435">
        <v>2503</v>
      </c>
      <c r="D435">
        <v>9025</v>
      </c>
      <c r="E435">
        <v>3388</v>
      </c>
      <c r="F435">
        <v>1830</v>
      </c>
      <c r="G435">
        <v>174</v>
      </c>
    </row>
    <row r="436" spans="1:7">
      <c r="A436" s="1">
        <v>45027</v>
      </c>
      <c r="B436" s="2">
        <f>YEAR(TRA[[#This Row],[date]])</f>
        <v>2023</v>
      </c>
      <c r="C436">
        <v>1879</v>
      </c>
      <c r="D436">
        <v>6037</v>
      </c>
      <c r="E436">
        <v>2341</v>
      </c>
      <c r="F436">
        <v>1330</v>
      </c>
      <c r="G436">
        <v>141</v>
      </c>
    </row>
    <row r="437" spans="1:7">
      <c r="A437" s="1">
        <v>45028</v>
      </c>
      <c r="B437" s="2">
        <f>YEAR(TRA[[#This Row],[date]])</f>
        <v>2023</v>
      </c>
      <c r="C437">
        <v>1882</v>
      </c>
      <c r="D437">
        <v>6866</v>
      </c>
      <c r="E437">
        <v>2419</v>
      </c>
      <c r="F437">
        <v>1305</v>
      </c>
      <c r="G437">
        <v>171</v>
      </c>
    </row>
    <row r="438" spans="1:7">
      <c r="A438" s="1">
        <v>45029</v>
      </c>
      <c r="B438" s="2">
        <f>YEAR(TRA[[#This Row],[date]])</f>
        <v>2023</v>
      </c>
      <c r="C438">
        <v>1667</v>
      </c>
      <c r="D438">
        <v>5400</v>
      </c>
      <c r="E438">
        <v>2165</v>
      </c>
      <c r="F438">
        <v>1201</v>
      </c>
      <c r="G438">
        <v>169</v>
      </c>
    </row>
    <row r="439" spans="1:7">
      <c r="A439" s="1">
        <v>45030</v>
      </c>
      <c r="B439" s="2">
        <f>YEAR(TRA[[#This Row],[date]])</f>
        <v>2023</v>
      </c>
      <c r="C439">
        <v>1325</v>
      </c>
      <c r="D439">
        <v>4259</v>
      </c>
      <c r="E439">
        <v>1651</v>
      </c>
      <c r="F439">
        <v>941</v>
      </c>
      <c r="G439">
        <v>136</v>
      </c>
    </row>
    <row r="440" spans="1:7">
      <c r="A440" s="1">
        <v>45031</v>
      </c>
      <c r="B440" s="2">
        <f>YEAR(TRA[[#This Row],[date]])</f>
        <v>2023</v>
      </c>
      <c r="C440">
        <v>905</v>
      </c>
      <c r="D440">
        <v>2313</v>
      </c>
      <c r="E440">
        <v>1093</v>
      </c>
      <c r="F440">
        <v>683</v>
      </c>
      <c r="G440">
        <v>91</v>
      </c>
    </row>
    <row r="441" spans="1:7">
      <c r="A441" s="1">
        <v>45032</v>
      </c>
      <c r="B441" s="2">
        <f>YEAR(TRA[[#This Row],[date]])</f>
        <v>2023</v>
      </c>
      <c r="C441">
        <v>858</v>
      </c>
      <c r="D441">
        <v>2388</v>
      </c>
      <c r="E441">
        <v>1061</v>
      </c>
      <c r="F441">
        <v>659</v>
      </c>
      <c r="G441">
        <v>136</v>
      </c>
    </row>
    <row r="442" spans="1:7">
      <c r="A442" s="1">
        <v>45033</v>
      </c>
      <c r="B442" s="2">
        <f>YEAR(TRA[[#This Row],[date]])</f>
        <v>2023</v>
      </c>
      <c r="C442">
        <v>1557</v>
      </c>
      <c r="D442">
        <v>4897</v>
      </c>
      <c r="E442">
        <v>1965</v>
      </c>
      <c r="F442">
        <v>1132</v>
      </c>
      <c r="G442">
        <v>166</v>
      </c>
    </row>
    <row r="443" spans="1:7">
      <c r="A443" s="1">
        <v>45034</v>
      </c>
      <c r="B443" s="2">
        <f>YEAR(TRA[[#This Row],[date]])</f>
        <v>2023</v>
      </c>
      <c r="C443">
        <v>1423</v>
      </c>
      <c r="D443">
        <v>4779</v>
      </c>
      <c r="E443">
        <v>1910</v>
      </c>
      <c r="F443">
        <v>1114</v>
      </c>
      <c r="G443">
        <v>161</v>
      </c>
    </row>
    <row r="444" spans="1:7">
      <c r="A444" s="1">
        <v>45035</v>
      </c>
      <c r="B444" s="2">
        <f>YEAR(TRA[[#This Row],[date]])</f>
        <v>2023</v>
      </c>
      <c r="C444">
        <v>1862</v>
      </c>
      <c r="D444">
        <v>7019</v>
      </c>
      <c r="E444">
        <v>2473</v>
      </c>
      <c r="F444">
        <v>1250</v>
      </c>
      <c r="G444">
        <v>188</v>
      </c>
    </row>
    <row r="445" spans="1:7">
      <c r="A445" s="1">
        <v>45036</v>
      </c>
      <c r="B445" s="2">
        <f>YEAR(TRA[[#This Row],[date]])</f>
        <v>2023</v>
      </c>
      <c r="C445">
        <v>1423</v>
      </c>
      <c r="D445">
        <v>4816</v>
      </c>
      <c r="E445">
        <v>1920</v>
      </c>
      <c r="F445">
        <v>1103</v>
      </c>
      <c r="G445">
        <v>176</v>
      </c>
    </row>
    <row r="446" spans="1:7">
      <c r="A446" s="1">
        <v>45037</v>
      </c>
      <c r="B446" s="2">
        <f>YEAR(TRA[[#This Row],[date]])</f>
        <v>2023</v>
      </c>
      <c r="C446">
        <v>1389</v>
      </c>
      <c r="D446">
        <v>3917</v>
      </c>
      <c r="E446">
        <v>1746</v>
      </c>
      <c r="F446">
        <v>1032</v>
      </c>
      <c r="G446">
        <v>127</v>
      </c>
    </row>
    <row r="447" spans="1:7">
      <c r="A447" s="1">
        <v>45038</v>
      </c>
      <c r="B447" s="2">
        <f>YEAR(TRA[[#This Row],[date]])</f>
        <v>2023</v>
      </c>
      <c r="C447">
        <v>913</v>
      </c>
      <c r="D447">
        <v>2431</v>
      </c>
      <c r="E447">
        <v>1072</v>
      </c>
      <c r="F447">
        <v>640</v>
      </c>
      <c r="G447">
        <v>116</v>
      </c>
    </row>
    <row r="448" spans="1:7">
      <c r="A448" s="1">
        <v>45039</v>
      </c>
      <c r="B448" s="2">
        <f>YEAR(TRA[[#This Row],[date]])</f>
        <v>2023</v>
      </c>
      <c r="C448">
        <v>857</v>
      </c>
      <c r="D448">
        <v>2121</v>
      </c>
      <c r="E448">
        <v>1002</v>
      </c>
      <c r="F448">
        <v>596</v>
      </c>
      <c r="G448">
        <v>111</v>
      </c>
    </row>
    <row r="449" spans="1:7">
      <c r="A449" s="1">
        <v>45040</v>
      </c>
      <c r="B449" s="2">
        <f>YEAR(TRA[[#This Row],[date]])</f>
        <v>2023</v>
      </c>
      <c r="C449">
        <v>1580</v>
      </c>
      <c r="D449">
        <v>5194</v>
      </c>
      <c r="E449">
        <v>2013</v>
      </c>
      <c r="F449">
        <v>1122</v>
      </c>
      <c r="G449">
        <v>158</v>
      </c>
    </row>
    <row r="450" spans="1:7">
      <c r="A450" s="1">
        <v>45041</v>
      </c>
      <c r="B450" s="2">
        <f>YEAR(TRA[[#This Row],[date]])</f>
        <v>2023</v>
      </c>
      <c r="C450">
        <v>2083</v>
      </c>
      <c r="D450">
        <v>6242</v>
      </c>
      <c r="E450">
        <v>2566</v>
      </c>
      <c r="F450">
        <v>1483</v>
      </c>
      <c r="G450">
        <v>144</v>
      </c>
    </row>
    <row r="451" spans="1:7">
      <c r="A451" s="1">
        <v>45042</v>
      </c>
      <c r="B451" s="2">
        <f>YEAR(TRA[[#This Row],[date]])</f>
        <v>2023</v>
      </c>
      <c r="C451">
        <v>2082</v>
      </c>
      <c r="D451">
        <v>6760</v>
      </c>
      <c r="E451">
        <v>2722</v>
      </c>
      <c r="F451">
        <v>1491</v>
      </c>
      <c r="G451">
        <v>188</v>
      </c>
    </row>
    <row r="452" spans="1:7">
      <c r="A452" s="1">
        <v>45043</v>
      </c>
      <c r="B452" s="2">
        <f>YEAR(TRA[[#This Row],[date]])</f>
        <v>2023</v>
      </c>
      <c r="C452">
        <v>2430</v>
      </c>
      <c r="D452">
        <v>7159</v>
      </c>
      <c r="E452">
        <v>3224</v>
      </c>
      <c r="F452">
        <v>1944</v>
      </c>
      <c r="G452">
        <v>122</v>
      </c>
    </row>
    <row r="453" spans="1:7">
      <c r="A453" s="1">
        <v>45044</v>
      </c>
      <c r="B453" s="2">
        <f>YEAR(TRA[[#This Row],[date]])</f>
        <v>2023</v>
      </c>
      <c r="C453">
        <v>1661</v>
      </c>
      <c r="D453">
        <v>5093</v>
      </c>
      <c r="E453">
        <v>2177</v>
      </c>
      <c r="F453">
        <v>1249</v>
      </c>
      <c r="G453">
        <v>149</v>
      </c>
    </row>
    <row r="454" spans="1:7">
      <c r="A454" s="1">
        <v>45045</v>
      </c>
      <c r="B454" s="2">
        <f>YEAR(TRA[[#This Row],[date]])</f>
        <v>2023</v>
      </c>
      <c r="C454">
        <v>995</v>
      </c>
      <c r="D454">
        <v>3018</v>
      </c>
      <c r="E454">
        <v>1380</v>
      </c>
      <c r="F454">
        <v>841</v>
      </c>
      <c r="G454">
        <v>124</v>
      </c>
    </row>
    <row r="455" spans="1:7">
      <c r="A455" s="1">
        <v>45046</v>
      </c>
      <c r="B455" s="2">
        <f>YEAR(TRA[[#This Row],[date]])</f>
        <v>2023</v>
      </c>
      <c r="C455">
        <v>1267</v>
      </c>
      <c r="D455">
        <v>4566</v>
      </c>
      <c r="E455">
        <v>1734</v>
      </c>
      <c r="F455">
        <v>951</v>
      </c>
      <c r="G455">
        <v>188</v>
      </c>
    </row>
    <row r="456" spans="1:7">
      <c r="A456" s="1">
        <v>45047</v>
      </c>
      <c r="B456" s="2">
        <f>YEAR(TRA[[#This Row],[date]])</f>
        <v>2023</v>
      </c>
      <c r="C456">
        <v>1896</v>
      </c>
      <c r="D456">
        <v>7063</v>
      </c>
      <c r="E456">
        <v>2663</v>
      </c>
      <c r="F456">
        <v>1398</v>
      </c>
      <c r="G456">
        <v>191</v>
      </c>
    </row>
    <row r="457" spans="1:7">
      <c r="A457" s="1">
        <v>45048</v>
      </c>
      <c r="B457" s="2">
        <f>YEAR(TRA[[#This Row],[date]])</f>
        <v>2023</v>
      </c>
      <c r="C457">
        <v>1465</v>
      </c>
      <c r="D457">
        <v>5038</v>
      </c>
      <c r="E457">
        <v>1908</v>
      </c>
      <c r="F457">
        <v>1129</v>
      </c>
      <c r="G457">
        <v>188</v>
      </c>
    </row>
    <row r="458" spans="1:7">
      <c r="A458" s="1">
        <v>45049</v>
      </c>
      <c r="B458" s="2">
        <f>YEAR(TRA[[#This Row],[date]])</f>
        <v>2023</v>
      </c>
      <c r="C458">
        <v>1481</v>
      </c>
      <c r="D458">
        <v>5189</v>
      </c>
      <c r="E458">
        <v>1886</v>
      </c>
      <c r="F458">
        <v>1055</v>
      </c>
      <c r="G458">
        <v>181</v>
      </c>
    </row>
    <row r="459" spans="1:7">
      <c r="A459" s="1">
        <v>45050</v>
      </c>
      <c r="B459" s="2">
        <f>YEAR(TRA[[#This Row],[date]])</f>
        <v>2023</v>
      </c>
      <c r="C459">
        <v>1524</v>
      </c>
      <c r="D459">
        <v>4927</v>
      </c>
      <c r="E459">
        <v>1957</v>
      </c>
      <c r="F459">
        <v>1093</v>
      </c>
      <c r="G459">
        <v>162</v>
      </c>
    </row>
    <row r="460" spans="1:7">
      <c r="A460" s="1">
        <v>45051</v>
      </c>
      <c r="B460" s="2">
        <f>YEAR(TRA[[#This Row],[date]])</f>
        <v>2023</v>
      </c>
      <c r="C460">
        <v>1145</v>
      </c>
      <c r="D460">
        <v>3603</v>
      </c>
      <c r="E460">
        <v>1470</v>
      </c>
      <c r="F460">
        <v>839</v>
      </c>
      <c r="G460">
        <v>194</v>
      </c>
    </row>
    <row r="461" spans="1:7">
      <c r="A461" s="1">
        <v>45052</v>
      </c>
      <c r="B461" s="2">
        <f>YEAR(TRA[[#This Row],[date]])</f>
        <v>2023</v>
      </c>
      <c r="C461">
        <v>758</v>
      </c>
      <c r="D461">
        <v>2090</v>
      </c>
      <c r="E461">
        <v>951</v>
      </c>
      <c r="F461">
        <v>614</v>
      </c>
      <c r="G461">
        <v>101</v>
      </c>
    </row>
    <row r="462" spans="1:7">
      <c r="A462" s="1">
        <v>45053</v>
      </c>
      <c r="B462" s="2">
        <f>YEAR(TRA[[#This Row],[date]])</f>
        <v>2023</v>
      </c>
      <c r="C462">
        <v>747</v>
      </c>
      <c r="D462">
        <v>1998</v>
      </c>
      <c r="E462">
        <v>926</v>
      </c>
      <c r="F462">
        <v>590</v>
      </c>
      <c r="G462">
        <v>107</v>
      </c>
    </row>
    <row r="463" spans="1:7">
      <c r="A463" s="1">
        <v>45054</v>
      </c>
      <c r="B463" s="2">
        <f>YEAR(TRA[[#This Row],[date]])</f>
        <v>2023</v>
      </c>
      <c r="C463">
        <v>1258</v>
      </c>
      <c r="D463">
        <v>4032</v>
      </c>
      <c r="E463">
        <v>1610</v>
      </c>
      <c r="F463">
        <v>986</v>
      </c>
      <c r="G463">
        <v>140</v>
      </c>
    </row>
    <row r="464" spans="1:7">
      <c r="A464" s="1">
        <v>45055</v>
      </c>
      <c r="B464" s="2">
        <f>YEAR(TRA[[#This Row],[date]])</f>
        <v>2023</v>
      </c>
      <c r="C464">
        <v>1309</v>
      </c>
      <c r="D464">
        <v>4439</v>
      </c>
      <c r="E464">
        <v>1639</v>
      </c>
      <c r="F464">
        <v>970</v>
      </c>
      <c r="G464">
        <v>151</v>
      </c>
    </row>
    <row r="465" spans="1:7">
      <c r="A465" s="1">
        <v>45056</v>
      </c>
      <c r="B465" s="2">
        <f>YEAR(TRA[[#This Row],[date]])</f>
        <v>2023</v>
      </c>
      <c r="C465">
        <v>1397</v>
      </c>
      <c r="D465">
        <v>4308</v>
      </c>
      <c r="E465">
        <v>1725</v>
      </c>
      <c r="F465">
        <v>1061</v>
      </c>
      <c r="G465">
        <v>122</v>
      </c>
    </row>
    <row r="466" spans="1:7">
      <c r="A466" s="1">
        <v>45057</v>
      </c>
      <c r="B466" s="2">
        <f>YEAR(TRA[[#This Row],[date]])</f>
        <v>2023</v>
      </c>
      <c r="C466">
        <v>1236</v>
      </c>
      <c r="D466">
        <v>4051</v>
      </c>
      <c r="E466">
        <v>1539</v>
      </c>
      <c r="F466">
        <v>905</v>
      </c>
      <c r="G466">
        <v>133</v>
      </c>
    </row>
    <row r="467" spans="1:7">
      <c r="A467" s="1">
        <v>45058</v>
      </c>
      <c r="B467" s="2">
        <f>YEAR(TRA[[#This Row],[date]])</f>
        <v>2023</v>
      </c>
      <c r="C467">
        <v>1222</v>
      </c>
      <c r="D467">
        <v>3245</v>
      </c>
      <c r="E467">
        <v>1515</v>
      </c>
      <c r="F467">
        <v>953</v>
      </c>
      <c r="G467">
        <v>118</v>
      </c>
    </row>
    <row r="468" spans="1:7">
      <c r="A468" s="1">
        <v>45059</v>
      </c>
      <c r="B468" s="2">
        <f>YEAR(TRA[[#This Row],[date]])</f>
        <v>2023</v>
      </c>
      <c r="C468">
        <v>774</v>
      </c>
      <c r="D468">
        <v>1995</v>
      </c>
      <c r="E468">
        <v>947</v>
      </c>
      <c r="F468">
        <v>633</v>
      </c>
      <c r="G468">
        <v>100</v>
      </c>
    </row>
    <row r="469" spans="1:7">
      <c r="A469" s="1">
        <v>45060</v>
      </c>
      <c r="B469" s="2">
        <f>YEAR(TRA[[#This Row],[date]])</f>
        <v>2023</v>
      </c>
      <c r="C469">
        <v>650</v>
      </c>
      <c r="D469">
        <v>1724</v>
      </c>
      <c r="E469">
        <v>825</v>
      </c>
      <c r="F469">
        <v>545</v>
      </c>
      <c r="G469">
        <v>104</v>
      </c>
    </row>
    <row r="470" spans="1:7">
      <c r="A470" s="1">
        <v>45061</v>
      </c>
      <c r="B470" s="2">
        <f>YEAR(TRA[[#This Row],[date]])</f>
        <v>2023</v>
      </c>
      <c r="C470">
        <v>1183</v>
      </c>
      <c r="D470">
        <v>3808</v>
      </c>
      <c r="E470">
        <v>1554</v>
      </c>
      <c r="F470">
        <v>902</v>
      </c>
      <c r="G470">
        <v>134</v>
      </c>
    </row>
    <row r="471" spans="1:7">
      <c r="A471" s="1">
        <v>45062</v>
      </c>
      <c r="B471" s="2">
        <f>YEAR(TRA[[#This Row],[date]])</f>
        <v>2023</v>
      </c>
      <c r="C471">
        <v>1282</v>
      </c>
      <c r="D471">
        <v>4305</v>
      </c>
      <c r="E471">
        <v>1631</v>
      </c>
      <c r="F471">
        <v>885</v>
      </c>
      <c r="G471">
        <v>172</v>
      </c>
    </row>
    <row r="472" spans="1:7">
      <c r="A472" s="1">
        <v>45063</v>
      </c>
      <c r="B472" s="2">
        <f>YEAR(TRA[[#This Row],[date]])</f>
        <v>2023</v>
      </c>
      <c r="C472">
        <v>1235</v>
      </c>
      <c r="D472">
        <v>4174</v>
      </c>
      <c r="E472">
        <v>1592</v>
      </c>
      <c r="F472">
        <v>875</v>
      </c>
      <c r="G472">
        <v>191</v>
      </c>
    </row>
    <row r="473" spans="1:7">
      <c r="A473" s="1">
        <v>45064</v>
      </c>
      <c r="B473" s="2">
        <f>YEAR(TRA[[#This Row],[date]])</f>
        <v>2023</v>
      </c>
      <c r="C473">
        <v>1127</v>
      </c>
      <c r="D473">
        <v>3653</v>
      </c>
      <c r="E473">
        <v>1431</v>
      </c>
      <c r="F473">
        <v>826</v>
      </c>
      <c r="G473">
        <v>189</v>
      </c>
    </row>
    <row r="474" spans="1:7">
      <c r="A474" s="1">
        <v>45065</v>
      </c>
      <c r="B474" s="2">
        <f>YEAR(TRA[[#This Row],[date]])</f>
        <v>2023</v>
      </c>
      <c r="C474">
        <v>1030</v>
      </c>
      <c r="D474">
        <v>3340</v>
      </c>
      <c r="E474">
        <v>1335</v>
      </c>
      <c r="F474">
        <v>767</v>
      </c>
      <c r="G474">
        <v>164</v>
      </c>
    </row>
    <row r="475" spans="1:7">
      <c r="A475" s="1">
        <v>45066</v>
      </c>
      <c r="B475" s="2">
        <f>YEAR(TRA[[#This Row],[date]])</f>
        <v>2023</v>
      </c>
      <c r="C475">
        <v>700</v>
      </c>
      <c r="D475">
        <v>2241</v>
      </c>
      <c r="E475">
        <v>859</v>
      </c>
      <c r="F475">
        <v>526</v>
      </c>
      <c r="G475">
        <v>132</v>
      </c>
    </row>
    <row r="476" spans="1:7">
      <c r="A476" s="1">
        <v>45067</v>
      </c>
      <c r="B476" s="2">
        <f>YEAR(TRA[[#This Row],[date]])</f>
        <v>2023</v>
      </c>
      <c r="C476">
        <v>773</v>
      </c>
      <c r="D476">
        <v>2315</v>
      </c>
      <c r="E476">
        <v>979</v>
      </c>
      <c r="F476">
        <v>580</v>
      </c>
      <c r="G476">
        <v>131</v>
      </c>
    </row>
    <row r="477" spans="1:7">
      <c r="A477" s="1">
        <v>45068</v>
      </c>
      <c r="B477" s="2">
        <f>YEAR(TRA[[#This Row],[date]])</f>
        <v>2023</v>
      </c>
      <c r="C477">
        <v>1441</v>
      </c>
      <c r="D477">
        <v>5005</v>
      </c>
      <c r="E477">
        <v>1874</v>
      </c>
      <c r="F477">
        <v>1009</v>
      </c>
      <c r="G477">
        <v>171</v>
      </c>
    </row>
    <row r="478" spans="1:7">
      <c r="A478" s="1">
        <v>45069</v>
      </c>
      <c r="B478" s="2">
        <f>YEAR(TRA[[#This Row],[date]])</f>
        <v>2023</v>
      </c>
      <c r="C478">
        <v>1342</v>
      </c>
      <c r="D478">
        <v>4223</v>
      </c>
      <c r="E478">
        <v>1733</v>
      </c>
      <c r="F478">
        <v>978</v>
      </c>
      <c r="G478">
        <v>156</v>
      </c>
    </row>
    <row r="479" spans="1:7">
      <c r="A479" s="1">
        <v>45070</v>
      </c>
      <c r="B479" s="2">
        <f>YEAR(TRA[[#This Row],[date]])</f>
        <v>2023</v>
      </c>
      <c r="C479">
        <v>1239</v>
      </c>
      <c r="D479">
        <v>4107</v>
      </c>
      <c r="E479">
        <v>1608</v>
      </c>
      <c r="F479">
        <v>945</v>
      </c>
      <c r="G479">
        <v>170</v>
      </c>
    </row>
    <row r="480" spans="1:7">
      <c r="A480" s="1">
        <v>45071</v>
      </c>
      <c r="B480" s="2">
        <f>YEAR(TRA[[#This Row],[date]])</f>
        <v>2023</v>
      </c>
      <c r="C480">
        <v>1693</v>
      </c>
      <c r="D480">
        <v>5585</v>
      </c>
      <c r="E480">
        <v>2139</v>
      </c>
      <c r="F480">
        <v>1187</v>
      </c>
      <c r="G480">
        <v>157</v>
      </c>
    </row>
    <row r="481" spans="1:7">
      <c r="A481" s="1">
        <v>45072</v>
      </c>
      <c r="B481" s="2">
        <f>YEAR(TRA[[#This Row],[date]])</f>
        <v>2023</v>
      </c>
      <c r="C481">
        <v>1414</v>
      </c>
      <c r="D481">
        <v>4053</v>
      </c>
      <c r="E481">
        <v>1714</v>
      </c>
      <c r="F481">
        <v>1010</v>
      </c>
      <c r="G481">
        <v>145</v>
      </c>
    </row>
    <row r="482" spans="1:7">
      <c r="A482" s="1">
        <v>45073</v>
      </c>
      <c r="B482" s="2">
        <f>YEAR(TRA[[#This Row],[date]])</f>
        <v>2023</v>
      </c>
      <c r="C482">
        <v>845</v>
      </c>
      <c r="D482">
        <v>2110</v>
      </c>
      <c r="E482">
        <v>1058</v>
      </c>
      <c r="F482">
        <v>702</v>
      </c>
      <c r="G482">
        <v>96</v>
      </c>
    </row>
    <row r="483" spans="1:7">
      <c r="A483" s="1">
        <v>45074</v>
      </c>
      <c r="B483" s="2">
        <f>YEAR(TRA[[#This Row],[date]])</f>
        <v>2023</v>
      </c>
      <c r="C483">
        <v>702</v>
      </c>
      <c r="D483">
        <v>2100</v>
      </c>
      <c r="E483">
        <v>872</v>
      </c>
      <c r="F483">
        <v>537</v>
      </c>
      <c r="G483">
        <v>137</v>
      </c>
    </row>
    <row r="484" spans="1:7">
      <c r="A484" s="1">
        <v>45075</v>
      </c>
      <c r="B484" s="2">
        <f>YEAR(TRA[[#This Row],[date]])</f>
        <v>2023</v>
      </c>
      <c r="C484">
        <v>1027</v>
      </c>
      <c r="D484">
        <v>2693</v>
      </c>
      <c r="E484">
        <v>1197</v>
      </c>
      <c r="F484">
        <v>777</v>
      </c>
      <c r="G484">
        <v>125</v>
      </c>
    </row>
    <row r="485" spans="1:7">
      <c r="A485" s="1">
        <v>45076</v>
      </c>
      <c r="B485" s="2">
        <f>YEAR(TRA[[#This Row],[date]])</f>
        <v>2023</v>
      </c>
      <c r="C485">
        <v>1320</v>
      </c>
      <c r="D485">
        <v>4032</v>
      </c>
      <c r="E485">
        <v>1658</v>
      </c>
      <c r="F485">
        <v>992</v>
      </c>
      <c r="G485">
        <v>166</v>
      </c>
    </row>
    <row r="486" spans="1:7">
      <c r="A486" s="1">
        <v>45077</v>
      </c>
      <c r="B486" s="2">
        <f>YEAR(TRA[[#This Row],[date]])</f>
        <v>2023</v>
      </c>
      <c r="C486">
        <v>1618</v>
      </c>
      <c r="D486">
        <v>5163</v>
      </c>
      <c r="E486">
        <v>2072</v>
      </c>
      <c r="F486">
        <v>1195</v>
      </c>
      <c r="G486">
        <v>172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A2DBE-9883-DA44-9127-281FF054D263}">
  <sheetPr codeName="Sheet2"/>
  <dimension ref="A1:K7897"/>
  <sheetViews>
    <sheetView tabSelected="1" zoomScale="156" zoomScaleNormal="39" workbookViewId="0">
      <selection activeCell="A3" sqref="A3:C14"/>
    </sheetView>
  </sheetViews>
  <sheetFormatPr defaultColWidth="10.875" defaultRowHeight="15.95"/>
  <cols>
    <col min="1" max="1" width="10.875" style="12"/>
    <col min="2" max="2" width="86.625" style="12" customWidth="1"/>
    <col min="3" max="4" width="10.875" style="12"/>
    <col min="5" max="5" width="13" style="12" bestFit="1" customWidth="1"/>
    <col min="6" max="6" width="10.75" style="12" bestFit="1" customWidth="1"/>
    <col min="7" max="7" width="13.625" style="12" bestFit="1" customWidth="1"/>
    <col min="8" max="8" width="16.75" style="12" bestFit="1" customWidth="1"/>
    <col min="9" max="9" width="20.375" customWidth="1"/>
    <col min="10" max="10" width="13.375" customWidth="1"/>
    <col min="11" max="11" width="13" bestFit="1" customWidth="1"/>
    <col min="12" max="16384" width="10.875" style="12"/>
  </cols>
  <sheetData>
    <row r="1" spans="1:11" ht="17.100000000000001" thickBot="1">
      <c r="A1" s="41" t="s">
        <v>87</v>
      </c>
      <c r="B1" s="41"/>
      <c r="C1" s="41"/>
      <c r="I1" t="s">
        <v>88</v>
      </c>
      <c r="J1" t="s">
        <v>89</v>
      </c>
      <c r="K1" t="s">
        <v>90</v>
      </c>
    </row>
    <row r="2" spans="1:11" ht="17.100000000000001" thickBot="1">
      <c r="A2" s="41"/>
      <c r="B2" s="41"/>
      <c r="C2" s="41"/>
      <c r="I2" t="s">
        <v>91</v>
      </c>
      <c r="J2" t="s">
        <v>92</v>
      </c>
      <c r="K2">
        <v>0</v>
      </c>
    </row>
    <row r="3" spans="1:11" ht="15.75">
      <c r="A3" s="79" t="s">
        <v>93</v>
      </c>
      <c r="B3" s="43"/>
      <c r="C3" s="43"/>
      <c r="I3" t="s">
        <v>91</v>
      </c>
      <c r="J3" t="s">
        <v>92</v>
      </c>
      <c r="K3">
        <v>0</v>
      </c>
    </row>
    <row r="4" spans="1:11" ht="15" customHeight="1" thickBot="1">
      <c r="A4" s="43"/>
      <c r="B4" s="43"/>
      <c r="C4" s="43"/>
      <c r="I4" t="s">
        <v>94</v>
      </c>
      <c r="J4" t="s">
        <v>95</v>
      </c>
      <c r="K4">
        <v>0</v>
      </c>
    </row>
    <row r="5" spans="1:11" ht="15" customHeight="1" thickBot="1">
      <c r="A5" s="43"/>
      <c r="B5" s="43"/>
      <c r="C5" s="43"/>
      <c r="I5" t="s">
        <v>91</v>
      </c>
      <c r="J5" t="s">
        <v>92</v>
      </c>
      <c r="K5">
        <v>0</v>
      </c>
    </row>
    <row r="6" spans="1:11" ht="15" customHeight="1" thickBot="1">
      <c r="A6" s="43"/>
      <c r="B6" s="43"/>
      <c r="C6" s="43"/>
      <c r="I6" t="s">
        <v>91</v>
      </c>
      <c r="J6" t="s">
        <v>92</v>
      </c>
      <c r="K6">
        <v>0</v>
      </c>
    </row>
    <row r="7" spans="1:11" ht="15" customHeight="1" thickBot="1">
      <c r="A7" s="43"/>
      <c r="B7" s="43"/>
      <c r="C7" s="43"/>
      <c r="I7" t="s">
        <v>91</v>
      </c>
      <c r="J7" t="s">
        <v>92</v>
      </c>
      <c r="K7">
        <v>0</v>
      </c>
    </row>
    <row r="8" spans="1:11" ht="15" customHeight="1" thickBot="1">
      <c r="A8" s="43"/>
      <c r="B8" s="43"/>
      <c r="C8" s="43"/>
      <c r="I8" t="s">
        <v>91</v>
      </c>
      <c r="J8" t="s">
        <v>92</v>
      </c>
      <c r="K8">
        <v>0</v>
      </c>
    </row>
    <row r="9" spans="1:11" ht="17.100000000000001" thickBot="1">
      <c r="A9" s="43"/>
      <c r="B9" s="43"/>
      <c r="C9" s="43"/>
      <c r="I9" t="s">
        <v>94</v>
      </c>
      <c r="J9" t="s">
        <v>95</v>
      </c>
      <c r="K9">
        <v>0</v>
      </c>
    </row>
    <row r="10" spans="1:11" ht="17.100000000000001" thickBot="1">
      <c r="A10" s="43"/>
      <c r="B10" s="43"/>
      <c r="C10" s="43"/>
      <c r="I10" t="s">
        <v>91</v>
      </c>
      <c r="J10" t="s">
        <v>92</v>
      </c>
      <c r="K10">
        <v>0</v>
      </c>
    </row>
    <row r="11" spans="1:11" ht="17.100000000000001" thickBot="1">
      <c r="A11" s="43"/>
      <c r="B11" s="43"/>
      <c r="C11" s="43"/>
      <c r="I11" t="s">
        <v>91</v>
      </c>
      <c r="J11" t="s">
        <v>92</v>
      </c>
      <c r="K11">
        <v>0</v>
      </c>
    </row>
    <row r="12" spans="1:11" ht="17.100000000000001" thickBot="1">
      <c r="A12" s="43"/>
      <c r="B12" s="43"/>
      <c r="C12" s="43"/>
      <c r="I12" t="s">
        <v>91</v>
      </c>
      <c r="J12" t="s">
        <v>92</v>
      </c>
      <c r="K12">
        <v>0</v>
      </c>
    </row>
    <row r="13" spans="1:11" ht="17.100000000000001" thickBot="1">
      <c r="A13" s="43"/>
      <c r="B13" s="43"/>
      <c r="C13" s="43"/>
      <c r="I13" t="s">
        <v>94</v>
      </c>
      <c r="J13" t="s">
        <v>95</v>
      </c>
      <c r="K13">
        <v>0</v>
      </c>
    </row>
    <row r="14" spans="1:11" ht="17.100000000000001" thickBot="1">
      <c r="A14" s="43"/>
      <c r="B14" s="43"/>
      <c r="C14" s="43"/>
      <c r="I14" t="s">
        <v>94</v>
      </c>
      <c r="J14" t="s">
        <v>95</v>
      </c>
      <c r="K14">
        <v>0</v>
      </c>
    </row>
    <row r="15" spans="1:11" ht="17.100000000000001" thickBot="1">
      <c r="I15" t="s">
        <v>94</v>
      </c>
      <c r="J15" t="s">
        <v>95</v>
      </c>
      <c r="K15">
        <v>0</v>
      </c>
    </row>
    <row r="16" spans="1:11" ht="17.100000000000001" thickBot="1">
      <c r="A16" s="14">
        <v>1</v>
      </c>
      <c r="B16" s="80" t="s">
        <v>96</v>
      </c>
      <c r="C16" s="80"/>
      <c r="D16" s="12" t="s">
        <v>97</v>
      </c>
      <c r="I16" t="s">
        <v>91</v>
      </c>
      <c r="J16" t="s">
        <v>92</v>
      </c>
      <c r="K16">
        <v>0</v>
      </c>
    </row>
    <row r="17" spans="1:11" ht="15.75">
      <c r="A17" s="78" t="s">
        <v>98</v>
      </c>
      <c r="B17" s="78"/>
      <c r="C17" s="78"/>
      <c r="I17" t="s">
        <v>91</v>
      </c>
      <c r="J17" t="s">
        <v>92</v>
      </c>
      <c r="K17">
        <v>0</v>
      </c>
    </row>
    <row r="18" spans="1:11" ht="17.100000000000001" thickBot="1">
      <c r="A18" s="78"/>
      <c r="B18" s="78"/>
      <c r="C18" s="78"/>
      <c r="I18" t="s">
        <v>94</v>
      </c>
      <c r="J18" t="s">
        <v>95</v>
      </c>
      <c r="K18">
        <v>0</v>
      </c>
    </row>
    <row r="19" spans="1:11" ht="17.100000000000001" thickBot="1">
      <c r="A19" s="14">
        <v>2</v>
      </c>
      <c r="B19" s="80" t="s">
        <v>99</v>
      </c>
      <c r="C19" s="80"/>
      <c r="I19" t="s">
        <v>91</v>
      </c>
      <c r="J19" t="s">
        <v>92</v>
      </c>
      <c r="K19">
        <v>0</v>
      </c>
    </row>
    <row r="20" spans="1:11" ht="15.75">
      <c r="A20" s="77" t="s">
        <v>100</v>
      </c>
      <c r="B20" s="78"/>
      <c r="C20" s="78"/>
      <c r="I20" t="s">
        <v>94</v>
      </c>
      <c r="J20" t="s">
        <v>95</v>
      </c>
      <c r="K20">
        <v>0</v>
      </c>
    </row>
    <row r="21" spans="1:11" ht="17.100000000000001" thickBot="1">
      <c r="A21" s="78"/>
      <c r="B21" s="78"/>
      <c r="C21" s="78"/>
      <c r="I21" t="s">
        <v>94</v>
      </c>
      <c r="J21" t="s">
        <v>95</v>
      </c>
      <c r="K21">
        <v>0</v>
      </c>
    </row>
    <row r="22" spans="1:11" ht="17.100000000000001" thickBot="1">
      <c r="A22" s="86" t="s">
        <v>101</v>
      </c>
      <c r="B22" s="86"/>
      <c r="C22" s="86"/>
      <c r="I22" t="s">
        <v>91</v>
      </c>
      <c r="J22" t="s">
        <v>92</v>
      </c>
      <c r="K22">
        <v>1</v>
      </c>
    </row>
    <row r="23" spans="1:11" ht="20.100000000000001" thickBot="1">
      <c r="A23" s="86"/>
      <c r="B23" s="86"/>
      <c r="C23" s="86"/>
      <c r="E23" s="81" t="s">
        <v>102</v>
      </c>
      <c r="F23" s="81"/>
      <c r="G23" s="81"/>
      <c r="I23" t="s">
        <v>91</v>
      </c>
      <c r="J23" t="s">
        <v>92</v>
      </c>
      <c r="K23">
        <v>0</v>
      </c>
    </row>
    <row r="24" spans="1:11" ht="17.100000000000001" thickBot="1">
      <c r="A24" s="75">
        <v>3</v>
      </c>
      <c r="B24" s="76" t="s">
        <v>103</v>
      </c>
      <c r="C24" s="76"/>
      <c r="I24" t="s">
        <v>91</v>
      </c>
      <c r="J24" t="s">
        <v>92</v>
      </c>
      <c r="K24">
        <v>0</v>
      </c>
    </row>
    <row r="25" spans="1:11" ht="17.100000000000001" thickBot="1">
      <c r="A25" s="75"/>
      <c r="B25" s="76"/>
      <c r="C25" s="76"/>
      <c r="E25"/>
      <c r="F25"/>
      <c r="G25"/>
      <c r="I25" t="s">
        <v>94</v>
      </c>
      <c r="J25" t="s">
        <v>95</v>
      </c>
      <c r="K25">
        <v>0</v>
      </c>
    </row>
    <row r="26" spans="1:11" ht="15.75">
      <c r="A26" s="88">
        <v>4</v>
      </c>
      <c r="B26" s="89" t="s">
        <v>104</v>
      </c>
      <c r="C26" s="90">
        <f>G29-G28</f>
        <v>302</v>
      </c>
      <c r="E26"/>
      <c r="F26"/>
      <c r="G26"/>
      <c r="I26" t="s">
        <v>91</v>
      </c>
      <c r="J26" t="s">
        <v>92</v>
      </c>
      <c r="K26">
        <v>0</v>
      </c>
    </row>
    <row r="27" spans="1:11" ht="15.75">
      <c r="A27" s="88"/>
      <c r="B27" s="89"/>
      <c r="C27" s="90"/>
      <c r="E27"/>
      <c r="F27" s="27" t="s">
        <v>89</v>
      </c>
      <c r="G27" t="s">
        <v>105</v>
      </c>
      <c r="H27" t="s">
        <v>106</v>
      </c>
      <c r="I27" t="s">
        <v>91</v>
      </c>
      <c r="J27" t="s">
        <v>92</v>
      </c>
      <c r="K27">
        <v>0</v>
      </c>
    </row>
    <row r="28" spans="1:11" ht="15.75">
      <c r="A28" s="88">
        <v>5</v>
      </c>
      <c r="B28" s="89" t="s">
        <v>107</v>
      </c>
      <c r="C28" s="90">
        <f>H29-H28</f>
        <v>39</v>
      </c>
      <c r="E28"/>
      <c r="F28" t="s">
        <v>92</v>
      </c>
      <c r="G28" s="110">
        <v>3797</v>
      </c>
      <c r="H28" s="110">
        <v>119</v>
      </c>
      <c r="I28" t="s">
        <v>94</v>
      </c>
      <c r="J28" t="s">
        <v>95</v>
      </c>
      <c r="K28">
        <v>0</v>
      </c>
    </row>
    <row r="29" spans="1:11" ht="15.75">
      <c r="A29" s="88"/>
      <c r="B29" s="89"/>
      <c r="C29" s="90"/>
      <c r="E29"/>
      <c r="F29" t="s">
        <v>95</v>
      </c>
      <c r="G29" s="110">
        <v>4099</v>
      </c>
      <c r="H29" s="110">
        <v>158</v>
      </c>
      <c r="I29" t="s">
        <v>94</v>
      </c>
      <c r="J29" t="s">
        <v>95</v>
      </c>
      <c r="K29">
        <v>0</v>
      </c>
    </row>
    <row r="30" spans="1:11" ht="15.75">
      <c r="A30" s="86" t="s">
        <v>108</v>
      </c>
      <c r="B30" s="86"/>
      <c r="C30" s="86"/>
      <c r="E30"/>
      <c r="F30" t="s">
        <v>24</v>
      </c>
      <c r="G30" s="110">
        <v>7896</v>
      </c>
      <c r="H30" s="110">
        <v>277</v>
      </c>
      <c r="I30" t="s">
        <v>91</v>
      </c>
      <c r="J30" t="s">
        <v>92</v>
      </c>
      <c r="K30">
        <v>0</v>
      </c>
    </row>
    <row r="31" spans="1:11" ht="15.75">
      <c r="A31" s="87" t="str">
        <f>HYPERLINK("https://neilpatel.com/ab-testing-calculator/","A/B Testing Significance Calculator")</f>
        <v>A/B Testing Significance Calculator</v>
      </c>
      <c r="B31" s="86"/>
      <c r="C31" s="86"/>
      <c r="E31"/>
      <c r="F31"/>
      <c r="G31"/>
      <c r="H31"/>
      <c r="I31" t="s">
        <v>91</v>
      </c>
      <c r="J31" t="s">
        <v>92</v>
      </c>
      <c r="K31">
        <v>0</v>
      </c>
    </row>
    <row r="32" spans="1:11" ht="15.75">
      <c r="A32" s="82">
        <v>6</v>
      </c>
      <c r="B32" s="84" t="s">
        <v>109</v>
      </c>
      <c r="C32" s="84"/>
      <c r="E32"/>
      <c r="F32"/>
      <c r="G32"/>
      <c r="H32"/>
      <c r="I32" t="s">
        <v>91</v>
      </c>
      <c r="J32" t="s">
        <v>92</v>
      </c>
      <c r="K32">
        <v>0</v>
      </c>
    </row>
    <row r="33" spans="1:11" ht="15.75">
      <c r="A33" s="82"/>
      <c r="B33" s="84"/>
      <c r="C33" s="84"/>
      <c r="E33"/>
      <c r="F33"/>
      <c r="G33"/>
      <c r="H33"/>
      <c r="I33" t="s">
        <v>91</v>
      </c>
      <c r="J33" t="s">
        <v>92</v>
      </c>
      <c r="K33">
        <v>0</v>
      </c>
    </row>
    <row r="34" spans="1:11" ht="15.75">
      <c r="A34" s="85" t="s">
        <v>110</v>
      </c>
      <c r="B34" s="85"/>
      <c r="C34" s="85"/>
      <c r="E34"/>
      <c r="F34"/>
      <c r="G34"/>
      <c r="H34"/>
      <c r="I34" t="s">
        <v>91</v>
      </c>
      <c r="J34" t="s">
        <v>92</v>
      </c>
      <c r="K34">
        <v>0</v>
      </c>
    </row>
    <row r="35" spans="1:11" ht="15.75">
      <c r="A35" s="85"/>
      <c r="B35" s="85"/>
      <c r="C35" s="85"/>
      <c r="E35"/>
      <c r="F35"/>
      <c r="G35"/>
      <c r="H35"/>
      <c r="I35" t="s">
        <v>94</v>
      </c>
      <c r="J35" t="s">
        <v>95</v>
      </c>
      <c r="K35">
        <v>0</v>
      </c>
    </row>
    <row r="36" spans="1:11" ht="15.75" customHeight="1">
      <c r="A36" s="85"/>
      <c r="B36" s="85"/>
      <c r="C36" s="85"/>
      <c r="E36"/>
      <c r="F36"/>
      <c r="G36"/>
      <c r="H36"/>
      <c r="I36" t="s">
        <v>94</v>
      </c>
      <c r="J36" t="s">
        <v>95</v>
      </c>
      <c r="K36">
        <v>0</v>
      </c>
    </row>
    <row r="37" spans="1:11" ht="15.75">
      <c r="A37" s="85"/>
      <c r="B37" s="85"/>
      <c r="C37" s="85"/>
      <c r="E37"/>
      <c r="F37"/>
      <c r="G37"/>
      <c r="H37"/>
      <c r="I37" t="s">
        <v>91</v>
      </c>
      <c r="J37" t="s">
        <v>92</v>
      </c>
      <c r="K37">
        <v>0</v>
      </c>
    </row>
    <row r="38" spans="1:11" ht="15.75">
      <c r="A38" s="85"/>
      <c r="B38" s="85"/>
      <c r="C38" s="85"/>
      <c r="E38"/>
      <c r="F38"/>
      <c r="G38"/>
      <c r="H38"/>
      <c r="I38" t="s">
        <v>91</v>
      </c>
      <c r="J38" t="s">
        <v>92</v>
      </c>
      <c r="K38">
        <v>0</v>
      </c>
    </row>
    <row r="39" spans="1:11" ht="15.75" customHeight="1">
      <c r="A39" s="82">
        <v>7</v>
      </c>
      <c r="B39" s="83" t="s">
        <v>111</v>
      </c>
      <c r="C39" s="84"/>
      <c r="E39"/>
      <c r="F39"/>
      <c r="G39"/>
      <c r="H39"/>
      <c r="I39" t="s">
        <v>91</v>
      </c>
      <c r="J39" t="s">
        <v>92</v>
      </c>
      <c r="K39">
        <v>0</v>
      </c>
    </row>
    <row r="40" spans="1:11" ht="15.75" customHeight="1">
      <c r="A40" s="82"/>
      <c r="B40" s="84"/>
      <c r="C40" s="84"/>
      <c r="E40"/>
      <c r="F40"/>
      <c r="G40"/>
      <c r="H40"/>
      <c r="I40" t="s">
        <v>91</v>
      </c>
      <c r="J40" t="s">
        <v>92</v>
      </c>
      <c r="K40">
        <v>0</v>
      </c>
    </row>
    <row r="41" spans="1:11" ht="15.75">
      <c r="A41" s="82"/>
      <c r="B41" s="84"/>
      <c r="C41" s="84"/>
      <c r="E41"/>
      <c r="F41"/>
      <c r="G41"/>
      <c r="H41"/>
      <c r="I41" t="s">
        <v>91</v>
      </c>
      <c r="J41" t="s">
        <v>92</v>
      </c>
      <c r="K41">
        <v>0</v>
      </c>
    </row>
    <row r="42" spans="1:11" ht="15.75">
      <c r="A42" s="82"/>
      <c r="B42" s="84"/>
      <c r="C42" s="84"/>
      <c r="F42"/>
      <c r="G42"/>
      <c r="H42"/>
      <c r="I42" t="s">
        <v>94</v>
      </c>
      <c r="J42" t="s">
        <v>95</v>
      </c>
      <c r="K42">
        <v>0</v>
      </c>
    </row>
    <row r="43" spans="1:11" ht="15.75">
      <c r="A43" s="85" t="s">
        <v>112</v>
      </c>
      <c r="B43" s="85"/>
      <c r="C43" s="85"/>
      <c r="F43"/>
      <c r="G43"/>
      <c r="H43"/>
      <c r="I43" t="s">
        <v>94</v>
      </c>
      <c r="J43" t="s">
        <v>95</v>
      </c>
      <c r="K43">
        <v>0</v>
      </c>
    </row>
    <row r="44" spans="1:11" ht="15.75">
      <c r="A44" s="85"/>
      <c r="B44" s="85"/>
      <c r="C44" s="85"/>
      <c r="F44"/>
      <c r="G44"/>
      <c r="H44"/>
      <c r="I44" t="s">
        <v>94</v>
      </c>
      <c r="J44" t="s">
        <v>95</v>
      </c>
      <c r="K44">
        <v>0</v>
      </c>
    </row>
    <row r="45" spans="1:11" ht="17.100000000000001" thickBot="1">
      <c r="A45" s="85"/>
      <c r="B45" s="85"/>
      <c r="C45" s="85"/>
      <c r="I45" t="s">
        <v>91</v>
      </c>
      <c r="J45" t="s">
        <v>92</v>
      </c>
      <c r="K45">
        <v>0</v>
      </c>
    </row>
    <row r="46" spans="1:11" ht="17.100000000000001" thickBot="1">
      <c r="A46" s="85"/>
      <c r="B46" s="85"/>
      <c r="C46" s="85"/>
      <c r="I46" t="s">
        <v>91</v>
      </c>
      <c r="J46" t="s">
        <v>92</v>
      </c>
      <c r="K46">
        <v>0</v>
      </c>
    </row>
    <row r="47" spans="1:11" ht="17.100000000000001" thickBot="1">
      <c r="A47" s="85"/>
      <c r="B47" s="85"/>
      <c r="C47" s="85"/>
      <c r="I47" t="s">
        <v>91</v>
      </c>
      <c r="J47" t="s">
        <v>92</v>
      </c>
      <c r="K47">
        <v>0</v>
      </c>
    </row>
    <row r="48" spans="1:11" ht="17.100000000000001" customHeight="1">
      <c r="I48" t="s">
        <v>94</v>
      </c>
      <c r="J48" t="s">
        <v>95</v>
      </c>
      <c r="K48">
        <v>0</v>
      </c>
    </row>
    <row r="49" spans="9:11">
      <c r="I49" t="s">
        <v>94</v>
      </c>
      <c r="J49" t="s">
        <v>95</v>
      </c>
      <c r="K49">
        <v>0</v>
      </c>
    </row>
    <row r="50" spans="9:11">
      <c r="I50" t="s">
        <v>91</v>
      </c>
      <c r="J50" t="s">
        <v>92</v>
      </c>
      <c r="K50">
        <v>0</v>
      </c>
    </row>
    <row r="51" spans="9:11">
      <c r="I51" t="s">
        <v>94</v>
      </c>
      <c r="J51" t="s">
        <v>95</v>
      </c>
      <c r="K51">
        <v>0</v>
      </c>
    </row>
    <row r="52" spans="9:11">
      <c r="I52" t="s">
        <v>94</v>
      </c>
      <c r="J52" t="s">
        <v>95</v>
      </c>
      <c r="K52">
        <v>0</v>
      </c>
    </row>
    <row r="53" spans="9:11">
      <c r="I53" t="s">
        <v>94</v>
      </c>
      <c r="J53" t="s">
        <v>95</v>
      </c>
      <c r="K53">
        <v>0</v>
      </c>
    </row>
    <row r="54" spans="9:11">
      <c r="I54" t="s">
        <v>91</v>
      </c>
      <c r="J54" t="s">
        <v>92</v>
      </c>
      <c r="K54">
        <v>0</v>
      </c>
    </row>
    <row r="55" spans="9:11">
      <c r="I55" t="s">
        <v>94</v>
      </c>
      <c r="J55" t="s">
        <v>95</v>
      </c>
      <c r="K55">
        <v>0</v>
      </c>
    </row>
    <row r="56" spans="9:11">
      <c r="I56" t="s">
        <v>91</v>
      </c>
      <c r="J56" t="s">
        <v>92</v>
      </c>
      <c r="K56">
        <v>0</v>
      </c>
    </row>
    <row r="57" spans="9:11">
      <c r="I57" t="s">
        <v>94</v>
      </c>
      <c r="J57" t="s">
        <v>95</v>
      </c>
      <c r="K57">
        <v>0</v>
      </c>
    </row>
    <row r="58" spans="9:11">
      <c r="I58" t="s">
        <v>91</v>
      </c>
      <c r="J58" t="s">
        <v>92</v>
      </c>
      <c r="K58">
        <v>0</v>
      </c>
    </row>
    <row r="59" spans="9:11">
      <c r="I59" t="s">
        <v>94</v>
      </c>
      <c r="J59" t="s">
        <v>95</v>
      </c>
      <c r="K59">
        <v>0</v>
      </c>
    </row>
    <row r="60" spans="9:11">
      <c r="I60" t="s">
        <v>94</v>
      </c>
      <c r="J60" t="s">
        <v>95</v>
      </c>
      <c r="K60">
        <v>0</v>
      </c>
    </row>
    <row r="61" spans="9:11">
      <c r="I61" t="s">
        <v>91</v>
      </c>
      <c r="J61" t="s">
        <v>92</v>
      </c>
      <c r="K61">
        <v>0</v>
      </c>
    </row>
    <row r="62" spans="9:11">
      <c r="I62" t="s">
        <v>94</v>
      </c>
      <c r="J62" t="s">
        <v>95</v>
      </c>
      <c r="K62">
        <v>0</v>
      </c>
    </row>
    <row r="63" spans="9:11">
      <c r="I63" t="s">
        <v>94</v>
      </c>
      <c r="J63" t="s">
        <v>95</v>
      </c>
      <c r="K63">
        <v>0</v>
      </c>
    </row>
    <row r="64" spans="9:11">
      <c r="I64" t="s">
        <v>91</v>
      </c>
      <c r="J64" t="s">
        <v>92</v>
      </c>
      <c r="K64">
        <v>0</v>
      </c>
    </row>
    <row r="65" spans="1:11">
      <c r="I65" t="s">
        <v>94</v>
      </c>
      <c r="J65" t="s">
        <v>95</v>
      </c>
      <c r="K65">
        <v>0</v>
      </c>
    </row>
    <row r="66" spans="1:11">
      <c r="I66" t="s">
        <v>91</v>
      </c>
      <c r="J66" t="s">
        <v>92</v>
      </c>
      <c r="K66">
        <v>0</v>
      </c>
    </row>
    <row r="67" spans="1:11">
      <c r="I67" t="s">
        <v>91</v>
      </c>
      <c r="J67" t="s">
        <v>92</v>
      </c>
      <c r="K67">
        <v>0</v>
      </c>
    </row>
    <row r="68" spans="1:11">
      <c r="I68" t="s">
        <v>94</v>
      </c>
      <c r="J68" t="s">
        <v>95</v>
      </c>
      <c r="K68">
        <v>0</v>
      </c>
    </row>
    <row r="69" spans="1:11">
      <c r="A69" s="18"/>
      <c r="B69" s="18"/>
      <c r="C69" s="18"/>
      <c r="D69" s="18"/>
      <c r="E69" s="18"/>
      <c r="F69" s="18"/>
      <c r="G69" s="18"/>
      <c r="H69" s="18"/>
      <c r="I69" t="s">
        <v>94</v>
      </c>
      <c r="J69" t="s">
        <v>95</v>
      </c>
      <c r="K69">
        <v>0</v>
      </c>
    </row>
    <row r="70" spans="1:11">
      <c r="A70" s="18"/>
      <c r="B70" s="18"/>
      <c r="C70" s="18"/>
      <c r="D70" s="18"/>
      <c r="E70" s="18"/>
      <c r="F70" s="18"/>
      <c r="G70" s="18"/>
      <c r="H70" s="18"/>
      <c r="I70" t="s">
        <v>91</v>
      </c>
      <c r="J70" t="s">
        <v>92</v>
      </c>
      <c r="K70">
        <v>0</v>
      </c>
    </row>
    <row r="71" spans="1:11">
      <c r="A71" s="18"/>
      <c r="B71" s="18"/>
      <c r="C71" s="18"/>
      <c r="D71" s="18"/>
      <c r="E71" s="18"/>
      <c r="F71" s="18"/>
      <c r="G71" s="18"/>
      <c r="H71" s="18"/>
      <c r="I71" t="s">
        <v>94</v>
      </c>
      <c r="J71" t="s">
        <v>95</v>
      </c>
      <c r="K71">
        <v>0</v>
      </c>
    </row>
    <row r="72" spans="1:11">
      <c r="A72" s="18"/>
      <c r="B72" s="18"/>
      <c r="C72" s="18"/>
      <c r="D72" s="18"/>
      <c r="E72" s="18"/>
      <c r="F72" s="18"/>
      <c r="G72" s="18"/>
      <c r="H72" s="18"/>
      <c r="I72" t="s">
        <v>94</v>
      </c>
      <c r="J72" t="s">
        <v>95</v>
      </c>
      <c r="K72">
        <v>0</v>
      </c>
    </row>
    <row r="73" spans="1:11">
      <c r="A73" s="18"/>
      <c r="B73" s="18"/>
      <c r="C73" s="18"/>
      <c r="D73" s="18"/>
      <c r="E73" s="18"/>
      <c r="F73" s="18"/>
      <c r="G73" s="18"/>
      <c r="H73" s="18"/>
      <c r="I73" t="s">
        <v>94</v>
      </c>
      <c r="J73" t="s">
        <v>95</v>
      </c>
      <c r="K73">
        <v>0</v>
      </c>
    </row>
    <row r="74" spans="1:11">
      <c r="A74" s="18"/>
      <c r="B74" s="18"/>
      <c r="C74" s="18"/>
      <c r="D74" s="18"/>
      <c r="E74" s="18"/>
      <c r="F74" s="18"/>
      <c r="G74" s="18"/>
      <c r="H74" s="18"/>
      <c r="I74" t="s">
        <v>94</v>
      </c>
      <c r="J74" t="s">
        <v>95</v>
      </c>
      <c r="K74">
        <v>0</v>
      </c>
    </row>
    <row r="75" spans="1:11">
      <c r="A75" s="18"/>
      <c r="B75" s="18"/>
      <c r="C75" s="18"/>
      <c r="D75" s="18"/>
      <c r="E75" s="18"/>
      <c r="F75" s="18"/>
      <c r="G75" s="18"/>
      <c r="H75" s="18"/>
      <c r="I75" t="s">
        <v>91</v>
      </c>
      <c r="J75" t="s">
        <v>92</v>
      </c>
      <c r="K75">
        <v>0</v>
      </c>
    </row>
    <row r="76" spans="1:11">
      <c r="A76" s="18"/>
      <c r="B76" s="18"/>
      <c r="C76" s="18"/>
      <c r="D76" s="18"/>
      <c r="E76" s="18"/>
      <c r="F76" s="18"/>
      <c r="G76" s="18"/>
      <c r="H76" s="18"/>
      <c r="I76" t="s">
        <v>91</v>
      </c>
      <c r="J76" t="s">
        <v>92</v>
      </c>
      <c r="K76">
        <v>0</v>
      </c>
    </row>
    <row r="77" spans="1:11">
      <c r="A77" s="18"/>
      <c r="B77" s="18"/>
      <c r="C77" s="18"/>
      <c r="D77" s="18"/>
      <c r="E77" s="18"/>
      <c r="F77" s="18"/>
      <c r="G77" s="18"/>
      <c r="H77" s="18"/>
      <c r="I77" t="s">
        <v>91</v>
      </c>
      <c r="J77" t="s">
        <v>92</v>
      </c>
      <c r="K77">
        <v>0</v>
      </c>
    </row>
    <row r="78" spans="1:11">
      <c r="A78" s="18"/>
      <c r="B78" s="18"/>
      <c r="C78" s="18"/>
      <c r="D78" s="18"/>
      <c r="E78" s="18"/>
      <c r="F78" s="18"/>
      <c r="G78" s="18"/>
      <c r="H78" s="18"/>
      <c r="I78" t="s">
        <v>91</v>
      </c>
      <c r="J78" t="s">
        <v>92</v>
      </c>
      <c r="K78">
        <v>0</v>
      </c>
    </row>
    <row r="79" spans="1:11">
      <c r="A79" s="18"/>
      <c r="B79" s="18"/>
      <c r="C79" s="18"/>
      <c r="D79" s="18"/>
      <c r="E79" s="18"/>
      <c r="F79" s="18"/>
      <c r="G79" s="18"/>
      <c r="H79" s="18"/>
      <c r="I79" t="s">
        <v>94</v>
      </c>
      <c r="J79" t="s">
        <v>95</v>
      </c>
      <c r="K79">
        <v>0</v>
      </c>
    </row>
    <row r="80" spans="1:11">
      <c r="A80" s="18"/>
      <c r="B80" s="18"/>
      <c r="C80" s="18"/>
      <c r="D80" s="18"/>
      <c r="E80" s="18"/>
      <c r="F80" s="18"/>
      <c r="G80" s="18"/>
      <c r="H80" s="18"/>
      <c r="I80" t="s">
        <v>91</v>
      </c>
      <c r="J80" t="s">
        <v>92</v>
      </c>
      <c r="K80">
        <v>0</v>
      </c>
    </row>
    <row r="81" spans="1:11">
      <c r="A81" s="18"/>
      <c r="B81" s="18"/>
      <c r="C81" s="18"/>
      <c r="D81" s="18"/>
      <c r="E81" s="18"/>
      <c r="F81" s="18"/>
      <c r="G81" s="18"/>
      <c r="H81" s="18"/>
      <c r="I81" t="s">
        <v>94</v>
      </c>
      <c r="J81" t="s">
        <v>95</v>
      </c>
      <c r="K81">
        <v>0</v>
      </c>
    </row>
    <row r="82" spans="1:11">
      <c r="A82" s="18"/>
      <c r="B82" s="18"/>
      <c r="C82" s="18"/>
      <c r="D82" s="18"/>
      <c r="E82" s="18"/>
      <c r="F82" s="18"/>
      <c r="G82" s="18"/>
      <c r="H82" s="18"/>
      <c r="I82" t="s">
        <v>91</v>
      </c>
      <c r="J82" t="s">
        <v>92</v>
      </c>
      <c r="K82">
        <v>0</v>
      </c>
    </row>
    <row r="83" spans="1:11">
      <c r="A83" s="18"/>
      <c r="B83" s="18"/>
      <c r="C83" s="18"/>
      <c r="D83" s="18"/>
      <c r="E83" s="18"/>
      <c r="F83" s="18"/>
      <c r="G83" s="18"/>
      <c r="H83" s="18"/>
      <c r="I83" t="s">
        <v>94</v>
      </c>
      <c r="J83" t="s">
        <v>95</v>
      </c>
      <c r="K83">
        <v>0</v>
      </c>
    </row>
    <row r="84" spans="1:11">
      <c r="A84" s="18"/>
      <c r="B84" s="18"/>
      <c r="C84" s="18"/>
      <c r="D84" s="18"/>
      <c r="E84" s="18"/>
      <c r="F84" s="18"/>
      <c r="G84" s="18"/>
      <c r="H84" s="18"/>
      <c r="I84" t="s">
        <v>91</v>
      </c>
      <c r="J84" t="s">
        <v>92</v>
      </c>
      <c r="K84">
        <v>0</v>
      </c>
    </row>
    <row r="85" spans="1:11">
      <c r="A85" s="18"/>
      <c r="B85" s="18"/>
      <c r="C85" s="18"/>
      <c r="D85" s="18"/>
      <c r="E85" s="18"/>
      <c r="F85" s="18"/>
      <c r="G85" s="18"/>
      <c r="H85" s="18"/>
      <c r="I85" t="s">
        <v>94</v>
      </c>
      <c r="J85" t="s">
        <v>95</v>
      </c>
      <c r="K85">
        <v>0</v>
      </c>
    </row>
    <row r="86" spans="1:11">
      <c r="A86" s="18"/>
      <c r="B86" s="18"/>
      <c r="C86" s="18"/>
      <c r="D86" s="18"/>
      <c r="E86" s="18"/>
      <c r="F86" s="18"/>
      <c r="G86" s="18"/>
      <c r="H86" s="18"/>
      <c r="I86" t="s">
        <v>91</v>
      </c>
      <c r="J86" t="s">
        <v>92</v>
      </c>
      <c r="K86">
        <v>0</v>
      </c>
    </row>
    <row r="87" spans="1:11">
      <c r="A87" s="18"/>
      <c r="B87" s="18"/>
      <c r="C87" s="18"/>
      <c r="D87" s="18"/>
      <c r="E87" s="18"/>
      <c r="F87" s="18"/>
      <c r="G87" s="18"/>
      <c r="H87" s="18"/>
      <c r="I87" t="s">
        <v>94</v>
      </c>
      <c r="J87" t="s">
        <v>95</v>
      </c>
      <c r="K87">
        <v>0</v>
      </c>
    </row>
    <row r="88" spans="1:11">
      <c r="A88" s="18"/>
      <c r="B88" s="18"/>
      <c r="C88" s="18"/>
      <c r="D88" s="18"/>
      <c r="E88" s="18"/>
      <c r="F88" s="18"/>
      <c r="G88" s="18"/>
      <c r="H88" s="18"/>
      <c r="I88" t="s">
        <v>91</v>
      </c>
      <c r="J88" t="s">
        <v>92</v>
      </c>
      <c r="K88">
        <v>0</v>
      </c>
    </row>
    <row r="89" spans="1:11">
      <c r="A89" s="18"/>
      <c r="B89" s="18"/>
      <c r="C89" s="18"/>
      <c r="D89" s="18"/>
      <c r="E89" s="18"/>
      <c r="F89" s="18"/>
      <c r="G89" s="18"/>
      <c r="H89" s="18"/>
      <c r="I89" t="s">
        <v>91</v>
      </c>
      <c r="J89" t="s">
        <v>92</v>
      </c>
      <c r="K89">
        <v>0</v>
      </c>
    </row>
    <row r="90" spans="1:11">
      <c r="A90" s="18"/>
      <c r="B90" s="18"/>
      <c r="C90" s="18"/>
      <c r="D90" s="18"/>
      <c r="E90" s="18"/>
      <c r="F90" s="18"/>
      <c r="G90" s="18"/>
      <c r="H90" s="18"/>
      <c r="I90" t="s">
        <v>91</v>
      </c>
      <c r="J90" t="s">
        <v>92</v>
      </c>
      <c r="K90">
        <v>0</v>
      </c>
    </row>
    <row r="91" spans="1:11">
      <c r="A91" s="18"/>
      <c r="B91" s="18"/>
      <c r="C91" s="18"/>
      <c r="D91" s="18"/>
      <c r="E91" s="18"/>
      <c r="F91" s="18"/>
      <c r="G91" s="18"/>
      <c r="H91" s="18"/>
      <c r="I91" t="s">
        <v>94</v>
      </c>
      <c r="J91" t="s">
        <v>95</v>
      </c>
      <c r="K91">
        <v>0</v>
      </c>
    </row>
    <row r="92" spans="1:11">
      <c r="A92" s="18"/>
      <c r="B92" s="18"/>
      <c r="C92" s="18"/>
      <c r="D92" s="18"/>
      <c r="E92" s="18"/>
      <c r="F92" s="18"/>
      <c r="G92" s="18"/>
      <c r="H92" s="18"/>
      <c r="I92" t="s">
        <v>91</v>
      </c>
      <c r="J92" t="s">
        <v>92</v>
      </c>
      <c r="K92">
        <v>0</v>
      </c>
    </row>
    <row r="93" spans="1:11">
      <c r="A93" s="18"/>
      <c r="B93" s="18"/>
      <c r="C93" s="18"/>
      <c r="D93" s="18"/>
      <c r="E93" s="18"/>
      <c r="F93" s="18"/>
      <c r="G93" s="18"/>
      <c r="H93" s="18"/>
      <c r="I93" t="s">
        <v>91</v>
      </c>
      <c r="J93" t="s">
        <v>92</v>
      </c>
      <c r="K93">
        <v>0</v>
      </c>
    </row>
    <row r="94" spans="1:11" ht="15.95" customHeight="1">
      <c r="A94" s="18"/>
      <c r="B94" s="18"/>
      <c r="C94" s="18"/>
      <c r="D94" s="18"/>
      <c r="E94" s="18"/>
      <c r="F94" s="18"/>
      <c r="G94" s="18"/>
      <c r="H94" s="18"/>
      <c r="I94" t="s">
        <v>91</v>
      </c>
      <c r="J94" t="s">
        <v>92</v>
      </c>
      <c r="K94">
        <v>0</v>
      </c>
    </row>
    <row r="95" spans="1:11" ht="15.95" customHeight="1">
      <c r="A95" s="18"/>
      <c r="B95" s="18"/>
      <c r="C95" s="18"/>
      <c r="D95" s="18"/>
      <c r="E95" s="18"/>
      <c r="F95" s="18"/>
      <c r="G95" s="18"/>
      <c r="H95" s="18"/>
      <c r="I95" t="s">
        <v>94</v>
      </c>
      <c r="J95" t="s">
        <v>95</v>
      </c>
      <c r="K95">
        <v>0</v>
      </c>
    </row>
    <row r="96" spans="1:11">
      <c r="A96" s="18"/>
      <c r="B96" s="18"/>
      <c r="C96" s="18"/>
      <c r="D96" s="18"/>
      <c r="E96" s="18"/>
      <c r="F96" s="18"/>
      <c r="G96" s="18"/>
      <c r="H96" s="18"/>
      <c r="I96" t="s">
        <v>91</v>
      </c>
      <c r="J96" t="s">
        <v>92</v>
      </c>
      <c r="K96">
        <v>0</v>
      </c>
    </row>
    <row r="97" spans="1:11">
      <c r="A97" s="18"/>
      <c r="B97" s="18"/>
      <c r="C97" s="18"/>
      <c r="D97" s="18"/>
      <c r="E97" s="18"/>
      <c r="F97" s="18"/>
      <c r="G97" s="18"/>
      <c r="H97" s="18"/>
      <c r="I97" t="s">
        <v>94</v>
      </c>
      <c r="J97" t="s">
        <v>95</v>
      </c>
      <c r="K97">
        <v>0</v>
      </c>
    </row>
    <row r="98" spans="1:11">
      <c r="A98" s="18"/>
      <c r="B98" s="18"/>
      <c r="C98" s="18"/>
      <c r="D98" s="18"/>
      <c r="E98" s="18"/>
      <c r="F98" s="18"/>
      <c r="G98" s="18"/>
      <c r="H98" s="18"/>
      <c r="I98" t="s">
        <v>94</v>
      </c>
      <c r="J98" t="s">
        <v>95</v>
      </c>
      <c r="K98">
        <v>1</v>
      </c>
    </row>
    <row r="99" spans="1:11">
      <c r="A99" s="18"/>
      <c r="B99" s="18"/>
      <c r="C99" s="18"/>
      <c r="D99" s="18"/>
      <c r="E99" s="18"/>
      <c r="F99" s="18"/>
      <c r="G99" s="18"/>
      <c r="H99" s="18"/>
      <c r="I99" t="s">
        <v>94</v>
      </c>
      <c r="J99" t="s">
        <v>95</v>
      </c>
      <c r="K99">
        <v>0</v>
      </c>
    </row>
    <row r="100" spans="1:11">
      <c r="A100" s="18"/>
      <c r="B100" s="18"/>
      <c r="C100" s="18"/>
      <c r="D100" s="18"/>
      <c r="E100" s="18"/>
      <c r="F100" s="18"/>
      <c r="G100" s="18"/>
      <c r="H100" s="18"/>
      <c r="I100" t="s">
        <v>94</v>
      </c>
      <c r="J100" t="s">
        <v>95</v>
      </c>
      <c r="K100">
        <v>0</v>
      </c>
    </row>
    <row r="101" spans="1:11">
      <c r="A101" s="18"/>
      <c r="B101" s="18"/>
      <c r="C101" s="18"/>
      <c r="D101" s="18"/>
      <c r="E101" s="18"/>
      <c r="F101" s="18"/>
      <c r="G101" s="18"/>
      <c r="H101" s="18"/>
      <c r="I101" t="s">
        <v>94</v>
      </c>
      <c r="J101" t="s">
        <v>95</v>
      </c>
      <c r="K101">
        <v>0</v>
      </c>
    </row>
    <row r="102" spans="1:11">
      <c r="A102" s="18"/>
      <c r="B102" s="18"/>
      <c r="C102" s="18"/>
      <c r="D102" s="18"/>
      <c r="E102" s="18"/>
      <c r="F102" s="18"/>
      <c r="G102" s="18"/>
      <c r="H102" s="18"/>
      <c r="I102" t="s">
        <v>91</v>
      </c>
      <c r="J102" t="s">
        <v>92</v>
      </c>
      <c r="K102">
        <v>0</v>
      </c>
    </row>
    <row r="103" spans="1:11">
      <c r="A103" s="18"/>
      <c r="B103" s="18"/>
      <c r="C103" s="18"/>
      <c r="D103" s="18"/>
      <c r="E103" s="18"/>
      <c r="F103" s="18"/>
      <c r="G103" s="18"/>
      <c r="H103" s="18"/>
      <c r="I103" t="s">
        <v>91</v>
      </c>
      <c r="J103" t="s">
        <v>92</v>
      </c>
      <c r="K103">
        <v>0</v>
      </c>
    </row>
    <row r="104" spans="1:11">
      <c r="A104" s="18"/>
      <c r="B104" s="18"/>
      <c r="C104" s="18"/>
      <c r="D104" s="18"/>
      <c r="E104" s="18"/>
      <c r="F104" s="18"/>
      <c r="G104" s="18"/>
      <c r="H104" s="18"/>
      <c r="I104" t="s">
        <v>94</v>
      </c>
      <c r="J104" t="s">
        <v>95</v>
      </c>
      <c r="K104">
        <v>0</v>
      </c>
    </row>
    <row r="105" spans="1:11">
      <c r="A105" s="18"/>
      <c r="B105" s="18"/>
      <c r="C105" s="18"/>
      <c r="D105" s="18"/>
      <c r="E105" s="18"/>
      <c r="F105" s="18"/>
      <c r="G105" s="18"/>
      <c r="H105" s="18"/>
      <c r="I105" t="s">
        <v>91</v>
      </c>
      <c r="J105" t="s">
        <v>92</v>
      </c>
      <c r="K105">
        <v>0</v>
      </c>
    </row>
    <row r="106" spans="1:11">
      <c r="A106" s="18"/>
      <c r="B106" s="18"/>
      <c r="C106" s="18"/>
      <c r="D106" s="18"/>
      <c r="E106" s="18"/>
      <c r="F106" s="18"/>
      <c r="G106" s="18"/>
      <c r="H106" s="18"/>
      <c r="I106" t="s">
        <v>94</v>
      </c>
      <c r="J106" t="s">
        <v>95</v>
      </c>
      <c r="K106">
        <v>0</v>
      </c>
    </row>
    <row r="107" spans="1:11">
      <c r="A107" s="18"/>
      <c r="B107" s="18"/>
      <c r="C107" s="18"/>
      <c r="D107" s="18"/>
      <c r="E107" s="18"/>
      <c r="F107" s="18"/>
      <c r="G107" s="18"/>
      <c r="H107" s="18"/>
      <c r="I107" t="s">
        <v>94</v>
      </c>
      <c r="J107" t="s">
        <v>95</v>
      </c>
      <c r="K107">
        <v>0</v>
      </c>
    </row>
    <row r="108" spans="1:11">
      <c r="A108" s="18"/>
      <c r="B108" s="18"/>
      <c r="C108" s="18"/>
      <c r="D108" s="18"/>
      <c r="E108" s="18"/>
      <c r="F108" s="18"/>
      <c r="G108" s="18"/>
      <c r="H108" s="18"/>
      <c r="I108" t="s">
        <v>94</v>
      </c>
      <c r="J108" t="s">
        <v>95</v>
      </c>
      <c r="K108">
        <v>0</v>
      </c>
    </row>
    <row r="109" spans="1:11">
      <c r="A109" s="18"/>
      <c r="B109" s="18"/>
      <c r="C109" s="18"/>
      <c r="D109" s="18"/>
      <c r="E109" s="18"/>
      <c r="F109" s="18"/>
      <c r="G109" s="18"/>
      <c r="H109" s="18"/>
      <c r="I109" t="s">
        <v>91</v>
      </c>
      <c r="J109" t="s">
        <v>92</v>
      </c>
      <c r="K109">
        <v>0</v>
      </c>
    </row>
    <row r="110" spans="1:11">
      <c r="A110" s="18"/>
      <c r="B110" s="18"/>
      <c r="C110" s="18"/>
      <c r="D110" s="18"/>
      <c r="E110" s="18"/>
      <c r="F110" s="18"/>
      <c r="G110" s="18"/>
      <c r="H110" s="18"/>
      <c r="I110" t="s">
        <v>94</v>
      </c>
      <c r="J110" t="s">
        <v>95</v>
      </c>
      <c r="K110">
        <v>0</v>
      </c>
    </row>
    <row r="111" spans="1:11">
      <c r="A111" s="18"/>
      <c r="B111" s="18"/>
      <c r="C111" s="18"/>
      <c r="D111" s="18"/>
      <c r="E111" s="18"/>
      <c r="F111" s="18"/>
      <c r="G111" s="18"/>
      <c r="H111" s="18"/>
      <c r="I111" t="s">
        <v>94</v>
      </c>
      <c r="J111" t="s">
        <v>95</v>
      </c>
      <c r="K111">
        <v>0</v>
      </c>
    </row>
    <row r="112" spans="1:11">
      <c r="A112" s="18"/>
      <c r="B112" s="18"/>
      <c r="C112" s="18"/>
      <c r="D112" s="18"/>
      <c r="E112" s="18"/>
      <c r="F112" s="18"/>
      <c r="G112" s="18"/>
      <c r="H112" s="18"/>
      <c r="I112" t="s">
        <v>94</v>
      </c>
      <c r="J112" t="s">
        <v>95</v>
      </c>
      <c r="K112">
        <v>0</v>
      </c>
    </row>
    <row r="113" spans="1:11">
      <c r="A113" s="18"/>
      <c r="B113" s="18"/>
      <c r="C113" s="18"/>
      <c r="D113" s="18"/>
      <c r="E113" s="18"/>
      <c r="F113" s="18"/>
      <c r="G113" s="18"/>
      <c r="H113" s="18"/>
      <c r="I113" t="s">
        <v>91</v>
      </c>
      <c r="J113" t="s">
        <v>92</v>
      </c>
      <c r="K113">
        <v>0</v>
      </c>
    </row>
    <row r="114" spans="1:11">
      <c r="A114" s="18"/>
      <c r="B114" s="18"/>
      <c r="C114" s="18"/>
      <c r="D114" s="18"/>
      <c r="E114" s="18"/>
      <c r="F114" s="18"/>
      <c r="G114" s="18"/>
      <c r="H114" s="18"/>
      <c r="I114" t="s">
        <v>91</v>
      </c>
      <c r="J114" t="s">
        <v>92</v>
      </c>
      <c r="K114">
        <v>0</v>
      </c>
    </row>
    <row r="115" spans="1:11">
      <c r="A115" s="18"/>
      <c r="B115" s="18"/>
      <c r="C115" s="18"/>
      <c r="D115" s="18"/>
      <c r="E115" s="18"/>
      <c r="F115" s="18"/>
      <c r="G115" s="18"/>
      <c r="H115" s="18"/>
      <c r="I115" t="s">
        <v>91</v>
      </c>
      <c r="J115" t="s">
        <v>92</v>
      </c>
      <c r="K115">
        <v>0</v>
      </c>
    </row>
    <row r="116" spans="1:11">
      <c r="A116" s="18"/>
      <c r="B116" s="18"/>
      <c r="C116" s="18"/>
      <c r="D116" s="18"/>
      <c r="E116" s="18"/>
      <c r="F116" s="18"/>
      <c r="G116" s="18"/>
      <c r="H116" s="18"/>
      <c r="I116" t="s">
        <v>94</v>
      </c>
      <c r="J116" t="s">
        <v>95</v>
      </c>
      <c r="K116">
        <v>0</v>
      </c>
    </row>
    <row r="117" spans="1:11">
      <c r="I117" t="s">
        <v>94</v>
      </c>
      <c r="J117" t="s">
        <v>95</v>
      </c>
      <c r="K117">
        <v>0</v>
      </c>
    </row>
    <row r="118" spans="1:11">
      <c r="I118" t="s">
        <v>94</v>
      </c>
      <c r="J118" t="s">
        <v>95</v>
      </c>
      <c r="K118">
        <v>0</v>
      </c>
    </row>
    <row r="119" spans="1:11">
      <c r="I119" t="s">
        <v>91</v>
      </c>
      <c r="J119" t="s">
        <v>92</v>
      </c>
      <c r="K119">
        <v>0</v>
      </c>
    </row>
    <row r="120" spans="1:11">
      <c r="I120" t="s">
        <v>94</v>
      </c>
      <c r="J120" t="s">
        <v>95</v>
      </c>
      <c r="K120">
        <v>0</v>
      </c>
    </row>
    <row r="121" spans="1:11">
      <c r="I121" t="s">
        <v>91</v>
      </c>
      <c r="J121" t="s">
        <v>92</v>
      </c>
      <c r="K121">
        <v>0</v>
      </c>
    </row>
    <row r="122" spans="1:11">
      <c r="I122" t="s">
        <v>91</v>
      </c>
      <c r="J122" t="s">
        <v>92</v>
      </c>
      <c r="K122">
        <v>0</v>
      </c>
    </row>
    <row r="123" spans="1:11">
      <c r="I123" t="s">
        <v>91</v>
      </c>
      <c r="J123" t="s">
        <v>92</v>
      </c>
      <c r="K123">
        <v>0</v>
      </c>
    </row>
    <row r="124" spans="1:11">
      <c r="I124" t="s">
        <v>94</v>
      </c>
      <c r="J124" t="s">
        <v>95</v>
      </c>
      <c r="K124">
        <v>0</v>
      </c>
    </row>
    <row r="125" spans="1:11">
      <c r="I125" t="s">
        <v>91</v>
      </c>
      <c r="J125" t="s">
        <v>92</v>
      </c>
      <c r="K125">
        <v>0</v>
      </c>
    </row>
    <row r="126" spans="1:11">
      <c r="I126" t="s">
        <v>94</v>
      </c>
      <c r="J126" t="s">
        <v>95</v>
      </c>
      <c r="K126">
        <v>0</v>
      </c>
    </row>
    <row r="127" spans="1:11">
      <c r="I127" t="s">
        <v>91</v>
      </c>
      <c r="J127" t="s">
        <v>92</v>
      </c>
      <c r="K127">
        <v>0</v>
      </c>
    </row>
    <row r="128" spans="1:11">
      <c r="I128" t="s">
        <v>91</v>
      </c>
      <c r="J128" t="s">
        <v>92</v>
      </c>
      <c r="K128">
        <v>0</v>
      </c>
    </row>
    <row r="129" spans="9:11">
      <c r="I129" t="s">
        <v>94</v>
      </c>
      <c r="J129" t="s">
        <v>95</v>
      </c>
      <c r="K129">
        <v>0</v>
      </c>
    </row>
    <row r="130" spans="9:11">
      <c r="I130" t="s">
        <v>94</v>
      </c>
      <c r="J130" t="s">
        <v>95</v>
      </c>
      <c r="K130">
        <v>0</v>
      </c>
    </row>
    <row r="131" spans="9:11">
      <c r="I131" t="s">
        <v>94</v>
      </c>
      <c r="J131" t="s">
        <v>95</v>
      </c>
      <c r="K131">
        <v>0</v>
      </c>
    </row>
    <row r="132" spans="9:11">
      <c r="I132" t="s">
        <v>94</v>
      </c>
      <c r="J132" t="s">
        <v>95</v>
      </c>
      <c r="K132">
        <v>0</v>
      </c>
    </row>
    <row r="133" spans="9:11">
      <c r="I133" t="s">
        <v>94</v>
      </c>
      <c r="J133" t="s">
        <v>95</v>
      </c>
      <c r="K133">
        <v>0</v>
      </c>
    </row>
    <row r="134" spans="9:11">
      <c r="I134" t="s">
        <v>94</v>
      </c>
      <c r="J134" t="s">
        <v>95</v>
      </c>
      <c r="K134">
        <v>0</v>
      </c>
    </row>
    <row r="135" spans="9:11">
      <c r="I135" t="s">
        <v>94</v>
      </c>
      <c r="J135" t="s">
        <v>95</v>
      </c>
      <c r="K135">
        <v>0</v>
      </c>
    </row>
    <row r="136" spans="9:11">
      <c r="I136" t="s">
        <v>91</v>
      </c>
      <c r="J136" t="s">
        <v>92</v>
      </c>
      <c r="K136">
        <v>0</v>
      </c>
    </row>
    <row r="137" spans="9:11">
      <c r="I137" t="s">
        <v>94</v>
      </c>
      <c r="J137" t="s">
        <v>95</v>
      </c>
      <c r="K137">
        <v>0</v>
      </c>
    </row>
    <row r="138" spans="9:11">
      <c r="I138" t="s">
        <v>94</v>
      </c>
      <c r="J138" t="s">
        <v>95</v>
      </c>
      <c r="K138">
        <v>0</v>
      </c>
    </row>
    <row r="139" spans="9:11">
      <c r="I139" t="s">
        <v>94</v>
      </c>
      <c r="J139" t="s">
        <v>95</v>
      </c>
      <c r="K139">
        <v>0</v>
      </c>
    </row>
    <row r="140" spans="9:11">
      <c r="I140" t="s">
        <v>91</v>
      </c>
      <c r="J140" t="s">
        <v>92</v>
      </c>
      <c r="K140">
        <v>0</v>
      </c>
    </row>
    <row r="141" spans="9:11">
      <c r="I141" t="s">
        <v>91</v>
      </c>
      <c r="J141" t="s">
        <v>92</v>
      </c>
      <c r="K141">
        <v>0</v>
      </c>
    </row>
    <row r="142" spans="9:11">
      <c r="I142" t="s">
        <v>91</v>
      </c>
      <c r="J142" t="s">
        <v>92</v>
      </c>
      <c r="K142">
        <v>1</v>
      </c>
    </row>
    <row r="143" spans="9:11">
      <c r="I143" t="s">
        <v>91</v>
      </c>
      <c r="J143" t="s">
        <v>92</v>
      </c>
      <c r="K143">
        <v>0</v>
      </c>
    </row>
    <row r="144" spans="9:11">
      <c r="I144" t="s">
        <v>91</v>
      </c>
      <c r="J144" t="s">
        <v>92</v>
      </c>
      <c r="K144">
        <v>0</v>
      </c>
    </row>
    <row r="145" spans="9:11">
      <c r="I145" t="s">
        <v>94</v>
      </c>
      <c r="J145" t="s">
        <v>95</v>
      </c>
      <c r="K145">
        <v>0</v>
      </c>
    </row>
    <row r="146" spans="9:11">
      <c r="I146" t="s">
        <v>91</v>
      </c>
      <c r="J146" t="s">
        <v>92</v>
      </c>
      <c r="K146">
        <v>0</v>
      </c>
    </row>
    <row r="147" spans="9:11">
      <c r="I147" t="s">
        <v>91</v>
      </c>
      <c r="J147" t="s">
        <v>92</v>
      </c>
      <c r="K147">
        <v>1</v>
      </c>
    </row>
    <row r="148" spans="9:11">
      <c r="I148" t="s">
        <v>94</v>
      </c>
      <c r="J148" t="s">
        <v>95</v>
      </c>
      <c r="K148">
        <v>0</v>
      </c>
    </row>
    <row r="149" spans="9:11">
      <c r="I149" t="s">
        <v>91</v>
      </c>
      <c r="J149" t="s">
        <v>92</v>
      </c>
      <c r="K149">
        <v>0</v>
      </c>
    </row>
    <row r="150" spans="9:11">
      <c r="I150" t="s">
        <v>91</v>
      </c>
      <c r="J150" t="s">
        <v>92</v>
      </c>
      <c r="K150">
        <v>0</v>
      </c>
    </row>
    <row r="151" spans="9:11">
      <c r="I151" t="s">
        <v>94</v>
      </c>
      <c r="J151" t="s">
        <v>95</v>
      </c>
      <c r="K151">
        <v>0</v>
      </c>
    </row>
    <row r="152" spans="9:11">
      <c r="I152" t="s">
        <v>94</v>
      </c>
      <c r="J152" t="s">
        <v>95</v>
      </c>
      <c r="K152">
        <v>0</v>
      </c>
    </row>
    <row r="153" spans="9:11">
      <c r="I153" t="s">
        <v>91</v>
      </c>
      <c r="J153" t="s">
        <v>92</v>
      </c>
      <c r="K153">
        <v>0</v>
      </c>
    </row>
    <row r="154" spans="9:11">
      <c r="I154" t="s">
        <v>91</v>
      </c>
      <c r="J154" t="s">
        <v>92</v>
      </c>
      <c r="K154">
        <v>0</v>
      </c>
    </row>
    <row r="155" spans="9:11">
      <c r="I155" t="s">
        <v>91</v>
      </c>
      <c r="J155" t="s">
        <v>92</v>
      </c>
      <c r="K155">
        <v>0</v>
      </c>
    </row>
    <row r="156" spans="9:11">
      <c r="I156" t="s">
        <v>91</v>
      </c>
      <c r="J156" t="s">
        <v>92</v>
      </c>
      <c r="K156">
        <v>0</v>
      </c>
    </row>
    <row r="157" spans="9:11">
      <c r="I157" t="s">
        <v>94</v>
      </c>
      <c r="J157" t="s">
        <v>95</v>
      </c>
      <c r="K157">
        <v>0</v>
      </c>
    </row>
    <row r="158" spans="9:11">
      <c r="I158" t="s">
        <v>91</v>
      </c>
      <c r="J158" t="s">
        <v>92</v>
      </c>
      <c r="K158">
        <v>0</v>
      </c>
    </row>
    <row r="159" spans="9:11">
      <c r="I159" t="s">
        <v>94</v>
      </c>
      <c r="J159" t="s">
        <v>95</v>
      </c>
      <c r="K159">
        <v>0</v>
      </c>
    </row>
    <row r="160" spans="9:11">
      <c r="I160" t="s">
        <v>94</v>
      </c>
      <c r="J160" t="s">
        <v>95</v>
      </c>
      <c r="K160">
        <v>0</v>
      </c>
    </row>
    <row r="161" spans="9:11">
      <c r="I161" t="s">
        <v>91</v>
      </c>
      <c r="J161" t="s">
        <v>92</v>
      </c>
      <c r="K161">
        <v>0</v>
      </c>
    </row>
    <row r="162" spans="9:11">
      <c r="I162" t="s">
        <v>94</v>
      </c>
      <c r="J162" t="s">
        <v>95</v>
      </c>
      <c r="K162">
        <v>0</v>
      </c>
    </row>
    <row r="163" spans="9:11">
      <c r="I163" t="s">
        <v>91</v>
      </c>
      <c r="J163" t="s">
        <v>92</v>
      </c>
      <c r="K163">
        <v>0</v>
      </c>
    </row>
    <row r="164" spans="9:11">
      <c r="I164" t="s">
        <v>94</v>
      </c>
      <c r="J164" t="s">
        <v>95</v>
      </c>
      <c r="K164">
        <v>0</v>
      </c>
    </row>
    <row r="165" spans="9:11">
      <c r="I165" t="s">
        <v>94</v>
      </c>
      <c r="J165" t="s">
        <v>95</v>
      </c>
      <c r="K165">
        <v>0</v>
      </c>
    </row>
    <row r="166" spans="9:11">
      <c r="I166" t="s">
        <v>91</v>
      </c>
      <c r="J166" t="s">
        <v>92</v>
      </c>
      <c r="K166">
        <v>0</v>
      </c>
    </row>
    <row r="167" spans="9:11">
      <c r="I167" t="s">
        <v>94</v>
      </c>
      <c r="J167" t="s">
        <v>95</v>
      </c>
      <c r="K167">
        <v>0</v>
      </c>
    </row>
    <row r="168" spans="9:11">
      <c r="I168" t="s">
        <v>91</v>
      </c>
      <c r="J168" t="s">
        <v>92</v>
      </c>
      <c r="K168">
        <v>0</v>
      </c>
    </row>
    <row r="169" spans="9:11">
      <c r="I169" t="s">
        <v>94</v>
      </c>
      <c r="J169" t="s">
        <v>95</v>
      </c>
      <c r="K169">
        <v>0</v>
      </c>
    </row>
    <row r="170" spans="9:11">
      <c r="I170" t="s">
        <v>91</v>
      </c>
      <c r="J170" t="s">
        <v>92</v>
      </c>
      <c r="K170">
        <v>0</v>
      </c>
    </row>
    <row r="171" spans="9:11">
      <c r="I171" t="s">
        <v>94</v>
      </c>
      <c r="J171" t="s">
        <v>95</v>
      </c>
      <c r="K171">
        <v>0</v>
      </c>
    </row>
    <row r="172" spans="9:11">
      <c r="I172" t="s">
        <v>94</v>
      </c>
      <c r="J172" t="s">
        <v>95</v>
      </c>
      <c r="K172">
        <v>0</v>
      </c>
    </row>
    <row r="173" spans="9:11">
      <c r="I173" t="s">
        <v>94</v>
      </c>
      <c r="J173" t="s">
        <v>95</v>
      </c>
      <c r="K173">
        <v>0</v>
      </c>
    </row>
    <row r="174" spans="9:11">
      <c r="I174" t="s">
        <v>94</v>
      </c>
      <c r="J174" t="s">
        <v>95</v>
      </c>
      <c r="K174">
        <v>0</v>
      </c>
    </row>
    <row r="175" spans="9:11">
      <c r="I175" t="s">
        <v>91</v>
      </c>
      <c r="J175" t="s">
        <v>92</v>
      </c>
      <c r="K175">
        <v>0</v>
      </c>
    </row>
    <row r="176" spans="9:11">
      <c r="I176" t="s">
        <v>91</v>
      </c>
      <c r="J176" t="s">
        <v>92</v>
      </c>
      <c r="K176">
        <v>0</v>
      </c>
    </row>
    <row r="177" spans="9:11">
      <c r="I177" t="s">
        <v>91</v>
      </c>
      <c r="J177" t="s">
        <v>92</v>
      </c>
      <c r="K177">
        <v>0</v>
      </c>
    </row>
    <row r="178" spans="9:11">
      <c r="I178" t="s">
        <v>94</v>
      </c>
      <c r="J178" t="s">
        <v>95</v>
      </c>
      <c r="K178">
        <v>0</v>
      </c>
    </row>
    <row r="179" spans="9:11">
      <c r="I179" t="s">
        <v>91</v>
      </c>
      <c r="J179" t="s">
        <v>92</v>
      </c>
      <c r="K179">
        <v>0</v>
      </c>
    </row>
    <row r="180" spans="9:11">
      <c r="I180" t="s">
        <v>91</v>
      </c>
      <c r="J180" t="s">
        <v>92</v>
      </c>
      <c r="K180">
        <v>0</v>
      </c>
    </row>
    <row r="181" spans="9:11">
      <c r="I181" t="s">
        <v>94</v>
      </c>
      <c r="J181" t="s">
        <v>95</v>
      </c>
      <c r="K181">
        <v>0</v>
      </c>
    </row>
    <row r="182" spans="9:11">
      <c r="I182" t="s">
        <v>94</v>
      </c>
      <c r="J182" t="s">
        <v>95</v>
      </c>
      <c r="K182">
        <v>0</v>
      </c>
    </row>
    <row r="183" spans="9:11">
      <c r="I183" t="s">
        <v>94</v>
      </c>
      <c r="J183" t="s">
        <v>95</v>
      </c>
      <c r="K183">
        <v>0</v>
      </c>
    </row>
    <row r="184" spans="9:11">
      <c r="I184" t="s">
        <v>91</v>
      </c>
      <c r="J184" t="s">
        <v>92</v>
      </c>
      <c r="K184">
        <v>0</v>
      </c>
    </row>
    <row r="185" spans="9:11">
      <c r="I185" t="s">
        <v>91</v>
      </c>
      <c r="J185" t="s">
        <v>92</v>
      </c>
      <c r="K185">
        <v>0</v>
      </c>
    </row>
    <row r="186" spans="9:11">
      <c r="I186" t="s">
        <v>94</v>
      </c>
      <c r="J186" t="s">
        <v>95</v>
      </c>
      <c r="K186">
        <v>0</v>
      </c>
    </row>
    <row r="187" spans="9:11">
      <c r="I187" t="s">
        <v>91</v>
      </c>
      <c r="J187" t="s">
        <v>92</v>
      </c>
      <c r="K187">
        <v>0</v>
      </c>
    </row>
    <row r="188" spans="9:11">
      <c r="I188" t="s">
        <v>91</v>
      </c>
      <c r="J188" t="s">
        <v>92</v>
      </c>
      <c r="K188">
        <v>0</v>
      </c>
    </row>
    <row r="189" spans="9:11">
      <c r="I189" t="s">
        <v>94</v>
      </c>
      <c r="J189" t="s">
        <v>95</v>
      </c>
      <c r="K189">
        <v>0</v>
      </c>
    </row>
    <row r="190" spans="9:11">
      <c r="I190" t="s">
        <v>94</v>
      </c>
      <c r="J190" t="s">
        <v>95</v>
      </c>
      <c r="K190">
        <v>0</v>
      </c>
    </row>
    <row r="191" spans="9:11">
      <c r="I191" t="s">
        <v>91</v>
      </c>
      <c r="J191" t="s">
        <v>92</v>
      </c>
      <c r="K191">
        <v>0</v>
      </c>
    </row>
    <row r="192" spans="9:11">
      <c r="I192" t="s">
        <v>91</v>
      </c>
      <c r="J192" t="s">
        <v>92</v>
      </c>
      <c r="K192">
        <v>0</v>
      </c>
    </row>
    <row r="193" spans="9:11">
      <c r="I193" t="s">
        <v>91</v>
      </c>
      <c r="J193" t="s">
        <v>92</v>
      </c>
      <c r="K193">
        <v>0</v>
      </c>
    </row>
    <row r="194" spans="9:11">
      <c r="I194" t="s">
        <v>91</v>
      </c>
      <c r="J194" t="s">
        <v>92</v>
      </c>
      <c r="K194">
        <v>0</v>
      </c>
    </row>
    <row r="195" spans="9:11">
      <c r="I195" t="s">
        <v>91</v>
      </c>
      <c r="J195" t="s">
        <v>92</v>
      </c>
      <c r="K195">
        <v>0</v>
      </c>
    </row>
    <row r="196" spans="9:11">
      <c r="I196" t="s">
        <v>94</v>
      </c>
      <c r="J196" t="s">
        <v>95</v>
      </c>
      <c r="K196">
        <v>0</v>
      </c>
    </row>
    <row r="197" spans="9:11">
      <c r="I197" t="s">
        <v>94</v>
      </c>
      <c r="J197" t="s">
        <v>95</v>
      </c>
      <c r="K197">
        <v>0</v>
      </c>
    </row>
    <row r="198" spans="9:11">
      <c r="I198" t="s">
        <v>91</v>
      </c>
      <c r="J198" t="s">
        <v>92</v>
      </c>
      <c r="K198">
        <v>0</v>
      </c>
    </row>
    <row r="199" spans="9:11">
      <c r="I199" t="s">
        <v>94</v>
      </c>
      <c r="J199" t="s">
        <v>95</v>
      </c>
      <c r="K199">
        <v>0</v>
      </c>
    </row>
    <row r="200" spans="9:11">
      <c r="I200" t="s">
        <v>94</v>
      </c>
      <c r="J200" t="s">
        <v>95</v>
      </c>
      <c r="K200">
        <v>0</v>
      </c>
    </row>
    <row r="201" spans="9:11">
      <c r="I201" t="s">
        <v>94</v>
      </c>
      <c r="J201" t="s">
        <v>95</v>
      </c>
      <c r="K201">
        <v>0</v>
      </c>
    </row>
    <row r="202" spans="9:11">
      <c r="I202" t="s">
        <v>94</v>
      </c>
      <c r="J202" t="s">
        <v>95</v>
      </c>
      <c r="K202">
        <v>0</v>
      </c>
    </row>
    <row r="203" spans="9:11">
      <c r="I203" t="s">
        <v>94</v>
      </c>
      <c r="J203" t="s">
        <v>95</v>
      </c>
      <c r="K203">
        <v>0</v>
      </c>
    </row>
    <row r="204" spans="9:11">
      <c r="I204" t="s">
        <v>91</v>
      </c>
      <c r="J204" t="s">
        <v>92</v>
      </c>
      <c r="K204">
        <v>0</v>
      </c>
    </row>
    <row r="205" spans="9:11">
      <c r="I205" t="s">
        <v>94</v>
      </c>
      <c r="J205" t="s">
        <v>95</v>
      </c>
      <c r="K205">
        <v>0</v>
      </c>
    </row>
    <row r="206" spans="9:11">
      <c r="I206" t="s">
        <v>94</v>
      </c>
      <c r="J206" t="s">
        <v>95</v>
      </c>
      <c r="K206">
        <v>0</v>
      </c>
    </row>
    <row r="207" spans="9:11">
      <c r="I207" t="s">
        <v>91</v>
      </c>
      <c r="J207" t="s">
        <v>92</v>
      </c>
      <c r="K207">
        <v>0</v>
      </c>
    </row>
    <row r="208" spans="9:11">
      <c r="I208" t="s">
        <v>91</v>
      </c>
      <c r="J208" t="s">
        <v>92</v>
      </c>
      <c r="K208">
        <v>0</v>
      </c>
    </row>
    <row r="209" spans="9:11">
      <c r="I209" t="s">
        <v>91</v>
      </c>
      <c r="J209" t="s">
        <v>92</v>
      </c>
      <c r="K209">
        <v>0</v>
      </c>
    </row>
    <row r="210" spans="9:11">
      <c r="I210" t="s">
        <v>94</v>
      </c>
      <c r="J210" t="s">
        <v>95</v>
      </c>
      <c r="K210">
        <v>0</v>
      </c>
    </row>
    <row r="211" spans="9:11">
      <c r="I211" t="s">
        <v>94</v>
      </c>
      <c r="J211" t="s">
        <v>95</v>
      </c>
      <c r="K211">
        <v>0</v>
      </c>
    </row>
    <row r="212" spans="9:11">
      <c r="I212" t="s">
        <v>94</v>
      </c>
      <c r="J212" t="s">
        <v>95</v>
      </c>
      <c r="K212">
        <v>0</v>
      </c>
    </row>
    <row r="213" spans="9:11">
      <c r="I213" t="s">
        <v>91</v>
      </c>
      <c r="J213" t="s">
        <v>92</v>
      </c>
      <c r="K213">
        <v>0</v>
      </c>
    </row>
    <row r="214" spans="9:11">
      <c r="I214" t="s">
        <v>94</v>
      </c>
      <c r="J214" t="s">
        <v>95</v>
      </c>
      <c r="K214">
        <v>1</v>
      </c>
    </row>
    <row r="215" spans="9:11">
      <c r="I215" t="s">
        <v>94</v>
      </c>
      <c r="J215" t="s">
        <v>95</v>
      </c>
      <c r="K215">
        <v>0</v>
      </c>
    </row>
    <row r="216" spans="9:11">
      <c r="I216" t="s">
        <v>91</v>
      </c>
      <c r="J216" t="s">
        <v>92</v>
      </c>
      <c r="K216">
        <v>0</v>
      </c>
    </row>
    <row r="217" spans="9:11">
      <c r="I217" t="s">
        <v>94</v>
      </c>
      <c r="J217" t="s">
        <v>95</v>
      </c>
      <c r="K217">
        <v>0</v>
      </c>
    </row>
    <row r="218" spans="9:11">
      <c r="I218" t="s">
        <v>94</v>
      </c>
      <c r="J218" t="s">
        <v>95</v>
      </c>
      <c r="K218">
        <v>0</v>
      </c>
    </row>
    <row r="219" spans="9:11">
      <c r="I219" t="s">
        <v>91</v>
      </c>
      <c r="J219" t="s">
        <v>92</v>
      </c>
      <c r="K219">
        <v>0</v>
      </c>
    </row>
    <row r="220" spans="9:11">
      <c r="I220" t="s">
        <v>91</v>
      </c>
      <c r="J220" t="s">
        <v>92</v>
      </c>
      <c r="K220">
        <v>0</v>
      </c>
    </row>
    <row r="221" spans="9:11">
      <c r="I221" t="s">
        <v>94</v>
      </c>
      <c r="J221" t="s">
        <v>95</v>
      </c>
      <c r="K221">
        <v>0</v>
      </c>
    </row>
    <row r="222" spans="9:11">
      <c r="I222" t="s">
        <v>91</v>
      </c>
      <c r="J222" t="s">
        <v>92</v>
      </c>
      <c r="K222">
        <v>0</v>
      </c>
    </row>
    <row r="223" spans="9:11">
      <c r="I223" t="s">
        <v>91</v>
      </c>
      <c r="J223" t="s">
        <v>92</v>
      </c>
      <c r="K223">
        <v>0</v>
      </c>
    </row>
    <row r="224" spans="9:11">
      <c r="I224" t="s">
        <v>91</v>
      </c>
      <c r="J224" t="s">
        <v>92</v>
      </c>
      <c r="K224">
        <v>0</v>
      </c>
    </row>
    <row r="225" spans="9:11">
      <c r="I225" t="s">
        <v>94</v>
      </c>
      <c r="J225" t="s">
        <v>95</v>
      </c>
      <c r="K225">
        <v>0</v>
      </c>
    </row>
    <row r="226" spans="9:11">
      <c r="I226" t="s">
        <v>94</v>
      </c>
      <c r="J226" t="s">
        <v>95</v>
      </c>
      <c r="K226">
        <v>0</v>
      </c>
    </row>
    <row r="227" spans="9:11">
      <c r="I227" t="s">
        <v>94</v>
      </c>
      <c r="J227" t="s">
        <v>95</v>
      </c>
      <c r="K227">
        <v>0</v>
      </c>
    </row>
    <row r="228" spans="9:11">
      <c r="I228" t="s">
        <v>91</v>
      </c>
      <c r="J228" t="s">
        <v>92</v>
      </c>
      <c r="K228">
        <v>0</v>
      </c>
    </row>
    <row r="229" spans="9:11">
      <c r="I229" t="s">
        <v>91</v>
      </c>
      <c r="J229" t="s">
        <v>92</v>
      </c>
      <c r="K229">
        <v>0</v>
      </c>
    </row>
    <row r="230" spans="9:11">
      <c r="I230" t="s">
        <v>91</v>
      </c>
      <c r="J230" t="s">
        <v>92</v>
      </c>
      <c r="K230">
        <v>0</v>
      </c>
    </row>
    <row r="231" spans="9:11">
      <c r="I231" t="s">
        <v>91</v>
      </c>
      <c r="J231" t="s">
        <v>92</v>
      </c>
      <c r="K231">
        <v>0</v>
      </c>
    </row>
    <row r="232" spans="9:11">
      <c r="I232" t="s">
        <v>91</v>
      </c>
      <c r="J232" t="s">
        <v>92</v>
      </c>
      <c r="K232">
        <v>0</v>
      </c>
    </row>
    <row r="233" spans="9:11">
      <c r="I233" t="s">
        <v>91</v>
      </c>
      <c r="J233" t="s">
        <v>92</v>
      </c>
      <c r="K233">
        <v>0</v>
      </c>
    </row>
    <row r="234" spans="9:11">
      <c r="I234" t="s">
        <v>91</v>
      </c>
      <c r="J234" t="s">
        <v>92</v>
      </c>
      <c r="K234">
        <v>0</v>
      </c>
    </row>
    <row r="235" spans="9:11">
      <c r="I235" t="s">
        <v>94</v>
      </c>
      <c r="J235" t="s">
        <v>95</v>
      </c>
      <c r="K235">
        <v>0</v>
      </c>
    </row>
    <row r="236" spans="9:11">
      <c r="I236" t="s">
        <v>91</v>
      </c>
      <c r="J236" t="s">
        <v>92</v>
      </c>
      <c r="K236">
        <v>0</v>
      </c>
    </row>
    <row r="237" spans="9:11">
      <c r="I237" t="s">
        <v>91</v>
      </c>
      <c r="J237" t="s">
        <v>92</v>
      </c>
      <c r="K237">
        <v>0</v>
      </c>
    </row>
    <row r="238" spans="9:11">
      <c r="I238" t="s">
        <v>91</v>
      </c>
      <c r="J238" t="s">
        <v>92</v>
      </c>
      <c r="K238">
        <v>0</v>
      </c>
    </row>
    <row r="239" spans="9:11">
      <c r="I239" t="s">
        <v>91</v>
      </c>
      <c r="J239" t="s">
        <v>92</v>
      </c>
      <c r="K239">
        <v>0</v>
      </c>
    </row>
    <row r="240" spans="9:11">
      <c r="I240" t="s">
        <v>94</v>
      </c>
      <c r="J240" t="s">
        <v>95</v>
      </c>
      <c r="K240">
        <v>1</v>
      </c>
    </row>
    <row r="241" spans="9:11">
      <c r="I241" t="s">
        <v>94</v>
      </c>
      <c r="J241" t="s">
        <v>95</v>
      </c>
      <c r="K241">
        <v>0</v>
      </c>
    </row>
    <row r="242" spans="9:11">
      <c r="I242" t="s">
        <v>94</v>
      </c>
      <c r="J242" t="s">
        <v>95</v>
      </c>
      <c r="K242">
        <v>0</v>
      </c>
    </row>
    <row r="243" spans="9:11">
      <c r="I243" t="s">
        <v>94</v>
      </c>
      <c r="J243" t="s">
        <v>95</v>
      </c>
      <c r="K243">
        <v>0</v>
      </c>
    </row>
    <row r="244" spans="9:11">
      <c r="I244" t="s">
        <v>91</v>
      </c>
      <c r="J244" t="s">
        <v>92</v>
      </c>
      <c r="K244">
        <v>0</v>
      </c>
    </row>
    <row r="245" spans="9:11">
      <c r="I245" t="s">
        <v>94</v>
      </c>
      <c r="J245" t="s">
        <v>95</v>
      </c>
      <c r="K245">
        <v>0</v>
      </c>
    </row>
    <row r="246" spans="9:11">
      <c r="I246" t="s">
        <v>91</v>
      </c>
      <c r="J246" t="s">
        <v>92</v>
      </c>
      <c r="K246">
        <v>0</v>
      </c>
    </row>
    <row r="247" spans="9:11">
      <c r="I247" t="s">
        <v>94</v>
      </c>
      <c r="J247" t="s">
        <v>95</v>
      </c>
      <c r="K247">
        <v>0</v>
      </c>
    </row>
    <row r="248" spans="9:11">
      <c r="I248" t="s">
        <v>91</v>
      </c>
      <c r="J248" t="s">
        <v>92</v>
      </c>
      <c r="K248">
        <v>0</v>
      </c>
    </row>
    <row r="249" spans="9:11">
      <c r="I249" t="s">
        <v>94</v>
      </c>
      <c r="J249" t="s">
        <v>95</v>
      </c>
      <c r="K249">
        <v>0</v>
      </c>
    </row>
    <row r="250" spans="9:11">
      <c r="I250" t="s">
        <v>94</v>
      </c>
      <c r="J250" t="s">
        <v>95</v>
      </c>
      <c r="K250">
        <v>0</v>
      </c>
    </row>
    <row r="251" spans="9:11">
      <c r="I251" t="s">
        <v>91</v>
      </c>
      <c r="J251" t="s">
        <v>92</v>
      </c>
      <c r="K251">
        <v>0</v>
      </c>
    </row>
    <row r="252" spans="9:11">
      <c r="I252" t="s">
        <v>91</v>
      </c>
      <c r="J252" t="s">
        <v>92</v>
      </c>
      <c r="K252">
        <v>0</v>
      </c>
    </row>
    <row r="253" spans="9:11">
      <c r="I253" t="s">
        <v>94</v>
      </c>
      <c r="J253" t="s">
        <v>95</v>
      </c>
      <c r="K253">
        <v>0</v>
      </c>
    </row>
    <row r="254" spans="9:11">
      <c r="I254" t="s">
        <v>94</v>
      </c>
      <c r="J254" t="s">
        <v>95</v>
      </c>
      <c r="K254">
        <v>0</v>
      </c>
    </row>
    <row r="255" spans="9:11">
      <c r="I255" t="s">
        <v>91</v>
      </c>
      <c r="J255" t="s">
        <v>92</v>
      </c>
      <c r="K255">
        <v>0</v>
      </c>
    </row>
    <row r="256" spans="9:11">
      <c r="I256" t="s">
        <v>94</v>
      </c>
      <c r="J256" t="s">
        <v>95</v>
      </c>
      <c r="K256">
        <v>0</v>
      </c>
    </row>
    <row r="257" spans="9:11">
      <c r="I257" t="s">
        <v>94</v>
      </c>
      <c r="J257" t="s">
        <v>95</v>
      </c>
      <c r="K257">
        <v>0</v>
      </c>
    </row>
    <row r="258" spans="9:11">
      <c r="I258" t="s">
        <v>91</v>
      </c>
      <c r="J258" t="s">
        <v>92</v>
      </c>
      <c r="K258">
        <v>0</v>
      </c>
    </row>
    <row r="259" spans="9:11">
      <c r="I259" t="s">
        <v>91</v>
      </c>
      <c r="J259" t="s">
        <v>92</v>
      </c>
      <c r="K259">
        <v>0</v>
      </c>
    </row>
    <row r="260" spans="9:11">
      <c r="I260" t="s">
        <v>91</v>
      </c>
      <c r="J260" t="s">
        <v>92</v>
      </c>
      <c r="K260">
        <v>0</v>
      </c>
    </row>
    <row r="261" spans="9:11">
      <c r="I261" t="s">
        <v>94</v>
      </c>
      <c r="J261" t="s">
        <v>95</v>
      </c>
      <c r="K261">
        <v>0</v>
      </c>
    </row>
    <row r="262" spans="9:11">
      <c r="I262" t="s">
        <v>91</v>
      </c>
      <c r="J262" t="s">
        <v>92</v>
      </c>
      <c r="K262">
        <v>0</v>
      </c>
    </row>
    <row r="263" spans="9:11">
      <c r="I263" t="s">
        <v>91</v>
      </c>
      <c r="J263" t="s">
        <v>92</v>
      </c>
      <c r="K263">
        <v>1</v>
      </c>
    </row>
    <row r="264" spans="9:11">
      <c r="I264" t="s">
        <v>91</v>
      </c>
      <c r="J264" t="s">
        <v>92</v>
      </c>
      <c r="K264">
        <v>0</v>
      </c>
    </row>
    <row r="265" spans="9:11">
      <c r="I265" t="s">
        <v>94</v>
      </c>
      <c r="J265" t="s">
        <v>95</v>
      </c>
      <c r="K265">
        <v>0</v>
      </c>
    </row>
    <row r="266" spans="9:11">
      <c r="I266" t="s">
        <v>91</v>
      </c>
      <c r="J266" t="s">
        <v>92</v>
      </c>
      <c r="K266">
        <v>0</v>
      </c>
    </row>
    <row r="267" spans="9:11">
      <c r="I267" t="s">
        <v>94</v>
      </c>
      <c r="J267" t="s">
        <v>95</v>
      </c>
      <c r="K267">
        <v>0</v>
      </c>
    </row>
    <row r="268" spans="9:11">
      <c r="I268" t="s">
        <v>94</v>
      </c>
      <c r="J268" t="s">
        <v>95</v>
      </c>
      <c r="K268">
        <v>1</v>
      </c>
    </row>
    <row r="269" spans="9:11">
      <c r="I269" t="s">
        <v>91</v>
      </c>
      <c r="J269" t="s">
        <v>92</v>
      </c>
      <c r="K269">
        <v>0</v>
      </c>
    </row>
    <row r="270" spans="9:11">
      <c r="I270" t="s">
        <v>91</v>
      </c>
      <c r="J270" t="s">
        <v>92</v>
      </c>
      <c r="K270">
        <v>0</v>
      </c>
    </row>
    <row r="271" spans="9:11">
      <c r="I271" t="s">
        <v>94</v>
      </c>
      <c r="J271" t="s">
        <v>95</v>
      </c>
      <c r="K271">
        <v>0</v>
      </c>
    </row>
    <row r="272" spans="9:11">
      <c r="I272" t="s">
        <v>94</v>
      </c>
      <c r="J272" t="s">
        <v>95</v>
      </c>
      <c r="K272">
        <v>0</v>
      </c>
    </row>
    <row r="273" spans="9:11">
      <c r="I273" t="s">
        <v>94</v>
      </c>
      <c r="J273" t="s">
        <v>95</v>
      </c>
      <c r="K273">
        <v>0</v>
      </c>
    </row>
    <row r="274" spans="9:11">
      <c r="I274" t="s">
        <v>94</v>
      </c>
      <c r="J274" t="s">
        <v>95</v>
      </c>
      <c r="K274">
        <v>0</v>
      </c>
    </row>
    <row r="275" spans="9:11">
      <c r="I275" t="s">
        <v>91</v>
      </c>
      <c r="J275" t="s">
        <v>92</v>
      </c>
      <c r="K275">
        <v>0</v>
      </c>
    </row>
    <row r="276" spans="9:11">
      <c r="I276" t="s">
        <v>91</v>
      </c>
      <c r="J276" t="s">
        <v>92</v>
      </c>
      <c r="K276">
        <v>0</v>
      </c>
    </row>
    <row r="277" spans="9:11">
      <c r="I277" t="s">
        <v>94</v>
      </c>
      <c r="J277" t="s">
        <v>95</v>
      </c>
      <c r="K277">
        <v>0</v>
      </c>
    </row>
    <row r="278" spans="9:11">
      <c r="I278" t="s">
        <v>94</v>
      </c>
      <c r="J278" t="s">
        <v>95</v>
      </c>
      <c r="K278">
        <v>0</v>
      </c>
    </row>
    <row r="279" spans="9:11">
      <c r="I279" t="s">
        <v>91</v>
      </c>
      <c r="J279" t="s">
        <v>92</v>
      </c>
      <c r="K279">
        <v>0</v>
      </c>
    </row>
    <row r="280" spans="9:11">
      <c r="I280" t="s">
        <v>94</v>
      </c>
      <c r="J280" t="s">
        <v>95</v>
      </c>
      <c r="K280">
        <v>0</v>
      </c>
    </row>
    <row r="281" spans="9:11">
      <c r="I281" t="s">
        <v>94</v>
      </c>
      <c r="J281" t="s">
        <v>95</v>
      </c>
      <c r="K281">
        <v>0</v>
      </c>
    </row>
    <row r="282" spans="9:11">
      <c r="I282" t="s">
        <v>94</v>
      </c>
      <c r="J282" t="s">
        <v>95</v>
      </c>
      <c r="K282">
        <v>0</v>
      </c>
    </row>
    <row r="283" spans="9:11">
      <c r="I283" t="s">
        <v>91</v>
      </c>
      <c r="J283" t="s">
        <v>92</v>
      </c>
      <c r="K283">
        <v>0</v>
      </c>
    </row>
    <row r="284" spans="9:11">
      <c r="I284" t="s">
        <v>91</v>
      </c>
      <c r="J284" t="s">
        <v>92</v>
      </c>
      <c r="K284">
        <v>0</v>
      </c>
    </row>
    <row r="285" spans="9:11">
      <c r="I285" t="s">
        <v>94</v>
      </c>
      <c r="J285" t="s">
        <v>95</v>
      </c>
      <c r="K285">
        <v>0</v>
      </c>
    </row>
    <row r="286" spans="9:11">
      <c r="I286" t="s">
        <v>94</v>
      </c>
      <c r="J286" t="s">
        <v>95</v>
      </c>
      <c r="K286">
        <v>0</v>
      </c>
    </row>
    <row r="287" spans="9:11">
      <c r="I287" t="s">
        <v>94</v>
      </c>
      <c r="J287" t="s">
        <v>95</v>
      </c>
      <c r="K287">
        <v>0</v>
      </c>
    </row>
    <row r="288" spans="9:11">
      <c r="I288" t="s">
        <v>94</v>
      </c>
      <c r="J288" t="s">
        <v>95</v>
      </c>
      <c r="K288">
        <v>0</v>
      </c>
    </row>
    <row r="289" spans="9:11">
      <c r="I289" t="s">
        <v>91</v>
      </c>
      <c r="J289" t="s">
        <v>92</v>
      </c>
      <c r="K289">
        <v>0</v>
      </c>
    </row>
    <row r="290" spans="9:11">
      <c r="I290" t="s">
        <v>94</v>
      </c>
      <c r="J290" t="s">
        <v>95</v>
      </c>
      <c r="K290">
        <v>0</v>
      </c>
    </row>
    <row r="291" spans="9:11">
      <c r="I291" t="s">
        <v>91</v>
      </c>
      <c r="J291" t="s">
        <v>92</v>
      </c>
      <c r="K291">
        <v>0</v>
      </c>
    </row>
    <row r="292" spans="9:11">
      <c r="I292" t="s">
        <v>91</v>
      </c>
      <c r="J292" t="s">
        <v>92</v>
      </c>
      <c r="K292">
        <v>0</v>
      </c>
    </row>
    <row r="293" spans="9:11">
      <c r="I293" t="s">
        <v>94</v>
      </c>
      <c r="J293" t="s">
        <v>95</v>
      </c>
      <c r="K293">
        <v>0</v>
      </c>
    </row>
    <row r="294" spans="9:11">
      <c r="I294" t="s">
        <v>94</v>
      </c>
      <c r="J294" t="s">
        <v>95</v>
      </c>
      <c r="K294">
        <v>0</v>
      </c>
    </row>
    <row r="295" spans="9:11">
      <c r="I295" t="s">
        <v>94</v>
      </c>
      <c r="J295" t="s">
        <v>95</v>
      </c>
      <c r="K295">
        <v>0</v>
      </c>
    </row>
    <row r="296" spans="9:11">
      <c r="I296" t="s">
        <v>94</v>
      </c>
      <c r="J296" t="s">
        <v>95</v>
      </c>
      <c r="K296">
        <v>1</v>
      </c>
    </row>
    <row r="297" spans="9:11">
      <c r="I297" t="s">
        <v>94</v>
      </c>
      <c r="J297" t="s">
        <v>95</v>
      </c>
      <c r="K297">
        <v>1</v>
      </c>
    </row>
    <row r="298" spans="9:11">
      <c r="I298" t="s">
        <v>91</v>
      </c>
      <c r="J298" t="s">
        <v>92</v>
      </c>
      <c r="K298">
        <v>0</v>
      </c>
    </row>
    <row r="299" spans="9:11">
      <c r="I299" t="s">
        <v>91</v>
      </c>
      <c r="J299" t="s">
        <v>92</v>
      </c>
      <c r="K299">
        <v>0</v>
      </c>
    </row>
    <row r="300" spans="9:11">
      <c r="I300" t="s">
        <v>94</v>
      </c>
      <c r="J300" t="s">
        <v>95</v>
      </c>
      <c r="K300">
        <v>0</v>
      </c>
    </row>
    <row r="301" spans="9:11">
      <c r="I301" t="s">
        <v>94</v>
      </c>
      <c r="J301" t="s">
        <v>95</v>
      </c>
      <c r="K301">
        <v>0</v>
      </c>
    </row>
    <row r="302" spans="9:11">
      <c r="I302" t="s">
        <v>91</v>
      </c>
      <c r="J302" t="s">
        <v>92</v>
      </c>
      <c r="K302">
        <v>0</v>
      </c>
    </row>
    <row r="303" spans="9:11">
      <c r="I303" t="s">
        <v>91</v>
      </c>
      <c r="J303" t="s">
        <v>92</v>
      </c>
      <c r="K303">
        <v>0</v>
      </c>
    </row>
    <row r="304" spans="9:11">
      <c r="I304" t="s">
        <v>94</v>
      </c>
      <c r="J304" t="s">
        <v>95</v>
      </c>
      <c r="K304">
        <v>0</v>
      </c>
    </row>
    <row r="305" spans="9:11">
      <c r="I305" t="s">
        <v>94</v>
      </c>
      <c r="J305" t="s">
        <v>95</v>
      </c>
      <c r="K305">
        <v>0</v>
      </c>
    </row>
    <row r="306" spans="9:11">
      <c r="I306" t="s">
        <v>94</v>
      </c>
      <c r="J306" t="s">
        <v>95</v>
      </c>
      <c r="K306">
        <v>0</v>
      </c>
    </row>
    <row r="307" spans="9:11">
      <c r="I307" t="s">
        <v>91</v>
      </c>
      <c r="J307" t="s">
        <v>92</v>
      </c>
      <c r="K307">
        <v>0</v>
      </c>
    </row>
    <row r="308" spans="9:11">
      <c r="I308" t="s">
        <v>91</v>
      </c>
      <c r="J308" t="s">
        <v>92</v>
      </c>
      <c r="K308">
        <v>0</v>
      </c>
    </row>
    <row r="309" spans="9:11">
      <c r="I309" t="s">
        <v>94</v>
      </c>
      <c r="J309" t="s">
        <v>95</v>
      </c>
      <c r="K309">
        <v>0</v>
      </c>
    </row>
    <row r="310" spans="9:11">
      <c r="I310" t="s">
        <v>91</v>
      </c>
      <c r="J310" t="s">
        <v>92</v>
      </c>
      <c r="K310">
        <v>0</v>
      </c>
    </row>
    <row r="311" spans="9:11">
      <c r="I311" t="s">
        <v>94</v>
      </c>
      <c r="J311" t="s">
        <v>95</v>
      </c>
      <c r="K311">
        <v>0</v>
      </c>
    </row>
    <row r="312" spans="9:11">
      <c r="I312" t="s">
        <v>94</v>
      </c>
      <c r="J312" t="s">
        <v>95</v>
      </c>
      <c r="K312">
        <v>0</v>
      </c>
    </row>
    <row r="313" spans="9:11">
      <c r="I313" t="s">
        <v>91</v>
      </c>
      <c r="J313" t="s">
        <v>92</v>
      </c>
      <c r="K313">
        <v>0</v>
      </c>
    </row>
    <row r="314" spans="9:11">
      <c r="I314" t="s">
        <v>91</v>
      </c>
      <c r="J314" t="s">
        <v>92</v>
      </c>
      <c r="K314">
        <v>0</v>
      </c>
    </row>
    <row r="315" spans="9:11">
      <c r="I315" t="s">
        <v>91</v>
      </c>
      <c r="J315" t="s">
        <v>92</v>
      </c>
      <c r="K315">
        <v>0</v>
      </c>
    </row>
    <row r="316" spans="9:11">
      <c r="I316" t="s">
        <v>94</v>
      </c>
      <c r="J316" t="s">
        <v>95</v>
      </c>
      <c r="K316">
        <v>0</v>
      </c>
    </row>
    <row r="317" spans="9:11">
      <c r="I317" t="s">
        <v>94</v>
      </c>
      <c r="J317" t="s">
        <v>95</v>
      </c>
      <c r="K317">
        <v>0</v>
      </c>
    </row>
    <row r="318" spans="9:11">
      <c r="I318" t="s">
        <v>91</v>
      </c>
      <c r="J318" t="s">
        <v>92</v>
      </c>
      <c r="K318">
        <v>0</v>
      </c>
    </row>
    <row r="319" spans="9:11">
      <c r="I319" t="s">
        <v>94</v>
      </c>
      <c r="J319" t="s">
        <v>95</v>
      </c>
      <c r="K319">
        <v>0</v>
      </c>
    </row>
    <row r="320" spans="9:11">
      <c r="I320" t="s">
        <v>91</v>
      </c>
      <c r="J320" t="s">
        <v>92</v>
      </c>
      <c r="K320">
        <v>0</v>
      </c>
    </row>
    <row r="321" spans="9:11">
      <c r="I321" t="s">
        <v>94</v>
      </c>
      <c r="J321" t="s">
        <v>95</v>
      </c>
      <c r="K321">
        <v>0</v>
      </c>
    </row>
    <row r="322" spans="9:11">
      <c r="I322" t="s">
        <v>94</v>
      </c>
      <c r="J322" t="s">
        <v>95</v>
      </c>
      <c r="K322">
        <v>0</v>
      </c>
    </row>
    <row r="323" spans="9:11">
      <c r="I323" t="s">
        <v>94</v>
      </c>
      <c r="J323" t="s">
        <v>95</v>
      </c>
      <c r="K323">
        <v>0</v>
      </c>
    </row>
    <row r="324" spans="9:11">
      <c r="I324" t="s">
        <v>94</v>
      </c>
      <c r="J324" t="s">
        <v>95</v>
      </c>
      <c r="K324">
        <v>0</v>
      </c>
    </row>
    <row r="325" spans="9:11">
      <c r="I325" t="s">
        <v>91</v>
      </c>
      <c r="J325" t="s">
        <v>92</v>
      </c>
      <c r="K325">
        <v>0</v>
      </c>
    </row>
    <row r="326" spans="9:11">
      <c r="I326" t="s">
        <v>94</v>
      </c>
      <c r="J326" t="s">
        <v>95</v>
      </c>
      <c r="K326">
        <v>0</v>
      </c>
    </row>
    <row r="327" spans="9:11">
      <c r="I327" t="s">
        <v>94</v>
      </c>
      <c r="J327" t="s">
        <v>95</v>
      </c>
      <c r="K327">
        <v>0</v>
      </c>
    </row>
    <row r="328" spans="9:11">
      <c r="I328" t="s">
        <v>91</v>
      </c>
      <c r="J328" t="s">
        <v>92</v>
      </c>
      <c r="K328">
        <v>0</v>
      </c>
    </row>
    <row r="329" spans="9:11">
      <c r="I329" t="s">
        <v>91</v>
      </c>
      <c r="J329" t="s">
        <v>92</v>
      </c>
      <c r="K329">
        <v>0</v>
      </c>
    </row>
    <row r="330" spans="9:11">
      <c r="I330" t="s">
        <v>94</v>
      </c>
      <c r="J330" t="s">
        <v>95</v>
      </c>
      <c r="K330">
        <v>0</v>
      </c>
    </row>
    <row r="331" spans="9:11">
      <c r="I331" t="s">
        <v>91</v>
      </c>
      <c r="J331" t="s">
        <v>92</v>
      </c>
      <c r="K331">
        <v>0</v>
      </c>
    </row>
    <row r="332" spans="9:11">
      <c r="I332" t="s">
        <v>91</v>
      </c>
      <c r="J332" t="s">
        <v>92</v>
      </c>
      <c r="K332">
        <v>0</v>
      </c>
    </row>
    <row r="333" spans="9:11">
      <c r="I333" t="s">
        <v>91</v>
      </c>
      <c r="J333" t="s">
        <v>92</v>
      </c>
      <c r="K333">
        <v>0</v>
      </c>
    </row>
    <row r="334" spans="9:11">
      <c r="I334" t="s">
        <v>94</v>
      </c>
      <c r="J334" t="s">
        <v>95</v>
      </c>
      <c r="K334">
        <v>0</v>
      </c>
    </row>
    <row r="335" spans="9:11">
      <c r="I335" t="s">
        <v>94</v>
      </c>
      <c r="J335" t="s">
        <v>95</v>
      </c>
      <c r="K335">
        <v>0</v>
      </c>
    </row>
    <row r="336" spans="9:11">
      <c r="I336" t="s">
        <v>94</v>
      </c>
      <c r="J336" t="s">
        <v>95</v>
      </c>
      <c r="K336">
        <v>0</v>
      </c>
    </row>
    <row r="337" spans="9:11">
      <c r="I337" t="s">
        <v>94</v>
      </c>
      <c r="J337" t="s">
        <v>95</v>
      </c>
      <c r="K337">
        <v>0</v>
      </c>
    </row>
    <row r="338" spans="9:11">
      <c r="I338" t="s">
        <v>91</v>
      </c>
      <c r="J338" t="s">
        <v>92</v>
      </c>
      <c r="K338">
        <v>0</v>
      </c>
    </row>
    <row r="339" spans="9:11">
      <c r="I339" t="s">
        <v>94</v>
      </c>
      <c r="J339" t="s">
        <v>95</v>
      </c>
      <c r="K339">
        <v>0</v>
      </c>
    </row>
    <row r="340" spans="9:11">
      <c r="I340" t="s">
        <v>94</v>
      </c>
      <c r="J340" t="s">
        <v>95</v>
      </c>
      <c r="K340">
        <v>0</v>
      </c>
    </row>
    <row r="341" spans="9:11">
      <c r="I341" t="s">
        <v>94</v>
      </c>
      <c r="J341" t="s">
        <v>95</v>
      </c>
      <c r="K341">
        <v>0</v>
      </c>
    </row>
    <row r="342" spans="9:11">
      <c r="I342" t="s">
        <v>91</v>
      </c>
      <c r="J342" t="s">
        <v>92</v>
      </c>
      <c r="K342">
        <v>0</v>
      </c>
    </row>
    <row r="343" spans="9:11">
      <c r="I343" t="s">
        <v>91</v>
      </c>
      <c r="J343" t="s">
        <v>92</v>
      </c>
      <c r="K343">
        <v>0</v>
      </c>
    </row>
    <row r="344" spans="9:11">
      <c r="I344" t="s">
        <v>94</v>
      </c>
      <c r="J344" t="s">
        <v>95</v>
      </c>
      <c r="K344">
        <v>0</v>
      </c>
    </row>
    <row r="345" spans="9:11">
      <c r="I345" t="s">
        <v>94</v>
      </c>
      <c r="J345" t="s">
        <v>95</v>
      </c>
      <c r="K345">
        <v>0</v>
      </c>
    </row>
    <row r="346" spans="9:11">
      <c r="I346" t="s">
        <v>94</v>
      </c>
      <c r="J346" t="s">
        <v>95</v>
      </c>
      <c r="K346">
        <v>0</v>
      </c>
    </row>
    <row r="347" spans="9:11">
      <c r="I347" t="s">
        <v>94</v>
      </c>
      <c r="J347" t="s">
        <v>95</v>
      </c>
      <c r="K347">
        <v>0</v>
      </c>
    </row>
    <row r="348" spans="9:11">
      <c r="I348" t="s">
        <v>91</v>
      </c>
      <c r="J348" t="s">
        <v>92</v>
      </c>
      <c r="K348">
        <v>0</v>
      </c>
    </row>
    <row r="349" spans="9:11">
      <c r="I349" t="s">
        <v>91</v>
      </c>
      <c r="J349" t="s">
        <v>92</v>
      </c>
      <c r="K349">
        <v>0</v>
      </c>
    </row>
    <row r="350" spans="9:11">
      <c r="I350" t="s">
        <v>94</v>
      </c>
      <c r="J350" t="s">
        <v>95</v>
      </c>
      <c r="K350">
        <v>0</v>
      </c>
    </row>
    <row r="351" spans="9:11">
      <c r="I351" t="s">
        <v>94</v>
      </c>
      <c r="J351" t="s">
        <v>95</v>
      </c>
      <c r="K351">
        <v>0</v>
      </c>
    </row>
    <row r="352" spans="9:11">
      <c r="I352" t="s">
        <v>94</v>
      </c>
      <c r="J352" t="s">
        <v>95</v>
      </c>
      <c r="K352">
        <v>0</v>
      </c>
    </row>
    <row r="353" spans="9:11">
      <c r="I353" t="s">
        <v>91</v>
      </c>
      <c r="J353" t="s">
        <v>92</v>
      </c>
      <c r="K353">
        <v>0</v>
      </c>
    </row>
    <row r="354" spans="9:11">
      <c r="I354" t="s">
        <v>94</v>
      </c>
      <c r="J354" t="s">
        <v>95</v>
      </c>
      <c r="K354">
        <v>0</v>
      </c>
    </row>
    <row r="355" spans="9:11">
      <c r="I355" t="s">
        <v>94</v>
      </c>
      <c r="J355" t="s">
        <v>95</v>
      </c>
      <c r="K355">
        <v>0</v>
      </c>
    </row>
    <row r="356" spans="9:11">
      <c r="I356" t="s">
        <v>94</v>
      </c>
      <c r="J356" t="s">
        <v>95</v>
      </c>
      <c r="K356">
        <v>0</v>
      </c>
    </row>
    <row r="357" spans="9:11">
      <c r="I357" t="s">
        <v>94</v>
      </c>
      <c r="J357" t="s">
        <v>95</v>
      </c>
      <c r="K357">
        <v>0</v>
      </c>
    </row>
    <row r="358" spans="9:11">
      <c r="I358" t="s">
        <v>91</v>
      </c>
      <c r="J358" t="s">
        <v>92</v>
      </c>
      <c r="K358">
        <v>0</v>
      </c>
    </row>
    <row r="359" spans="9:11">
      <c r="I359" t="s">
        <v>94</v>
      </c>
      <c r="J359" t="s">
        <v>95</v>
      </c>
      <c r="K359">
        <v>0</v>
      </c>
    </row>
    <row r="360" spans="9:11">
      <c r="I360" t="s">
        <v>91</v>
      </c>
      <c r="J360" t="s">
        <v>92</v>
      </c>
      <c r="K360">
        <v>0</v>
      </c>
    </row>
    <row r="361" spans="9:11">
      <c r="I361" t="s">
        <v>91</v>
      </c>
      <c r="J361" t="s">
        <v>92</v>
      </c>
      <c r="K361">
        <v>0</v>
      </c>
    </row>
    <row r="362" spans="9:11">
      <c r="I362" t="s">
        <v>91</v>
      </c>
      <c r="J362" t="s">
        <v>92</v>
      </c>
      <c r="K362">
        <v>0</v>
      </c>
    </row>
    <row r="363" spans="9:11">
      <c r="I363" t="s">
        <v>94</v>
      </c>
      <c r="J363" t="s">
        <v>95</v>
      </c>
      <c r="K363">
        <v>0</v>
      </c>
    </row>
    <row r="364" spans="9:11">
      <c r="I364" t="s">
        <v>91</v>
      </c>
      <c r="J364" t="s">
        <v>92</v>
      </c>
      <c r="K364">
        <v>0</v>
      </c>
    </row>
    <row r="365" spans="9:11">
      <c r="I365" t="s">
        <v>94</v>
      </c>
      <c r="J365" t="s">
        <v>95</v>
      </c>
      <c r="K365">
        <v>0</v>
      </c>
    </row>
    <row r="366" spans="9:11">
      <c r="I366" t="s">
        <v>91</v>
      </c>
      <c r="J366" t="s">
        <v>92</v>
      </c>
      <c r="K366">
        <v>0</v>
      </c>
    </row>
    <row r="367" spans="9:11">
      <c r="I367" t="s">
        <v>91</v>
      </c>
      <c r="J367" t="s">
        <v>92</v>
      </c>
      <c r="K367">
        <v>0</v>
      </c>
    </row>
    <row r="368" spans="9:11">
      <c r="I368" t="s">
        <v>91</v>
      </c>
      <c r="J368" t="s">
        <v>92</v>
      </c>
      <c r="K368">
        <v>0</v>
      </c>
    </row>
    <row r="369" spans="9:11">
      <c r="I369" t="s">
        <v>94</v>
      </c>
      <c r="J369" t="s">
        <v>95</v>
      </c>
      <c r="K369">
        <v>0</v>
      </c>
    </row>
    <row r="370" spans="9:11">
      <c r="I370" t="s">
        <v>91</v>
      </c>
      <c r="J370" t="s">
        <v>92</v>
      </c>
      <c r="K370">
        <v>1</v>
      </c>
    </row>
    <row r="371" spans="9:11">
      <c r="I371" t="s">
        <v>94</v>
      </c>
      <c r="J371" t="s">
        <v>95</v>
      </c>
      <c r="K371">
        <v>0</v>
      </c>
    </row>
    <row r="372" spans="9:11">
      <c r="I372" t="s">
        <v>94</v>
      </c>
      <c r="J372" t="s">
        <v>95</v>
      </c>
      <c r="K372">
        <v>0</v>
      </c>
    </row>
    <row r="373" spans="9:11">
      <c r="I373" t="s">
        <v>94</v>
      </c>
      <c r="J373" t="s">
        <v>95</v>
      </c>
      <c r="K373">
        <v>0</v>
      </c>
    </row>
    <row r="374" spans="9:11">
      <c r="I374" t="s">
        <v>91</v>
      </c>
      <c r="J374" t="s">
        <v>92</v>
      </c>
      <c r="K374">
        <v>0</v>
      </c>
    </row>
    <row r="375" spans="9:11">
      <c r="I375" t="s">
        <v>94</v>
      </c>
      <c r="J375" t="s">
        <v>95</v>
      </c>
      <c r="K375">
        <v>0</v>
      </c>
    </row>
    <row r="376" spans="9:11">
      <c r="I376" t="s">
        <v>94</v>
      </c>
      <c r="J376" t="s">
        <v>95</v>
      </c>
      <c r="K376">
        <v>0</v>
      </c>
    </row>
    <row r="377" spans="9:11">
      <c r="I377" t="s">
        <v>94</v>
      </c>
      <c r="J377" t="s">
        <v>95</v>
      </c>
      <c r="K377">
        <v>0</v>
      </c>
    </row>
    <row r="378" spans="9:11">
      <c r="I378" t="s">
        <v>91</v>
      </c>
      <c r="J378" t="s">
        <v>92</v>
      </c>
      <c r="K378">
        <v>1</v>
      </c>
    </row>
    <row r="379" spans="9:11">
      <c r="I379" t="s">
        <v>94</v>
      </c>
      <c r="J379" t="s">
        <v>95</v>
      </c>
      <c r="K379">
        <v>0</v>
      </c>
    </row>
    <row r="380" spans="9:11">
      <c r="I380" t="s">
        <v>91</v>
      </c>
      <c r="J380" t="s">
        <v>92</v>
      </c>
      <c r="K380">
        <v>0</v>
      </c>
    </row>
    <row r="381" spans="9:11">
      <c r="I381" t="s">
        <v>91</v>
      </c>
      <c r="J381" t="s">
        <v>92</v>
      </c>
      <c r="K381">
        <v>0</v>
      </c>
    </row>
    <row r="382" spans="9:11">
      <c r="I382" t="s">
        <v>94</v>
      </c>
      <c r="J382" t="s">
        <v>95</v>
      </c>
      <c r="K382">
        <v>0</v>
      </c>
    </row>
    <row r="383" spans="9:11">
      <c r="I383" t="s">
        <v>94</v>
      </c>
      <c r="J383" t="s">
        <v>95</v>
      </c>
      <c r="K383">
        <v>0</v>
      </c>
    </row>
    <row r="384" spans="9:11">
      <c r="I384" t="s">
        <v>94</v>
      </c>
      <c r="J384" t="s">
        <v>95</v>
      </c>
      <c r="K384">
        <v>0</v>
      </c>
    </row>
    <row r="385" spans="9:11">
      <c r="I385" t="s">
        <v>91</v>
      </c>
      <c r="J385" t="s">
        <v>92</v>
      </c>
      <c r="K385">
        <v>0</v>
      </c>
    </row>
    <row r="386" spans="9:11">
      <c r="I386" t="s">
        <v>91</v>
      </c>
      <c r="J386" t="s">
        <v>92</v>
      </c>
      <c r="K386">
        <v>1</v>
      </c>
    </row>
    <row r="387" spans="9:11">
      <c r="I387" t="s">
        <v>94</v>
      </c>
      <c r="J387" t="s">
        <v>95</v>
      </c>
      <c r="K387">
        <v>0</v>
      </c>
    </row>
    <row r="388" spans="9:11">
      <c r="I388" t="s">
        <v>94</v>
      </c>
      <c r="J388" t="s">
        <v>95</v>
      </c>
      <c r="K388">
        <v>0</v>
      </c>
    </row>
    <row r="389" spans="9:11">
      <c r="I389" t="s">
        <v>94</v>
      </c>
      <c r="J389" t="s">
        <v>95</v>
      </c>
      <c r="K389">
        <v>0</v>
      </c>
    </row>
    <row r="390" spans="9:11">
      <c r="I390" t="s">
        <v>91</v>
      </c>
      <c r="J390" t="s">
        <v>92</v>
      </c>
      <c r="K390">
        <v>0</v>
      </c>
    </row>
    <row r="391" spans="9:11">
      <c r="I391" t="s">
        <v>94</v>
      </c>
      <c r="J391" t="s">
        <v>95</v>
      </c>
      <c r="K391">
        <v>0</v>
      </c>
    </row>
    <row r="392" spans="9:11">
      <c r="I392" t="s">
        <v>91</v>
      </c>
      <c r="J392" t="s">
        <v>92</v>
      </c>
      <c r="K392">
        <v>0</v>
      </c>
    </row>
    <row r="393" spans="9:11">
      <c r="I393" t="s">
        <v>91</v>
      </c>
      <c r="J393" t="s">
        <v>92</v>
      </c>
      <c r="K393">
        <v>0</v>
      </c>
    </row>
    <row r="394" spans="9:11">
      <c r="I394" t="s">
        <v>91</v>
      </c>
      <c r="J394" t="s">
        <v>92</v>
      </c>
      <c r="K394">
        <v>0</v>
      </c>
    </row>
    <row r="395" spans="9:11">
      <c r="I395" t="s">
        <v>91</v>
      </c>
      <c r="J395" t="s">
        <v>92</v>
      </c>
      <c r="K395">
        <v>0</v>
      </c>
    </row>
    <row r="396" spans="9:11">
      <c r="I396" t="s">
        <v>94</v>
      </c>
      <c r="J396" t="s">
        <v>95</v>
      </c>
      <c r="K396">
        <v>0</v>
      </c>
    </row>
    <row r="397" spans="9:11">
      <c r="I397" t="s">
        <v>94</v>
      </c>
      <c r="J397" t="s">
        <v>95</v>
      </c>
      <c r="K397">
        <v>0</v>
      </c>
    </row>
    <row r="398" spans="9:11">
      <c r="I398" t="s">
        <v>94</v>
      </c>
      <c r="J398" t="s">
        <v>95</v>
      </c>
      <c r="K398">
        <v>0</v>
      </c>
    </row>
    <row r="399" spans="9:11">
      <c r="I399" t="s">
        <v>91</v>
      </c>
      <c r="J399" t="s">
        <v>92</v>
      </c>
      <c r="K399">
        <v>0</v>
      </c>
    </row>
    <row r="400" spans="9:11">
      <c r="I400" t="s">
        <v>91</v>
      </c>
      <c r="J400" t="s">
        <v>92</v>
      </c>
      <c r="K400">
        <v>0</v>
      </c>
    </row>
    <row r="401" spans="9:11">
      <c r="I401" t="s">
        <v>94</v>
      </c>
      <c r="J401" t="s">
        <v>95</v>
      </c>
      <c r="K401">
        <v>0</v>
      </c>
    </row>
    <row r="402" spans="9:11">
      <c r="I402" t="s">
        <v>91</v>
      </c>
      <c r="J402" t="s">
        <v>92</v>
      </c>
      <c r="K402">
        <v>0</v>
      </c>
    </row>
    <row r="403" spans="9:11">
      <c r="I403" t="s">
        <v>91</v>
      </c>
      <c r="J403" t="s">
        <v>92</v>
      </c>
      <c r="K403">
        <v>0</v>
      </c>
    </row>
    <row r="404" spans="9:11">
      <c r="I404" t="s">
        <v>91</v>
      </c>
      <c r="J404" t="s">
        <v>92</v>
      </c>
      <c r="K404">
        <v>0</v>
      </c>
    </row>
    <row r="405" spans="9:11">
      <c r="I405" t="s">
        <v>91</v>
      </c>
      <c r="J405" t="s">
        <v>92</v>
      </c>
      <c r="K405">
        <v>0</v>
      </c>
    </row>
    <row r="406" spans="9:11">
      <c r="I406" t="s">
        <v>94</v>
      </c>
      <c r="J406" t="s">
        <v>95</v>
      </c>
      <c r="K406">
        <v>0</v>
      </c>
    </row>
    <row r="407" spans="9:11">
      <c r="I407" t="s">
        <v>94</v>
      </c>
      <c r="J407" t="s">
        <v>95</v>
      </c>
      <c r="K407">
        <v>0</v>
      </c>
    </row>
    <row r="408" spans="9:11">
      <c r="I408" t="s">
        <v>94</v>
      </c>
      <c r="J408" t="s">
        <v>95</v>
      </c>
      <c r="K408">
        <v>0</v>
      </c>
    </row>
    <row r="409" spans="9:11">
      <c r="I409" t="s">
        <v>94</v>
      </c>
      <c r="J409" t="s">
        <v>95</v>
      </c>
      <c r="K409">
        <v>0</v>
      </c>
    </row>
    <row r="410" spans="9:11">
      <c r="I410" t="s">
        <v>94</v>
      </c>
      <c r="J410" t="s">
        <v>95</v>
      </c>
      <c r="K410">
        <v>0</v>
      </c>
    </row>
    <row r="411" spans="9:11">
      <c r="I411" t="s">
        <v>91</v>
      </c>
      <c r="J411" t="s">
        <v>92</v>
      </c>
      <c r="K411">
        <v>0</v>
      </c>
    </row>
    <row r="412" spans="9:11">
      <c r="I412" t="s">
        <v>94</v>
      </c>
      <c r="J412" t="s">
        <v>95</v>
      </c>
      <c r="K412">
        <v>0</v>
      </c>
    </row>
    <row r="413" spans="9:11">
      <c r="I413" t="s">
        <v>94</v>
      </c>
      <c r="J413" t="s">
        <v>95</v>
      </c>
      <c r="K413">
        <v>0</v>
      </c>
    </row>
    <row r="414" spans="9:11">
      <c r="I414" t="s">
        <v>91</v>
      </c>
      <c r="J414" t="s">
        <v>92</v>
      </c>
      <c r="K414">
        <v>0</v>
      </c>
    </row>
    <row r="415" spans="9:11">
      <c r="I415" t="s">
        <v>91</v>
      </c>
      <c r="J415" t="s">
        <v>92</v>
      </c>
      <c r="K415">
        <v>0</v>
      </c>
    </row>
    <row r="416" spans="9:11">
      <c r="I416" t="s">
        <v>91</v>
      </c>
      <c r="J416" t="s">
        <v>92</v>
      </c>
      <c r="K416">
        <v>0</v>
      </c>
    </row>
    <row r="417" spans="9:11">
      <c r="I417" t="s">
        <v>94</v>
      </c>
      <c r="J417" t="s">
        <v>95</v>
      </c>
      <c r="K417">
        <v>0</v>
      </c>
    </row>
    <row r="418" spans="9:11">
      <c r="I418" t="s">
        <v>94</v>
      </c>
      <c r="J418" t="s">
        <v>95</v>
      </c>
      <c r="K418">
        <v>0</v>
      </c>
    </row>
    <row r="419" spans="9:11">
      <c r="I419" t="s">
        <v>91</v>
      </c>
      <c r="J419" t="s">
        <v>92</v>
      </c>
      <c r="K419">
        <v>0</v>
      </c>
    </row>
    <row r="420" spans="9:11">
      <c r="I420" t="s">
        <v>91</v>
      </c>
      <c r="J420" t="s">
        <v>92</v>
      </c>
      <c r="K420">
        <v>0</v>
      </c>
    </row>
    <row r="421" spans="9:11">
      <c r="I421" t="s">
        <v>94</v>
      </c>
      <c r="J421" t="s">
        <v>95</v>
      </c>
      <c r="K421">
        <v>0</v>
      </c>
    </row>
    <row r="422" spans="9:11">
      <c r="I422" t="s">
        <v>94</v>
      </c>
      <c r="J422" t="s">
        <v>95</v>
      </c>
      <c r="K422">
        <v>0</v>
      </c>
    </row>
    <row r="423" spans="9:11">
      <c r="I423" t="s">
        <v>91</v>
      </c>
      <c r="J423" t="s">
        <v>92</v>
      </c>
      <c r="K423">
        <v>0</v>
      </c>
    </row>
    <row r="424" spans="9:11">
      <c r="I424" t="s">
        <v>91</v>
      </c>
      <c r="J424" t="s">
        <v>92</v>
      </c>
      <c r="K424">
        <v>0</v>
      </c>
    </row>
    <row r="425" spans="9:11">
      <c r="I425" t="s">
        <v>94</v>
      </c>
      <c r="J425" t="s">
        <v>95</v>
      </c>
      <c r="K425">
        <v>0</v>
      </c>
    </row>
    <row r="426" spans="9:11">
      <c r="I426" t="s">
        <v>91</v>
      </c>
      <c r="J426" t="s">
        <v>92</v>
      </c>
      <c r="K426">
        <v>0</v>
      </c>
    </row>
    <row r="427" spans="9:11">
      <c r="I427" t="s">
        <v>94</v>
      </c>
      <c r="J427" t="s">
        <v>95</v>
      </c>
      <c r="K427">
        <v>0</v>
      </c>
    </row>
    <row r="428" spans="9:11">
      <c r="I428" t="s">
        <v>94</v>
      </c>
      <c r="J428" t="s">
        <v>95</v>
      </c>
      <c r="K428">
        <v>0</v>
      </c>
    </row>
    <row r="429" spans="9:11">
      <c r="I429" t="s">
        <v>91</v>
      </c>
      <c r="J429" t="s">
        <v>92</v>
      </c>
      <c r="K429">
        <v>0</v>
      </c>
    </row>
    <row r="430" spans="9:11">
      <c r="I430" t="s">
        <v>91</v>
      </c>
      <c r="J430" t="s">
        <v>92</v>
      </c>
      <c r="K430">
        <v>0</v>
      </c>
    </row>
    <row r="431" spans="9:11">
      <c r="I431" t="s">
        <v>94</v>
      </c>
      <c r="J431" t="s">
        <v>95</v>
      </c>
      <c r="K431">
        <v>0</v>
      </c>
    </row>
    <row r="432" spans="9:11">
      <c r="I432" t="s">
        <v>94</v>
      </c>
      <c r="J432" t="s">
        <v>95</v>
      </c>
      <c r="K432">
        <v>0</v>
      </c>
    </row>
    <row r="433" spans="9:11">
      <c r="I433" t="s">
        <v>91</v>
      </c>
      <c r="J433" t="s">
        <v>92</v>
      </c>
      <c r="K433">
        <v>0</v>
      </c>
    </row>
    <row r="434" spans="9:11">
      <c r="I434" t="s">
        <v>91</v>
      </c>
      <c r="J434" t="s">
        <v>92</v>
      </c>
      <c r="K434">
        <v>0</v>
      </c>
    </row>
    <row r="435" spans="9:11">
      <c r="I435" t="s">
        <v>91</v>
      </c>
      <c r="J435" t="s">
        <v>92</v>
      </c>
      <c r="K435">
        <v>0</v>
      </c>
    </row>
    <row r="436" spans="9:11">
      <c r="I436" t="s">
        <v>91</v>
      </c>
      <c r="J436" t="s">
        <v>92</v>
      </c>
      <c r="K436">
        <v>0</v>
      </c>
    </row>
    <row r="437" spans="9:11">
      <c r="I437" t="s">
        <v>91</v>
      </c>
      <c r="J437" t="s">
        <v>92</v>
      </c>
      <c r="K437">
        <v>0</v>
      </c>
    </row>
    <row r="438" spans="9:11">
      <c r="I438" t="s">
        <v>91</v>
      </c>
      <c r="J438" t="s">
        <v>92</v>
      </c>
      <c r="K438">
        <v>0</v>
      </c>
    </row>
    <row r="439" spans="9:11">
      <c r="I439" t="s">
        <v>94</v>
      </c>
      <c r="J439" t="s">
        <v>95</v>
      </c>
      <c r="K439">
        <v>0</v>
      </c>
    </row>
    <row r="440" spans="9:11">
      <c r="I440" t="s">
        <v>94</v>
      </c>
      <c r="J440" t="s">
        <v>95</v>
      </c>
      <c r="K440">
        <v>0</v>
      </c>
    </row>
    <row r="441" spans="9:11">
      <c r="I441" t="s">
        <v>91</v>
      </c>
      <c r="J441" t="s">
        <v>92</v>
      </c>
      <c r="K441">
        <v>0</v>
      </c>
    </row>
    <row r="442" spans="9:11">
      <c r="I442" t="s">
        <v>91</v>
      </c>
      <c r="J442" t="s">
        <v>92</v>
      </c>
      <c r="K442">
        <v>0</v>
      </c>
    </row>
    <row r="443" spans="9:11">
      <c r="I443" t="s">
        <v>94</v>
      </c>
      <c r="J443" t="s">
        <v>95</v>
      </c>
      <c r="K443">
        <v>0</v>
      </c>
    </row>
    <row r="444" spans="9:11">
      <c r="I444" t="s">
        <v>94</v>
      </c>
      <c r="J444" t="s">
        <v>95</v>
      </c>
      <c r="K444">
        <v>0</v>
      </c>
    </row>
    <row r="445" spans="9:11">
      <c r="I445" t="s">
        <v>94</v>
      </c>
      <c r="J445" t="s">
        <v>95</v>
      </c>
      <c r="K445">
        <v>0</v>
      </c>
    </row>
    <row r="446" spans="9:11">
      <c r="I446" t="s">
        <v>91</v>
      </c>
      <c r="J446" t="s">
        <v>92</v>
      </c>
      <c r="K446">
        <v>0</v>
      </c>
    </row>
    <row r="447" spans="9:11">
      <c r="I447" t="s">
        <v>94</v>
      </c>
      <c r="J447" t="s">
        <v>95</v>
      </c>
      <c r="K447">
        <v>0</v>
      </c>
    </row>
    <row r="448" spans="9:11">
      <c r="I448" t="s">
        <v>91</v>
      </c>
      <c r="J448" t="s">
        <v>92</v>
      </c>
      <c r="K448">
        <v>0</v>
      </c>
    </row>
    <row r="449" spans="9:11">
      <c r="I449" t="s">
        <v>91</v>
      </c>
      <c r="J449" t="s">
        <v>92</v>
      </c>
      <c r="K449">
        <v>0</v>
      </c>
    </row>
    <row r="450" spans="9:11">
      <c r="I450" t="s">
        <v>94</v>
      </c>
      <c r="J450" t="s">
        <v>95</v>
      </c>
      <c r="K450">
        <v>0</v>
      </c>
    </row>
    <row r="451" spans="9:11">
      <c r="I451" t="s">
        <v>94</v>
      </c>
      <c r="J451" t="s">
        <v>95</v>
      </c>
      <c r="K451">
        <v>0</v>
      </c>
    </row>
    <row r="452" spans="9:11">
      <c r="I452" t="s">
        <v>91</v>
      </c>
      <c r="J452" t="s">
        <v>92</v>
      </c>
      <c r="K452">
        <v>0</v>
      </c>
    </row>
    <row r="453" spans="9:11">
      <c r="I453" t="s">
        <v>91</v>
      </c>
      <c r="J453" t="s">
        <v>92</v>
      </c>
      <c r="K453">
        <v>0</v>
      </c>
    </row>
    <row r="454" spans="9:11">
      <c r="I454" t="s">
        <v>94</v>
      </c>
      <c r="J454" t="s">
        <v>95</v>
      </c>
      <c r="K454">
        <v>0</v>
      </c>
    </row>
    <row r="455" spans="9:11">
      <c r="I455" t="s">
        <v>91</v>
      </c>
      <c r="J455" t="s">
        <v>92</v>
      </c>
      <c r="K455">
        <v>0</v>
      </c>
    </row>
    <row r="456" spans="9:11">
      <c r="I456" t="s">
        <v>94</v>
      </c>
      <c r="J456" t="s">
        <v>95</v>
      </c>
      <c r="K456">
        <v>0</v>
      </c>
    </row>
    <row r="457" spans="9:11">
      <c r="I457" t="s">
        <v>91</v>
      </c>
      <c r="J457" t="s">
        <v>92</v>
      </c>
      <c r="K457">
        <v>0</v>
      </c>
    </row>
    <row r="458" spans="9:11">
      <c r="I458" t="s">
        <v>91</v>
      </c>
      <c r="J458" t="s">
        <v>92</v>
      </c>
      <c r="K458">
        <v>0</v>
      </c>
    </row>
    <row r="459" spans="9:11">
      <c r="I459" t="s">
        <v>94</v>
      </c>
      <c r="J459" t="s">
        <v>95</v>
      </c>
      <c r="K459">
        <v>0</v>
      </c>
    </row>
    <row r="460" spans="9:11">
      <c r="I460" t="s">
        <v>91</v>
      </c>
      <c r="J460" t="s">
        <v>92</v>
      </c>
      <c r="K460">
        <v>0</v>
      </c>
    </row>
    <row r="461" spans="9:11">
      <c r="I461" t="s">
        <v>94</v>
      </c>
      <c r="J461" t="s">
        <v>95</v>
      </c>
      <c r="K461">
        <v>0</v>
      </c>
    </row>
    <row r="462" spans="9:11">
      <c r="I462" t="s">
        <v>91</v>
      </c>
      <c r="J462" t="s">
        <v>92</v>
      </c>
      <c r="K462">
        <v>0</v>
      </c>
    </row>
    <row r="463" spans="9:11">
      <c r="I463" t="s">
        <v>94</v>
      </c>
      <c r="J463" t="s">
        <v>95</v>
      </c>
      <c r="K463">
        <v>0</v>
      </c>
    </row>
    <row r="464" spans="9:11">
      <c r="I464" t="s">
        <v>91</v>
      </c>
      <c r="J464" t="s">
        <v>92</v>
      </c>
      <c r="K464">
        <v>0</v>
      </c>
    </row>
    <row r="465" spans="9:11">
      <c r="I465" t="s">
        <v>91</v>
      </c>
      <c r="J465" t="s">
        <v>92</v>
      </c>
      <c r="K465">
        <v>0</v>
      </c>
    </row>
    <row r="466" spans="9:11">
      <c r="I466" t="s">
        <v>94</v>
      </c>
      <c r="J466" t="s">
        <v>95</v>
      </c>
      <c r="K466">
        <v>0</v>
      </c>
    </row>
    <row r="467" spans="9:11">
      <c r="I467" t="s">
        <v>94</v>
      </c>
      <c r="J467" t="s">
        <v>95</v>
      </c>
      <c r="K467">
        <v>0</v>
      </c>
    </row>
    <row r="468" spans="9:11">
      <c r="I468" t="s">
        <v>94</v>
      </c>
      <c r="J468" t="s">
        <v>95</v>
      </c>
      <c r="K468">
        <v>0</v>
      </c>
    </row>
    <row r="469" spans="9:11">
      <c r="I469" t="s">
        <v>91</v>
      </c>
      <c r="J469" t="s">
        <v>92</v>
      </c>
      <c r="K469">
        <v>0</v>
      </c>
    </row>
    <row r="470" spans="9:11">
      <c r="I470" t="s">
        <v>94</v>
      </c>
      <c r="J470" t="s">
        <v>95</v>
      </c>
      <c r="K470">
        <v>0</v>
      </c>
    </row>
    <row r="471" spans="9:11">
      <c r="I471" t="s">
        <v>91</v>
      </c>
      <c r="J471" t="s">
        <v>92</v>
      </c>
      <c r="K471">
        <v>0</v>
      </c>
    </row>
    <row r="472" spans="9:11">
      <c r="I472" t="s">
        <v>94</v>
      </c>
      <c r="J472" t="s">
        <v>95</v>
      </c>
      <c r="K472">
        <v>0</v>
      </c>
    </row>
    <row r="473" spans="9:11">
      <c r="I473" t="s">
        <v>94</v>
      </c>
      <c r="J473" t="s">
        <v>95</v>
      </c>
      <c r="K473">
        <v>0</v>
      </c>
    </row>
    <row r="474" spans="9:11">
      <c r="I474" t="s">
        <v>94</v>
      </c>
      <c r="J474" t="s">
        <v>95</v>
      </c>
      <c r="K474">
        <v>0</v>
      </c>
    </row>
    <row r="475" spans="9:11">
      <c r="I475" t="s">
        <v>94</v>
      </c>
      <c r="J475" t="s">
        <v>95</v>
      </c>
      <c r="K475">
        <v>0</v>
      </c>
    </row>
    <row r="476" spans="9:11">
      <c r="I476" t="s">
        <v>94</v>
      </c>
      <c r="J476" t="s">
        <v>95</v>
      </c>
      <c r="K476">
        <v>0</v>
      </c>
    </row>
    <row r="477" spans="9:11">
      <c r="I477" t="s">
        <v>94</v>
      </c>
      <c r="J477" t="s">
        <v>95</v>
      </c>
      <c r="K477">
        <v>0</v>
      </c>
    </row>
    <row r="478" spans="9:11">
      <c r="I478" t="s">
        <v>94</v>
      </c>
      <c r="J478" t="s">
        <v>95</v>
      </c>
      <c r="K478">
        <v>0</v>
      </c>
    </row>
    <row r="479" spans="9:11">
      <c r="I479" t="s">
        <v>94</v>
      </c>
      <c r="J479" t="s">
        <v>95</v>
      </c>
      <c r="K479">
        <v>0</v>
      </c>
    </row>
    <row r="480" spans="9:11">
      <c r="I480" t="s">
        <v>91</v>
      </c>
      <c r="J480" t="s">
        <v>92</v>
      </c>
      <c r="K480">
        <v>1</v>
      </c>
    </row>
    <row r="481" spans="9:11">
      <c r="I481" t="s">
        <v>91</v>
      </c>
      <c r="J481" t="s">
        <v>92</v>
      </c>
      <c r="K481">
        <v>0</v>
      </c>
    </row>
    <row r="482" spans="9:11">
      <c r="I482" t="s">
        <v>91</v>
      </c>
      <c r="J482" t="s">
        <v>92</v>
      </c>
      <c r="K482">
        <v>0</v>
      </c>
    </row>
    <row r="483" spans="9:11">
      <c r="I483" t="s">
        <v>94</v>
      </c>
      <c r="J483" t="s">
        <v>95</v>
      </c>
      <c r="K483">
        <v>0</v>
      </c>
    </row>
    <row r="484" spans="9:11">
      <c r="I484" t="s">
        <v>94</v>
      </c>
      <c r="J484" t="s">
        <v>95</v>
      </c>
      <c r="K484">
        <v>0</v>
      </c>
    </row>
    <row r="485" spans="9:11">
      <c r="I485" t="s">
        <v>94</v>
      </c>
      <c r="J485" t="s">
        <v>95</v>
      </c>
      <c r="K485">
        <v>0</v>
      </c>
    </row>
    <row r="486" spans="9:11">
      <c r="I486" t="s">
        <v>94</v>
      </c>
      <c r="J486" t="s">
        <v>95</v>
      </c>
      <c r="K486">
        <v>0</v>
      </c>
    </row>
    <row r="487" spans="9:11">
      <c r="I487" t="s">
        <v>94</v>
      </c>
      <c r="J487" t="s">
        <v>95</v>
      </c>
      <c r="K487">
        <v>0</v>
      </c>
    </row>
    <row r="488" spans="9:11">
      <c r="I488" t="s">
        <v>91</v>
      </c>
      <c r="J488" t="s">
        <v>92</v>
      </c>
      <c r="K488">
        <v>0</v>
      </c>
    </row>
    <row r="489" spans="9:11">
      <c r="I489" t="s">
        <v>91</v>
      </c>
      <c r="J489" t="s">
        <v>92</v>
      </c>
      <c r="K489">
        <v>0</v>
      </c>
    </row>
    <row r="490" spans="9:11">
      <c r="I490" t="s">
        <v>94</v>
      </c>
      <c r="J490" t="s">
        <v>95</v>
      </c>
      <c r="K490">
        <v>0</v>
      </c>
    </row>
    <row r="491" spans="9:11">
      <c r="I491" t="s">
        <v>94</v>
      </c>
      <c r="J491" t="s">
        <v>95</v>
      </c>
      <c r="K491">
        <v>0</v>
      </c>
    </row>
    <row r="492" spans="9:11">
      <c r="I492" t="s">
        <v>91</v>
      </c>
      <c r="J492" t="s">
        <v>92</v>
      </c>
      <c r="K492">
        <v>1</v>
      </c>
    </row>
    <row r="493" spans="9:11">
      <c r="I493" t="s">
        <v>91</v>
      </c>
      <c r="J493" t="s">
        <v>92</v>
      </c>
      <c r="K493">
        <v>0</v>
      </c>
    </row>
    <row r="494" spans="9:11">
      <c r="I494" t="s">
        <v>94</v>
      </c>
      <c r="J494" t="s">
        <v>95</v>
      </c>
      <c r="K494">
        <v>0</v>
      </c>
    </row>
    <row r="495" spans="9:11">
      <c r="I495" t="s">
        <v>94</v>
      </c>
      <c r="J495" t="s">
        <v>95</v>
      </c>
      <c r="K495">
        <v>0</v>
      </c>
    </row>
    <row r="496" spans="9:11">
      <c r="I496" t="s">
        <v>94</v>
      </c>
      <c r="J496" t="s">
        <v>95</v>
      </c>
      <c r="K496">
        <v>0</v>
      </c>
    </row>
    <row r="497" spans="9:11">
      <c r="I497" t="s">
        <v>91</v>
      </c>
      <c r="J497" t="s">
        <v>92</v>
      </c>
      <c r="K497">
        <v>0</v>
      </c>
    </row>
    <row r="498" spans="9:11">
      <c r="I498" t="s">
        <v>91</v>
      </c>
      <c r="J498" t="s">
        <v>92</v>
      </c>
      <c r="K498">
        <v>0</v>
      </c>
    </row>
    <row r="499" spans="9:11">
      <c r="I499" t="s">
        <v>91</v>
      </c>
      <c r="J499" t="s">
        <v>92</v>
      </c>
      <c r="K499">
        <v>0</v>
      </c>
    </row>
    <row r="500" spans="9:11">
      <c r="I500" t="s">
        <v>94</v>
      </c>
      <c r="J500" t="s">
        <v>95</v>
      </c>
      <c r="K500">
        <v>0</v>
      </c>
    </row>
    <row r="501" spans="9:11">
      <c r="I501" t="s">
        <v>94</v>
      </c>
      <c r="J501" t="s">
        <v>95</v>
      </c>
      <c r="K501">
        <v>0</v>
      </c>
    </row>
    <row r="502" spans="9:11">
      <c r="I502" t="s">
        <v>94</v>
      </c>
      <c r="J502" t="s">
        <v>95</v>
      </c>
      <c r="K502">
        <v>0</v>
      </c>
    </row>
    <row r="503" spans="9:11">
      <c r="I503" t="s">
        <v>91</v>
      </c>
      <c r="J503" t="s">
        <v>92</v>
      </c>
      <c r="K503">
        <v>0</v>
      </c>
    </row>
    <row r="504" spans="9:11">
      <c r="I504" t="s">
        <v>91</v>
      </c>
      <c r="J504" t="s">
        <v>92</v>
      </c>
      <c r="K504">
        <v>0</v>
      </c>
    </row>
    <row r="505" spans="9:11">
      <c r="I505" t="s">
        <v>94</v>
      </c>
      <c r="J505" t="s">
        <v>95</v>
      </c>
      <c r="K505">
        <v>0</v>
      </c>
    </row>
    <row r="506" spans="9:11">
      <c r="I506" t="s">
        <v>91</v>
      </c>
      <c r="J506" t="s">
        <v>92</v>
      </c>
      <c r="K506">
        <v>0</v>
      </c>
    </row>
    <row r="507" spans="9:11">
      <c r="I507" t="s">
        <v>94</v>
      </c>
      <c r="J507" t="s">
        <v>95</v>
      </c>
      <c r="K507">
        <v>0</v>
      </c>
    </row>
    <row r="508" spans="9:11">
      <c r="I508" t="s">
        <v>94</v>
      </c>
      <c r="J508" t="s">
        <v>95</v>
      </c>
      <c r="K508">
        <v>0</v>
      </c>
    </row>
    <row r="509" spans="9:11">
      <c r="I509" t="s">
        <v>91</v>
      </c>
      <c r="J509" t="s">
        <v>92</v>
      </c>
      <c r="K509">
        <v>0</v>
      </c>
    </row>
    <row r="510" spans="9:11">
      <c r="I510" t="s">
        <v>94</v>
      </c>
      <c r="J510" t="s">
        <v>95</v>
      </c>
      <c r="K510">
        <v>0</v>
      </c>
    </row>
    <row r="511" spans="9:11">
      <c r="I511" t="s">
        <v>91</v>
      </c>
      <c r="J511" t="s">
        <v>92</v>
      </c>
      <c r="K511">
        <v>0</v>
      </c>
    </row>
    <row r="512" spans="9:11">
      <c r="I512" t="s">
        <v>91</v>
      </c>
      <c r="J512" t="s">
        <v>92</v>
      </c>
      <c r="K512">
        <v>0</v>
      </c>
    </row>
    <row r="513" spans="9:11">
      <c r="I513" t="s">
        <v>94</v>
      </c>
      <c r="J513" t="s">
        <v>95</v>
      </c>
      <c r="K513">
        <v>0</v>
      </c>
    </row>
    <row r="514" spans="9:11">
      <c r="I514" t="s">
        <v>91</v>
      </c>
      <c r="J514" t="s">
        <v>92</v>
      </c>
      <c r="K514">
        <v>0</v>
      </c>
    </row>
    <row r="515" spans="9:11">
      <c r="I515" t="s">
        <v>94</v>
      </c>
      <c r="J515" t="s">
        <v>95</v>
      </c>
      <c r="K515">
        <v>1</v>
      </c>
    </row>
    <row r="516" spans="9:11">
      <c r="I516" t="s">
        <v>94</v>
      </c>
      <c r="J516" t="s">
        <v>95</v>
      </c>
      <c r="K516">
        <v>1</v>
      </c>
    </row>
    <row r="517" spans="9:11">
      <c r="I517" t="s">
        <v>94</v>
      </c>
      <c r="J517" t="s">
        <v>95</v>
      </c>
      <c r="K517">
        <v>0</v>
      </c>
    </row>
    <row r="518" spans="9:11">
      <c r="I518" t="s">
        <v>91</v>
      </c>
      <c r="J518" t="s">
        <v>92</v>
      </c>
      <c r="K518">
        <v>0</v>
      </c>
    </row>
    <row r="519" spans="9:11">
      <c r="I519" t="s">
        <v>91</v>
      </c>
      <c r="J519" t="s">
        <v>92</v>
      </c>
      <c r="K519">
        <v>0</v>
      </c>
    </row>
    <row r="520" spans="9:11">
      <c r="I520" t="s">
        <v>91</v>
      </c>
      <c r="J520" t="s">
        <v>92</v>
      </c>
      <c r="K520">
        <v>0</v>
      </c>
    </row>
    <row r="521" spans="9:11">
      <c r="I521" t="s">
        <v>94</v>
      </c>
      <c r="J521" t="s">
        <v>95</v>
      </c>
      <c r="K521">
        <v>0</v>
      </c>
    </row>
    <row r="522" spans="9:11">
      <c r="I522" t="s">
        <v>94</v>
      </c>
      <c r="J522" t="s">
        <v>95</v>
      </c>
      <c r="K522">
        <v>0</v>
      </c>
    </row>
    <row r="523" spans="9:11">
      <c r="I523" t="s">
        <v>94</v>
      </c>
      <c r="J523" t="s">
        <v>95</v>
      </c>
      <c r="K523">
        <v>0</v>
      </c>
    </row>
    <row r="524" spans="9:11">
      <c r="I524" t="s">
        <v>94</v>
      </c>
      <c r="J524" t="s">
        <v>95</v>
      </c>
      <c r="K524">
        <v>0</v>
      </c>
    </row>
    <row r="525" spans="9:11">
      <c r="I525" t="s">
        <v>94</v>
      </c>
      <c r="J525" t="s">
        <v>95</v>
      </c>
      <c r="K525">
        <v>0</v>
      </c>
    </row>
    <row r="526" spans="9:11">
      <c r="I526" t="s">
        <v>94</v>
      </c>
      <c r="J526" t="s">
        <v>95</v>
      </c>
      <c r="K526">
        <v>1</v>
      </c>
    </row>
    <row r="527" spans="9:11">
      <c r="I527" t="s">
        <v>94</v>
      </c>
      <c r="J527" t="s">
        <v>95</v>
      </c>
      <c r="K527">
        <v>1</v>
      </c>
    </row>
    <row r="528" spans="9:11">
      <c r="I528" t="s">
        <v>94</v>
      </c>
      <c r="J528" t="s">
        <v>95</v>
      </c>
      <c r="K528">
        <v>0</v>
      </c>
    </row>
    <row r="529" spans="9:11">
      <c r="I529" t="s">
        <v>94</v>
      </c>
      <c r="J529" t="s">
        <v>95</v>
      </c>
      <c r="K529">
        <v>0</v>
      </c>
    </row>
    <row r="530" spans="9:11">
      <c r="I530" t="s">
        <v>94</v>
      </c>
      <c r="J530" t="s">
        <v>95</v>
      </c>
      <c r="K530">
        <v>0</v>
      </c>
    </row>
    <row r="531" spans="9:11">
      <c r="I531" t="s">
        <v>94</v>
      </c>
      <c r="J531" t="s">
        <v>95</v>
      </c>
      <c r="K531">
        <v>0</v>
      </c>
    </row>
    <row r="532" spans="9:11">
      <c r="I532" t="s">
        <v>91</v>
      </c>
      <c r="J532" t="s">
        <v>92</v>
      </c>
      <c r="K532">
        <v>0</v>
      </c>
    </row>
    <row r="533" spans="9:11">
      <c r="I533" t="s">
        <v>91</v>
      </c>
      <c r="J533" t="s">
        <v>92</v>
      </c>
      <c r="K533">
        <v>0</v>
      </c>
    </row>
    <row r="534" spans="9:11">
      <c r="I534" t="s">
        <v>94</v>
      </c>
      <c r="J534" t="s">
        <v>95</v>
      </c>
      <c r="K534">
        <v>0</v>
      </c>
    </row>
    <row r="535" spans="9:11">
      <c r="I535" t="s">
        <v>94</v>
      </c>
      <c r="J535" t="s">
        <v>95</v>
      </c>
      <c r="K535">
        <v>0</v>
      </c>
    </row>
    <row r="536" spans="9:11">
      <c r="I536" t="s">
        <v>94</v>
      </c>
      <c r="J536" t="s">
        <v>95</v>
      </c>
      <c r="K536">
        <v>1</v>
      </c>
    </row>
    <row r="537" spans="9:11">
      <c r="I537" t="s">
        <v>94</v>
      </c>
      <c r="J537" t="s">
        <v>95</v>
      </c>
      <c r="K537">
        <v>1</v>
      </c>
    </row>
    <row r="538" spans="9:11">
      <c r="I538" t="s">
        <v>94</v>
      </c>
      <c r="J538" t="s">
        <v>95</v>
      </c>
      <c r="K538">
        <v>0</v>
      </c>
    </row>
    <row r="539" spans="9:11">
      <c r="I539" t="s">
        <v>91</v>
      </c>
      <c r="J539" t="s">
        <v>92</v>
      </c>
      <c r="K539">
        <v>0</v>
      </c>
    </row>
    <row r="540" spans="9:11">
      <c r="I540" t="s">
        <v>94</v>
      </c>
      <c r="J540" t="s">
        <v>95</v>
      </c>
      <c r="K540">
        <v>0</v>
      </c>
    </row>
    <row r="541" spans="9:11">
      <c r="I541" t="s">
        <v>94</v>
      </c>
      <c r="J541" t="s">
        <v>95</v>
      </c>
      <c r="K541">
        <v>0</v>
      </c>
    </row>
    <row r="542" spans="9:11">
      <c r="I542" t="s">
        <v>91</v>
      </c>
      <c r="J542" t="s">
        <v>92</v>
      </c>
      <c r="K542">
        <v>0</v>
      </c>
    </row>
    <row r="543" spans="9:11">
      <c r="I543" t="s">
        <v>91</v>
      </c>
      <c r="J543" t="s">
        <v>92</v>
      </c>
      <c r="K543">
        <v>0</v>
      </c>
    </row>
    <row r="544" spans="9:11">
      <c r="I544" t="s">
        <v>94</v>
      </c>
      <c r="J544" t="s">
        <v>95</v>
      </c>
      <c r="K544">
        <v>0</v>
      </c>
    </row>
    <row r="545" spans="9:11">
      <c r="I545" t="s">
        <v>91</v>
      </c>
      <c r="J545" t="s">
        <v>92</v>
      </c>
      <c r="K545">
        <v>0</v>
      </c>
    </row>
    <row r="546" spans="9:11">
      <c r="I546" t="s">
        <v>91</v>
      </c>
      <c r="J546" t="s">
        <v>92</v>
      </c>
      <c r="K546">
        <v>0</v>
      </c>
    </row>
    <row r="547" spans="9:11">
      <c r="I547" t="s">
        <v>94</v>
      </c>
      <c r="J547" t="s">
        <v>95</v>
      </c>
      <c r="K547">
        <v>0</v>
      </c>
    </row>
    <row r="548" spans="9:11">
      <c r="I548" t="s">
        <v>91</v>
      </c>
      <c r="J548" t="s">
        <v>92</v>
      </c>
      <c r="K548">
        <v>0</v>
      </c>
    </row>
    <row r="549" spans="9:11">
      <c r="I549" t="s">
        <v>91</v>
      </c>
      <c r="J549" t="s">
        <v>92</v>
      </c>
      <c r="K549">
        <v>0</v>
      </c>
    </row>
    <row r="550" spans="9:11">
      <c r="I550" t="s">
        <v>94</v>
      </c>
      <c r="J550" t="s">
        <v>95</v>
      </c>
      <c r="K550">
        <v>0</v>
      </c>
    </row>
    <row r="551" spans="9:11">
      <c r="I551" t="s">
        <v>94</v>
      </c>
      <c r="J551" t="s">
        <v>95</v>
      </c>
      <c r="K551">
        <v>0</v>
      </c>
    </row>
    <row r="552" spans="9:11">
      <c r="I552" t="s">
        <v>94</v>
      </c>
      <c r="J552" t="s">
        <v>95</v>
      </c>
      <c r="K552">
        <v>0</v>
      </c>
    </row>
    <row r="553" spans="9:11">
      <c r="I553" t="s">
        <v>94</v>
      </c>
      <c r="J553" t="s">
        <v>95</v>
      </c>
      <c r="K553">
        <v>0</v>
      </c>
    </row>
    <row r="554" spans="9:11">
      <c r="I554" t="s">
        <v>91</v>
      </c>
      <c r="J554" t="s">
        <v>92</v>
      </c>
      <c r="K554">
        <v>0</v>
      </c>
    </row>
    <row r="555" spans="9:11">
      <c r="I555" t="s">
        <v>94</v>
      </c>
      <c r="J555" t="s">
        <v>95</v>
      </c>
      <c r="K555">
        <v>0</v>
      </c>
    </row>
    <row r="556" spans="9:11">
      <c r="I556" t="s">
        <v>91</v>
      </c>
      <c r="J556" t="s">
        <v>92</v>
      </c>
      <c r="K556">
        <v>0</v>
      </c>
    </row>
    <row r="557" spans="9:11">
      <c r="I557" t="s">
        <v>91</v>
      </c>
      <c r="J557" t="s">
        <v>92</v>
      </c>
      <c r="K557">
        <v>0</v>
      </c>
    </row>
    <row r="558" spans="9:11">
      <c r="I558" t="s">
        <v>91</v>
      </c>
      <c r="J558" t="s">
        <v>92</v>
      </c>
      <c r="K558">
        <v>0</v>
      </c>
    </row>
    <row r="559" spans="9:11">
      <c r="I559" t="s">
        <v>91</v>
      </c>
      <c r="J559" t="s">
        <v>92</v>
      </c>
      <c r="K559">
        <v>0</v>
      </c>
    </row>
    <row r="560" spans="9:11">
      <c r="I560" t="s">
        <v>94</v>
      </c>
      <c r="J560" t="s">
        <v>95</v>
      </c>
      <c r="K560">
        <v>0</v>
      </c>
    </row>
    <row r="561" spans="9:11">
      <c r="I561" t="s">
        <v>91</v>
      </c>
      <c r="J561" t="s">
        <v>92</v>
      </c>
      <c r="K561">
        <v>0</v>
      </c>
    </row>
    <row r="562" spans="9:11">
      <c r="I562" t="s">
        <v>91</v>
      </c>
      <c r="J562" t="s">
        <v>92</v>
      </c>
      <c r="K562">
        <v>0</v>
      </c>
    </row>
    <row r="563" spans="9:11">
      <c r="I563" t="s">
        <v>94</v>
      </c>
      <c r="J563" t="s">
        <v>95</v>
      </c>
      <c r="K563">
        <v>0</v>
      </c>
    </row>
    <row r="564" spans="9:11">
      <c r="I564" t="s">
        <v>94</v>
      </c>
      <c r="J564" t="s">
        <v>95</v>
      </c>
      <c r="K564">
        <v>0</v>
      </c>
    </row>
    <row r="565" spans="9:11">
      <c r="I565" t="s">
        <v>91</v>
      </c>
      <c r="J565" t="s">
        <v>92</v>
      </c>
      <c r="K565">
        <v>0</v>
      </c>
    </row>
    <row r="566" spans="9:11">
      <c r="I566" t="s">
        <v>94</v>
      </c>
      <c r="J566" t="s">
        <v>95</v>
      </c>
      <c r="K566">
        <v>0</v>
      </c>
    </row>
    <row r="567" spans="9:11">
      <c r="I567" t="s">
        <v>91</v>
      </c>
      <c r="J567" t="s">
        <v>92</v>
      </c>
      <c r="K567">
        <v>0</v>
      </c>
    </row>
    <row r="568" spans="9:11">
      <c r="I568" t="s">
        <v>94</v>
      </c>
      <c r="J568" t="s">
        <v>95</v>
      </c>
      <c r="K568">
        <v>0</v>
      </c>
    </row>
    <row r="569" spans="9:11">
      <c r="I569" t="s">
        <v>94</v>
      </c>
      <c r="J569" t="s">
        <v>95</v>
      </c>
      <c r="K569">
        <v>0</v>
      </c>
    </row>
    <row r="570" spans="9:11">
      <c r="I570" t="s">
        <v>94</v>
      </c>
      <c r="J570" t="s">
        <v>95</v>
      </c>
      <c r="K570">
        <v>0</v>
      </c>
    </row>
    <row r="571" spans="9:11">
      <c r="I571" t="s">
        <v>94</v>
      </c>
      <c r="J571" t="s">
        <v>95</v>
      </c>
      <c r="K571">
        <v>0</v>
      </c>
    </row>
    <row r="572" spans="9:11">
      <c r="I572" t="s">
        <v>91</v>
      </c>
      <c r="J572" t="s">
        <v>92</v>
      </c>
      <c r="K572">
        <v>0</v>
      </c>
    </row>
    <row r="573" spans="9:11">
      <c r="I573" t="s">
        <v>94</v>
      </c>
      <c r="J573" t="s">
        <v>95</v>
      </c>
      <c r="K573">
        <v>0</v>
      </c>
    </row>
    <row r="574" spans="9:11">
      <c r="I574" t="s">
        <v>94</v>
      </c>
      <c r="J574" t="s">
        <v>95</v>
      </c>
      <c r="K574">
        <v>0</v>
      </c>
    </row>
    <row r="575" spans="9:11">
      <c r="I575" t="s">
        <v>94</v>
      </c>
      <c r="J575" t="s">
        <v>95</v>
      </c>
      <c r="K575">
        <v>0</v>
      </c>
    </row>
    <row r="576" spans="9:11">
      <c r="I576" t="s">
        <v>94</v>
      </c>
      <c r="J576" t="s">
        <v>95</v>
      </c>
      <c r="K576">
        <v>0</v>
      </c>
    </row>
    <row r="577" spans="9:11">
      <c r="I577" t="s">
        <v>94</v>
      </c>
      <c r="J577" t="s">
        <v>95</v>
      </c>
      <c r="K577">
        <v>0</v>
      </c>
    </row>
    <row r="578" spans="9:11">
      <c r="I578" t="s">
        <v>94</v>
      </c>
      <c r="J578" t="s">
        <v>95</v>
      </c>
      <c r="K578">
        <v>0</v>
      </c>
    </row>
    <row r="579" spans="9:11">
      <c r="I579" t="s">
        <v>91</v>
      </c>
      <c r="J579" t="s">
        <v>92</v>
      </c>
      <c r="K579">
        <v>0</v>
      </c>
    </row>
    <row r="580" spans="9:11">
      <c r="I580" t="s">
        <v>91</v>
      </c>
      <c r="J580" t="s">
        <v>92</v>
      </c>
      <c r="K580">
        <v>0</v>
      </c>
    </row>
    <row r="581" spans="9:11">
      <c r="I581" t="s">
        <v>91</v>
      </c>
      <c r="J581" t="s">
        <v>92</v>
      </c>
      <c r="K581">
        <v>1</v>
      </c>
    </row>
    <row r="582" spans="9:11">
      <c r="I582" t="s">
        <v>91</v>
      </c>
      <c r="J582" t="s">
        <v>92</v>
      </c>
      <c r="K582">
        <v>0</v>
      </c>
    </row>
    <row r="583" spans="9:11">
      <c r="I583" t="s">
        <v>94</v>
      </c>
      <c r="J583" t="s">
        <v>95</v>
      </c>
      <c r="K583">
        <v>0</v>
      </c>
    </row>
    <row r="584" spans="9:11">
      <c r="I584" t="s">
        <v>94</v>
      </c>
      <c r="J584" t="s">
        <v>95</v>
      </c>
      <c r="K584">
        <v>0</v>
      </c>
    </row>
    <row r="585" spans="9:11">
      <c r="I585" t="s">
        <v>91</v>
      </c>
      <c r="J585" t="s">
        <v>92</v>
      </c>
      <c r="K585">
        <v>0</v>
      </c>
    </row>
    <row r="586" spans="9:11">
      <c r="I586" t="s">
        <v>94</v>
      </c>
      <c r="J586" t="s">
        <v>95</v>
      </c>
      <c r="K586">
        <v>0</v>
      </c>
    </row>
    <row r="587" spans="9:11">
      <c r="I587" t="s">
        <v>91</v>
      </c>
      <c r="J587" t="s">
        <v>92</v>
      </c>
      <c r="K587">
        <v>0</v>
      </c>
    </row>
    <row r="588" spans="9:11">
      <c r="I588" t="s">
        <v>94</v>
      </c>
      <c r="J588" t="s">
        <v>95</v>
      </c>
      <c r="K588">
        <v>0</v>
      </c>
    </row>
    <row r="589" spans="9:11">
      <c r="I589" t="s">
        <v>91</v>
      </c>
      <c r="J589" t="s">
        <v>92</v>
      </c>
      <c r="K589">
        <v>0</v>
      </c>
    </row>
    <row r="590" spans="9:11">
      <c r="I590" t="s">
        <v>94</v>
      </c>
      <c r="J590" t="s">
        <v>95</v>
      </c>
      <c r="K590">
        <v>0</v>
      </c>
    </row>
    <row r="591" spans="9:11">
      <c r="I591" t="s">
        <v>91</v>
      </c>
      <c r="J591" t="s">
        <v>92</v>
      </c>
      <c r="K591">
        <v>0</v>
      </c>
    </row>
    <row r="592" spans="9:11">
      <c r="I592" t="s">
        <v>91</v>
      </c>
      <c r="J592" t="s">
        <v>92</v>
      </c>
      <c r="K592">
        <v>0</v>
      </c>
    </row>
    <row r="593" spans="9:11">
      <c r="I593" t="s">
        <v>91</v>
      </c>
      <c r="J593" t="s">
        <v>92</v>
      </c>
      <c r="K593">
        <v>0</v>
      </c>
    </row>
    <row r="594" spans="9:11">
      <c r="I594" t="s">
        <v>91</v>
      </c>
      <c r="J594" t="s">
        <v>92</v>
      </c>
      <c r="K594">
        <v>0</v>
      </c>
    </row>
    <row r="595" spans="9:11">
      <c r="I595" t="s">
        <v>94</v>
      </c>
      <c r="J595" t="s">
        <v>95</v>
      </c>
      <c r="K595">
        <v>0</v>
      </c>
    </row>
    <row r="596" spans="9:11">
      <c r="I596" t="s">
        <v>94</v>
      </c>
      <c r="J596" t="s">
        <v>95</v>
      </c>
      <c r="K596">
        <v>0</v>
      </c>
    </row>
    <row r="597" spans="9:11">
      <c r="I597" t="s">
        <v>94</v>
      </c>
      <c r="J597" t="s">
        <v>95</v>
      </c>
      <c r="K597">
        <v>0</v>
      </c>
    </row>
    <row r="598" spans="9:11">
      <c r="I598" t="s">
        <v>91</v>
      </c>
      <c r="J598" t="s">
        <v>92</v>
      </c>
      <c r="K598">
        <v>0</v>
      </c>
    </row>
    <row r="599" spans="9:11">
      <c r="I599" t="s">
        <v>91</v>
      </c>
      <c r="J599" t="s">
        <v>92</v>
      </c>
      <c r="K599">
        <v>0</v>
      </c>
    </row>
    <row r="600" spans="9:11">
      <c r="I600" t="s">
        <v>94</v>
      </c>
      <c r="J600" t="s">
        <v>95</v>
      </c>
      <c r="K600">
        <v>0</v>
      </c>
    </row>
    <row r="601" spans="9:11">
      <c r="I601" t="s">
        <v>94</v>
      </c>
      <c r="J601" t="s">
        <v>95</v>
      </c>
      <c r="K601">
        <v>0</v>
      </c>
    </row>
    <row r="602" spans="9:11">
      <c r="I602" t="s">
        <v>91</v>
      </c>
      <c r="J602" t="s">
        <v>92</v>
      </c>
      <c r="K602">
        <v>0</v>
      </c>
    </row>
    <row r="603" spans="9:11">
      <c r="I603" t="s">
        <v>94</v>
      </c>
      <c r="J603" t="s">
        <v>95</v>
      </c>
      <c r="K603">
        <v>0</v>
      </c>
    </row>
    <row r="604" spans="9:11">
      <c r="I604" t="s">
        <v>94</v>
      </c>
      <c r="J604" t="s">
        <v>95</v>
      </c>
      <c r="K604">
        <v>0</v>
      </c>
    </row>
    <row r="605" spans="9:11">
      <c r="I605" t="s">
        <v>91</v>
      </c>
      <c r="J605" t="s">
        <v>92</v>
      </c>
      <c r="K605">
        <v>0</v>
      </c>
    </row>
    <row r="606" spans="9:11">
      <c r="I606" t="s">
        <v>91</v>
      </c>
      <c r="J606" t="s">
        <v>92</v>
      </c>
      <c r="K606">
        <v>0</v>
      </c>
    </row>
    <row r="607" spans="9:11">
      <c r="I607" t="s">
        <v>91</v>
      </c>
      <c r="J607" t="s">
        <v>92</v>
      </c>
      <c r="K607">
        <v>0</v>
      </c>
    </row>
    <row r="608" spans="9:11">
      <c r="I608" t="s">
        <v>91</v>
      </c>
      <c r="J608" t="s">
        <v>92</v>
      </c>
      <c r="K608">
        <v>0</v>
      </c>
    </row>
    <row r="609" spans="9:11">
      <c r="I609" t="s">
        <v>94</v>
      </c>
      <c r="J609" t="s">
        <v>95</v>
      </c>
      <c r="K609">
        <v>0</v>
      </c>
    </row>
    <row r="610" spans="9:11">
      <c r="I610" t="s">
        <v>91</v>
      </c>
      <c r="J610" t="s">
        <v>92</v>
      </c>
      <c r="K610">
        <v>0</v>
      </c>
    </row>
    <row r="611" spans="9:11">
      <c r="I611" t="s">
        <v>94</v>
      </c>
      <c r="J611" t="s">
        <v>95</v>
      </c>
      <c r="K611">
        <v>0</v>
      </c>
    </row>
    <row r="612" spans="9:11">
      <c r="I612" t="s">
        <v>91</v>
      </c>
      <c r="J612" t="s">
        <v>92</v>
      </c>
      <c r="K612">
        <v>0</v>
      </c>
    </row>
    <row r="613" spans="9:11">
      <c r="I613" t="s">
        <v>94</v>
      </c>
      <c r="J613" t="s">
        <v>95</v>
      </c>
      <c r="K613">
        <v>0</v>
      </c>
    </row>
    <row r="614" spans="9:11">
      <c r="I614" t="s">
        <v>91</v>
      </c>
      <c r="J614" t="s">
        <v>92</v>
      </c>
      <c r="K614">
        <v>0</v>
      </c>
    </row>
    <row r="615" spans="9:11">
      <c r="I615" t="s">
        <v>94</v>
      </c>
      <c r="J615" t="s">
        <v>95</v>
      </c>
      <c r="K615">
        <v>0</v>
      </c>
    </row>
    <row r="616" spans="9:11">
      <c r="I616" t="s">
        <v>94</v>
      </c>
      <c r="J616" t="s">
        <v>95</v>
      </c>
      <c r="K616">
        <v>0</v>
      </c>
    </row>
    <row r="617" spans="9:11">
      <c r="I617" t="s">
        <v>91</v>
      </c>
      <c r="J617" t="s">
        <v>92</v>
      </c>
      <c r="K617">
        <v>0</v>
      </c>
    </row>
    <row r="618" spans="9:11">
      <c r="I618" t="s">
        <v>94</v>
      </c>
      <c r="J618" t="s">
        <v>95</v>
      </c>
      <c r="K618">
        <v>0</v>
      </c>
    </row>
    <row r="619" spans="9:11">
      <c r="I619" t="s">
        <v>94</v>
      </c>
      <c r="J619" t="s">
        <v>95</v>
      </c>
      <c r="K619">
        <v>0</v>
      </c>
    </row>
    <row r="620" spans="9:11">
      <c r="I620" t="s">
        <v>91</v>
      </c>
      <c r="J620" t="s">
        <v>92</v>
      </c>
      <c r="K620">
        <v>0</v>
      </c>
    </row>
    <row r="621" spans="9:11">
      <c r="I621" t="s">
        <v>94</v>
      </c>
      <c r="J621" t="s">
        <v>95</v>
      </c>
      <c r="K621">
        <v>0</v>
      </c>
    </row>
    <row r="622" spans="9:11">
      <c r="I622" t="s">
        <v>91</v>
      </c>
      <c r="J622" t="s">
        <v>92</v>
      </c>
      <c r="K622">
        <v>0</v>
      </c>
    </row>
    <row r="623" spans="9:11">
      <c r="I623" t="s">
        <v>94</v>
      </c>
      <c r="J623" t="s">
        <v>95</v>
      </c>
      <c r="K623">
        <v>0</v>
      </c>
    </row>
    <row r="624" spans="9:11">
      <c r="I624" t="s">
        <v>91</v>
      </c>
      <c r="J624" t="s">
        <v>92</v>
      </c>
      <c r="K624">
        <v>0</v>
      </c>
    </row>
    <row r="625" spans="9:11">
      <c r="I625" t="s">
        <v>94</v>
      </c>
      <c r="J625" t="s">
        <v>95</v>
      </c>
      <c r="K625">
        <v>0</v>
      </c>
    </row>
    <row r="626" spans="9:11">
      <c r="I626" t="s">
        <v>91</v>
      </c>
      <c r="J626" t="s">
        <v>92</v>
      </c>
      <c r="K626">
        <v>0</v>
      </c>
    </row>
    <row r="627" spans="9:11">
      <c r="I627" t="s">
        <v>91</v>
      </c>
      <c r="J627" t="s">
        <v>92</v>
      </c>
      <c r="K627">
        <v>0</v>
      </c>
    </row>
    <row r="628" spans="9:11">
      <c r="I628" t="s">
        <v>94</v>
      </c>
      <c r="J628" t="s">
        <v>95</v>
      </c>
      <c r="K628">
        <v>0</v>
      </c>
    </row>
    <row r="629" spans="9:11">
      <c r="I629" t="s">
        <v>91</v>
      </c>
      <c r="J629" t="s">
        <v>92</v>
      </c>
      <c r="K629">
        <v>0</v>
      </c>
    </row>
    <row r="630" spans="9:11">
      <c r="I630" t="s">
        <v>91</v>
      </c>
      <c r="J630" t="s">
        <v>92</v>
      </c>
      <c r="K630">
        <v>0</v>
      </c>
    </row>
    <row r="631" spans="9:11">
      <c r="I631" t="s">
        <v>94</v>
      </c>
      <c r="J631" t="s">
        <v>95</v>
      </c>
      <c r="K631">
        <v>0</v>
      </c>
    </row>
    <row r="632" spans="9:11">
      <c r="I632" t="s">
        <v>91</v>
      </c>
      <c r="J632" t="s">
        <v>92</v>
      </c>
      <c r="K632">
        <v>0</v>
      </c>
    </row>
    <row r="633" spans="9:11">
      <c r="I633" t="s">
        <v>91</v>
      </c>
      <c r="J633" t="s">
        <v>92</v>
      </c>
      <c r="K633">
        <v>0</v>
      </c>
    </row>
    <row r="634" spans="9:11">
      <c r="I634" t="s">
        <v>94</v>
      </c>
      <c r="J634" t="s">
        <v>95</v>
      </c>
      <c r="K634">
        <v>0</v>
      </c>
    </row>
    <row r="635" spans="9:11">
      <c r="I635" t="s">
        <v>94</v>
      </c>
      <c r="J635" t="s">
        <v>95</v>
      </c>
      <c r="K635">
        <v>0</v>
      </c>
    </row>
    <row r="636" spans="9:11">
      <c r="I636" t="s">
        <v>91</v>
      </c>
      <c r="J636" t="s">
        <v>92</v>
      </c>
      <c r="K636">
        <v>0</v>
      </c>
    </row>
    <row r="637" spans="9:11">
      <c r="I637" t="s">
        <v>91</v>
      </c>
      <c r="J637" t="s">
        <v>92</v>
      </c>
      <c r="K637">
        <v>0</v>
      </c>
    </row>
    <row r="638" spans="9:11">
      <c r="I638" t="s">
        <v>91</v>
      </c>
      <c r="J638" t="s">
        <v>92</v>
      </c>
      <c r="K638">
        <v>0</v>
      </c>
    </row>
    <row r="639" spans="9:11">
      <c r="I639" t="s">
        <v>91</v>
      </c>
      <c r="J639" t="s">
        <v>92</v>
      </c>
      <c r="K639">
        <v>0</v>
      </c>
    </row>
    <row r="640" spans="9:11">
      <c r="I640" t="s">
        <v>94</v>
      </c>
      <c r="J640" t="s">
        <v>95</v>
      </c>
      <c r="K640">
        <v>0</v>
      </c>
    </row>
    <row r="641" spans="9:11">
      <c r="I641" t="s">
        <v>94</v>
      </c>
      <c r="J641" t="s">
        <v>95</v>
      </c>
      <c r="K641">
        <v>0</v>
      </c>
    </row>
    <row r="642" spans="9:11">
      <c r="I642" t="s">
        <v>94</v>
      </c>
      <c r="J642" t="s">
        <v>95</v>
      </c>
      <c r="K642">
        <v>0</v>
      </c>
    </row>
    <row r="643" spans="9:11">
      <c r="I643" t="s">
        <v>94</v>
      </c>
      <c r="J643" t="s">
        <v>95</v>
      </c>
      <c r="K643">
        <v>0</v>
      </c>
    </row>
    <row r="644" spans="9:11">
      <c r="I644" t="s">
        <v>94</v>
      </c>
      <c r="J644" t="s">
        <v>95</v>
      </c>
      <c r="K644">
        <v>0</v>
      </c>
    </row>
    <row r="645" spans="9:11">
      <c r="I645" t="s">
        <v>94</v>
      </c>
      <c r="J645" t="s">
        <v>95</v>
      </c>
      <c r="K645">
        <v>0</v>
      </c>
    </row>
    <row r="646" spans="9:11">
      <c r="I646" t="s">
        <v>91</v>
      </c>
      <c r="J646" t="s">
        <v>92</v>
      </c>
      <c r="K646">
        <v>0</v>
      </c>
    </row>
    <row r="647" spans="9:11">
      <c r="I647" t="s">
        <v>94</v>
      </c>
      <c r="J647" t="s">
        <v>95</v>
      </c>
      <c r="K647">
        <v>0</v>
      </c>
    </row>
    <row r="648" spans="9:11">
      <c r="I648" t="s">
        <v>91</v>
      </c>
      <c r="J648" t="s">
        <v>92</v>
      </c>
      <c r="K648">
        <v>0</v>
      </c>
    </row>
    <row r="649" spans="9:11">
      <c r="I649" t="s">
        <v>91</v>
      </c>
      <c r="J649" t="s">
        <v>92</v>
      </c>
      <c r="K649">
        <v>0</v>
      </c>
    </row>
    <row r="650" spans="9:11">
      <c r="I650" t="s">
        <v>91</v>
      </c>
      <c r="J650" t="s">
        <v>92</v>
      </c>
      <c r="K650">
        <v>0</v>
      </c>
    </row>
    <row r="651" spans="9:11">
      <c r="I651" t="s">
        <v>91</v>
      </c>
      <c r="J651" t="s">
        <v>92</v>
      </c>
      <c r="K651">
        <v>0</v>
      </c>
    </row>
    <row r="652" spans="9:11">
      <c r="I652" t="s">
        <v>91</v>
      </c>
      <c r="J652" t="s">
        <v>92</v>
      </c>
      <c r="K652">
        <v>0</v>
      </c>
    </row>
    <row r="653" spans="9:11">
      <c r="I653" t="s">
        <v>94</v>
      </c>
      <c r="J653" t="s">
        <v>95</v>
      </c>
      <c r="K653">
        <v>0</v>
      </c>
    </row>
    <row r="654" spans="9:11">
      <c r="I654" t="s">
        <v>94</v>
      </c>
      <c r="J654" t="s">
        <v>95</v>
      </c>
      <c r="K654">
        <v>0</v>
      </c>
    </row>
    <row r="655" spans="9:11">
      <c r="I655" t="s">
        <v>91</v>
      </c>
      <c r="J655" t="s">
        <v>92</v>
      </c>
      <c r="K655">
        <v>0</v>
      </c>
    </row>
    <row r="656" spans="9:11">
      <c r="I656" t="s">
        <v>91</v>
      </c>
      <c r="J656" t="s">
        <v>92</v>
      </c>
      <c r="K656">
        <v>0</v>
      </c>
    </row>
    <row r="657" spans="9:11">
      <c r="I657" t="s">
        <v>91</v>
      </c>
      <c r="J657" t="s">
        <v>92</v>
      </c>
      <c r="K657">
        <v>0</v>
      </c>
    </row>
    <row r="658" spans="9:11">
      <c r="I658" t="s">
        <v>91</v>
      </c>
      <c r="J658" t="s">
        <v>92</v>
      </c>
      <c r="K658">
        <v>0</v>
      </c>
    </row>
    <row r="659" spans="9:11">
      <c r="I659" t="s">
        <v>94</v>
      </c>
      <c r="J659" t="s">
        <v>95</v>
      </c>
      <c r="K659">
        <v>0</v>
      </c>
    </row>
    <row r="660" spans="9:11">
      <c r="I660" t="s">
        <v>94</v>
      </c>
      <c r="J660" t="s">
        <v>95</v>
      </c>
      <c r="K660">
        <v>0</v>
      </c>
    </row>
    <row r="661" spans="9:11">
      <c r="I661" t="s">
        <v>91</v>
      </c>
      <c r="J661" t="s">
        <v>92</v>
      </c>
      <c r="K661">
        <v>0</v>
      </c>
    </row>
    <row r="662" spans="9:11">
      <c r="I662" t="s">
        <v>91</v>
      </c>
      <c r="J662" t="s">
        <v>92</v>
      </c>
      <c r="K662">
        <v>0</v>
      </c>
    </row>
    <row r="663" spans="9:11">
      <c r="I663" t="s">
        <v>94</v>
      </c>
      <c r="J663" t="s">
        <v>95</v>
      </c>
      <c r="K663">
        <v>0</v>
      </c>
    </row>
    <row r="664" spans="9:11">
      <c r="I664" t="s">
        <v>94</v>
      </c>
      <c r="J664" t="s">
        <v>95</v>
      </c>
      <c r="K664">
        <v>0</v>
      </c>
    </row>
    <row r="665" spans="9:11">
      <c r="I665" t="s">
        <v>91</v>
      </c>
      <c r="J665" t="s">
        <v>92</v>
      </c>
      <c r="K665">
        <v>0</v>
      </c>
    </row>
    <row r="666" spans="9:11">
      <c r="I666" t="s">
        <v>94</v>
      </c>
      <c r="J666" t="s">
        <v>95</v>
      </c>
      <c r="K666">
        <v>0</v>
      </c>
    </row>
    <row r="667" spans="9:11">
      <c r="I667" t="s">
        <v>91</v>
      </c>
      <c r="J667" t="s">
        <v>92</v>
      </c>
      <c r="K667">
        <v>0</v>
      </c>
    </row>
    <row r="668" spans="9:11">
      <c r="I668" t="s">
        <v>94</v>
      </c>
      <c r="J668" t="s">
        <v>95</v>
      </c>
      <c r="K668">
        <v>0</v>
      </c>
    </row>
    <row r="669" spans="9:11">
      <c r="I669" t="s">
        <v>94</v>
      </c>
      <c r="J669" t="s">
        <v>95</v>
      </c>
      <c r="K669">
        <v>0</v>
      </c>
    </row>
    <row r="670" spans="9:11">
      <c r="I670" t="s">
        <v>94</v>
      </c>
      <c r="J670" t="s">
        <v>95</v>
      </c>
      <c r="K670">
        <v>0</v>
      </c>
    </row>
    <row r="671" spans="9:11">
      <c r="I671" t="s">
        <v>91</v>
      </c>
      <c r="J671" t="s">
        <v>92</v>
      </c>
      <c r="K671">
        <v>0</v>
      </c>
    </row>
    <row r="672" spans="9:11">
      <c r="I672" t="s">
        <v>94</v>
      </c>
      <c r="J672" t="s">
        <v>95</v>
      </c>
      <c r="K672">
        <v>1</v>
      </c>
    </row>
    <row r="673" spans="9:11">
      <c r="I673" t="s">
        <v>91</v>
      </c>
      <c r="J673" t="s">
        <v>92</v>
      </c>
      <c r="K673">
        <v>0</v>
      </c>
    </row>
    <row r="674" spans="9:11">
      <c r="I674" t="s">
        <v>94</v>
      </c>
      <c r="J674" t="s">
        <v>95</v>
      </c>
      <c r="K674">
        <v>1</v>
      </c>
    </row>
    <row r="675" spans="9:11">
      <c r="I675" t="s">
        <v>94</v>
      </c>
      <c r="J675" t="s">
        <v>95</v>
      </c>
      <c r="K675">
        <v>0</v>
      </c>
    </row>
    <row r="676" spans="9:11">
      <c r="I676" t="s">
        <v>91</v>
      </c>
      <c r="J676" t="s">
        <v>92</v>
      </c>
      <c r="K676">
        <v>0</v>
      </c>
    </row>
    <row r="677" spans="9:11">
      <c r="I677" t="s">
        <v>94</v>
      </c>
      <c r="J677" t="s">
        <v>95</v>
      </c>
      <c r="K677">
        <v>0</v>
      </c>
    </row>
    <row r="678" spans="9:11">
      <c r="I678" t="s">
        <v>91</v>
      </c>
      <c r="J678" t="s">
        <v>92</v>
      </c>
      <c r="K678">
        <v>0</v>
      </c>
    </row>
    <row r="679" spans="9:11">
      <c r="I679" t="s">
        <v>91</v>
      </c>
      <c r="J679" t="s">
        <v>92</v>
      </c>
      <c r="K679">
        <v>0</v>
      </c>
    </row>
    <row r="680" spans="9:11">
      <c r="I680" t="s">
        <v>94</v>
      </c>
      <c r="J680" t="s">
        <v>95</v>
      </c>
      <c r="K680">
        <v>1</v>
      </c>
    </row>
    <row r="681" spans="9:11">
      <c r="I681" t="s">
        <v>94</v>
      </c>
      <c r="J681" t="s">
        <v>95</v>
      </c>
      <c r="K681">
        <v>0</v>
      </c>
    </row>
    <row r="682" spans="9:11">
      <c r="I682" t="s">
        <v>94</v>
      </c>
      <c r="J682" t="s">
        <v>95</v>
      </c>
      <c r="K682">
        <v>0</v>
      </c>
    </row>
    <row r="683" spans="9:11">
      <c r="I683" t="s">
        <v>91</v>
      </c>
      <c r="J683" t="s">
        <v>92</v>
      </c>
      <c r="K683">
        <v>0</v>
      </c>
    </row>
    <row r="684" spans="9:11">
      <c r="I684" t="s">
        <v>94</v>
      </c>
      <c r="J684" t="s">
        <v>95</v>
      </c>
      <c r="K684">
        <v>0</v>
      </c>
    </row>
    <row r="685" spans="9:11">
      <c r="I685" t="s">
        <v>94</v>
      </c>
      <c r="J685" t="s">
        <v>95</v>
      </c>
      <c r="K685">
        <v>0</v>
      </c>
    </row>
    <row r="686" spans="9:11">
      <c r="I686" t="s">
        <v>91</v>
      </c>
      <c r="J686" t="s">
        <v>92</v>
      </c>
      <c r="K686">
        <v>0</v>
      </c>
    </row>
    <row r="687" spans="9:11">
      <c r="I687" t="s">
        <v>91</v>
      </c>
      <c r="J687" t="s">
        <v>92</v>
      </c>
      <c r="K687">
        <v>0</v>
      </c>
    </row>
    <row r="688" spans="9:11">
      <c r="I688" t="s">
        <v>94</v>
      </c>
      <c r="J688" t="s">
        <v>95</v>
      </c>
      <c r="K688">
        <v>0</v>
      </c>
    </row>
    <row r="689" spans="9:11">
      <c r="I689" t="s">
        <v>91</v>
      </c>
      <c r="J689" t="s">
        <v>92</v>
      </c>
      <c r="K689">
        <v>0</v>
      </c>
    </row>
    <row r="690" spans="9:11">
      <c r="I690" t="s">
        <v>94</v>
      </c>
      <c r="J690" t="s">
        <v>95</v>
      </c>
      <c r="K690">
        <v>0</v>
      </c>
    </row>
    <row r="691" spans="9:11">
      <c r="I691" t="s">
        <v>91</v>
      </c>
      <c r="J691" t="s">
        <v>92</v>
      </c>
      <c r="K691">
        <v>1</v>
      </c>
    </row>
    <row r="692" spans="9:11">
      <c r="I692" t="s">
        <v>91</v>
      </c>
      <c r="J692" t="s">
        <v>92</v>
      </c>
      <c r="K692">
        <v>0</v>
      </c>
    </row>
    <row r="693" spans="9:11">
      <c r="I693" t="s">
        <v>94</v>
      </c>
      <c r="J693" t="s">
        <v>95</v>
      </c>
      <c r="K693">
        <v>0</v>
      </c>
    </row>
    <row r="694" spans="9:11">
      <c r="I694" t="s">
        <v>94</v>
      </c>
      <c r="J694" t="s">
        <v>95</v>
      </c>
      <c r="K694">
        <v>0</v>
      </c>
    </row>
    <row r="695" spans="9:11">
      <c r="I695" t="s">
        <v>91</v>
      </c>
      <c r="J695" t="s">
        <v>92</v>
      </c>
      <c r="K695">
        <v>0</v>
      </c>
    </row>
    <row r="696" spans="9:11">
      <c r="I696" t="s">
        <v>94</v>
      </c>
      <c r="J696" t="s">
        <v>95</v>
      </c>
      <c r="K696">
        <v>0</v>
      </c>
    </row>
    <row r="697" spans="9:11">
      <c r="I697" t="s">
        <v>94</v>
      </c>
      <c r="J697" t="s">
        <v>95</v>
      </c>
      <c r="K697">
        <v>0</v>
      </c>
    </row>
    <row r="698" spans="9:11">
      <c r="I698" t="s">
        <v>91</v>
      </c>
      <c r="J698" t="s">
        <v>92</v>
      </c>
      <c r="K698">
        <v>0</v>
      </c>
    </row>
    <row r="699" spans="9:11">
      <c r="I699" t="s">
        <v>91</v>
      </c>
      <c r="J699" t="s">
        <v>92</v>
      </c>
      <c r="K699">
        <v>0</v>
      </c>
    </row>
    <row r="700" spans="9:11">
      <c r="I700" t="s">
        <v>91</v>
      </c>
      <c r="J700" t="s">
        <v>92</v>
      </c>
      <c r="K700">
        <v>0</v>
      </c>
    </row>
    <row r="701" spans="9:11">
      <c r="I701" t="s">
        <v>91</v>
      </c>
      <c r="J701" t="s">
        <v>92</v>
      </c>
      <c r="K701">
        <v>0</v>
      </c>
    </row>
    <row r="702" spans="9:11">
      <c r="I702" t="s">
        <v>94</v>
      </c>
      <c r="J702" t="s">
        <v>95</v>
      </c>
      <c r="K702">
        <v>0</v>
      </c>
    </row>
    <row r="703" spans="9:11">
      <c r="I703" t="s">
        <v>91</v>
      </c>
      <c r="J703" t="s">
        <v>92</v>
      </c>
      <c r="K703">
        <v>0</v>
      </c>
    </row>
    <row r="704" spans="9:11">
      <c r="I704" t="s">
        <v>91</v>
      </c>
      <c r="J704" t="s">
        <v>92</v>
      </c>
      <c r="K704">
        <v>0</v>
      </c>
    </row>
    <row r="705" spans="9:11">
      <c r="I705" t="s">
        <v>94</v>
      </c>
      <c r="J705" t="s">
        <v>95</v>
      </c>
      <c r="K705">
        <v>0</v>
      </c>
    </row>
    <row r="706" spans="9:11">
      <c r="I706" t="s">
        <v>91</v>
      </c>
      <c r="J706" t="s">
        <v>92</v>
      </c>
      <c r="K706">
        <v>0</v>
      </c>
    </row>
    <row r="707" spans="9:11">
      <c r="I707" t="s">
        <v>91</v>
      </c>
      <c r="J707" t="s">
        <v>92</v>
      </c>
      <c r="K707">
        <v>0</v>
      </c>
    </row>
    <row r="708" spans="9:11">
      <c r="I708" t="s">
        <v>91</v>
      </c>
      <c r="J708" t="s">
        <v>92</v>
      </c>
      <c r="K708">
        <v>0</v>
      </c>
    </row>
    <row r="709" spans="9:11">
      <c r="I709" t="s">
        <v>94</v>
      </c>
      <c r="J709" t="s">
        <v>95</v>
      </c>
      <c r="K709">
        <v>0</v>
      </c>
    </row>
    <row r="710" spans="9:11">
      <c r="I710" t="s">
        <v>94</v>
      </c>
      <c r="J710" t="s">
        <v>95</v>
      </c>
      <c r="K710">
        <v>0</v>
      </c>
    </row>
    <row r="711" spans="9:11">
      <c r="I711" t="s">
        <v>94</v>
      </c>
      <c r="J711" t="s">
        <v>95</v>
      </c>
      <c r="K711">
        <v>0</v>
      </c>
    </row>
    <row r="712" spans="9:11">
      <c r="I712" t="s">
        <v>94</v>
      </c>
      <c r="J712" t="s">
        <v>95</v>
      </c>
      <c r="K712">
        <v>0</v>
      </c>
    </row>
    <row r="713" spans="9:11">
      <c r="I713" t="s">
        <v>91</v>
      </c>
      <c r="J713" t="s">
        <v>92</v>
      </c>
      <c r="K713">
        <v>0</v>
      </c>
    </row>
    <row r="714" spans="9:11">
      <c r="I714" t="s">
        <v>94</v>
      </c>
      <c r="J714" t="s">
        <v>95</v>
      </c>
      <c r="K714">
        <v>0</v>
      </c>
    </row>
    <row r="715" spans="9:11">
      <c r="I715" t="s">
        <v>91</v>
      </c>
      <c r="J715" t="s">
        <v>92</v>
      </c>
      <c r="K715">
        <v>0</v>
      </c>
    </row>
    <row r="716" spans="9:11">
      <c r="I716" t="s">
        <v>91</v>
      </c>
      <c r="J716" t="s">
        <v>92</v>
      </c>
      <c r="K716">
        <v>0</v>
      </c>
    </row>
    <row r="717" spans="9:11">
      <c r="I717" t="s">
        <v>91</v>
      </c>
      <c r="J717" t="s">
        <v>92</v>
      </c>
      <c r="K717">
        <v>0</v>
      </c>
    </row>
    <row r="718" spans="9:11">
      <c r="I718" t="s">
        <v>94</v>
      </c>
      <c r="J718" t="s">
        <v>95</v>
      </c>
      <c r="K718">
        <v>0</v>
      </c>
    </row>
    <row r="719" spans="9:11">
      <c r="I719" t="s">
        <v>94</v>
      </c>
      <c r="J719" t="s">
        <v>95</v>
      </c>
      <c r="K719">
        <v>0</v>
      </c>
    </row>
    <row r="720" spans="9:11">
      <c r="I720" t="s">
        <v>94</v>
      </c>
      <c r="J720" t="s">
        <v>95</v>
      </c>
      <c r="K720">
        <v>0</v>
      </c>
    </row>
    <row r="721" spans="9:11">
      <c r="I721" t="s">
        <v>94</v>
      </c>
      <c r="J721" t="s">
        <v>95</v>
      </c>
      <c r="K721">
        <v>0</v>
      </c>
    </row>
    <row r="722" spans="9:11">
      <c r="I722" t="s">
        <v>94</v>
      </c>
      <c r="J722" t="s">
        <v>95</v>
      </c>
      <c r="K722">
        <v>0</v>
      </c>
    </row>
    <row r="723" spans="9:11">
      <c r="I723" t="s">
        <v>91</v>
      </c>
      <c r="J723" t="s">
        <v>92</v>
      </c>
      <c r="K723">
        <v>0</v>
      </c>
    </row>
    <row r="724" spans="9:11">
      <c r="I724" t="s">
        <v>91</v>
      </c>
      <c r="J724" t="s">
        <v>92</v>
      </c>
      <c r="K724">
        <v>0</v>
      </c>
    </row>
    <row r="725" spans="9:11">
      <c r="I725" t="s">
        <v>91</v>
      </c>
      <c r="J725" t="s">
        <v>92</v>
      </c>
      <c r="K725">
        <v>0</v>
      </c>
    </row>
    <row r="726" spans="9:11">
      <c r="I726" t="s">
        <v>94</v>
      </c>
      <c r="J726" t="s">
        <v>95</v>
      </c>
      <c r="K726">
        <v>0</v>
      </c>
    </row>
    <row r="727" spans="9:11">
      <c r="I727" t="s">
        <v>91</v>
      </c>
      <c r="J727" t="s">
        <v>92</v>
      </c>
      <c r="K727">
        <v>0</v>
      </c>
    </row>
    <row r="728" spans="9:11">
      <c r="I728" t="s">
        <v>94</v>
      </c>
      <c r="J728" t="s">
        <v>95</v>
      </c>
      <c r="K728">
        <v>0</v>
      </c>
    </row>
    <row r="729" spans="9:11">
      <c r="I729" t="s">
        <v>94</v>
      </c>
      <c r="J729" t="s">
        <v>95</v>
      </c>
      <c r="K729">
        <v>0</v>
      </c>
    </row>
    <row r="730" spans="9:11">
      <c r="I730" t="s">
        <v>91</v>
      </c>
      <c r="J730" t="s">
        <v>92</v>
      </c>
      <c r="K730">
        <v>0</v>
      </c>
    </row>
    <row r="731" spans="9:11">
      <c r="I731" t="s">
        <v>91</v>
      </c>
      <c r="J731" t="s">
        <v>92</v>
      </c>
      <c r="K731">
        <v>0</v>
      </c>
    </row>
    <row r="732" spans="9:11">
      <c r="I732" t="s">
        <v>94</v>
      </c>
      <c r="J732" t="s">
        <v>95</v>
      </c>
      <c r="K732">
        <v>0</v>
      </c>
    </row>
    <row r="733" spans="9:11">
      <c r="I733" t="s">
        <v>91</v>
      </c>
      <c r="J733" t="s">
        <v>92</v>
      </c>
      <c r="K733">
        <v>0</v>
      </c>
    </row>
    <row r="734" spans="9:11">
      <c r="I734" t="s">
        <v>91</v>
      </c>
      <c r="J734" t="s">
        <v>92</v>
      </c>
      <c r="K734">
        <v>0</v>
      </c>
    </row>
    <row r="735" spans="9:11">
      <c r="I735" t="s">
        <v>91</v>
      </c>
      <c r="J735" t="s">
        <v>92</v>
      </c>
      <c r="K735">
        <v>0</v>
      </c>
    </row>
    <row r="736" spans="9:11">
      <c r="I736" t="s">
        <v>91</v>
      </c>
      <c r="J736" t="s">
        <v>92</v>
      </c>
      <c r="K736">
        <v>0</v>
      </c>
    </row>
    <row r="737" spans="9:11">
      <c r="I737" t="s">
        <v>94</v>
      </c>
      <c r="J737" t="s">
        <v>95</v>
      </c>
      <c r="K737">
        <v>0</v>
      </c>
    </row>
    <row r="738" spans="9:11">
      <c r="I738" t="s">
        <v>91</v>
      </c>
      <c r="J738" t="s">
        <v>92</v>
      </c>
      <c r="K738">
        <v>0</v>
      </c>
    </row>
    <row r="739" spans="9:11">
      <c r="I739" t="s">
        <v>94</v>
      </c>
      <c r="J739" t="s">
        <v>95</v>
      </c>
      <c r="K739">
        <v>0</v>
      </c>
    </row>
    <row r="740" spans="9:11">
      <c r="I740" t="s">
        <v>94</v>
      </c>
      <c r="J740" t="s">
        <v>95</v>
      </c>
      <c r="K740">
        <v>0</v>
      </c>
    </row>
    <row r="741" spans="9:11">
      <c r="I741" t="s">
        <v>94</v>
      </c>
      <c r="J741" t="s">
        <v>95</v>
      </c>
      <c r="K741">
        <v>0</v>
      </c>
    </row>
    <row r="742" spans="9:11">
      <c r="I742" t="s">
        <v>94</v>
      </c>
      <c r="J742" t="s">
        <v>95</v>
      </c>
      <c r="K742">
        <v>0</v>
      </c>
    </row>
    <row r="743" spans="9:11">
      <c r="I743" t="s">
        <v>91</v>
      </c>
      <c r="J743" t="s">
        <v>92</v>
      </c>
      <c r="K743">
        <v>0</v>
      </c>
    </row>
    <row r="744" spans="9:11">
      <c r="I744" t="s">
        <v>91</v>
      </c>
      <c r="J744" t="s">
        <v>92</v>
      </c>
      <c r="K744">
        <v>0</v>
      </c>
    </row>
    <row r="745" spans="9:11">
      <c r="I745" t="s">
        <v>94</v>
      </c>
      <c r="J745" t="s">
        <v>95</v>
      </c>
      <c r="K745">
        <v>0</v>
      </c>
    </row>
    <row r="746" spans="9:11">
      <c r="I746" t="s">
        <v>94</v>
      </c>
      <c r="J746" t="s">
        <v>95</v>
      </c>
      <c r="K746">
        <v>0</v>
      </c>
    </row>
    <row r="747" spans="9:11">
      <c r="I747" t="s">
        <v>94</v>
      </c>
      <c r="J747" t="s">
        <v>95</v>
      </c>
      <c r="K747">
        <v>0</v>
      </c>
    </row>
    <row r="748" spans="9:11">
      <c r="I748" t="s">
        <v>94</v>
      </c>
      <c r="J748" t="s">
        <v>95</v>
      </c>
      <c r="K748">
        <v>0</v>
      </c>
    </row>
    <row r="749" spans="9:11">
      <c r="I749" t="s">
        <v>94</v>
      </c>
      <c r="J749" t="s">
        <v>95</v>
      </c>
      <c r="K749">
        <v>0</v>
      </c>
    </row>
    <row r="750" spans="9:11">
      <c r="I750" t="s">
        <v>94</v>
      </c>
      <c r="J750" t="s">
        <v>95</v>
      </c>
      <c r="K750">
        <v>0</v>
      </c>
    </row>
    <row r="751" spans="9:11">
      <c r="I751" t="s">
        <v>91</v>
      </c>
      <c r="J751" t="s">
        <v>92</v>
      </c>
      <c r="K751">
        <v>0</v>
      </c>
    </row>
    <row r="752" spans="9:11">
      <c r="I752" t="s">
        <v>91</v>
      </c>
      <c r="J752" t="s">
        <v>92</v>
      </c>
      <c r="K752">
        <v>0</v>
      </c>
    </row>
    <row r="753" spans="9:11">
      <c r="I753" t="s">
        <v>94</v>
      </c>
      <c r="J753" t="s">
        <v>95</v>
      </c>
      <c r="K753">
        <v>0</v>
      </c>
    </row>
    <row r="754" spans="9:11">
      <c r="I754" t="s">
        <v>91</v>
      </c>
      <c r="J754" t="s">
        <v>92</v>
      </c>
      <c r="K754">
        <v>0</v>
      </c>
    </row>
    <row r="755" spans="9:11">
      <c r="I755" t="s">
        <v>94</v>
      </c>
      <c r="J755" t="s">
        <v>95</v>
      </c>
      <c r="K755">
        <v>0</v>
      </c>
    </row>
    <row r="756" spans="9:11">
      <c r="I756" t="s">
        <v>91</v>
      </c>
      <c r="J756" t="s">
        <v>92</v>
      </c>
      <c r="K756">
        <v>0</v>
      </c>
    </row>
    <row r="757" spans="9:11">
      <c r="I757" t="s">
        <v>94</v>
      </c>
      <c r="J757" t="s">
        <v>95</v>
      </c>
      <c r="K757">
        <v>0</v>
      </c>
    </row>
    <row r="758" spans="9:11">
      <c r="I758" t="s">
        <v>94</v>
      </c>
      <c r="J758" t="s">
        <v>95</v>
      </c>
      <c r="K758">
        <v>0</v>
      </c>
    </row>
    <row r="759" spans="9:11">
      <c r="I759" t="s">
        <v>94</v>
      </c>
      <c r="J759" t="s">
        <v>95</v>
      </c>
      <c r="K759">
        <v>0</v>
      </c>
    </row>
    <row r="760" spans="9:11">
      <c r="I760" t="s">
        <v>91</v>
      </c>
      <c r="J760" t="s">
        <v>92</v>
      </c>
      <c r="K760">
        <v>0</v>
      </c>
    </row>
    <row r="761" spans="9:11">
      <c r="I761" t="s">
        <v>94</v>
      </c>
      <c r="J761" t="s">
        <v>95</v>
      </c>
      <c r="K761">
        <v>0</v>
      </c>
    </row>
    <row r="762" spans="9:11">
      <c r="I762" t="s">
        <v>94</v>
      </c>
      <c r="J762" t="s">
        <v>95</v>
      </c>
      <c r="K762">
        <v>0</v>
      </c>
    </row>
    <row r="763" spans="9:11">
      <c r="I763" t="s">
        <v>91</v>
      </c>
      <c r="J763" t="s">
        <v>92</v>
      </c>
      <c r="K763">
        <v>0</v>
      </c>
    </row>
    <row r="764" spans="9:11">
      <c r="I764" t="s">
        <v>91</v>
      </c>
      <c r="J764" t="s">
        <v>92</v>
      </c>
      <c r="K764">
        <v>0</v>
      </c>
    </row>
    <row r="765" spans="9:11">
      <c r="I765" t="s">
        <v>91</v>
      </c>
      <c r="J765" t="s">
        <v>92</v>
      </c>
      <c r="K765">
        <v>0</v>
      </c>
    </row>
    <row r="766" spans="9:11">
      <c r="I766" t="s">
        <v>94</v>
      </c>
      <c r="J766" t="s">
        <v>95</v>
      </c>
      <c r="K766">
        <v>0</v>
      </c>
    </row>
    <row r="767" spans="9:11">
      <c r="I767" t="s">
        <v>91</v>
      </c>
      <c r="J767" t="s">
        <v>92</v>
      </c>
      <c r="K767">
        <v>0</v>
      </c>
    </row>
    <row r="768" spans="9:11">
      <c r="I768" t="s">
        <v>91</v>
      </c>
      <c r="J768" t="s">
        <v>92</v>
      </c>
      <c r="K768">
        <v>0</v>
      </c>
    </row>
    <row r="769" spans="9:11">
      <c r="I769" t="s">
        <v>91</v>
      </c>
      <c r="J769" t="s">
        <v>92</v>
      </c>
      <c r="K769">
        <v>0</v>
      </c>
    </row>
    <row r="770" spans="9:11">
      <c r="I770" t="s">
        <v>91</v>
      </c>
      <c r="J770" t="s">
        <v>92</v>
      </c>
      <c r="K770">
        <v>0</v>
      </c>
    </row>
    <row r="771" spans="9:11">
      <c r="I771" t="s">
        <v>94</v>
      </c>
      <c r="J771" t="s">
        <v>95</v>
      </c>
      <c r="K771">
        <v>0</v>
      </c>
    </row>
    <row r="772" spans="9:11">
      <c r="I772" t="s">
        <v>91</v>
      </c>
      <c r="J772" t="s">
        <v>92</v>
      </c>
      <c r="K772">
        <v>0</v>
      </c>
    </row>
    <row r="773" spans="9:11">
      <c r="I773" t="s">
        <v>94</v>
      </c>
      <c r="J773" t="s">
        <v>95</v>
      </c>
      <c r="K773">
        <v>0</v>
      </c>
    </row>
    <row r="774" spans="9:11">
      <c r="I774" t="s">
        <v>94</v>
      </c>
      <c r="J774" t="s">
        <v>95</v>
      </c>
      <c r="K774">
        <v>0</v>
      </c>
    </row>
    <row r="775" spans="9:11">
      <c r="I775" t="s">
        <v>94</v>
      </c>
      <c r="J775" t="s">
        <v>95</v>
      </c>
      <c r="K775">
        <v>0</v>
      </c>
    </row>
    <row r="776" spans="9:11">
      <c r="I776" t="s">
        <v>94</v>
      </c>
      <c r="J776" t="s">
        <v>95</v>
      </c>
      <c r="K776">
        <v>0</v>
      </c>
    </row>
    <row r="777" spans="9:11">
      <c r="I777" t="s">
        <v>91</v>
      </c>
      <c r="J777" t="s">
        <v>92</v>
      </c>
      <c r="K777">
        <v>0</v>
      </c>
    </row>
    <row r="778" spans="9:11">
      <c r="I778" t="s">
        <v>94</v>
      </c>
      <c r="J778" t="s">
        <v>95</v>
      </c>
      <c r="K778">
        <v>0</v>
      </c>
    </row>
    <row r="779" spans="9:11">
      <c r="I779" t="s">
        <v>94</v>
      </c>
      <c r="J779" t="s">
        <v>95</v>
      </c>
      <c r="K779">
        <v>0</v>
      </c>
    </row>
    <row r="780" spans="9:11">
      <c r="I780" t="s">
        <v>94</v>
      </c>
      <c r="J780" t="s">
        <v>95</v>
      </c>
      <c r="K780">
        <v>0</v>
      </c>
    </row>
    <row r="781" spans="9:11">
      <c r="I781" t="s">
        <v>91</v>
      </c>
      <c r="J781" t="s">
        <v>92</v>
      </c>
      <c r="K781">
        <v>0</v>
      </c>
    </row>
    <row r="782" spans="9:11">
      <c r="I782" t="s">
        <v>94</v>
      </c>
      <c r="J782" t="s">
        <v>95</v>
      </c>
      <c r="K782">
        <v>0</v>
      </c>
    </row>
    <row r="783" spans="9:11">
      <c r="I783" t="s">
        <v>94</v>
      </c>
      <c r="J783" t="s">
        <v>95</v>
      </c>
      <c r="K783">
        <v>0</v>
      </c>
    </row>
    <row r="784" spans="9:11">
      <c r="I784" t="s">
        <v>91</v>
      </c>
      <c r="J784" t="s">
        <v>92</v>
      </c>
      <c r="K784">
        <v>0</v>
      </c>
    </row>
    <row r="785" spans="9:11">
      <c r="I785" t="s">
        <v>91</v>
      </c>
      <c r="J785" t="s">
        <v>92</v>
      </c>
      <c r="K785">
        <v>0</v>
      </c>
    </row>
    <row r="786" spans="9:11">
      <c r="I786" t="s">
        <v>91</v>
      </c>
      <c r="J786" t="s">
        <v>92</v>
      </c>
      <c r="K786">
        <v>0</v>
      </c>
    </row>
    <row r="787" spans="9:11">
      <c r="I787" t="s">
        <v>91</v>
      </c>
      <c r="J787" t="s">
        <v>92</v>
      </c>
      <c r="K787">
        <v>0</v>
      </c>
    </row>
    <row r="788" spans="9:11">
      <c r="I788" t="s">
        <v>94</v>
      </c>
      <c r="J788" t="s">
        <v>95</v>
      </c>
      <c r="K788">
        <v>0</v>
      </c>
    </row>
    <row r="789" spans="9:11">
      <c r="I789" t="s">
        <v>91</v>
      </c>
      <c r="J789" t="s">
        <v>92</v>
      </c>
      <c r="K789">
        <v>0</v>
      </c>
    </row>
    <row r="790" spans="9:11">
      <c r="I790" t="s">
        <v>94</v>
      </c>
      <c r="J790" t="s">
        <v>95</v>
      </c>
      <c r="K790">
        <v>0</v>
      </c>
    </row>
    <row r="791" spans="9:11">
      <c r="I791" t="s">
        <v>91</v>
      </c>
      <c r="J791" t="s">
        <v>92</v>
      </c>
      <c r="K791">
        <v>0</v>
      </c>
    </row>
    <row r="792" spans="9:11">
      <c r="I792" t="s">
        <v>94</v>
      </c>
      <c r="J792" t="s">
        <v>95</v>
      </c>
      <c r="K792">
        <v>0</v>
      </c>
    </row>
    <row r="793" spans="9:11">
      <c r="I793" t="s">
        <v>91</v>
      </c>
      <c r="J793" t="s">
        <v>92</v>
      </c>
      <c r="K793">
        <v>0</v>
      </c>
    </row>
    <row r="794" spans="9:11">
      <c r="I794" t="s">
        <v>94</v>
      </c>
      <c r="J794" t="s">
        <v>95</v>
      </c>
      <c r="K794">
        <v>0</v>
      </c>
    </row>
    <row r="795" spans="9:11">
      <c r="I795" t="s">
        <v>94</v>
      </c>
      <c r="J795" t="s">
        <v>95</v>
      </c>
      <c r="K795">
        <v>0</v>
      </c>
    </row>
    <row r="796" spans="9:11">
      <c r="I796" t="s">
        <v>91</v>
      </c>
      <c r="J796" t="s">
        <v>92</v>
      </c>
      <c r="K796">
        <v>0</v>
      </c>
    </row>
    <row r="797" spans="9:11">
      <c r="I797" t="s">
        <v>94</v>
      </c>
      <c r="J797" t="s">
        <v>95</v>
      </c>
      <c r="K797">
        <v>0</v>
      </c>
    </row>
    <row r="798" spans="9:11">
      <c r="I798" t="s">
        <v>94</v>
      </c>
      <c r="J798" t="s">
        <v>95</v>
      </c>
      <c r="K798">
        <v>0</v>
      </c>
    </row>
    <row r="799" spans="9:11">
      <c r="I799" t="s">
        <v>91</v>
      </c>
      <c r="J799" t="s">
        <v>92</v>
      </c>
      <c r="K799">
        <v>0</v>
      </c>
    </row>
    <row r="800" spans="9:11">
      <c r="I800" t="s">
        <v>94</v>
      </c>
      <c r="J800" t="s">
        <v>95</v>
      </c>
      <c r="K800">
        <v>0</v>
      </c>
    </row>
    <row r="801" spans="9:11">
      <c r="I801" t="s">
        <v>91</v>
      </c>
      <c r="J801" t="s">
        <v>92</v>
      </c>
      <c r="K801">
        <v>0</v>
      </c>
    </row>
    <row r="802" spans="9:11">
      <c r="I802" t="s">
        <v>91</v>
      </c>
      <c r="J802" t="s">
        <v>92</v>
      </c>
      <c r="K802">
        <v>0</v>
      </c>
    </row>
    <row r="803" spans="9:11">
      <c r="I803" t="s">
        <v>91</v>
      </c>
      <c r="J803" t="s">
        <v>92</v>
      </c>
      <c r="K803">
        <v>0</v>
      </c>
    </row>
    <row r="804" spans="9:11">
      <c r="I804" t="s">
        <v>94</v>
      </c>
      <c r="J804" t="s">
        <v>95</v>
      </c>
      <c r="K804">
        <v>0</v>
      </c>
    </row>
    <row r="805" spans="9:11">
      <c r="I805" t="s">
        <v>91</v>
      </c>
      <c r="J805" t="s">
        <v>92</v>
      </c>
      <c r="K805">
        <v>0</v>
      </c>
    </row>
    <row r="806" spans="9:11">
      <c r="I806" t="s">
        <v>91</v>
      </c>
      <c r="J806" t="s">
        <v>92</v>
      </c>
      <c r="K806">
        <v>0</v>
      </c>
    </row>
    <row r="807" spans="9:11">
      <c r="I807" t="s">
        <v>94</v>
      </c>
      <c r="J807" t="s">
        <v>95</v>
      </c>
      <c r="K807">
        <v>0</v>
      </c>
    </row>
    <row r="808" spans="9:11">
      <c r="I808" t="s">
        <v>91</v>
      </c>
      <c r="J808" t="s">
        <v>92</v>
      </c>
      <c r="K808">
        <v>0</v>
      </c>
    </row>
    <row r="809" spans="9:11">
      <c r="I809" t="s">
        <v>91</v>
      </c>
      <c r="J809" t="s">
        <v>92</v>
      </c>
      <c r="K809">
        <v>0</v>
      </c>
    </row>
    <row r="810" spans="9:11">
      <c r="I810" t="s">
        <v>94</v>
      </c>
      <c r="J810" t="s">
        <v>95</v>
      </c>
      <c r="K810">
        <v>0</v>
      </c>
    </row>
    <row r="811" spans="9:11">
      <c r="I811" t="s">
        <v>94</v>
      </c>
      <c r="J811" t="s">
        <v>95</v>
      </c>
      <c r="K811">
        <v>0</v>
      </c>
    </row>
    <row r="812" spans="9:11">
      <c r="I812" t="s">
        <v>91</v>
      </c>
      <c r="J812" t="s">
        <v>92</v>
      </c>
      <c r="K812">
        <v>0</v>
      </c>
    </row>
    <row r="813" spans="9:11">
      <c r="I813" t="s">
        <v>91</v>
      </c>
      <c r="J813" t="s">
        <v>92</v>
      </c>
      <c r="K813">
        <v>0</v>
      </c>
    </row>
    <row r="814" spans="9:11">
      <c r="I814" t="s">
        <v>91</v>
      </c>
      <c r="J814" t="s">
        <v>92</v>
      </c>
      <c r="K814">
        <v>0</v>
      </c>
    </row>
    <row r="815" spans="9:11">
      <c r="I815" t="s">
        <v>94</v>
      </c>
      <c r="J815" t="s">
        <v>95</v>
      </c>
      <c r="K815">
        <v>0</v>
      </c>
    </row>
    <row r="816" spans="9:11">
      <c r="I816" t="s">
        <v>94</v>
      </c>
      <c r="J816" t="s">
        <v>95</v>
      </c>
      <c r="K816">
        <v>0</v>
      </c>
    </row>
    <row r="817" spans="9:11">
      <c r="I817" t="s">
        <v>94</v>
      </c>
      <c r="J817" t="s">
        <v>95</v>
      </c>
      <c r="K817">
        <v>0</v>
      </c>
    </row>
    <row r="818" spans="9:11">
      <c r="I818" t="s">
        <v>91</v>
      </c>
      <c r="J818" t="s">
        <v>92</v>
      </c>
      <c r="K818">
        <v>0</v>
      </c>
    </row>
    <row r="819" spans="9:11">
      <c r="I819" t="s">
        <v>94</v>
      </c>
      <c r="J819" t="s">
        <v>95</v>
      </c>
      <c r="K819">
        <v>0</v>
      </c>
    </row>
    <row r="820" spans="9:11">
      <c r="I820" t="s">
        <v>94</v>
      </c>
      <c r="J820" t="s">
        <v>95</v>
      </c>
      <c r="K820">
        <v>0</v>
      </c>
    </row>
    <row r="821" spans="9:11">
      <c r="I821" t="s">
        <v>94</v>
      </c>
      <c r="J821" t="s">
        <v>95</v>
      </c>
      <c r="K821">
        <v>0</v>
      </c>
    </row>
    <row r="822" spans="9:11">
      <c r="I822" t="s">
        <v>94</v>
      </c>
      <c r="J822" t="s">
        <v>95</v>
      </c>
      <c r="K822">
        <v>0</v>
      </c>
    </row>
    <row r="823" spans="9:11">
      <c r="I823" t="s">
        <v>91</v>
      </c>
      <c r="J823" t="s">
        <v>92</v>
      </c>
      <c r="K823">
        <v>1</v>
      </c>
    </row>
    <row r="824" spans="9:11">
      <c r="I824" t="s">
        <v>91</v>
      </c>
      <c r="J824" t="s">
        <v>92</v>
      </c>
      <c r="K824">
        <v>0</v>
      </c>
    </row>
    <row r="825" spans="9:11">
      <c r="I825" t="s">
        <v>91</v>
      </c>
      <c r="J825" t="s">
        <v>92</v>
      </c>
      <c r="K825">
        <v>0</v>
      </c>
    </row>
    <row r="826" spans="9:11">
      <c r="I826" t="s">
        <v>91</v>
      </c>
      <c r="J826" t="s">
        <v>92</v>
      </c>
      <c r="K826">
        <v>0</v>
      </c>
    </row>
    <row r="827" spans="9:11">
      <c r="I827" t="s">
        <v>94</v>
      </c>
      <c r="J827" t="s">
        <v>95</v>
      </c>
      <c r="K827">
        <v>0</v>
      </c>
    </row>
    <row r="828" spans="9:11">
      <c r="I828" t="s">
        <v>91</v>
      </c>
      <c r="J828" t="s">
        <v>92</v>
      </c>
      <c r="K828">
        <v>0</v>
      </c>
    </row>
    <row r="829" spans="9:11">
      <c r="I829" t="s">
        <v>94</v>
      </c>
      <c r="J829" t="s">
        <v>95</v>
      </c>
      <c r="K829">
        <v>0</v>
      </c>
    </row>
    <row r="830" spans="9:11">
      <c r="I830" t="s">
        <v>91</v>
      </c>
      <c r="J830" t="s">
        <v>92</v>
      </c>
      <c r="K830">
        <v>0</v>
      </c>
    </row>
    <row r="831" spans="9:11">
      <c r="I831" t="s">
        <v>94</v>
      </c>
      <c r="J831" t="s">
        <v>95</v>
      </c>
      <c r="K831">
        <v>0</v>
      </c>
    </row>
    <row r="832" spans="9:11">
      <c r="I832" t="s">
        <v>94</v>
      </c>
      <c r="J832" t="s">
        <v>95</v>
      </c>
      <c r="K832">
        <v>0</v>
      </c>
    </row>
    <row r="833" spans="9:11">
      <c r="I833" t="s">
        <v>91</v>
      </c>
      <c r="J833" t="s">
        <v>92</v>
      </c>
      <c r="K833">
        <v>0</v>
      </c>
    </row>
    <row r="834" spans="9:11">
      <c r="I834" t="s">
        <v>91</v>
      </c>
      <c r="J834" t="s">
        <v>92</v>
      </c>
      <c r="K834">
        <v>0</v>
      </c>
    </row>
    <row r="835" spans="9:11">
      <c r="I835" t="s">
        <v>94</v>
      </c>
      <c r="J835" t="s">
        <v>95</v>
      </c>
      <c r="K835">
        <v>0</v>
      </c>
    </row>
    <row r="836" spans="9:11">
      <c r="I836" t="s">
        <v>91</v>
      </c>
      <c r="J836" t="s">
        <v>92</v>
      </c>
      <c r="K836">
        <v>0</v>
      </c>
    </row>
    <row r="837" spans="9:11">
      <c r="I837" t="s">
        <v>94</v>
      </c>
      <c r="J837" t="s">
        <v>95</v>
      </c>
      <c r="K837">
        <v>0</v>
      </c>
    </row>
    <row r="838" spans="9:11">
      <c r="I838" t="s">
        <v>91</v>
      </c>
      <c r="J838" t="s">
        <v>92</v>
      </c>
      <c r="K838">
        <v>0</v>
      </c>
    </row>
    <row r="839" spans="9:11">
      <c r="I839" t="s">
        <v>91</v>
      </c>
      <c r="J839" t="s">
        <v>92</v>
      </c>
      <c r="K839">
        <v>0</v>
      </c>
    </row>
    <row r="840" spans="9:11">
      <c r="I840" t="s">
        <v>94</v>
      </c>
      <c r="J840" t="s">
        <v>95</v>
      </c>
      <c r="K840">
        <v>0</v>
      </c>
    </row>
    <row r="841" spans="9:11">
      <c r="I841" t="s">
        <v>94</v>
      </c>
      <c r="J841" t="s">
        <v>95</v>
      </c>
      <c r="K841">
        <v>0</v>
      </c>
    </row>
    <row r="842" spans="9:11">
      <c r="I842" t="s">
        <v>94</v>
      </c>
      <c r="J842" t="s">
        <v>95</v>
      </c>
      <c r="K842">
        <v>1</v>
      </c>
    </row>
    <row r="843" spans="9:11">
      <c r="I843" t="s">
        <v>91</v>
      </c>
      <c r="J843" t="s">
        <v>92</v>
      </c>
      <c r="K843">
        <v>0</v>
      </c>
    </row>
    <row r="844" spans="9:11">
      <c r="I844" t="s">
        <v>94</v>
      </c>
      <c r="J844" t="s">
        <v>95</v>
      </c>
      <c r="K844">
        <v>0</v>
      </c>
    </row>
    <row r="845" spans="9:11">
      <c r="I845" t="s">
        <v>94</v>
      </c>
      <c r="J845" t="s">
        <v>95</v>
      </c>
      <c r="K845">
        <v>0</v>
      </c>
    </row>
    <row r="846" spans="9:11">
      <c r="I846" t="s">
        <v>94</v>
      </c>
      <c r="J846" t="s">
        <v>95</v>
      </c>
      <c r="K846">
        <v>0</v>
      </c>
    </row>
    <row r="847" spans="9:11">
      <c r="I847" t="s">
        <v>94</v>
      </c>
      <c r="J847" t="s">
        <v>95</v>
      </c>
      <c r="K847">
        <v>0</v>
      </c>
    </row>
    <row r="848" spans="9:11">
      <c r="I848" t="s">
        <v>91</v>
      </c>
      <c r="J848" t="s">
        <v>92</v>
      </c>
      <c r="K848">
        <v>0</v>
      </c>
    </row>
    <row r="849" spans="9:11">
      <c r="I849" t="s">
        <v>94</v>
      </c>
      <c r="J849" t="s">
        <v>95</v>
      </c>
      <c r="K849">
        <v>0</v>
      </c>
    </row>
    <row r="850" spans="9:11">
      <c r="I850" t="s">
        <v>91</v>
      </c>
      <c r="J850" t="s">
        <v>92</v>
      </c>
      <c r="K850">
        <v>0</v>
      </c>
    </row>
    <row r="851" spans="9:11">
      <c r="I851" t="s">
        <v>91</v>
      </c>
      <c r="J851" t="s">
        <v>92</v>
      </c>
      <c r="K851">
        <v>0</v>
      </c>
    </row>
    <row r="852" spans="9:11">
      <c r="I852" t="s">
        <v>94</v>
      </c>
      <c r="J852" t="s">
        <v>95</v>
      </c>
      <c r="K852">
        <v>0</v>
      </c>
    </row>
    <row r="853" spans="9:11">
      <c r="I853" t="s">
        <v>94</v>
      </c>
      <c r="J853" t="s">
        <v>95</v>
      </c>
      <c r="K853">
        <v>0</v>
      </c>
    </row>
    <row r="854" spans="9:11">
      <c r="I854" t="s">
        <v>91</v>
      </c>
      <c r="J854" t="s">
        <v>92</v>
      </c>
      <c r="K854">
        <v>0</v>
      </c>
    </row>
    <row r="855" spans="9:11">
      <c r="I855" t="s">
        <v>91</v>
      </c>
      <c r="J855" t="s">
        <v>92</v>
      </c>
      <c r="K855">
        <v>0</v>
      </c>
    </row>
    <row r="856" spans="9:11">
      <c r="I856" t="s">
        <v>91</v>
      </c>
      <c r="J856" t="s">
        <v>92</v>
      </c>
      <c r="K856">
        <v>0</v>
      </c>
    </row>
    <row r="857" spans="9:11">
      <c r="I857" t="s">
        <v>91</v>
      </c>
      <c r="J857" t="s">
        <v>92</v>
      </c>
      <c r="K857">
        <v>0</v>
      </c>
    </row>
    <row r="858" spans="9:11">
      <c r="I858" t="s">
        <v>94</v>
      </c>
      <c r="J858" t="s">
        <v>95</v>
      </c>
      <c r="K858">
        <v>0</v>
      </c>
    </row>
    <row r="859" spans="9:11">
      <c r="I859" t="s">
        <v>91</v>
      </c>
      <c r="J859" t="s">
        <v>92</v>
      </c>
      <c r="K859">
        <v>0</v>
      </c>
    </row>
    <row r="860" spans="9:11">
      <c r="I860" t="s">
        <v>94</v>
      </c>
      <c r="J860" t="s">
        <v>95</v>
      </c>
      <c r="K860">
        <v>0</v>
      </c>
    </row>
    <row r="861" spans="9:11">
      <c r="I861" t="s">
        <v>91</v>
      </c>
      <c r="J861" t="s">
        <v>92</v>
      </c>
      <c r="K861">
        <v>0</v>
      </c>
    </row>
    <row r="862" spans="9:11">
      <c r="I862" t="s">
        <v>91</v>
      </c>
      <c r="J862" t="s">
        <v>92</v>
      </c>
      <c r="K862">
        <v>0</v>
      </c>
    </row>
    <row r="863" spans="9:11">
      <c r="I863" t="s">
        <v>94</v>
      </c>
      <c r="J863" t="s">
        <v>95</v>
      </c>
      <c r="K863">
        <v>0</v>
      </c>
    </row>
    <row r="864" spans="9:11">
      <c r="I864" t="s">
        <v>94</v>
      </c>
      <c r="J864" t="s">
        <v>95</v>
      </c>
      <c r="K864">
        <v>0</v>
      </c>
    </row>
    <row r="865" spans="9:11">
      <c r="I865" t="s">
        <v>91</v>
      </c>
      <c r="J865" t="s">
        <v>92</v>
      </c>
      <c r="K865">
        <v>0</v>
      </c>
    </row>
    <row r="866" spans="9:11">
      <c r="I866" t="s">
        <v>91</v>
      </c>
      <c r="J866" t="s">
        <v>92</v>
      </c>
      <c r="K866">
        <v>0</v>
      </c>
    </row>
    <row r="867" spans="9:11">
      <c r="I867" t="s">
        <v>91</v>
      </c>
      <c r="J867" t="s">
        <v>92</v>
      </c>
      <c r="K867">
        <v>0</v>
      </c>
    </row>
    <row r="868" spans="9:11">
      <c r="I868" t="s">
        <v>94</v>
      </c>
      <c r="J868" t="s">
        <v>95</v>
      </c>
      <c r="K868">
        <v>0</v>
      </c>
    </row>
    <row r="869" spans="9:11">
      <c r="I869" t="s">
        <v>94</v>
      </c>
      <c r="J869" t="s">
        <v>95</v>
      </c>
      <c r="K869">
        <v>0</v>
      </c>
    </row>
    <row r="870" spans="9:11">
      <c r="I870" t="s">
        <v>91</v>
      </c>
      <c r="J870" t="s">
        <v>92</v>
      </c>
      <c r="K870">
        <v>0</v>
      </c>
    </row>
    <row r="871" spans="9:11">
      <c r="I871" t="s">
        <v>91</v>
      </c>
      <c r="J871" t="s">
        <v>92</v>
      </c>
      <c r="K871">
        <v>0</v>
      </c>
    </row>
    <row r="872" spans="9:11">
      <c r="I872" t="s">
        <v>91</v>
      </c>
      <c r="J872" t="s">
        <v>92</v>
      </c>
      <c r="K872">
        <v>0</v>
      </c>
    </row>
    <row r="873" spans="9:11">
      <c r="I873" t="s">
        <v>91</v>
      </c>
      <c r="J873" t="s">
        <v>92</v>
      </c>
      <c r="K873">
        <v>0</v>
      </c>
    </row>
    <row r="874" spans="9:11">
      <c r="I874" t="s">
        <v>91</v>
      </c>
      <c r="J874" t="s">
        <v>92</v>
      </c>
      <c r="K874">
        <v>0</v>
      </c>
    </row>
    <row r="875" spans="9:11">
      <c r="I875" t="s">
        <v>94</v>
      </c>
      <c r="J875" t="s">
        <v>95</v>
      </c>
      <c r="K875">
        <v>0</v>
      </c>
    </row>
    <row r="876" spans="9:11">
      <c r="I876" t="s">
        <v>94</v>
      </c>
      <c r="J876" t="s">
        <v>95</v>
      </c>
      <c r="K876">
        <v>0</v>
      </c>
    </row>
    <row r="877" spans="9:11">
      <c r="I877" t="s">
        <v>91</v>
      </c>
      <c r="J877" t="s">
        <v>92</v>
      </c>
      <c r="K877">
        <v>0</v>
      </c>
    </row>
    <row r="878" spans="9:11">
      <c r="I878" t="s">
        <v>94</v>
      </c>
      <c r="J878" t="s">
        <v>95</v>
      </c>
      <c r="K878">
        <v>0</v>
      </c>
    </row>
    <row r="879" spans="9:11">
      <c r="I879" t="s">
        <v>94</v>
      </c>
      <c r="J879" t="s">
        <v>95</v>
      </c>
      <c r="K879">
        <v>0</v>
      </c>
    </row>
    <row r="880" spans="9:11">
      <c r="I880" t="s">
        <v>91</v>
      </c>
      <c r="J880" t="s">
        <v>92</v>
      </c>
      <c r="K880">
        <v>0</v>
      </c>
    </row>
    <row r="881" spans="9:11">
      <c r="I881" t="s">
        <v>94</v>
      </c>
      <c r="J881" t="s">
        <v>95</v>
      </c>
      <c r="K881">
        <v>0</v>
      </c>
    </row>
    <row r="882" spans="9:11">
      <c r="I882" t="s">
        <v>94</v>
      </c>
      <c r="J882" t="s">
        <v>95</v>
      </c>
      <c r="K882">
        <v>0</v>
      </c>
    </row>
    <row r="883" spans="9:11">
      <c r="I883" t="s">
        <v>91</v>
      </c>
      <c r="J883" t="s">
        <v>92</v>
      </c>
      <c r="K883">
        <v>0</v>
      </c>
    </row>
    <row r="884" spans="9:11">
      <c r="I884" t="s">
        <v>94</v>
      </c>
      <c r="J884" t="s">
        <v>95</v>
      </c>
      <c r="K884">
        <v>0</v>
      </c>
    </row>
    <row r="885" spans="9:11">
      <c r="I885" t="s">
        <v>91</v>
      </c>
      <c r="J885" t="s">
        <v>92</v>
      </c>
      <c r="K885">
        <v>0</v>
      </c>
    </row>
    <row r="886" spans="9:11">
      <c r="I886" t="s">
        <v>94</v>
      </c>
      <c r="J886" t="s">
        <v>95</v>
      </c>
      <c r="K886">
        <v>0</v>
      </c>
    </row>
    <row r="887" spans="9:11">
      <c r="I887" t="s">
        <v>91</v>
      </c>
      <c r="J887" t="s">
        <v>92</v>
      </c>
      <c r="K887">
        <v>1</v>
      </c>
    </row>
    <row r="888" spans="9:11">
      <c r="I888" t="s">
        <v>94</v>
      </c>
      <c r="J888" t="s">
        <v>95</v>
      </c>
      <c r="K888">
        <v>0</v>
      </c>
    </row>
    <row r="889" spans="9:11">
      <c r="I889" t="s">
        <v>94</v>
      </c>
      <c r="J889" t="s">
        <v>95</v>
      </c>
      <c r="K889">
        <v>0</v>
      </c>
    </row>
    <row r="890" spans="9:11">
      <c r="I890" t="s">
        <v>94</v>
      </c>
      <c r="J890" t="s">
        <v>95</v>
      </c>
      <c r="K890">
        <v>0</v>
      </c>
    </row>
    <row r="891" spans="9:11">
      <c r="I891" t="s">
        <v>94</v>
      </c>
      <c r="J891" t="s">
        <v>95</v>
      </c>
      <c r="K891">
        <v>0</v>
      </c>
    </row>
    <row r="892" spans="9:11">
      <c r="I892" t="s">
        <v>94</v>
      </c>
      <c r="J892" t="s">
        <v>95</v>
      </c>
      <c r="K892">
        <v>0</v>
      </c>
    </row>
    <row r="893" spans="9:11">
      <c r="I893" t="s">
        <v>91</v>
      </c>
      <c r="J893" t="s">
        <v>92</v>
      </c>
      <c r="K893">
        <v>0</v>
      </c>
    </row>
    <row r="894" spans="9:11">
      <c r="I894" t="s">
        <v>94</v>
      </c>
      <c r="J894" t="s">
        <v>95</v>
      </c>
      <c r="K894">
        <v>0</v>
      </c>
    </row>
    <row r="895" spans="9:11">
      <c r="I895" t="s">
        <v>91</v>
      </c>
      <c r="J895" t="s">
        <v>92</v>
      </c>
      <c r="K895">
        <v>0</v>
      </c>
    </row>
    <row r="896" spans="9:11">
      <c r="I896" t="s">
        <v>91</v>
      </c>
      <c r="J896" t="s">
        <v>92</v>
      </c>
      <c r="K896">
        <v>0</v>
      </c>
    </row>
    <row r="897" spans="9:11">
      <c r="I897" t="s">
        <v>91</v>
      </c>
      <c r="J897" t="s">
        <v>92</v>
      </c>
      <c r="K897">
        <v>0</v>
      </c>
    </row>
    <row r="898" spans="9:11">
      <c r="I898" t="s">
        <v>94</v>
      </c>
      <c r="J898" t="s">
        <v>95</v>
      </c>
      <c r="K898">
        <v>0</v>
      </c>
    </row>
    <row r="899" spans="9:11">
      <c r="I899" t="s">
        <v>91</v>
      </c>
      <c r="J899" t="s">
        <v>92</v>
      </c>
      <c r="K899">
        <v>0</v>
      </c>
    </row>
    <row r="900" spans="9:11">
      <c r="I900" t="s">
        <v>94</v>
      </c>
      <c r="J900" t="s">
        <v>95</v>
      </c>
      <c r="K900">
        <v>0</v>
      </c>
    </row>
    <row r="901" spans="9:11">
      <c r="I901" t="s">
        <v>94</v>
      </c>
      <c r="J901" t="s">
        <v>95</v>
      </c>
      <c r="K901">
        <v>0</v>
      </c>
    </row>
    <row r="902" spans="9:11">
      <c r="I902" t="s">
        <v>91</v>
      </c>
      <c r="J902" t="s">
        <v>92</v>
      </c>
      <c r="K902">
        <v>0</v>
      </c>
    </row>
    <row r="903" spans="9:11">
      <c r="I903" t="s">
        <v>91</v>
      </c>
      <c r="J903" t="s">
        <v>92</v>
      </c>
      <c r="K903">
        <v>0</v>
      </c>
    </row>
    <row r="904" spans="9:11">
      <c r="I904" t="s">
        <v>94</v>
      </c>
      <c r="J904" t="s">
        <v>95</v>
      </c>
      <c r="K904">
        <v>0</v>
      </c>
    </row>
    <row r="905" spans="9:11">
      <c r="I905" t="s">
        <v>94</v>
      </c>
      <c r="J905" t="s">
        <v>95</v>
      </c>
      <c r="K905">
        <v>0</v>
      </c>
    </row>
    <row r="906" spans="9:11">
      <c r="I906" t="s">
        <v>94</v>
      </c>
      <c r="J906" t="s">
        <v>95</v>
      </c>
      <c r="K906">
        <v>0</v>
      </c>
    </row>
    <row r="907" spans="9:11">
      <c r="I907" t="s">
        <v>94</v>
      </c>
      <c r="J907" t="s">
        <v>95</v>
      </c>
      <c r="K907">
        <v>0</v>
      </c>
    </row>
    <row r="908" spans="9:11">
      <c r="I908" t="s">
        <v>91</v>
      </c>
      <c r="J908" t="s">
        <v>92</v>
      </c>
      <c r="K908">
        <v>0</v>
      </c>
    </row>
    <row r="909" spans="9:11">
      <c r="I909" t="s">
        <v>91</v>
      </c>
      <c r="J909" t="s">
        <v>92</v>
      </c>
      <c r="K909">
        <v>0</v>
      </c>
    </row>
    <row r="910" spans="9:11">
      <c r="I910" t="s">
        <v>91</v>
      </c>
      <c r="J910" t="s">
        <v>92</v>
      </c>
      <c r="K910">
        <v>0</v>
      </c>
    </row>
    <row r="911" spans="9:11">
      <c r="I911" t="s">
        <v>94</v>
      </c>
      <c r="J911" t="s">
        <v>95</v>
      </c>
      <c r="K911">
        <v>0</v>
      </c>
    </row>
    <row r="912" spans="9:11">
      <c r="I912" t="s">
        <v>91</v>
      </c>
      <c r="J912" t="s">
        <v>92</v>
      </c>
      <c r="K912">
        <v>0</v>
      </c>
    </row>
    <row r="913" spans="9:11">
      <c r="I913" t="s">
        <v>91</v>
      </c>
      <c r="J913" t="s">
        <v>92</v>
      </c>
      <c r="K913">
        <v>1</v>
      </c>
    </row>
    <row r="914" spans="9:11">
      <c r="I914" t="s">
        <v>94</v>
      </c>
      <c r="J914" t="s">
        <v>95</v>
      </c>
      <c r="K914">
        <v>0</v>
      </c>
    </row>
    <row r="915" spans="9:11">
      <c r="I915" t="s">
        <v>91</v>
      </c>
      <c r="J915" t="s">
        <v>92</v>
      </c>
      <c r="K915">
        <v>0</v>
      </c>
    </row>
    <row r="916" spans="9:11">
      <c r="I916" t="s">
        <v>94</v>
      </c>
      <c r="J916" t="s">
        <v>95</v>
      </c>
      <c r="K916">
        <v>0</v>
      </c>
    </row>
    <row r="917" spans="9:11">
      <c r="I917" t="s">
        <v>94</v>
      </c>
      <c r="J917" t="s">
        <v>95</v>
      </c>
      <c r="K917">
        <v>0</v>
      </c>
    </row>
    <row r="918" spans="9:11">
      <c r="I918" t="s">
        <v>91</v>
      </c>
      <c r="J918" t="s">
        <v>92</v>
      </c>
      <c r="K918">
        <v>0</v>
      </c>
    </row>
    <row r="919" spans="9:11">
      <c r="I919" t="s">
        <v>91</v>
      </c>
      <c r="J919" t="s">
        <v>92</v>
      </c>
      <c r="K919">
        <v>0</v>
      </c>
    </row>
    <row r="920" spans="9:11">
      <c r="I920" t="s">
        <v>91</v>
      </c>
      <c r="J920" t="s">
        <v>92</v>
      </c>
      <c r="K920">
        <v>0</v>
      </c>
    </row>
    <row r="921" spans="9:11">
      <c r="I921" t="s">
        <v>91</v>
      </c>
      <c r="J921" t="s">
        <v>92</v>
      </c>
      <c r="K921">
        <v>0</v>
      </c>
    </row>
    <row r="922" spans="9:11">
      <c r="I922" t="s">
        <v>91</v>
      </c>
      <c r="J922" t="s">
        <v>92</v>
      </c>
      <c r="K922">
        <v>0</v>
      </c>
    </row>
    <row r="923" spans="9:11">
      <c r="I923" t="s">
        <v>94</v>
      </c>
      <c r="J923" t="s">
        <v>95</v>
      </c>
      <c r="K923">
        <v>0</v>
      </c>
    </row>
    <row r="924" spans="9:11">
      <c r="I924" t="s">
        <v>91</v>
      </c>
      <c r="J924" t="s">
        <v>92</v>
      </c>
      <c r="K924">
        <v>0</v>
      </c>
    </row>
    <row r="925" spans="9:11">
      <c r="I925" t="s">
        <v>94</v>
      </c>
      <c r="J925" t="s">
        <v>95</v>
      </c>
      <c r="K925">
        <v>0</v>
      </c>
    </row>
    <row r="926" spans="9:11">
      <c r="I926" t="s">
        <v>94</v>
      </c>
      <c r="J926" t="s">
        <v>95</v>
      </c>
      <c r="K926">
        <v>0</v>
      </c>
    </row>
    <row r="927" spans="9:11">
      <c r="I927" t="s">
        <v>91</v>
      </c>
      <c r="J927" t="s">
        <v>92</v>
      </c>
      <c r="K927">
        <v>0</v>
      </c>
    </row>
    <row r="928" spans="9:11">
      <c r="I928" t="s">
        <v>94</v>
      </c>
      <c r="J928" t="s">
        <v>95</v>
      </c>
      <c r="K928">
        <v>0</v>
      </c>
    </row>
    <row r="929" spans="9:11">
      <c r="I929" t="s">
        <v>94</v>
      </c>
      <c r="J929" t="s">
        <v>95</v>
      </c>
      <c r="K929">
        <v>0</v>
      </c>
    </row>
    <row r="930" spans="9:11">
      <c r="I930" t="s">
        <v>91</v>
      </c>
      <c r="J930" t="s">
        <v>92</v>
      </c>
      <c r="K930">
        <v>0</v>
      </c>
    </row>
    <row r="931" spans="9:11">
      <c r="I931" t="s">
        <v>91</v>
      </c>
      <c r="J931" t="s">
        <v>92</v>
      </c>
      <c r="K931">
        <v>0</v>
      </c>
    </row>
    <row r="932" spans="9:11">
      <c r="I932" t="s">
        <v>91</v>
      </c>
      <c r="J932" t="s">
        <v>92</v>
      </c>
      <c r="K932">
        <v>0</v>
      </c>
    </row>
    <row r="933" spans="9:11">
      <c r="I933" t="s">
        <v>91</v>
      </c>
      <c r="J933" t="s">
        <v>92</v>
      </c>
      <c r="K933">
        <v>0</v>
      </c>
    </row>
    <row r="934" spans="9:11">
      <c r="I934" t="s">
        <v>94</v>
      </c>
      <c r="J934" t="s">
        <v>95</v>
      </c>
      <c r="K934">
        <v>0</v>
      </c>
    </row>
    <row r="935" spans="9:11">
      <c r="I935" t="s">
        <v>94</v>
      </c>
      <c r="J935" t="s">
        <v>95</v>
      </c>
      <c r="K935">
        <v>0</v>
      </c>
    </row>
    <row r="936" spans="9:11">
      <c r="I936" t="s">
        <v>94</v>
      </c>
      <c r="J936" t="s">
        <v>95</v>
      </c>
      <c r="K936">
        <v>0</v>
      </c>
    </row>
    <row r="937" spans="9:11">
      <c r="I937" t="s">
        <v>91</v>
      </c>
      <c r="J937" t="s">
        <v>92</v>
      </c>
      <c r="K937">
        <v>0</v>
      </c>
    </row>
    <row r="938" spans="9:11">
      <c r="I938" t="s">
        <v>94</v>
      </c>
      <c r="J938" t="s">
        <v>95</v>
      </c>
      <c r="K938">
        <v>0</v>
      </c>
    </row>
    <row r="939" spans="9:11">
      <c r="I939" t="s">
        <v>94</v>
      </c>
      <c r="J939" t="s">
        <v>95</v>
      </c>
      <c r="K939">
        <v>0</v>
      </c>
    </row>
    <row r="940" spans="9:11">
      <c r="I940" t="s">
        <v>94</v>
      </c>
      <c r="J940" t="s">
        <v>95</v>
      </c>
      <c r="K940">
        <v>0</v>
      </c>
    </row>
    <row r="941" spans="9:11">
      <c r="I941" t="s">
        <v>94</v>
      </c>
      <c r="J941" t="s">
        <v>95</v>
      </c>
      <c r="K941">
        <v>0</v>
      </c>
    </row>
    <row r="942" spans="9:11">
      <c r="I942" t="s">
        <v>91</v>
      </c>
      <c r="J942" t="s">
        <v>92</v>
      </c>
      <c r="K942">
        <v>0</v>
      </c>
    </row>
    <row r="943" spans="9:11">
      <c r="I943" t="s">
        <v>94</v>
      </c>
      <c r="J943" t="s">
        <v>95</v>
      </c>
      <c r="K943">
        <v>0</v>
      </c>
    </row>
    <row r="944" spans="9:11">
      <c r="I944" t="s">
        <v>91</v>
      </c>
      <c r="J944" t="s">
        <v>92</v>
      </c>
      <c r="K944">
        <v>0</v>
      </c>
    </row>
    <row r="945" spans="9:11">
      <c r="I945" t="s">
        <v>94</v>
      </c>
      <c r="J945" t="s">
        <v>95</v>
      </c>
      <c r="K945">
        <v>0</v>
      </c>
    </row>
    <row r="946" spans="9:11">
      <c r="I946" t="s">
        <v>91</v>
      </c>
      <c r="J946" t="s">
        <v>92</v>
      </c>
      <c r="K946">
        <v>0</v>
      </c>
    </row>
    <row r="947" spans="9:11">
      <c r="I947" t="s">
        <v>91</v>
      </c>
      <c r="J947" t="s">
        <v>92</v>
      </c>
      <c r="K947">
        <v>0</v>
      </c>
    </row>
    <row r="948" spans="9:11">
      <c r="I948" t="s">
        <v>94</v>
      </c>
      <c r="J948" t="s">
        <v>95</v>
      </c>
      <c r="K948">
        <v>0</v>
      </c>
    </row>
    <row r="949" spans="9:11">
      <c r="I949" t="s">
        <v>94</v>
      </c>
      <c r="J949" t="s">
        <v>95</v>
      </c>
      <c r="K949">
        <v>0</v>
      </c>
    </row>
    <row r="950" spans="9:11">
      <c r="I950" t="s">
        <v>94</v>
      </c>
      <c r="J950" t="s">
        <v>95</v>
      </c>
      <c r="K950">
        <v>0</v>
      </c>
    </row>
    <row r="951" spans="9:11">
      <c r="I951" t="s">
        <v>91</v>
      </c>
      <c r="J951" t="s">
        <v>92</v>
      </c>
      <c r="K951">
        <v>0</v>
      </c>
    </row>
    <row r="952" spans="9:11">
      <c r="I952" t="s">
        <v>94</v>
      </c>
      <c r="J952" t="s">
        <v>95</v>
      </c>
      <c r="K952">
        <v>0</v>
      </c>
    </row>
    <row r="953" spans="9:11">
      <c r="I953" t="s">
        <v>91</v>
      </c>
      <c r="J953" t="s">
        <v>92</v>
      </c>
      <c r="K953">
        <v>0</v>
      </c>
    </row>
    <row r="954" spans="9:11">
      <c r="I954" t="s">
        <v>91</v>
      </c>
      <c r="J954" t="s">
        <v>92</v>
      </c>
      <c r="K954">
        <v>0</v>
      </c>
    </row>
    <row r="955" spans="9:11">
      <c r="I955" t="s">
        <v>91</v>
      </c>
      <c r="J955" t="s">
        <v>92</v>
      </c>
      <c r="K955">
        <v>0</v>
      </c>
    </row>
    <row r="956" spans="9:11">
      <c r="I956" t="s">
        <v>94</v>
      </c>
      <c r="J956" t="s">
        <v>95</v>
      </c>
      <c r="K956">
        <v>0</v>
      </c>
    </row>
    <row r="957" spans="9:11">
      <c r="I957" t="s">
        <v>94</v>
      </c>
      <c r="J957" t="s">
        <v>95</v>
      </c>
      <c r="K957">
        <v>0</v>
      </c>
    </row>
    <row r="958" spans="9:11">
      <c r="I958" t="s">
        <v>94</v>
      </c>
      <c r="J958" t="s">
        <v>95</v>
      </c>
      <c r="K958">
        <v>0</v>
      </c>
    </row>
    <row r="959" spans="9:11">
      <c r="I959" t="s">
        <v>94</v>
      </c>
      <c r="J959" t="s">
        <v>95</v>
      </c>
      <c r="K959">
        <v>0</v>
      </c>
    </row>
    <row r="960" spans="9:11">
      <c r="I960" t="s">
        <v>91</v>
      </c>
      <c r="J960" t="s">
        <v>92</v>
      </c>
      <c r="K960">
        <v>0</v>
      </c>
    </row>
    <row r="961" spans="9:11">
      <c r="I961" t="s">
        <v>94</v>
      </c>
      <c r="J961" t="s">
        <v>95</v>
      </c>
      <c r="K961">
        <v>0</v>
      </c>
    </row>
    <row r="962" spans="9:11">
      <c r="I962" t="s">
        <v>91</v>
      </c>
      <c r="J962" t="s">
        <v>92</v>
      </c>
      <c r="K962">
        <v>0</v>
      </c>
    </row>
    <row r="963" spans="9:11">
      <c r="I963" t="s">
        <v>91</v>
      </c>
      <c r="J963" t="s">
        <v>92</v>
      </c>
      <c r="K963">
        <v>0</v>
      </c>
    </row>
    <row r="964" spans="9:11">
      <c r="I964" t="s">
        <v>94</v>
      </c>
      <c r="J964" t="s">
        <v>95</v>
      </c>
      <c r="K964">
        <v>0</v>
      </c>
    </row>
    <row r="965" spans="9:11">
      <c r="I965" t="s">
        <v>94</v>
      </c>
      <c r="J965" t="s">
        <v>95</v>
      </c>
      <c r="K965">
        <v>1</v>
      </c>
    </row>
    <row r="966" spans="9:11">
      <c r="I966" t="s">
        <v>94</v>
      </c>
      <c r="J966" t="s">
        <v>95</v>
      </c>
      <c r="K966">
        <v>0</v>
      </c>
    </row>
    <row r="967" spans="9:11">
      <c r="I967" t="s">
        <v>91</v>
      </c>
      <c r="J967" t="s">
        <v>92</v>
      </c>
      <c r="K967">
        <v>0</v>
      </c>
    </row>
    <row r="968" spans="9:11">
      <c r="I968" t="s">
        <v>94</v>
      </c>
      <c r="J968" t="s">
        <v>95</v>
      </c>
      <c r="K968">
        <v>0</v>
      </c>
    </row>
    <row r="969" spans="9:11">
      <c r="I969" t="s">
        <v>91</v>
      </c>
      <c r="J969" t="s">
        <v>92</v>
      </c>
      <c r="K969">
        <v>0</v>
      </c>
    </row>
    <row r="970" spans="9:11">
      <c r="I970" t="s">
        <v>94</v>
      </c>
      <c r="J970" t="s">
        <v>95</v>
      </c>
      <c r="K970">
        <v>0</v>
      </c>
    </row>
    <row r="971" spans="9:11">
      <c r="I971" t="s">
        <v>94</v>
      </c>
      <c r="J971" t="s">
        <v>95</v>
      </c>
      <c r="K971">
        <v>0</v>
      </c>
    </row>
    <row r="972" spans="9:11">
      <c r="I972" t="s">
        <v>94</v>
      </c>
      <c r="J972" t="s">
        <v>95</v>
      </c>
      <c r="K972">
        <v>0</v>
      </c>
    </row>
    <row r="973" spans="9:11">
      <c r="I973" t="s">
        <v>94</v>
      </c>
      <c r="J973" t="s">
        <v>95</v>
      </c>
      <c r="K973">
        <v>0</v>
      </c>
    </row>
    <row r="974" spans="9:11">
      <c r="I974" t="s">
        <v>94</v>
      </c>
      <c r="J974" t="s">
        <v>95</v>
      </c>
      <c r="K974">
        <v>0</v>
      </c>
    </row>
    <row r="975" spans="9:11">
      <c r="I975" t="s">
        <v>94</v>
      </c>
      <c r="J975" t="s">
        <v>95</v>
      </c>
      <c r="K975">
        <v>0</v>
      </c>
    </row>
    <row r="976" spans="9:11">
      <c r="I976" t="s">
        <v>94</v>
      </c>
      <c r="J976" t="s">
        <v>95</v>
      </c>
      <c r="K976">
        <v>0</v>
      </c>
    </row>
    <row r="977" spans="9:11">
      <c r="I977" t="s">
        <v>94</v>
      </c>
      <c r="J977" t="s">
        <v>95</v>
      </c>
      <c r="K977">
        <v>0</v>
      </c>
    </row>
    <row r="978" spans="9:11">
      <c r="I978" t="s">
        <v>94</v>
      </c>
      <c r="J978" t="s">
        <v>95</v>
      </c>
      <c r="K978">
        <v>0</v>
      </c>
    </row>
    <row r="979" spans="9:11">
      <c r="I979" t="s">
        <v>94</v>
      </c>
      <c r="J979" t="s">
        <v>95</v>
      </c>
      <c r="K979">
        <v>0</v>
      </c>
    </row>
    <row r="980" spans="9:11">
      <c r="I980" t="s">
        <v>91</v>
      </c>
      <c r="J980" t="s">
        <v>92</v>
      </c>
      <c r="K980">
        <v>0</v>
      </c>
    </row>
    <row r="981" spans="9:11">
      <c r="I981" t="s">
        <v>91</v>
      </c>
      <c r="J981" t="s">
        <v>92</v>
      </c>
      <c r="K981">
        <v>0</v>
      </c>
    </row>
    <row r="982" spans="9:11">
      <c r="I982" t="s">
        <v>94</v>
      </c>
      <c r="J982" t="s">
        <v>95</v>
      </c>
      <c r="K982">
        <v>0</v>
      </c>
    </row>
    <row r="983" spans="9:11">
      <c r="I983" t="s">
        <v>91</v>
      </c>
      <c r="J983" t="s">
        <v>92</v>
      </c>
      <c r="K983">
        <v>0</v>
      </c>
    </row>
    <row r="984" spans="9:11">
      <c r="I984" t="s">
        <v>94</v>
      </c>
      <c r="J984" t="s">
        <v>95</v>
      </c>
      <c r="K984">
        <v>0</v>
      </c>
    </row>
    <row r="985" spans="9:11">
      <c r="I985" t="s">
        <v>91</v>
      </c>
      <c r="J985" t="s">
        <v>92</v>
      </c>
      <c r="K985">
        <v>0</v>
      </c>
    </row>
    <row r="986" spans="9:11">
      <c r="I986" t="s">
        <v>91</v>
      </c>
      <c r="J986" t="s">
        <v>92</v>
      </c>
      <c r="K986">
        <v>0</v>
      </c>
    </row>
    <row r="987" spans="9:11">
      <c r="I987" t="s">
        <v>94</v>
      </c>
      <c r="J987" t="s">
        <v>95</v>
      </c>
      <c r="K987">
        <v>0</v>
      </c>
    </row>
    <row r="988" spans="9:11">
      <c r="I988" t="s">
        <v>94</v>
      </c>
      <c r="J988" t="s">
        <v>95</v>
      </c>
      <c r="K988">
        <v>0</v>
      </c>
    </row>
    <row r="989" spans="9:11">
      <c r="I989" t="s">
        <v>91</v>
      </c>
      <c r="J989" t="s">
        <v>92</v>
      </c>
      <c r="K989">
        <v>0</v>
      </c>
    </row>
    <row r="990" spans="9:11">
      <c r="I990" t="s">
        <v>91</v>
      </c>
      <c r="J990" t="s">
        <v>92</v>
      </c>
      <c r="K990">
        <v>0</v>
      </c>
    </row>
    <row r="991" spans="9:11">
      <c r="I991" t="s">
        <v>94</v>
      </c>
      <c r="J991" t="s">
        <v>95</v>
      </c>
      <c r="K991">
        <v>0</v>
      </c>
    </row>
    <row r="992" spans="9:11">
      <c r="I992" t="s">
        <v>91</v>
      </c>
      <c r="J992" t="s">
        <v>92</v>
      </c>
      <c r="K992">
        <v>0</v>
      </c>
    </row>
    <row r="993" spans="9:11">
      <c r="I993" t="s">
        <v>94</v>
      </c>
      <c r="J993" t="s">
        <v>95</v>
      </c>
      <c r="K993">
        <v>0</v>
      </c>
    </row>
    <row r="994" spans="9:11">
      <c r="I994" t="s">
        <v>94</v>
      </c>
      <c r="J994" t="s">
        <v>95</v>
      </c>
      <c r="K994">
        <v>0</v>
      </c>
    </row>
    <row r="995" spans="9:11">
      <c r="I995" t="s">
        <v>91</v>
      </c>
      <c r="J995" t="s">
        <v>92</v>
      </c>
      <c r="K995">
        <v>0</v>
      </c>
    </row>
    <row r="996" spans="9:11">
      <c r="I996" t="s">
        <v>91</v>
      </c>
      <c r="J996" t="s">
        <v>92</v>
      </c>
      <c r="K996">
        <v>0</v>
      </c>
    </row>
    <row r="997" spans="9:11">
      <c r="I997" t="s">
        <v>91</v>
      </c>
      <c r="J997" t="s">
        <v>92</v>
      </c>
      <c r="K997">
        <v>0</v>
      </c>
    </row>
    <row r="998" spans="9:11">
      <c r="I998" t="s">
        <v>91</v>
      </c>
      <c r="J998" t="s">
        <v>92</v>
      </c>
      <c r="K998">
        <v>0</v>
      </c>
    </row>
    <row r="999" spans="9:11">
      <c r="I999" t="s">
        <v>94</v>
      </c>
      <c r="J999" t="s">
        <v>95</v>
      </c>
      <c r="K999">
        <v>0</v>
      </c>
    </row>
    <row r="1000" spans="9:11">
      <c r="I1000" t="s">
        <v>91</v>
      </c>
      <c r="J1000" t="s">
        <v>92</v>
      </c>
      <c r="K1000">
        <v>0</v>
      </c>
    </row>
    <row r="1001" spans="9:11">
      <c r="I1001" t="s">
        <v>91</v>
      </c>
      <c r="J1001" t="s">
        <v>92</v>
      </c>
      <c r="K1001">
        <v>0</v>
      </c>
    </row>
    <row r="1002" spans="9:11">
      <c r="I1002" t="s">
        <v>94</v>
      </c>
      <c r="J1002" t="s">
        <v>95</v>
      </c>
      <c r="K1002">
        <v>0</v>
      </c>
    </row>
    <row r="1003" spans="9:11">
      <c r="I1003" t="s">
        <v>91</v>
      </c>
      <c r="J1003" t="s">
        <v>92</v>
      </c>
      <c r="K1003">
        <v>0</v>
      </c>
    </row>
    <row r="1004" spans="9:11">
      <c r="I1004" t="s">
        <v>94</v>
      </c>
      <c r="J1004" t="s">
        <v>95</v>
      </c>
      <c r="K1004">
        <v>0</v>
      </c>
    </row>
    <row r="1005" spans="9:11">
      <c r="I1005" t="s">
        <v>94</v>
      </c>
      <c r="J1005" t="s">
        <v>95</v>
      </c>
      <c r="K1005">
        <v>0</v>
      </c>
    </row>
    <row r="1006" spans="9:11">
      <c r="I1006" t="s">
        <v>91</v>
      </c>
      <c r="J1006" t="s">
        <v>92</v>
      </c>
      <c r="K1006">
        <v>0</v>
      </c>
    </row>
    <row r="1007" spans="9:11">
      <c r="I1007" t="s">
        <v>91</v>
      </c>
      <c r="J1007" t="s">
        <v>92</v>
      </c>
      <c r="K1007">
        <v>0</v>
      </c>
    </row>
    <row r="1008" spans="9:11">
      <c r="I1008" t="s">
        <v>91</v>
      </c>
      <c r="J1008" t="s">
        <v>92</v>
      </c>
      <c r="K1008">
        <v>0</v>
      </c>
    </row>
    <row r="1009" spans="9:11">
      <c r="I1009" t="s">
        <v>94</v>
      </c>
      <c r="J1009" t="s">
        <v>95</v>
      </c>
      <c r="K1009">
        <v>1</v>
      </c>
    </row>
    <row r="1010" spans="9:11">
      <c r="I1010" t="s">
        <v>94</v>
      </c>
      <c r="J1010" t="s">
        <v>95</v>
      </c>
      <c r="K1010">
        <v>0</v>
      </c>
    </row>
    <row r="1011" spans="9:11">
      <c r="I1011" t="s">
        <v>91</v>
      </c>
      <c r="J1011" t="s">
        <v>92</v>
      </c>
      <c r="K1011">
        <v>0</v>
      </c>
    </row>
    <row r="1012" spans="9:11">
      <c r="I1012" t="s">
        <v>91</v>
      </c>
      <c r="J1012" t="s">
        <v>92</v>
      </c>
      <c r="K1012">
        <v>0</v>
      </c>
    </row>
    <row r="1013" spans="9:11">
      <c r="I1013" t="s">
        <v>94</v>
      </c>
      <c r="J1013" t="s">
        <v>95</v>
      </c>
      <c r="K1013">
        <v>0</v>
      </c>
    </row>
    <row r="1014" spans="9:11">
      <c r="I1014" t="s">
        <v>94</v>
      </c>
      <c r="J1014" t="s">
        <v>95</v>
      </c>
      <c r="K1014">
        <v>0</v>
      </c>
    </row>
    <row r="1015" spans="9:11">
      <c r="I1015" t="s">
        <v>91</v>
      </c>
      <c r="J1015" t="s">
        <v>92</v>
      </c>
      <c r="K1015">
        <v>0</v>
      </c>
    </row>
    <row r="1016" spans="9:11">
      <c r="I1016" t="s">
        <v>94</v>
      </c>
      <c r="J1016" t="s">
        <v>95</v>
      </c>
      <c r="K1016">
        <v>0</v>
      </c>
    </row>
    <row r="1017" spans="9:11">
      <c r="I1017" t="s">
        <v>91</v>
      </c>
      <c r="J1017" t="s">
        <v>92</v>
      </c>
      <c r="K1017">
        <v>0</v>
      </c>
    </row>
    <row r="1018" spans="9:11">
      <c r="I1018" t="s">
        <v>94</v>
      </c>
      <c r="J1018" t="s">
        <v>95</v>
      </c>
      <c r="K1018">
        <v>0</v>
      </c>
    </row>
    <row r="1019" spans="9:11">
      <c r="I1019" t="s">
        <v>91</v>
      </c>
      <c r="J1019" t="s">
        <v>92</v>
      </c>
      <c r="K1019">
        <v>0</v>
      </c>
    </row>
    <row r="1020" spans="9:11">
      <c r="I1020" t="s">
        <v>91</v>
      </c>
      <c r="J1020" t="s">
        <v>92</v>
      </c>
      <c r="K1020">
        <v>0</v>
      </c>
    </row>
    <row r="1021" spans="9:11">
      <c r="I1021" t="s">
        <v>91</v>
      </c>
      <c r="J1021" t="s">
        <v>92</v>
      </c>
      <c r="K1021">
        <v>0</v>
      </c>
    </row>
    <row r="1022" spans="9:11">
      <c r="I1022" t="s">
        <v>94</v>
      </c>
      <c r="J1022" t="s">
        <v>95</v>
      </c>
      <c r="K1022">
        <v>0</v>
      </c>
    </row>
    <row r="1023" spans="9:11">
      <c r="I1023" t="s">
        <v>91</v>
      </c>
      <c r="J1023" t="s">
        <v>92</v>
      </c>
      <c r="K1023">
        <v>0</v>
      </c>
    </row>
    <row r="1024" spans="9:11">
      <c r="I1024" t="s">
        <v>91</v>
      </c>
      <c r="J1024" t="s">
        <v>92</v>
      </c>
      <c r="K1024">
        <v>0</v>
      </c>
    </row>
    <row r="1025" spans="9:11">
      <c r="I1025" t="s">
        <v>91</v>
      </c>
      <c r="J1025" t="s">
        <v>92</v>
      </c>
      <c r="K1025">
        <v>0</v>
      </c>
    </row>
    <row r="1026" spans="9:11">
      <c r="I1026" t="s">
        <v>94</v>
      </c>
      <c r="J1026" t="s">
        <v>95</v>
      </c>
      <c r="K1026">
        <v>0</v>
      </c>
    </row>
    <row r="1027" spans="9:11">
      <c r="I1027" t="s">
        <v>91</v>
      </c>
      <c r="J1027" t="s">
        <v>92</v>
      </c>
      <c r="K1027">
        <v>0</v>
      </c>
    </row>
    <row r="1028" spans="9:11">
      <c r="I1028" t="s">
        <v>94</v>
      </c>
      <c r="J1028" t="s">
        <v>95</v>
      </c>
      <c r="K1028">
        <v>1</v>
      </c>
    </row>
    <row r="1029" spans="9:11">
      <c r="I1029" t="s">
        <v>94</v>
      </c>
      <c r="J1029" t="s">
        <v>95</v>
      </c>
      <c r="K1029">
        <v>0</v>
      </c>
    </row>
    <row r="1030" spans="9:11">
      <c r="I1030" t="s">
        <v>94</v>
      </c>
      <c r="J1030" t="s">
        <v>95</v>
      </c>
      <c r="K1030">
        <v>0</v>
      </c>
    </row>
    <row r="1031" spans="9:11">
      <c r="I1031" t="s">
        <v>94</v>
      </c>
      <c r="J1031" t="s">
        <v>95</v>
      </c>
      <c r="K1031">
        <v>0</v>
      </c>
    </row>
    <row r="1032" spans="9:11">
      <c r="I1032" t="s">
        <v>94</v>
      </c>
      <c r="J1032" t="s">
        <v>95</v>
      </c>
      <c r="K1032">
        <v>0</v>
      </c>
    </row>
    <row r="1033" spans="9:11">
      <c r="I1033" t="s">
        <v>94</v>
      </c>
      <c r="J1033" t="s">
        <v>95</v>
      </c>
      <c r="K1033">
        <v>0</v>
      </c>
    </row>
    <row r="1034" spans="9:11">
      <c r="I1034" t="s">
        <v>91</v>
      </c>
      <c r="J1034" t="s">
        <v>92</v>
      </c>
      <c r="K1034">
        <v>0</v>
      </c>
    </row>
    <row r="1035" spans="9:11">
      <c r="I1035" t="s">
        <v>94</v>
      </c>
      <c r="J1035" t="s">
        <v>95</v>
      </c>
      <c r="K1035">
        <v>0</v>
      </c>
    </row>
    <row r="1036" spans="9:11">
      <c r="I1036" t="s">
        <v>94</v>
      </c>
      <c r="J1036" t="s">
        <v>95</v>
      </c>
      <c r="K1036">
        <v>0</v>
      </c>
    </row>
    <row r="1037" spans="9:11">
      <c r="I1037" t="s">
        <v>91</v>
      </c>
      <c r="J1037" t="s">
        <v>92</v>
      </c>
      <c r="K1037">
        <v>0</v>
      </c>
    </row>
    <row r="1038" spans="9:11">
      <c r="I1038" t="s">
        <v>91</v>
      </c>
      <c r="J1038" t="s">
        <v>92</v>
      </c>
      <c r="K1038">
        <v>0</v>
      </c>
    </row>
    <row r="1039" spans="9:11">
      <c r="I1039" t="s">
        <v>94</v>
      </c>
      <c r="J1039" t="s">
        <v>95</v>
      </c>
      <c r="K1039">
        <v>0</v>
      </c>
    </row>
    <row r="1040" spans="9:11">
      <c r="I1040" t="s">
        <v>94</v>
      </c>
      <c r="J1040" t="s">
        <v>95</v>
      </c>
      <c r="K1040">
        <v>0</v>
      </c>
    </row>
    <row r="1041" spans="9:11">
      <c r="I1041" t="s">
        <v>91</v>
      </c>
      <c r="J1041" t="s">
        <v>92</v>
      </c>
      <c r="K1041">
        <v>0</v>
      </c>
    </row>
    <row r="1042" spans="9:11">
      <c r="I1042" t="s">
        <v>91</v>
      </c>
      <c r="J1042" t="s">
        <v>92</v>
      </c>
      <c r="K1042">
        <v>0</v>
      </c>
    </row>
    <row r="1043" spans="9:11">
      <c r="I1043" t="s">
        <v>91</v>
      </c>
      <c r="J1043" t="s">
        <v>92</v>
      </c>
      <c r="K1043">
        <v>0</v>
      </c>
    </row>
    <row r="1044" spans="9:11">
      <c r="I1044" t="s">
        <v>94</v>
      </c>
      <c r="J1044" t="s">
        <v>95</v>
      </c>
      <c r="K1044">
        <v>0</v>
      </c>
    </row>
    <row r="1045" spans="9:11">
      <c r="I1045" t="s">
        <v>91</v>
      </c>
      <c r="J1045" t="s">
        <v>92</v>
      </c>
      <c r="K1045">
        <v>0</v>
      </c>
    </row>
    <row r="1046" spans="9:11">
      <c r="I1046" t="s">
        <v>94</v>
      </c>
      <c r="J1046" t="s">
        <v>95</v>
      </c>
      <c r="K1046">
        <v>0</v>
      </c>
    </row>
    <row r="1047" spans="9:11">
      <c r="I1047" t="s">
        <v>91</v>
      </c>
      <c r="J1047" t="s">
        <v>92</v>
      </c>
      <c r="K1047">
        <v>0</v>
      </c>
    </row>
    <row r="1048" spans="9:11">
      <c r="I1048" t="s">
        <v>94</v>
      </c>
      <c r="J1048" t="s">
        <v>95</v>
      </c>
      <c r="K1048">
        <v>0</v>
      </c>
    </row>
    <row r="1049" spans="9:11">
      <c r="I1049" t="s">
        <v>94</v>
      </c>
      <c r="J1049" t="s">
        <v>95</v>
      </c>
      <c r="K1049">
        <v>0</v>
      </c>
    </row>
    <row r="1050" spans="9:11">
      <c r="I1050" t="s">
        <v>91</v>
      </c>
      <c r="J1050" t="s">
        <v>92</v>
      </c>
      <c r="K1050">
        <v>0</v>
      </c>
    </row>
    <row r="1051" spans="9:11">
      <c r="I1051" t="s">
        <v>94</v>
      </c>
      <c r="J1051" t="s">
        <v>95</v>
      </c>
      <c r="K1051">
        <v>0</v>
      </c>
    </row>
    <row r="1052" spans="9:11">
      <c r="I1052" t="s">
        <v>91</v>
      </c>
      <c r="J1052" t="s">
        <v>92</v>
      </c>
      <c r="K1052">
        <v>0</v>
      </c>
    </row>
    <row r="1053" spans="9:11">
      <c r="I1053" t="s">
        <v>94</v>
      </c>
      <c r="J1053" t="s">
        <v>95</v>
      </c>
      <c r="K1053">
        <v>0</v>
      </c>
    </row>
    <row r="1054" spans="9:11">
      <c r="I1054" t="s">
        <v>91</v>
      </c>
      <c r="J1054" t="s">
        <v>92</v>
      </c>
      <c r="K1054">
        <v>0</v>
      </c>
    </row>
    <row r="1055" spans="9:11">
      <c r="I1055" t="s">
        <v>91</v>
      </c>
      <c r="J1055" t="s">
        <v>92</v>
      </c>
      <c r="K1055">
        <v>0</v>
      </c>
    </row>
    <row r="1056" spans="9:11">
      <c r="I1056" t="s">
        <v>94</v>
      </c>
      <c r="J1056" t="s">
        <v>95</v>
      </c>
      <c r="K1056">
        <v>0</v>
      </c>
    </row>
    <row r="1057" spans="9:11">
      <c r="I1057" t="s">
        <v>94</v>
      </c>
      <c r="J1057" t="s">
        <v>95</v>
      </c>
      <c r="K1057">
        <v>0</v>
      </c>
    </row>
    <row r="1058" spans="9:11">
      <c r="I1058" t="s">
        <v>91</v>
      </c>
      <c r="J1058" t="s">
        <v>92</v>
      </c>
      <c r="K1058">
        <v>0</v>
      </c>
    </row>
    <row r="1059" spans="9:11">
      <c r="I1059" t="s">
        <v>94</v>
      </c>
      <c r="J1059" t="s">
        <v>95</v>
      </c>
      <c r="K1059">
        <v>0</v>
      </c>
    </row>
    <row r="1060" spans="9:11">
      <c r="I1060" t="s">
        <v>94</v>
      </c>
      <c r="J1060" t="s">
        <v>95</v>
      </c>
      <c r="K1060">
        <v>0</v>
      </c>
    </row>
    <row r="1061" spans="9:11">
      <c r="I1061" t="s">
        <v>91</v>
      </c>
      <c r="J1061" t="s">
        <v>92</v>
      </c>
      <c r="K1061">
        <v>1</v>
      </c>
    </row>
    <row r="1062" spans="9:11">
      <c r="I1062" t="s">
        <v>91</v>
      </c>
      <c r="J1062" t="s">
        <v>92</v>
      </c>
      <c r="K1062">
        <v>0</v>
      </c>
    </row>
    <row r="1063" spans="9:11">
      <c r="I1063" t="s">
        <v>91</v>
      </c>
      <c r="J1063" t="s">
        <v>92</v>
      </c>
      <c r="K1063">
        <v>0</v>
      </c>
    </row>
    <row r="1064" spans="9:11">
      <c r="I1064" t="s">
        <v>94</v>
      </c>
      <c r="J1064" t="s">
        <v>95</v>
      </c>
      <c r="K1064">
        <v>1</v>
      </c>
    </row>
    <row r="1065" spans="9:11">
      <c r="I1065" t="s">
        <v>94</v>
      </c>
      <c r="J1065" t="s">
        <v>95</v>
      </c>
      <c r="K1065">
        <v>0</v>
      </c>
    </row>
    <row r="1066" spans="9:11">
      <c r="I1066" t="s">
        <v>94</v>
      </c>
      <c r="J1066" t="s">
        <v>95</v>
      </c>
      <c r="K1066">
        <v>0</v>
      </c>
    </row>
    <row r="1067" spans="9:11">
      <c r="I1067" t="s">
        <v>91</v>
      </c>
      <c r="J1067" t="s">
        <v>92</v>
      </c>
      <c r="K1067">
        <v>0</v>
      </c>
    </row>
    <row r="1068" spans="9:11">
      <c r="I1068" t="s">
        <v>91</v>
      </c>
      <c r="J1068" t="s">
        <v>92</v>
      </c>
      <c r="K1068">
        <v>0</v>
      </c>
    </row>
    <row r="1069" spans="9:11">
      <c r="I1069" t="s">
        <v>91</v>
      </c>
      <c r="J1069" t="s">
        <v>92</v>
      </c>
      <c r="K1069">
        <v>0</v>
      </c>
    </row>
    <row r="1070" spans="9:11">
      <c r="I1070" t="s">
        <v>91</v>
      </c>
      <c r="J1070" t="s">
        <v>92</v>
      </c>
      <c r="K1070">
        <v>0</v>
      </c>
    </row>
    <row r="1071" spans="9:11">
      <c r="I1071" t="s">
        <v>94</v>
      </c>
      <c r="J1071" t="s">
        <v>95</v>
      </c>
      <c r="K1071">
        <v>0</v>
      </c>
    </row>
    <row r="1072" spans="9:11">
      <c r="I1072" t="s">
        <v>94</v>
      </c>
      <c r="J1072" t="s">
        <v>95</v>
      </c>
      <c r="K1072">
        <v>0</v>
      </c>
    </row>
    <row r="1073" spans="9:11">
      <c r="I1073" t="s">
        <v>94</v>
      </c>
      <c r="J1073" t="s">
        <v>95</v>
      </c>
      <c r="K1073">
        <v>0</v>
      </c>
    </row>
    <row r="1074" spans="9:11">
      <c r="I1074" t="s">
        <v>91</v>
      </c>
      <c r="J1074" t="s">
        <v>92</v>
      </c>
      <c r="K1074">
        <v>0</v>
      </c>
    </row>
    <row r="1075" spans="9:11">
      <c r="I1075" t="s">
        <v>91</v>
      </c>
      <c r="J1075" t="s">
        <v>92</v>
      </c>
      <c r="K1075">
        <v>0</v>
      </c>
    </row>
    <row r="1076" spans="9:11">
      <c r="I1076" t="s">
        <v>94</v>
      </c>
      <c r="J1076" t="s">
        <v>95</v>
      </c>
      <c r="K1076">
        <v>0</v>
      </c>
    </row>
    <row r="1077" spans="9:11">
      <c r="I1077" t="s">
        <v>91</v>
      </c>
      <c r="J1077" t="s">
        <v>92</v>
      </c>
      <c r="K1077">
        <v>0</v>
      </c>
    </row>
    <row r="1078" spans="9:11">
      <c r="I1078" t="s">
        <v>91</v>
      </c>
      <c r="J1078" t="s">
        <v>92</v>
      </c>
      <c r="K1078">
        <v>0</v>
      </c>
    </row>
    <row r="1079" spans="9:11">
      <c r="I1079" t="s">
        <v>94</v>
      </c>
      <c r="J1079" t="s">
        <v>95</v>
      </c>
      <c r="K1079">
        <v>0</v>
      </c>
    </row>
    <row r="1080" spans="9:11">
      <c r="I1080" t="s">
        <v>91</v>
      </c>
      <c r="J1080" t="s">
        <v>92</v>
      </c>
      <c r="K1080">
        <v>0</v>
      </c>
    </row>
    <row r="1081" spans="9:11">
      <c r="I1081" t="s">
        <v>91</v>
      </c>
      <c r="J1081" t="s">
        <v>92</v>
      </c>
      <c r="K1081">
        <v>0</v>
      </c>
    </row>
    <row r="1082" spans="9:11">
      <c r="I1082" t="s">
        <v>91</v>
      </c>
      <c r="J1082" t="s">
        <v>92</v>
      </c>
      <c r="K1082">
        <v>1</v>
      </c>
    </row>
    <row r="1083" spans="9:11">
      <c r="I1083" t="s">
        <v>91</v>
      </c>
      <c r="J1083" t="s">
        <v>92</v>
      </c>
      <c r="K1083">
        <v>0</v>
      </c>
    </row>
    <row r="1084" spans="9:11">
      <c r="I1084" t="s">
        <v>94</v>
      </c>
      <c r="J1084" t="s">
        <v>95</v>
      </c>
      <c r="K1084">
        <v>0</v>
      </c>
    </row>
    <row r="1085" spans="9:11">
      <c r="I1085" t="s">
        <v>91</v>
      </c>
      <c r="J1085" t="s">
        <v>92</v>
      </c>
      <c r="K1085">
        <v>0</v>
      </c>
    </row>
    <row r="1086" spans="9:11">
      <c r="I1086" t="s">
        <v>94</v>
      </c>
      <c r="J1086" t="s">
        <v>95</v>
      </c>
      <c r="K1086">
        <v>0</v>
      </c>
    </row>
    <row r="1087" spans="9:11">
      <c r="I1087" t="s">
        <v>91</v>
      </c>
      <c r="J1087" t="s">
        <v>92</v>
      </c>
      <c r="K1087">
        <v>0</v>
      </c>
    </row>
    <row r="1088" spans="9:11">
      <c r="I1088" t="s">
        <v>91</v>
      </c>
      <c r="J1088" t="s">
        <v>92</v>
      </c>
      <c r="K1088">
        <v>0</v>
      </c>
    </row>
    <row r="1089" spans="9:11">
      <c r="I1089" t="s">
        <v>91</v>
      </c>
      <c r="J1089" t="s">
        <v>92</v>
      </c>
      <c r="K1089">
        <v>0</v>
      </c>
    </row>
    <row r="1090" spans="9:11">
      <c r="I1090" t="s">
        <v>94</v>
      </c>
      <c r="J1090" t="s">
        <v>95</v>
      </c>
      <c r="K1090">
        <v>0</v>
      </c>
    </row>
    <row r="1091" spans="9:11">
      <c r="I1091" t="s">
        <v>91</v>
      </c>
      <c r="J1091" t="s">
        <v>92</v>
      </c>
      <c r="K1091">
        <v>0</v>
      </c>
    </row>
    <row r="1092" spans="9:11">
      <c r="I1092" t="s">
        <v>91</v>
      </c>
      <c r="J1092" t="s">
        <v>92</v>
      </c>
      <c r="K1092">
        <v>0</v>
      </c>
    </row>
    <row r="1093" spans="9:11">
      <c r="I1093" t="s">
        <v>91</v>
      </c>
      <c r="J1093" t="s">
        <v>92</v>
      </c>
      <c r="K1093">
        <v>0</v>
      </c>
    </row>
    <row r="1094" spans="9:11">
      <c r="I1094" t="s">
        <v>94</v>
      </c>
      <c r="J1094" t="s">
        <v>95</v>
      </c>
      <c r="K1094">
        <v>0</v>
      </c>
    </row>
    <row r="1095" spans="9:11">
      <c r="I1095" t="s">
        <v>94</v>
      </c>
      <c r="J1095" t="s">
        <v>95</v>
      </c>
      <c r="K1095">
        <v>0</v>
      </c>
    </row>
    <row r="1096" spans="9:11">
      <c r="I1096" t="s">
        <v>91</v>
      </c>
      <c r="J1096" t="s">
        <v>92</v>
      </c>
      <c r="K1096">
        <v>0</v>
      </c>
    </row>
    <row r="1097" spans="9:11">
      <c r="I1097" t="s">
        <v>91</v>
      </c>
      <c r="J1097" t="s">
        <v>92</v>
      </c>
      <c r="K1097">
        <v>0</v>
      </c>
    </row>
    <row r="1098" spans="9:11">
      <c r="I1098" t="s">
        <v>91</v>
      </c>
      <c r="J1098" t="s">
        <v>92</v>
      </c>
      <c r="K1098">
        <v>0</v>
      </c>
    </row>
    <row r="1099" spans="9:11">
      <c r="I1099" t="s">
        <v>94</v>
      </c>
      <c r="J1099" t="s">
        <v>95</v>
      </c>
      <c r="K1099">
        <v>0</v>
      </c>
    </row>
    <row r="1100" spans="9:11">
      <c r="I1100" t="s">
        <v>91</v>
      </c>
      <c r="J1100" t="s">
        <v>92</v>
      </c>
      <c r="K1100">
        <v>0</v>
      </c>
    </row>
    <row r="1101" spans="9:11">
      <c r="I1101" t="s">
        <v>94</v>
      </c>
      <c r="J1101" t="s">
        <v>95</v>
      </c>
      <c r="K1101">
        <v>0</v>
      </c>
    </row>
    <row r="1102" spans="9:11">
      <c r="I1102" t="s">
        <v>91</v>
      </c>
      <c r="J1102" t="s">
        <v>92</v>
      </c>
      <c r="K1102">
        <v>0</v>
      </c>
    </row>
    <row r="1103" spans="9:11">
      <c r="I1103" t="s">
        <v>91</v>
      </c>
      <c r="J1103" t="s">
        <v>92</v>
      </c>
      <c r="K1103">
        <v>0</v>
      </c>
    </row>
    <row r="1104" spans="9:11">
      <c r="I1104" t="s">
        <v>94</v>
      </c>
      <c r="J1104" t="s">
        <v>95</v>
      </c>
      <c r="K1104">
        <v>0</v>
      </c>
    </row>
    <row r="1105" spans="9:11">
      <c r="I1105" t="s">
        <v>91</v>
      </c>
      <c r="J1105" t="s">
        <v>92</v>
      </c>
      <c r="K1105">
        <v>0</v>
      </c>
    </row>
    <row r="1106" spans="9:11">
      <c r="I1106" t="s">
        <v>94</v>
      </c>
      <c r="J1106" t="s">
        <v>95</v>
      </c>
      <c r="K1106">
        <v>0</v>
      </c>
    </row>
    <row r="1107" spans="9:11">
      <c r="I1107" t="s">
        <v>91</v>
      </c>
      <c r="J1107" t="s">
        <v>92</v>
      </c>
      <c r="K1107">
        <v>0</v>
      </c>
    </row>
    <row r="1108" spans="9:11">
      <c r="I1108" t="s">
        <v>91</v>
      </c>
      <c r="J1108" t="s">
        <v>92</v>
      </c>
      <c r="K1108">
        <v>0</v>
      </c>
    </row>
    <row r="1109" spans="9:11">
      <c r="I1109" t="s">
        <v>94</v>
      </c>
      <c r="J1109" t="s">
        <v>95</v>
      </c>
      <c r="K1109">
        <v>0</v>
      </c>
    </row>
    <row r="1110" spans="9:11">
      <c r="I1110" t="s">
        <v>94</v>
      </c>
      <c r="J1110" t="s">
        <v>95</v>
      </c>
      <c r="K1110">
        <v>1</v>
      </c>
    </row>
    <row r="1111" spans="9:11">
      <c r="I1111" t="s">
        <v>91</v>
      </c>
      <c r="J1111" t="s">
        <v>92</v>
      </c>
      <c r="K1111">
        <v>0</v>
      </c>
    </row>
    <row r="1112" spans="9:11">
      <c r="I1112" t="s">
        <v>91</v>
      </c>
      <c r="J1112" t="s">
        <v>92</v>
      </c>
      <c r="K1112">
        <v>0</v>
      </c>
    </row>
    <row r="1113" spans="9:11">
      <c r="I1113" t="s">
        <v>91</v>
      </c>
      <c r="J1113" t="s">
        <v>92</v>
      </c>
      <c r="K1113">
        <v>0</v>
      </c>
    </row>
    <row r="1114" spans="9:11">
      <c r="I1114" t="s">
        <v>94</v>
      </c>
      <c r="J1114" t="s">
        <v>95</v>
      </c>
      <c r="K1114">
        <v>0</v>
      </c>
    </row>
    <row r="1115" spans="9:11">
      <c r="I1115" t="s">
        <v>94</v>
      </c>
      <c r="J1115" t="s">
        <v>95</v>
      </c>
      <c r="K1115">
        <v>0</v>
      </c>
    </row>
    <row r="1116" spans="9:11">
      <c r="I1116" t="s">
        <v>91</v>
      </c>
      <c r="J1116" t="s">
        <v>92</v>
      </c>
      <c r="K1116">
        <v>0</v>
      </c>
    </row>
    <row r="1117" spans="9:11">
      <c r="I1117" t="s">
        <v>91</v>
      </c>
      <c r="J1117" t="s">
        <v>92</v>
      </c>
      <c r="K1117">
        <v>0</v>
      </c>
    </row>
    <row r="1118" spans="9:11">
      <c r="I1118" t="s">
        <v>91</v>
      </c>
      <c r="J1118" t="s">
        <v>92</v>
      </c>
      <c r="K1118">
        <v>0</v>
      </c>
    </row>
    <row r="1119" spans="9:11">
      <c r="I1119" t="s">
        <v>94</v>
      </c>
      <c r="J1119" t="s">
        <v>95</v>
      </c>
      <c r="K1119">
        <v>0</v>
      </c>
    </row>
    <row r="1120" spans="9:11">
      <c r="I1120" t="s">
        <v>91</v>
      </c>
      <c r="J1120" t="s">
        <v>92</v>
      </c>
      <c r="K1120">
        <v>0</v>
      </c>
    </row>
    <row r="1121" spans="9:11">
      <c r="I1121" t="s">
        <v>91</v>
      </c>
      <c r="J1121" t="s">
        <v>92</v>
      </c>
      <c r="K1121">
        <v>1</v>
      </c>
    </row>
    <row r="1122" spans="9:11">
      <c r="I1122" t="s">
        <v>94</v>
      </c>
      <c r="J1122" t="s">
        <v>95</v>
      </c>
      <c r="K1122">
        <v>0</v>
      </c>
    </row>
    <row r="1123" spans="9:11">
      <c r="I1123" t="s">
        <v>94</v>
      </c>
      <c r="J1123" t="s">
        <v>95</v>
      </c>
      <c r="K1123">
        <v>0</v>
      </c>
    </row>
    <row r="1124" spans="9:11">
      <c r="I1124" t="s">
        <v>94</v>
      </c>
      <c r="J1124" t="s">
        <v>95</v>
      </c>
      <c r="K1124">
        <v>1</v>
      </c>
    </row>
    <row r="1125" spans="9:11">
      <c r="I1125" t="s">
        <v>94</v>
      </c>
      <c r="J1125" t="s">
        <v>95</v>
      </c>
      <c r="K1125">
        <v>0</v>
      </c>
    </row>
    <row r="1126" spans="9:11">
      <c r="I1126" t="s">
        <v>91</v>
      </c>
      <c r="J1126" t="s">
        <v>92</v>
      </c>
      <c r="K1126">
        <v>0</v>
      </c>
    </row>
    <row r="1127" spans="9:11">
      <c r="I1127" t="s">
        <v>94</v>
      </c>
      <c r="J1127" t="s">
        <v>95</v>
      </c>
      <c r="K1127">
        <v>0</v>
      </c>
    </row>
    <row r="1128" spans="9:11">
      <c r="I1128" t="s">
        <v>94</v>
      </c>
      <c r="J1128" t="s">
        <v>95</v>
      </c>
      <c r="K1128">
        <v>0</v>
      </c>
    </row>
    <row r="1129" spans="9:11">
      <c r="I1129" t="s">
        <v>94</v>
      </c>
      <c r="J1129" t="s">
        <v>95</v>
      </c>
      <c r="K1129">
        <v>0</v>
      </c>
    </row>
    <row r="1130" spans="9:11">
      <c r="I1130" t="s">
        <v>91</v>
      </c>
      <c r="J1130" t="s">
        <v>92</v>
      </c>
      <c r="K1130">
        <v>0</v>
      </c>
    </row>
    <row r="1131" spans="9:11">
      <c r="I1131" t="s">
        <v>94</v>
      </c>
      <c r="J1131" t="s">
        <v>95</v>
      </c>
      <c r="K1131">
        <v>0</v>
      </c>
    </row>
    <row r="1132" spans="9:11">
      <c r="I1132" t="s">
        <v>94</v>
      </c>
      <c r="J1132" t="s">
        <v>95</v>
      </c>
      <c r="K1132">
        <v>0</v>
      </c>
    </row>
    <row r="1133" spans="9:11">
      <c r="I1133" t="s">
        <v>91</v>
      </c>
      <c r="J1133" t="s">
        <v>92</v>
      </c>
      <c r="K1133">
        <v>0</v>
      </c>
    </row>
    <row r="1134" spans="9:11">
      <c r="I1134" t="s">
        <v>94</v>
      </c>
      <c r="J1134" t="s">
        <v>95</v>
      </c>
      <c r="K1134">
        <v>0</v>
      </c>
    </row>
    <row r="1135" spans="9:11">
      <c r="I1135" t="s">
        <v>91</v>
      </c>
      <c r="J1135" t="s">
        <v>92</v>
      </c>
      <c r="K1135">
        <v>0</v>
      </c>
    </row>
    <row r="1136" spans="9:11">
      <c r="I1136" t="s">
        <v>91</v>
      </c>
      <c r="J1136" t="s">
        <v>92</v>
      </c>
      <c r="K1136">
        <v>0</v>
      </c>
    </row>
    <row r="1137" spans="9:11">
      <c r="I1137" t="s">
        <v>94</v>
      </c>
      <c r="J1137" t="s">
        <v>95</v>
      </c>
      <c r="K1137">
        <v>0</v>
      </c>
    </row>
    <row r="1138" spans="9:11">
      <c r="I1138" t="s">
        <v>91</v>
      </c>
      <c r="J1138" t="s">
        <v>92</v>
      </c>
      <c r="K1138">
        <v>0</v>
      </c>
    </row>
    <row r="1139" spans="9:11">
      <c r="I1139" t="s">
        <v>91</v>
      </c>
      <c r="J1139" t="s">
        <v>92</v>
      </c>
      <c r="K1139">
        <v>0</v>
      </c>
    </row>
    <row r="1140" spans="9:11">
      <c r="I1140" t="s">
        <v>91</v>
      </c>
      <c r="J1140" t="s">
        <v>92</v>
      </c>
      <c r="K1140">
        <v>0</v>
      </c>
    </row>
    <row r="1141" spans="9:11">
      <c r="I1141" t="s">
        <v>91</v>
      </c>
      <c r="J1141" t="s">
        <v>92</v>
      </c>
      <c r="K1141">
        <v>0</v>
      </c>
    </row>
    <row r="1142" spans="9:11">
      <c r="I1142" t="s">
        <v>91</v>
      </c>
      <c r="J1142" t="s">
        <v>92</v>
      </c>
      <c r="K1142">
        <v>0</v>
      </c>
    </row>
    <row r="1143" spans="9:11">
      <c r="I1143" t="s">
        <v>94</v>
      </c>
      <c r="J1143" t="s">
        <v>95</v>
      </c>
      <c r="K1143">
        <v>0</v>
      </c>
    </row>
    <row r="1144" spans="9:11">
      <c r="I1144" t="s">
        <v>94</v>
      </c>
      <c r="J1144" t="s">
        <v>95</v>
      </c>
      <c r="K1144">
        <v>0</v>
      </c>
    </row>
    <row r="1145" spans="9:11">
      <c r="I1145" t="s">
        <v>94</v>
      </c>
      <c r="J1145" t="s">
        <v>95</v>
      </c>
      <c r="K1145">
        <v>0</v>
      </c>
    </row>
    <row r="1146" spans="9:11">
      <c r="I1146" t="s">
        <v>91</v>
      </c>
      <c r="J1146" t="s">
        <v>92</v>
      </c>
      <c r="K1146">
        <v>0</v>
      </c>
    </row>
    <row r="1147" spans="9:11">
      <c r="I1147" t="s">
        <v>94</v>
      </c>
      <c r="J1147" t="s">
        <v>95</v>
      </c>
      <c r="K1147">
        <v>0</v>
      </c>
    </row>
    <row r="1148" spans="9:11">
      <c r="I1148" t="s">
        <v>91</v>
      </c>
      <c r="J1148" t="s">
        <v>92</v>
      </c>
      <c r="K1148">
        <v>0</v>
      </c>
    </row>
    <row r="1149" spans="9:11">
      <c r="I1149" t="s">
        <v>94</v>
      </c>
      <c r="J1149" t="s">
        <v>95</v>
      </c>
      <c r="K1149">
        <v>0</v>
      </c>
    </row>
    <row r="1150" spans="9:11">
      <c r="I1150" t="s">
        <v>94</v>
      </c>
      <c r="J1150" t="s">
        <v>95</v>
      </c>
      <c r="K1150">
        <v>0</v>
      </c>
    </row>
    <row r="1151" spans="9:11">
      <c r="I1151" t="s">
        <v>91</v>
      </c>
      <c r="J1151" t="s">
        <v>92</v>
      </c>
      <c r="K1151">
        <v>0</v>
      </c>
    </row>
    <row r="1152" spans="9:11">
      <c r="I1152" t="s">
        <v>94</v>
      </c>
      <c r="J1152" t="s">
        <v>95</v>
      </c>
      <c r="K1152">
        <v>0</v>
      </c>
    </row>
    <row r="1153" spans="9:11">
      <c r="I1153" t="s">
        <v>94</v>
      </c>
      <c r="J1153" t="s">
        <v>95</v>
      </c>
      <c r="K1153">
        <v>0</v>
      </c>
    </row>
    <row r="1154" spans="9:11">
      <c r="I1154" t="s">
        <v>94</v>
      </c>
      <c r="J1154" t="s">
        <v>95</v>
      </c>
      <c r="K1154">
        <v>0</v>
      </c>
    </row>
    <row r="1155" spans="9:11">
      <c r="I1155" t="s">
        <v>91</v>
      </c>
      <c r="J1155" t="s">
        <v>92</v>
      </c>
      <c r="K1155">
        <v>1</v>
      </c>
    </row>
    <row r="1156" spans="9:11">
      <c r="I1156" t="s">
        <v>91</v>
      </c>
      <c r="J1156" t="s">
        <v>92</v>
      </c>
      <c r="K1156">
        <v>0</v>
      </c>
    </row>
    <row r="1157" spans="9:11">
      <c r="I1157" t="s">
        <v>91</v>
      </c>
      <c r="J1157" t="s">
        <v>92</v>
      </c>
      <c r="K1157">
        <v>0</v>
      </c>
    </row>
    <row r="1158" spans="9:11">
      <c r="I1158" t="s">
        <v>94</v>
      </c>
      <c r="J1158" t="s">
        <v>95</v>
      </c>
      <c r="K1158">
        <v>0</v>
      </c>
    </row>
    <row r="1159" spans="9:11">
      <c r="I1159" t="s">
        <v>91</v>
      </c>
      <c r="J1159" t="s">
        <v>92</v>
      </c>
      <c r="K1159">
        <v>0</v>
      </c>
    </row>
    <row r="1160" spans="9:11">
      <c r="I1160" t="s">
        <v>94</v>
      </c>
      <c r="J1160" t="s">
        <v>95</v>
      </c>
      <c r="K1160">
        <v>0</v>
      </c>
    </row>
    <row r="1161" spans="9:11">
      <c r="I1161" t="s">
        <v>94</v>
      </c>
      <c r="J1161" t="s">
        <v>95</v>
      </c>
      <c r="K1161">
        <v>0</v>
      </c>
    </row>
    <row r="1162" spans="9:11">
      <c r="I1162" t="s">
        <v>94</v>
      </c>
      <c r="J1162" t="s">
        <v>95</v>
      </c>
      <c r="K1162">
        <v>0</v>
      </c>
    </row>
    <row r="1163" spans="9:11">
      <c r="I1163" t="s">
        <v>94</v>
      </c>
      <c r="J1163" t="s">
        <v>95</v>
      </c>
      <c r="K1163">
        <v>0</v>
      </c>
    </row>
    <row r="1164" spans="9:11">
      <c r="I1164" t="s">
        <v>91</v>
      </c>
      <c r="J1164" t="s">
        <v>92</v>
      </c>
      <c r="K1164">
        <v>0</v>
      </c>
    </row>
    <row r="1165" spans="9:11">
      <c r="I1165" t="s">
        <v>94</v>
      </c>
      <c r="J1165" t="s">
        <v>95</v>
      </c>
      <c r="K1165">
        <v>0</v>
      </c>
    </row>
    <row r="1166" spans="9:11">
      <c r="I1166" t="s">
        <v>91</v>
      </c>
      <c r="J1166" t="s">
        <v>92</v>
      </c>
      <c r="K1166">
        <v>0</v>
      </c>
    </row>
    <row r="1167" spans="9:11">
      <c r="I1167" t="s">
        <v>94</v>
      </c>
      <c r="J1167" t="s">
        <v>95</v>
      </c>
      <c r="K1167">
        <v>0</v>
      </c>
    </row>
    <row r="1168" spans="9:11">
      <c r="I1168" t="s">
        <v>91</v>
      </c>
      <c r="J1168" t="s">
        <v>92</v>
      </c>
      <c r="K1168">
        <v>0</v>
      </c>
    </row>
    <row r="1169" spans="9:11">
      <c r="I1169" t="s">
        <v>94</v>
      </c>
      <c r="J1169" t="s">
        <v>95</v>
      </c>
      <c r="K1169">
        <v>0</v>
      </c>
    </row>
    <row r="1170" spans="9:11">
      <c r="I1170" t="s">
        <v>91</v>
      </c>
      <c r="J1170" t="s">
        <v>92</v>
      </c>
      <c r="K1170">
        <v>0</v>
      </c>
    </row>
    <row r="1171" spans="9:11">
      <c r="I1171" t="s">
        <v>94</v>
      </c>
      <c r="J1171" t="s">
        <v>95</v>
      </c>
      <c r="K1171">
        <v>0</v>
      </c>
    </row>
    <row r="1172" spans="9:11">
      <c r="I1172" t="s">
        <v>94</v>
      </c>
      <c r="J1172" t="s">
        <v>95</v>
      </c>
      <c r="K1172">
        <v>0</v>
      </c>
    </row>
    <row r="1173" spans="9:11">
      <c r="I1173" t="s">
        <v>91</v>
      </c>
      <c r="J1173" t="s">
        <v>92</v>
      </c>
      <c r="K1173">
        <v>0</v>
      </c>
    </row>
    <row r="1174" spans="9:11">
      <c r="I1174" t="s">
        <v>91</v>
      </c>
      <c r="J1174" t="s">
        <v>92</v>
      </c>
      <c r="K1174">
        <v>0</v>
      </c>
    </row>
    <row r="1175" spans="9:11">
      <c r="I1175" t="s">
        <v>91</v>
      </c>
      <c r="J1175" t="s">
        <v>92</v>
      </c>
      <c r="K1175">
        <v>0</v>
      </c>
    </row>
    <row r="1176" spans="9:11">
      <c r="I1176" t="s">
        <v>94</v>
      </c>
      <c r="J1176" t="s">
        <v>95</v>
      </c>
      <c r="K1176">
        <v>0</v>
      </c>
    </row>
    <row r="1177" spans="9:11">
      <c r="I1177" t="s">
        <v>94</v>
      </c>
      <c r="J1177" t="s">
        <v>95</v>
      </c>
      <c r="K1177">
        <v>0</v>
      </c>
    </row>
    <row r="1178" spans="9:11">
      <c r="I1178" t="s">
        <v>91</v>
      </c>
      <c r="J1178" t="s">
        <v>92</v>
      </c>
      <c r="K1178">
        <v>0</v>
      </c>
    </row>
    <row r="1179" spans="9:11">
      <c r="I1179" t="s">
        <v>94</v>
      </c>
      <c r="J1179" t="s">
        <v>95</v>
      </c>
      <c r="K1179">
        <v>0</v>
      </c>
    </row>
    <row r="1180" spans="9:11">
      <c r="I1180" t="s">
        <v>94</v>
      </c>
      <c r="J1180" t="s">
        <v>95</v>
      </c>
      <c r="K1180">
        <v>0</v>
      </c>
    </row>
    <row r="1181" spans="9:11">
      <c r="I1181" t="s">
        <v>91</v>
      </c>
      <c r="J1181" t="s">
        <v>92</v>
      </c>
      <c r="K1181">
        <v>0</v>
      </c>
    </row>
    <row r="1182" spans="9:11">
      <c r="I1182" t="s">
        <v>94</v>
      </c>
      <c r="J1182" t="s">
        <v>95</v>
      </c>
      <c r="K1182">
        <v>0</v>
      </c>
    </row>
    <row r="1183" spans="9:11">
      <c r="I1183" t="s">
        <v>91</v>
      </c>
      <c r="J1183" t="s">
        <v>92</v>
      </c>
      <c r="K1183">
        <v>0</v>
      </c>
    </row>
    <row r="1184" spans="9:11">
      <c r="I1184" t="s">
        <v>91</v>
      </c>
      <c r="J1184" t="s">
        <v>92</v>
      </c>
      <c r="K1184">
        <v>0</v>
      </c>
    </row>
    <row r="1185" spans="9:11">
      <c r="I1185" t="s">
        <v>91</v>
      </c>
      <c r="J1185" t="s">
        <v>92</v>
      </c>
      <c r="K1185">
        <v>0</v>
      </c>
    </row>
    <row r="1186" spans="9:11">
      <c r="I1186" t="s">
        <v>94</v>
      </c>
      <c r="J1186" t="s">
        <v>95</v>
      </c>
      <c r="K1186">
        <v>0</v>
      </c>
    </row>
    <row r="1187" spans="9:11">
      <c r="I1187" t="s">
        <v>94</v>
      </c>
      <c r="J1187" t="s">
        <v>95</v>
      </c>
      <c r="K1187">
        <v>0</v>
      </c>
    </row>
    <row r="1188" spans="9:11">
      <c r="I1188" t="s">
        <v>94</v>
      </c>
      <c r="J1188" t="s">
        <v>95</v>
      </c>
      <c r="K1188">
        <v>0</v>
      </c>
    </row>
    <row r="1189" spans="9:11">
      <c r="I1189" t="s">
        <v>91</v>
      </c>
      <c r="J1189" t="s">
        <v>92</v>
      </c>
      <c r="K1189">
        <v>0</v>
      </c>
    </row>
    <row r="1190" spans="9:11">
      <c r="I1190" t="s">
        <v>91</v>
      </c>
      <c r="J1190" t="s">
        <v>92</v>
      </c>
      <c r="K1190">
        <v>0</v>
      </c>
    </row>
    <row r="1191" spans="9:11">
      <c r="I1191" t="s">
        <v>94</v>
      </c>
      <c r="J1191" t="s">
        <v>95</v>
      </c>
      <c r="K1191">
        <v>0</v>
      </c>
    </row>
    <row r="1192" spans="9:11">
      <c r="I1192" t="s">
        <v>91</v>
      </c>
      <c r="J1192" t="s">
        <v>92</v>
      </c>
      <c r="K1192">
        <v>0</v>
      </c>
    </row>
    <row r="1193" spans="9:11">
      <c r="I1193" t="s">
        <v>94</v>
      </c>
      <c r="J1193" t="s">
        <v>95</v>
      </c>
      <c r="K1193">
        <v>0</v>
      </c>
    </row>
    <row r="1194" spans="9:11">
      <c r="I1194" t="s">
        <v>94</v>
      </c>
      <c r="J1194" t="s">
        <v>95</v>
      </c>
      <c r="K1194">
        <v>0</v>
      </c>
    </row>
    <row r="1195" spans="9:11">
      <c r="I1195" t="s">
        <v>94</v>
      </c>
      <c r="J1195" t="s">
        <v>95</v>
      </c>
      <c r="K1195">
        <v>0</v>
      </c>
    </row>
    <row r="1196" spans="9:11">
      <c r="I1196" t="s">
        <v>94</v>
      </c>
      <c r="J1196" t="s">
        <v>95</v>
      </c>
      <c r="K1196">
        <v>0</v>
      </c>
    </row>
    <row r="1197" spans="9:11">
      <c r="I1197" t="s">
        <v>94</v>
      </c>
      <c r="J1197" t="s">
        <v>95</v>
      </c>
      <c r="K1197">
        <v>0</v>
      </c>
    </row>
    <row r="1198" spans="9:11">
      <c r="I1198" t="s">
        <v>91</v>
      </c>
      <c r="J1198" t="s">
        <v>92</v>
      </c>
      <c r="K1198">
        <v>0</v>
      </c>
    </row>
    <row r="1199" spans="9:11">
      <c r="I1199" t="s">
        <v>91</v>
      </c>
      <c r="J1199" t="s">
        <v>92</v>
      </c>
      <c r="K1199">
        <v>0</v>
      </c>
    </row>
    <row r="1200" spans="9:11">
      <c r="I1200" t="s">
        <v>94</v>
      </c>
      <c r="J1200" t="s">
        <v>95</v>
      </c>
      <c r="K1200">
        <v>0</v>
      </c>
    </row>
    <row r="1201" spans="9:11">
      <c r="I1201" t="s">
        <v>94</v>
      </c>
      <c r="J1201" t="s">
        <v>95</v>
      </c>
      <c r="K1201">
        <v>0</v>
      </c>
    </row>
    <row r="1202" spans="9:11">
      <c r="I1202" t="s">
        <v>94</v>
      </c>
      <c r="J1202" t="s">
        <v>95</v>
      </c>
      <c r="K1202">
        <v>0</v>
      </c>
    </row>
    <row r="1203" spans="9:11">
      <c r="I1203" t="s">
        <v>94</v>
      </c>
      <c r="J1203" t="s">
        <v>95</v>
      </c>
      <c r="K1203">
        <v>0</v>
      </c>
    </row>
    <row r="1204" spans="9:11">
      <c r="I1204" t="s">
        <v>94</v>
      </c>
      <c r="J1204" t="s">
        <v>95</v>
      </c>
      <c r="K1204">
        <v>0</v>
      </c>
    </row>
    <row r="1205" spans="9:11">
      <c r="I1205" t="s">
        <v>91</v>
      </c>
      <c r="J1205" t="s">
        <v>92</v>
      </c>
      <c r="K1205">
        <v>0</v>
      </c>
    </row>
    <row r="1206" spans="9:11">
      <c r="I1206" t="s">
        <v>91</v>
      </c>
      <c r="J1206" t="s">
        <v>92</v>
      </c>
      <c r="K1206">
        <v>0</v>
      </c>
    </row>
    <row r="1207" spans="9:11">
      <c r="I1207" t="s">
        <v>91</v>
      </c>
      <c r="J1207" t="s">
        <v>92</v>
      </c>
      <c r="K1207">
        <v>0</v>
      </c>
    </row>
    <row r="1208" spans="9:11">
      <c r="I1208" t="s">
        <v>91</v>
      </c>
      <c r="J1208" t="s">
        <v>92</v>
      </c>
      <c r="K1208">
        <v>0</v>
      </c>
    </row>
    <row r="1209" spans="9:11">
      <c r="I1209" t="s">
        <v>94</v>
      </c>
      <c r="J1209" t="s">
        <v>95</v>
      </c>
      <c r="K1209">
        <v>0</v>
      </c>
    </row>
    <row r="1210" spans="9:11">
      <c r="I1210" t="s">
        <v>91</v>
      </c>
      <c r="J1210" t="s">
        <v>92</v>
      </c>
      <c r="K1210">
        <v>0</v>
      </c>
    </row>
    <row r="1211" spans="9:11">
      <c r="I1211" t="s">
        <v>94</v>
      </c>
      <c r="J1211" t="s">
        <v>95</v>
      </c>
      <c r="K1211">
        <v>1</v>
      </c>
    </row>
    <row r="1212" spans="9:11">
      <c r="I1212" t="s">
        <v>94</v>
      </c>
      <c r="J1212" t="s">
        <v>95</v>
      </c>
      <c r="K1212">
        <v>0</v>
      </c>
    </row>
    <row r="1213" spans="9:11">
      <c r="I1213" t="s">
        <v>94</v>
      </c>
      <c r="J1213" t="s">
        <v>95</v>
      </c>
      <c r="K1213">
        <v>0</v>
      </c>
    </row>
    <row r="1214" spans="9:11">
      <c r="I1214" t="s">
        <v>91</v>
      </c>
      <c r="J1214" t="s">
        <v>92</v>
      </c>
      <c r="K1214">
        <v>0</v>
      </c>
    </row>
    <row r="1215" spans="9:11">
      <c r="I1215" t="s">
        <v>91</v>
      </c>
      <c r="J1215" t="s">
        <v>92</v>
      </c>
      <c r="K1215">
        <v>0</v>
      </c>
    </row>
    <row r="1216" spans="9:11">
      <c r="I1216" t="s">
        <v>91</v>
      </c>
      <c r="J1216" t="s">
        <v>92</v>
      </c>
      <c r="K1216">
        <v>0</v>
      </c>
    </row>
    <row r="1217" spans="9:11">
      <c r="I1217" t="s">
        <v>94</v>
      </c>
      <c r="J1217" t="s">
        <v>95</v>
      </c>
      <c r="K1217">
        <v>0</v>
      </c>
    </row>
    <row r="1218" spans="9:11">
      <c r="I1218" t="s">
        <v>94</v>
      </c>
      <c r="J1218" t="s">
        <v>95</v>
      </c>
      <c r="K1218">
        <v>0</v>
      </c>
    </row>
    <row r="1219" spans="9:11">
      <c r="I1219" t="s">
        <v>91</v>
      </c>
      <c r="J1219" t="s">
        <v>92</v>
      </c>
      <c r="K1219">
        <v>0</v>
      </c>
    </row>
    <row r="1220" spans="9:11">
      <c r="I1220" t="s">
        <v>94</v>
      </c>
      <c r="J1220" t="s">
        <v>95</v>
      </c>
      <c r="K1220">
        <v>0</v>
      </c>
    </row>
    <row r="1221" spans="9:11">
      <c r="I1221" t="s">
        <v>94</v>
      </c>
      <c r="J1221" t="s">
        <v>95</v>
      </c>
      <c r="K1221">
        <v>0</v>
      </c>
    </row>
    <row r="1222" spans="9:11">
      <c r="I1222" t="s">
        <v>91</v>
      </c>
      <c r="J1222" t="s">
        <v>92</v>
      </c>
      <c r="K1222">
        <v>0</v>
      </c>
    </row>
    <row r="1223" spans="9:11">
      <c r="I1223" t="s">
        <v>91</v>
      </c>
      <c r="J1223" t="s">
        <v>92</v>
      </c>
      <c r="K1223">
        <v>1</v>
      </c>
    </row>
    <row r="1224" spans="9:11">
      <c r="I1224" t="s">
        <v>94</v>
      </c>
      <c r="J1224" t="s">
        <v>95</v>
      </c>
      <c r="K1224">
        <v>0</v>
      </c>
    </row>
    <row r="1225" spans="9:11">
      <c r="I1225" t="s">
        <v>94</v>
      </c>
      <c r="J1225" t="s">
        <v>95</v>
      </c>
      <c r="K1225">
        <v>0</v>
      </c>
    </row>
    <row r="1226" spans="9:11">
      <c r="I1226" t="s">
        <v>91</v>
      </c>
      <c r="J1226" t="s">
        <v>92</v>
      </c>
      <c r="K1226">
        <v>0</v>
      </c>
    </row>
    <row r="1227" spans="9:11">
      <c r="I1227" t="s">
        <v>91</v>
      </c>
      <c r="J1227" t="s">
        <v>92</v>
      </c>
      <c r="K1227">
        <v>0</v>
      </c>
    </row>
    <row r="1228" spans="9:11">
      <c r="I1228" t="s">
        <v>94</v>
      </c>
      <c r="J1228" t="s">
        <v>95</v>
      </c>
      <c r="K1228">
        <v>0</v>
      </c>
    </row>
    <row r="1229" spans="9:11">
      <c r="I1229" t="s">
        <v>91</v>
      </c>
      <c r="J1229" t="s">
        <v>92</v>
      </c>
      <c r="K1229">
        <v>0</v>
      </c>
    </row>
    <row r="1230" spans="9:11">
      <c r="I1230" t="s">
        <v>91</v>
      </c>
      <c r="J1230" t="s">
        <v>92</v>
      </c>
      <c r="K1230">
        <v>0</v>
      </c>
    </row>
    <row r="1231" spans="9:11">
      <c r="I1231" t="s">
        <v>91</v>
      </c>
      <c r="J1231" t="s">
        <v>92</v>
      </c>
      <c r="K1231">
        <v>0</v>
      </c>
    </row>
    <row r="1232" spans="9:11">
      <c r="I1232" t="s">
        <v>91</v>
      </c>
      <c r="J1232" t="s">
        <v>92</v>
      </c>
      <c r="K1232">
        <v>0</v>
      </c>
    </row>
    <row r="1233" spans="9:11">
      <c r="I1233" t="s">
        <v>91</v>
      </c>
      <c r="J1233" t="s">
        <v>92</v>
      </c>
      <c r="K1233">
        <v>0</v>
      </c>
    </row>
    <row r="1234" spans="9:11">
      <c r="I1234" t="s">
        <v>91</v>
      </c>
      <c r="J1234" t="s">
        <v>92</v>
      </c>
      <c r="K1234">
        <v>0</v>
      </c>
    </row>
    <row r="1235" spans="9:11">
      <c r="I1235" t="s">
        <v>94</v>
      </c>
      <c r="J1235" t="s">
        <v>95</v>
      </c>
      <c r="K1235">
        <v>0</v>
      </c>
    </row>
    <row r="1236" spans="9:11">
      <c r="I1236" t="s">
        <v>94</v>
      </c>
      <c r="J1236" t="s">
        <v>95</v>
      </c>
      <c r="K1236">
        <v>0</v>
      </c>
    </row>
    <row r="1237" spans="9:11">
      <c r="I1237" t="s">
        <v>91</v>
      </c>
      <c r="J1237" t="s">
        <v>92</v>
      </c>
      <c r="K1237">
        <v>0</v>
      </c>
    </row>
    <row r="1238" spans="9:11">
      <c r="I1238" t="s">
        <v>94</v>
      </c>
      <c r="J1238" t="s">
        <v>95</v>
      </c>
      <c r="K1238">
        <v>0</v>
      </c>
    </row>
    <row r="1239" spans="9:11">
      <c r="I1239" t="s">
        <v>91</v>
      </c>
      <c r="J1239" t="s">
        <v>92</v>
      </c>
      <c r="K1239">
        <v>0</v>
      </c>
    </row>
    <row r="1240" spans="9:11">
      <c r="I1240" t="s">
        <v>91</v>
      </c>
      <c r="J1240" t="s">
        <v>92</v>
      </c>
      <c r="K1240">
        <v>1</v>
      </c>
    </row>
    <row r="1241" spans="9:11">
      <c r="I1241" t="s">
        <v>91</v>
      </c>
      <c r="J1241" t="s">
        <v>92</v>
      </c>
      <c r="K1241">
        <v>0</v>
      </c>
    </row>
    <row r="1242" spans="9:11">
      <c r="I1242" t="s">
        <v>91</v>
      </c>
      <c r="J1242" t="s">
        <v>92</v>
      </c>
      <c r="K1242">
        <v>0</v>
      </c>
    </row>
    <row r="1243" spans="9:11">
      <c r="I1243" t="s">
        <v>94</v>
      </c>
      <c r="J1243" t="s">
        <v>95</v>
      </c>
      <c r="K1243">
        <v>0</v>
      </c>
    </row>
    <row r="1244" spans="9:11">
      <c r="I1244" t="s">
        <v>94</v>
      </c>
      <c r="J1244" t="s">
        <v>95</v>
      </c>
      <c r="K1244">
        <v>0</v>
      </c>
    </row>
    <row r="1245" spans="9:11">
      <c r="I1245" t="s">
        <v>94</v>
      </c>
      <c r="J1245" t="s">
        <v>95</v>
      </c>
      <c r="K1245">
        <v>0</v>
      </c>
    </row>
    <row r="1246" spans="9:11">
      <c r="I1246" t="s">
        <v>91</v>
      </c>
      <c r="J1246" t="s">
        <v>92</v>
      </c>
      <c r="K1246">
        <v>0</v>
      </c>
    </row>
    <row r="1247" spans="9:11">
      <c r="I1247" t="s">
        <v>94</v>
      </c>
      <c r="J1247" t="s">
        <v>95</v>
      </c>
      <c r="K1247">
        <v>0</v>
      </c>
    </row>
    <row r="1248" spans="9:11">
      <c r="I1248" t="s">
        <v>91</v>
      </c>
      <c r="J1248" t="s">
        <v>92</v>
      </c>
      <c r="K1248">
        <v>0</v>
      </c>
    </row>
    <row r="1249" spans="9:11">
      <c r="I1249" t="s">
        <v>94</v>
      </c>
      <c r="J1249" t="s">
        <v>95</v>
      </c>
      <c r="K1249">
        <v>0</v>
      </c>
    </row>
    <row r="1250" spans="9:11">
      <c r="I1250" t="s">
        <v>94</v>
      </c>
      <c r="J1250" t="s">
        <v>95</v>
      </c>
      <c r="K1250">
        <v>0</v>
      </c>
    </row>
    <row r="1251" spans="9:11">
      <c r="I1251" t="s">
        <v>94</v>
      </c>
      <c r="J1251" t="s">
        <v>95</v>
      </c>
      <c r="K1251">
        <v>0</v>
      </c>
    </row>
    <row r="1252" spans="9:11">
      <c r="I1252" t="s">
        <v>94</v>
      </c>
      <c r="J1252" t="s">
        <v>95</v>
      </c>
      <c r="K1252">
        <v>0</v>
      </c>
    </row>
    <row r="1253" spans="9:11">
      <c r="I1253" t="s">
        <v>91</v>
      </c>
      <c r="J1253" t="s">
        <v>92</v>
      </c>
      <c r="K1253">
        <v>0</v>
      </c>
    </row>
    <row r="1254" spans="9:11">
      <c r="I1254" t="s">
        <v>94</v>
      </c>
      <c r="J1254" t="s">
        <v>95</v>
      </c>
      <c r="K1254">
        <v>1</v>
      </c>
    </row>
    <row r="1255" spans="9:11">
      <c r="I1255" t="s">
        <v>94</v>
      </c>
      <c r="J1255" t="s">
        <v>95</v>
      </c>
      <c r="K1255">
        <v>0</v>
      </c>
    </row>
    <row r="1256" spans="9:11">
      <c r="I1256" t="s">
        <v>94</v>
      </c>
      <c r="J1256" t="s">
        <v>95</v>
      </c>
      <c r="K1256">
        <v>0</v>
      </c>
    </row>
    <row r="1257" spans="9:11">
      <c r="I1257" t="s">
        <v>91</v>
      </c>
      <c r="J1257" t="s">
        <v>92</v>
      </c>
      <c r="K1257">
        <v>0</v>
      </c>
    </row>
    <row r="1258" spans="9:11">
      <c r="I1258" t="s">
        <v>94</v>
      </c>
      <c r="J1258" t="s">
        <v>95</v>
      </c>
      <c r="K1258">
        <v>0</v>
      </c>
    </row>
    <row r="1259" spans="9:11">
      <c r="I1259" t="s">
        <v>94</v>
      </c>
      <c r="J1259" t="s">
        <v>95</v>
      </c>
      <c r="K1259">
        <v>0</v>
      </c>
    </row>
    <row r="1260" spans="9:11">
      <c r="I1260" t="s">
        <v>91</v>
      </c>
      <c r="J1260" t="s">
        <v>92</v>
      </c>
      <c r="K1260">
        <v>0</v>
      </c>
    </row>
    <row r="1261" spans="9:11">
      <c r="I1261" t="s">
        <v>94</v>
      </c>
      <c r="J1261" t="s">
        <v>95</v>
      </c>
      <c r="K1261">
        <v>0</v>
      </c>
    </row>
    <row r="1262" spans="9:11">
      <c r="I1262" t="s">
        <v>94</v>
      </c>
      <c r="J1262" t="s">
        <v>95</v>
      </c>
      <c r="K1262">
        <v>1</v>
      </c>
    </row>
    <row r="1263" spans="9:11">
      <c r="I1263" t="s">
        <v>91</v>
      </c>
      <c r="J1263" t="s">
        <v>92</v>
      </c>
      <c r="K1263">
        <v>0</v>
      </c>
    </row>
    <row r="1264" spans="9:11">
      <c r="I1264" t="s">
        <v>91</v>
      </c>
      <c r="J1264" t="s">
        <v>92</v>
      </c>
      <c r="K1264">
        <v>0</v>
      </c>
    </row>
    <row r="1265" spans="9:11">
      <c r="I1265" t="s">
        <v>94</v>
      </c>
      <c r="J1265" t="s">
        <v>95</v>
      </c>
      <c r="K1265">
        <v>0</v>
      </c>
    </row>
    <row r="1266" spans="9:11">
      <c r="I1266" t="s">
        <v>94</v>
      </c>
      <c r="J1266" t="s">
        <v>95</v>
      </c>
      <c r="K1266">
        <v>0</v>
      </c>
    </row>
    <row r="1267" spans="9:11">
      <c r="I1267" t="s">
        <v>94</v>
      </c>
      <c r="J1267" t="s">
        <v>95</v>
      </c>
      <c r="K1267">
        <v>0</v>
      </c>
    </row>
    <row r="1268" spans="9:11">
      <c r="I1268" t="s">
        <v>94</v>
      </c>
      <c r="J1268" t="s">
        <v>95</v>
      </c>
      <c r="K1268">
        <v>0</v>
      </c>
    </row>
    <row r="1269" spans="9:11">
      <c r="I1269" t="s">
        <v>94</v>
      </c>
      <c r="J1269" t="s">
        <v>95</v>
      </c>
      <c r="K1269">
        <v>0</v>
      </c>
    </row>
    <row r="1270" spans="9:11">
      <c r="I1270" t="s">
        <v>94</v>
      </c>
      <c r="J1270" t="s">
        <v>95</v>
      </c>
      <c r="K1270">
        <v>0</v>
      </c>
    </row>
    <row r="1271" spans="9:11">
      <c r="I1271" t="s">
        <v>94</v>
      </c>
      <c r="J1271" t="s">
        <v>95</v>
      </c>
      <c r="K1271">
        <v>0</v>
      </c>
    </row>
    <row r="1272" spans="9:11">
      <c r="I1272" t="s">
        <v>94</v>
      </c>
      <c r="J1272" t="s">
        <v>95</v>
      </c>
      <c r="K1272">
        <v>0</v>
      </c>
    </row>
    <row r="1273" spans="9:11">
      <c r="I1273" t="s">
        <v>94</v>
      </c>
      <c r="J1273" t="s">
        <v>95</v>
      </c>
      <c r="K1273">
        <v>0</v>
      </c>
    </row>
    <row r="1274" spans="9:11">
      <c r="I1274" t="s">
        <v>94</v>
      </c>
      <c r="J1274" t="s">
        <v>95</v>
      </c>
      <c r="K1274">
        <v>0</v>
      </c>
    </row>
    <row r="1275" spans="9:11">
      <c r="I1275" t="s">
        <v>94</v>
      </c>
      <c r="J1275" t="s">
        <v>95</v>
      </c>
      <c r="K1275">
        <v>0</v>
      </c>
    </row>
    <row r="1276" spans="9:11">
      <c r="I1276" t="s">
        <v>94</v>
      </c>
      <c r="J1276" t="s">
        <v>95</v>
      </c>
      <c r="K1276">
        <v>0</v>
      </c>
    </row>
    <row r="1277" spans="9:11">
      <c r="I1277" t="s">
        <v>91</v>
      </c>
      <c r="J1277" t="s">
        <v>92</v>
      </c>
      <c r="K1277">
        <v>0</v>
      </c>
    </row>
    <row r="1278" spans="9:11">
      <c r="I1278" t="s">
        <v>91</v>
      </c>
      <c r="J1278" t="s">
        <v>92</v>
      </c>
      <c r="K1278">
        <v>0</v>
      </c>
    </row>
    <row r="1279" spans="9:11">
      <c r="I1279" t="s">
        <v>94</v>
      </c>
      <c r="J1279" t="s">
        <v>95</v>
      </c>
      <c r="K1279">
        <v>0</v>
      </c>
    </row>
    <row r="1280" spans="9:11">
      <c r="I1280" t="s">
        <v>91</v>
      </c>
      <c r="J1280" t="s">
        <v>92</v>
      </c>
      <c r="K1280">
        <v>0</v>
      </c>
    </row>
    <row r="1281" spans="9:11">
      <c r="I1281" t="s">
        <v>94</v>
      </c>
      <c r="J1281" t="s">
        <v>95</v>
      </c>
      <c r="K1281">
        <v>0</v>
      </c>
    </row>
    <row r="1282" spans="9:11">
      <c r="I1282" t="s">
        <v>91</v>
      </c>
      <c r="J1282" t="s">
        <v>92</v>
      </c>
      <c r="K1282">
        <v>0</v>
      </c>
    </row>
    <row r="1283" spans="9:11">
      <c r="I1283" t="s">
        <v>91</v>
      </c>
      <c r="J1283" t="s">
        <v>92</v>
      </c>
      <c r="K1283">
        <v>0</v>
      </c>
    </row>
    <row r="1284" spans="9:11">
      <c r="I1284" t="s">
        <v>91</v>
      </c>
      <c r="J1284" t="s">
        <v>92</v>
      </c>
      <c r="K1284">
        <v>0</v>
      </c>
    </row>
    <row r="1285" spans="9:11">
      <c r="I1285" t="s">
        <v>91</v>
      </c>
      <c r="J1285" t="s">
        <v>92</v>
      </c>
      <c r="K1285">
        <v>0</v>
      </c>
    </row>
    <row r="1286" spans="9:11">
      <c r="I1286" t="s">
        <v>94</v>
      </c>
      <c r="J1286" t="s">
        <v>95</v>
      </c>
      <c r="K1286">
        <v>0</v>
      </c>
    </row>
    <row r="1287" spans="9:11">
      <c r="I1287" t="s">
        <v>91</v>
      </c>
      <c r="J1287" t="s">
        <v>92</v>
      </c>
      <c r="K1287">
        <v>0</v>
      </c>
    </row>
    <row r="1288" spans="9:11">
      <c r="I1288" t="s">
        <v>91</v>
      </c>
      <c r="J1288" t="s">
        <v>92</v>
      </c>
      <c r="K1288">
        <v>0</v>
      </c>
    </row>
    <row r="1289" spans="9:11">
      <c r="I1289" t="s">
        <v>91</v>
      </c>
      <c r="J1289" t="s">
        <v>92</v>
      </c>
      <c r="K1289">
        <v>0</v>
      </c>
    </row>
    <row r="1290" spans="9:11">
      <c r="I1290" t="s">
        <v>91</v>
      </c>
      <c r="J1290" t="s">
        <v>92</v>
      </c>
      <c r="K1290">
        <v>0</v>
      </c>
    </row>
    <row r="1291" spans="9:11">
      <c r="I1291" t="s">
        <v>94</v>
      </c>
      <c r="J1291" t="s">
        <v>95</v>
      </c>
      <c r="K1291">
        <v>0</v>
      </c>
    </row>
    <row r="1292" spans="9:11">
      <c r="I1292" t="s">
        <v>94</v>
      </c>
      <c r="J1292" t="s">
        <v>95</v>
      </c>
      <c r="K1292">
        <v>0</v>
      </c>
    </row>
    <row r="1293" spans="9:11">
      <c r="I1293" t="s">
        <v>91</v>
      </c>
      <c r="J1293" t="s">
        <v>92</v>
      </c>
      <c r="K1293">
        <v>0</v>
      </c>
    </row>
    <row r="1294" spans="9:11">
      <c r="I1294" t="s">
        <v>91</v>
      </c>
      <c r="J1294" t="s">
        <v>92</v>
      </c>
      <c r="K1294">
        <v>0</v>
      </c>
    </row>
    <row r="1295" spans="9:11">
      <c r="I1295" t="s">
        <v>91</v>
      </c>
      <c r="J1295" t="s">
        <v>92</v>
      </c>
      <c r="K1295">
        <v>0</v>
      </c>
    </row>
    <row r="1296" spans="9:11">
      <c r="I1296" t="s">
        <v>94</v>
      </c>
      <c r="J1296" t="s">
        <v>95</v>
      </c>
      <c r="K1296">
        <v>0</v>
      </c>
    </row>
    <row r="1297" spans="9:11">
      <c r="I1297" t="s">
        <v>91</v>
      </c>
      <c r="J1297" t="s">
        <v>92</v>
      </c>
      <c r="K1297">
        <v>0</v>
      </c>
    </row>
    <row r="1298" spans="9:11">
      <c r="I1298" t="s">
        <v>91</v>
      </c>
      <c r="J1298" t="s">
        <v>92</v>
      </c>
      <c r="K1298">
        <v>0</v>
      </c>
    </row>
    <row r="1299" spans="9:11">
      <c r="I1299" t="s">
        <v>94</v>
      </c>
      <c r="J1299" t="s">
        <v>95</v>
      </c>
      <c r="K1299">
        <v>0</v>
      </c>
    </row>
    <row r="1300" spans="9:11">
      <c r="I1300" t="s">
        <v>94</v>
      </c>
      <c r="J1300" t="s">
        <v>95</v>
      </c>
      <c r="K1300">
        <v>0</v>
      </c>
    </row>
    <row r="1301" spans="9:11">
      <c r="I1301" t="s">
        <v>94</v>
      </c>
      <c r="J1301" t="s">
        <v>95</v>
      </c>
      <c r="K1301">
        <v>0</v>
      </c>
    </row>
    <row r="1302" spans="9:11">
      <c r="I1302" t="s">
        <v>91</v>
      </c>
      <c r="J1302" t="s">
        <v>92</v>
      </c>
      <c r="K1302">
        <v>1</v>
      </c>
    </row>
    <row r="1303" spans="9:11">
      <c r="I1303" t="s">
        <v>94</v>
      </c>
      <c r="J1303" t="s">
        <v>95</v>
      </c>
      <c r="K1303">
        <v>0</v>
      </c>
    </row>
    <row r="1304" spans="9:11">
      <c r="I1304" t="s">
        <v>91</v>
      </c>
      <c r="J1304" t="s">
        <v>92</v>
      </c>
      <c r="K1304">
        <v>0</v>
      </c>
    </row>
    <row r="1305" spans="9:11">
      <c r="I1305" t="s">
        <v>94</v>
      </c>
      <c r="J1305" t="s">
        <v>95</v>
      </c>
      <c r="K1305">
        <v>1</v>
      </c>
    </row>
    <row r="1306" spans="9:11">
      <c r="I1306" t="s">
        <v>94</v>
      </c>
      <c r="J1306" t="s">
        <v>95</v>
      </c>
      <c r="K1306">
        <v>0</v>
      </c>
    </row>
    <row r="1307" spans="9:11">
      <c r="I1307" t="s">
        <v>94</v>
      </c>
      <c r="J1307" t="s">
        <v>95</v>
      </c>
      <c r="K1307">
        <v>0</v>
      </c>
    </row>
    <row r="1308" spans="9:11">
      <c r="I1308" t="s">
        <v>94</v>
      </c>
      <c r="J1308" t="s">
        <v>95</v>
      </c>
      <c r="K1308">
        <v>0</v>
      </c>
    </row>
    <row r="1309" spans="9:11">
      <c r="I1309" t="s">
        <v>94</v>
      </c>
      <c r="J1309" t="s">
        <v>95</v>
      </c>
      <c r="K1309">
        <v>0</v>
      </c>
    </row>
    <row r="1310" spans="9:11">
      <c r="I1310" t="s">
        <v>91</v>
      </c>
      <c r="J1310" t="s">
        <v>92</v>
      </c>
      <c r="K1310">
        <v>0</v>
      </c>
    </row>
    <row r="1311" spans="9:11">
      <c r="I1311" t="s">
        <v>91</v>
      </c>
      <c r="J1311" t="s">
        <v>92</v>
      </c>
      <c r="K1311">
        <v>0</v>
      </c>
    </row>
    <row r="1312" spans="9:11">
      <c r="I1312" t="s">
        <v>91</v>
      </c>
      <c r="J1312" t="s">
        <v>92</v>
      </c>
      <c r="K1312">
        <v>0</v>
      </c>
    </row>
    <row r="1313" spans="9:11">
      <c r="I1313" t="s">
        <v>94</v>
      </c>
      <c r="J1313" t="s">
        <v>95</v>
      </c>
      <c r="K1313">
        <v>0</v>
      </c>
    </row>
    <row r="1314" spans="9:11">
      <c r="I1314" t="s">
        <v>91</v>
      </c>
      <c r="J1314" t="s">
        <v>92</v>
      </c>
      <c r="K1314">
        <v>0</v>
      </c>
    </row>
    <row r="1315" spans="9:11">
      <c r="I1315" t="s">
        <v>94</v>
      </c>
      <c r="J1315" t="s">
        <v>95</v>
      </c>
      <c r="K1315">
        <v>0</v>
      </c>
    </row>
    <row r="1316" spans="9:11">
      <c r="I1316" t="s">
        <v>91</v>
      </c>
      <c r="J1316" t="s">
        <v>92</v>
      </c>
      <c r="K1316">
        <v>0</v>
      </c>
    </row>
    <row r="1317" spans="9:11">
      <c r="I1317" t="s">
        <v>91</v>
      </c>
      <c r="J1317" t="s">
        <v>92</v>
      </c>
      <c r="K1317">
        <v>0</v>
      </c>
    </row>
    <row r="1318" spans="9:11">
      <c r="I1318" t="s">
        <v>94</v>
      </c>
      <c r="J1318" t="s">
        <v>95</v>
      </c>
      <c r="K1318">
        <v>0</v>
      </c>
    </row>
    <row r="1319" spans="9:11">
      <c r="I1319" t="s">
        <v>94</v>
      </c>
      <c r="J1319" t="s">
        <v>95</v>
      </c>
      <c r="K1319">
        <v>0</v>
      </c>
    </row>
    <row r="1320" spans="9:11">
      <c r="I1320" t="s">
        <v>91</v>
      </c>
      <c r="J1320" t="s">
        <v>92</v>
      </c>
      <c r="K1320">
        <v>0</v>
      </c>
    </row>
    <row r="1321" spans="9:11">
      <c r="I1321" t="s">
        <v>94</v>
      </c>
      <c r="J1321" t="s">
        <v>95</v>
      </c>
      <c r="K1321">
        <v>0</v>
      </c>
    </row>
    <row r="1322" spans="9:11">
      <c r="I1322" t="s">
        <v>91</v>
      </c>
      <c r="J1322" t="s">
        <v>92</v>
      </c>
      <c r="K1322">
        <v>1</v>
      </c>
    </row>
    <row r="1323" spans="9:11">
      <c r="I1323" t="s">
        <v>94</v>
      </c>
      <c r="J1323" t="s">
        <v>95</v>
      </c>
      <c r="K1323">
        <v>0</v>
      </c>
    </row>
    <row r="1324" spans="9:11">
      <c r="I1324" t="s">
        <v>94</v>
      </c>
      <c r="J1324" t="s">
        <v>95</v>
      </c>
      <c r="K1324">
        <v>0</v>
      </c>
    </row>
    <row r="1325" spans="9:11">
      <c r="I1325" t="s">
        <v>94</v>
      </c>
      <c r="J1325" t="s">
        <v>95</v>
      </c>
      <c r="K1325">
        <v>0</v>
      </c>
    </row>
    <row r="1326" spans="9:11">
      <c r="I1326" t="s">
        <v>94</v>
      </c>
      <c r="J1326" t="s">
        <v>95</v>
      </c>
      <c r="K1326">
        <v>0</v>
      </c>
    </row>
    <row r="1327" spans="9:11">
      <c r="I1327" t="s">
        <v>94</v>
      </c>
      <c r="J1327" t="s">
        <v>95</v>
      </c>
      <c r="K1327">
        <v>0</v>
      </c>
    </row>
    <row r="1328" spans="9:11">
      <c r="I1328" t="s">
        <v>91</v>
      </c>
      <c r="J1328" t="s">
        <v>92</v>
      </c>
      <c r="K1328">
        <v>0</v>
      </c>
    </row>
    <row r="1329" spans="9:11">
      <c r="I1329" t="s">
        <v>91</v>
      </c>
      <c r="J1329" t="s">
        <v>92</v>
      </c>
      <c r="K1329">
        <v>0</v>
      </c>
    </row>
    <row r="1330" spans="9:11">
      <c r="I1330" t="s">
        <v>91</v>
      </c>
      <c r="J1330" t="s">
        <v>92</v>
      </c>
      <c r="K1330">
        <v>0</v>
      </c>
    </row>
    <row r="1331" spans="9:11">
      <c r="I1331" t="s">
        <v>91</v>
      </c>
      <c r="J1331" t="s">
        <v>92</v>
      </c>
      <c r="K1331">
        <v>0</v>
      </c>
    </row>
    <row r="1332" spans="9:11">
      <c r="I1332" t="s">
        <v>94</v>
      </c>
      <c r="J1332" t="s">
        <v>95</v>
      </c>
      <c r="K1332">
        <v>0</v>
      </c>
    </row>
    <row r="1333" spans="9:11">
      <c r="I1333" t="s">
        <v>91</v>
      </c>
      <c r="J1333" t="s">
        <v>92</v>
      </c>
      <c r="K1333">
        <v>0</v>
      </c>
    </row>
    <row r="1334" spans="9:11">
      <c r="I1334" t="s">
        <v>91</v>
      </c>
      <c r="J1334" t="s">
        <v>92</v>
      </c>
      <c r="K1334">
        <v>0</v>
      </c>
    </row>
    <row r="1335" spans="9:11">
      <c r="I1335" t="s">
        <v>94</v>
      </c>
      <c r="J1335" t="s">
        <v>95</v>
      </c>
      <c r="K1335">
        <v>0</v>
      </c>
    </row>
    <row r="1336" spans="9:11">
      <c r="I1336" t="s">
        <v>94</v>
      </c>
      <c r="J1336" t="s">
        <v>95</v>
      </c>
      <c r="K1336">
        <v>0</v>
      </c>
    </row>
    <row r="1337" spans="9:11">
      <c r="I1337" t="s">
        <v>94</v>
      </c>
      <c r="J1337" t="s">
        <v>95</v>
      </c>
      <c r="K1337">
        <v>0</v>
      </c>
    </row>
    <row r="1338" spans="9:11">
      <c r="I1338" t="s">
        <v>94</v>
      </c>
      <c r="J1338" t="s">
        <v>95</v>
      </c>
      <c r="K1338">
        <v>0</v>
      </c>
    </row>
    <row r="1339" spans="9:11">
      <c r="I1339" t="s">
        <v>91</v>
      </c>
      <c r="J1339" t="s">
        <v>92</v>
      </c>
      <c r="K1339">
        <v>0</v>
      </c>
    </row>
    <row r="1340" spans="9:11">
      <c r="I1340" t="s">
        <v>94</v>
      </c>
      <c r="J1340" t="s">
        <v>95</v>
      </c>
      <c r="K1340">
        <v>0</v>
      </c>
    </row>
    <row r="1341" spans="9:11">
      <c r="I1341" t="s">
        <v>91</v>
      </c>
      <c r="J1341" t="s">
        <v>92</v>
      </c>
      <c r="K1341">
        <v>0</v>
      </c>
    </row>
    <row r="1342" spans="9:11">
      <c r="I1342" t="s">
        <v>91</v>
      </c>
      <c r="J1342" t="s">
        <v>92</v>
      </c>
      <c r="K1342">
        <v>0</v>
      </c>
    </row>
    <row r="1343" spans="9:11">
      <c r="I1343" t="s">
        <v>94</v>
      </c>
      <c r="J1343" t="s">
        <v>95</v>
      </c>
      <c r="K1343">
        <v>0</v>
      </c>
    </row>
    <row r="1344" spans="9:11">
      <c r="I1344" t="s">
        <v>91</v>
      </c>
      <c r="J1344" t="s">
        <v>92</v>
      </c>
      <c r="K1344">
        <v>0</v>
      </c>
    </row>
    <row r="1345" spans="9:11">
      <c r="I1345" t="s">
        <v>94</v>
      </c>
      <c r="J1345" t="s">
        <v>95</v>
      </c>
      <c r="K1345">
        <v>0</v>
      </c>
    </row>
    <row r="1346" spans="9:11">
      <c r="I1346" t="s">
        <v>91</v>
      </c>
      <c r="J1346" t="s">
        <v>92</v>
      </c>
      <c r="K1346">
        <v>0</v>
      </c>
    </row>
    <row r="1347" spans="9:11">
      <c r="I1347" t="s">
        <v>94</v>
      </c>
      <c r="J1347" t="s">
        <v>95</v>
      </c>
      <c r="K1347">
        <v>0</v>
      </c>
    </row>
    <row r="1348" spans="9:11">
      <c r="I1348" t="s">
        <v>91</v>
      </c>
      <c r="J1348" t="s">
        <v>92</v>
      </c>
      <c r="K1348">
        <v>0</v>
      </c>
    </row>
    <row r="1349" spans="9:11">
      <c r="I1349" t="s">
        <v>94</v>
      </c>
      <c r="J1349" t="s">
        <v>95</v>
      </c>
      <c r="K1349">
        <v>0</v>
      </c>
    </row>
    <row r="1350" spans="9:11">
      <c r="I1350" t="s">
        <v>94</v>
      </c>
      <c r="J1350" t="s">
        <v>95</v>
      </c>
      <c r="K1350">
        <v>0</v>
      </c>
    </row>
    <row r="1351" spans="9:11">
      <c r="I1351" t="s">
        <v>94</v>
      </c>
      <c r="J1351" t="s">
        <v>95</v>
      </c>
      <c r="K1351">
        <v>0</v>
      </c>
    </row>
    <row r="1352" spans="9:11">
      <c r="I1352" t="s">
        <v>94</v>
      </c>
      <c r="J1352" t="s">
        <v>95</v>
      </c>
      <c r="K1352">
        <v>0</v>
      </c>
    </row>
    <row r="1353" spans="9:11">
      <c r="I1353" t="s">
        <v>91</v>
      </c>
      <c r="J1353" t="s">
        <v>92</v>
      </c>
      <c r="K1353">
        <v>0</v>
      </c>
    </row>
    <row r="1354" spans="9:11">
      <c r="I1354" t="s">
        <v>91</v>
      </c>
      <c r="J1354" t="s">
        <v>92</v>
      </c>
      <c r="K1354">
        <v>0</v>
      </c>
    </row>
    <row r="1355" spans="9:11">
      <c r="I1355" t="s">
        <v>94</v>
      </c>
      <c r="J1355" t="s">
        <v>95</v>
      </c>
      <c r="K1355">
        <v>0</v>
      </c>
    </row>
    <row r="1356" spans="9:11">
      <c r="I1356" t="s">
        <v>94</v>
      </c>
      <c r="J1356" t="s">
        <v>95</v>
      </c>
      <c r="K1356">
        <v>0</v>
      </c>
    </row>
    <row r="1357" spans="9:11">
      <c r="I1357" t="s">
        <v>94</v>
      </c>
      <c r="J1357" t="s">
        <v>95</v>
      </c>
      <c r="K1357">
        <v>0</v>
      </c>
    </row>
    <row r="1358" spans="9:11">
      <c r="I1358" t="s">
        <v>91</v>
      </c>
      <c r="J1358" t="s">
        <v>92</v>
      </c>
      <c r="K1358">
        <v>0</v>
      </c>
    </row>
    <row r="1359" spans="9:11">
      <c r="I1359" t="s">
        <v>91</v>
      </c>
      <c r="J1359" t="s">
        <v>92</v>
      </c>
      <c r="K1359">
        <v>0</v>
      </c>
    </row>
    <row r="1360" spans="9:11">
      <c r="I1360" t="s">
        <v>94</v>
      </c>
      <c r="J1360" t="s">
        <v>95</v>
      </c>
      <c r="K1360">
        <v>0</v>
      </c>
    </row>
    <row r="1361" spans="9:11">
      <c r="I1361" t="s">
        <v>91</v>
      </c>
      <c r="J1361" t="s">
        <v>92</v>
      </c>
      <c r="K1361">
        <v>0</v>
      </c>
    </row>
    <row r="1362" spans="9:11">
      <c r="I1362" t="s">
        <v>94</v>
      </c>
      <c r="J1362" t="s">
        <v>95</v>
      </c>
      <c r="K1362">
        <v>0</v>
      </c>
    </row>
    <row r="1363" spans="9:11">
      <c r="I1363" t="s">
        <v>94</v>
      </c>
      <c r="J1363" t="s">
        <v>95</v>
      </c>
      <c r="K1363">
        <v>0</v>
      </c>
    </row>
    <row r="1364" spans="9:11">
      <c r="I1364" t="s">
        <v>91</v>
      </c>
      <c r="J1364" t="s">
        <v>92</v>
      </c>
      <c r="K1364">
        <v>0</v>
      </c>
    </row>
    <row r="1365" spans="9:11">
      <c r="I1365" t="s">
        <v>94</v>
      </c>
      <c r="J1365" t="s">
        <v>95</v>
      </c>
      <c r="K1365">
        <v>0</v>
      </c>
    </row>
    <row r="1366" spans="9:11">
      <c r="I1366" t="s">
        <v>91</v>
      </c>
      <c r="J1366" t="s">
        <v>92</v>
      </c>
      <c r="K1366">
        <v>0</v>
      </c>
    </row>
    <row r="1367" spans="9:11">
      <c r="I1367" t="s">
        <v>91</v>
      </c>
      <c r="J1367" t="s">
        <v>92</v>
      </c>
      <c r="K1367">
        <v>0</v>
      </c>
    </row>
    <row r="1368" spans="9:11">
      <c r="I1368" t="s">
        <v>94</v>
      </c>
      <c r="J1368" t="s">
        <v>95</v>
      </c>
      <c r="K1368">
        <v>1</v>
      </c>
    </row>
    <row r="1369" spans="9:11">
      <c r="I1369" t="s">
        <v>91</v>
      </c>
      <c r="J1369" t="s">
        <v>92</v>
      </c>
      <c r="K1369">
        <v>0</v>
      </c>
    </row>
    <row r="1370" spans="9:11">
      <c r="I1370" t="s">
        <v>91</v>
      </c>
      <c r="J1370" t="s">
        <v>92</v>
      </c>
      <c r="K1370">
        <v>0</v>
      </c>
    </row>
    <row r="1371" spans="9:11">
      <c r="I1371" t="s">
        <v>94</v>
      </c>
      <c r="J1371" t="s">
        <v>95</v>
      </c>
      <c r="K1371">
        <v>0</v>
      </c>
    </row>
    <row r="1372" spans="9:11">
      <c r="I1372" t="s">
        <v>94</v>
      </c>
      <c r="J1372" t="s">
        <v>95</v>
      </c>
      <c r="K1372">
        <v>0</v>
      </c>
    </row>
    <row r="1373" spans="9:11">
      <c r="I1373" t="s">
        <v>91</v>
      </c>
      <c r="J1373" t="s">
        <v>92</v>
      </c>
      <c r="K1373">
        <v>0</v>
      </c>
    </row>
    <row r="1374" spans="9:11">
      <c r="I1374" t="s">
        <v>94</v>
      </c>
      <c r="J1374" t="s">
        <v>95</v>
      </c>
      <c r="K1374">
        <v>1</v>
      </c>
    </row>
    <row r="1375" spans="9:11">
      <c r="I1375" t="s">
        <v>91</v>
      </c>
      <c r="J1375" t="s">
        <v>92</v>
      </c>
      <c r="K1375">
        <v>0</v>
      </c>
    </row>
    <row r="1376" spans="9:11">
      <c r="I1376" t="s">
        <v>91</v>
      </c>
      <c r="J1376" t="s">
        <v>92</v>
      </c>
      <c r="K1376">
        <v>0</v>
      </c>
    </row>
    <row r="1377" spans="9:11">
      <c r="I1377" t="s">
        <v>94</v>
      </c>
      <c r="J1377" t="s">
        <v>95</v>
      </c>
      <c r="K1377">
        <v>0</v>
      </c>
    </row>
    <row r="1378" spans="9:11">
      <c r="I1378" t="s">
        <v>94</v>
      </c>
      <c r="J1378" t="s">
        <v>95</v>
      </c>
      <c r="K1378">
        <v>0</v>
      </c>
    </row>
    <row r="1379" spans="9:11">
      <c r="I1379" t="s">
        <v>94</v>
      </c>
      <c r="J1379" t="s">
        <v>95</v>
      </c>
      <c r="K1379">
        <v>0</v>
      </c>
    </row>
    <row r="1380" spans="9:11">
      <c r="I1380" t="s">
        <v>91</v>
      </c>
      <c r="J1380" t="s">
        <v>92</v>
      </c>
      <c r="K1380">
        <v>0</v>
      </c>
    </row>
    <row r="1381" spans="9:11">
      <c r="I1381" t="s">
        <v>94</v>
      </c>
      <c r="J1381" t="s">
        <v>95</v>
      </c>
      <c r="K1381">
        <v>0</v>
      </c>
    </row>
    <row r="1382" spans="9:11">
      <c r="I1382" t="s">
        <v>94</v>
      </c>
      <c r="J1382" t="s">
        <v>95</v>
      </c>
      <c r="K1382">
        <v>0</v>
      </c>
    </row>
    <row r="1383" spans="9:11">
      <c r="I1383" t="s">
        <v>91</v>
      </c>
      <c r="J1383" t="s">
        <v>92</v>
      </c>
      <c r="K1383">
        <v>0</v>
      </c>
    </row>
    <row r="1384" spans="9:11">
      <c r="I1384" t="s">
        <v>94</v>
      </c>
      <c r="J1384" t="s">
        <v>95</v>
      </c>
      <c r="K1384">
        <v>0</v>
      </c>
    </row>
    <row r="1385" spans="9:11">
      <c r="I1385" t="s">
        <v>91</v>
      </c>
      <c r="J1385" t="s">
        <v>92</v>
      </c>
      <c r="K1385">
        <v>0</v>
      </c>
    </row>
    <row r="1386" spans="9:11">
      <c r="I1386" t="s">
        <v>94</v>
      </c>
      <c r="J1386" t="s">
        <v>95</v>
      </c>
      <c r="K1386">
        <v>0</v>
      </c>
    </row>
    <row r="1387" spans="9:11">
      <c r="I1387" t="s">
        <v>94</v>
      </c>
      <c r="J1387" t="s">
        <v>95</v>
      </c>
      <c r="K1387">
        <v>0</v>
      </c>
    </row>
    <row r="1388" spans="9:11">
      <c r="I1388" t="s">
        <v>94</v>
      </c>
      <c r="J1388" t="s">
        <v>95</v>
      </c>
      <c r="K1388">
        <v>0</v>
      </c>
    </row>
    <row r="1389" spans="9:11">
      <c r="I1389" t="s">
        <v>91</v>
      </c>
      <c r="J1389" t="s">
        <v>92</v>
      </c>
      <c r="K1389">
        <v>0</v>
      </c>
    </row>
    <row r="1390" spans="9:11">
      <c r="I1390" t="s">
        <v>94</v>
      </c>
      <c r="J1390" t="s">
        <v>95</v>
      </c>
      <c r="K1390">
        <v>0</v>
      </c>
    </row>
    <row r="1391" spans="9:11">
      <c r="I1391" t="s">
        <v>91</v>
      </c>
      <c r="J1391" t="s">
        <v>92</v>
      </c>
      <c r="K1391">
        <v>0</v>
      </c>
    </row>
    <row r="1392" spans="9:11">
      <c r="I1392" t="s">
        <v>91</v>
      </c>
      <c r="J1392" t="s">
        <v>92</v>
      </c>
      <c r="K1392">
        <v>0</v>
      </c>
    </row>
    <row r="1393" spans="9:11">
      <c r="I1393" t="s">
        <v>94</v>
      </c>
      <c r="J1393" t="s">
        <v>95</v>
      </c>
      <c r="K1393">
        <v>0</v>
      </c>
    </row>
    <row r="1394" spans="9:11">
      <c r="I1394" t="s">
        <v>91</v>
      </c>
      <c r="J1394" t="s">
        <v>92</v>
      </c>
      <c r="K1394">
        <v>0</v>
      </c>
    </row>
    <row r="1395" spans="9:11">
      <c r="I1395" t="s">
        <v>94</v>
      </c>
      <c r="J1395" t="s">
        <v>95</v>
      </c>
      <c r="K1395">
        <v>0</v>
      </c>
    </row>
    <row r="1396" spans="9:11">
      <c r="I1396" t="s">
        <v>91</v>
      </c>
      <c r="J1396" t="s">
        <v>92</v>
      </c>
      <c r="K1396">
        <v>0</v>
      </c>
    </row>
    <row r="1397" spans="9:11">
      <c r="I1397" t="s">
        <v>91</v>
      </c>
      <c r="J1397" t="s">
        <v>92</v>
      </c>
      <c r="K1397">
        <v>0</v>
      </c>
    </row>
    <row r="1398" spans="9:11">
      <c r="I1398" t="s">
        <v>94</v>
      </c>
      <c r="J1398" t="s">
        <v>95</v>
      </c>
      <c r="K1398">
        <v>0</v>
      </c>
    </row>
    <row r="1399" spans="9:11">
      <c r="I1399" t="s">
        <v>94</v>
      </c>
      <c r="J1399" t="s">
        <v>95</v>
      </c>
      <c r="K1399">
        <v>0</v>
      </c>
    </row>
    <row r="1400" spans="9:11">
      <c r="I1400" t="s">
        <v>94</v>
      </c>
      <c r="J1400" t="s">
        <v>95</v>
      </c>
      <c r="K1400">
        <v>0</v>
      </c>
    </row>
    <row r="1401" spans="9:11">
      <c r="I1401" t="s">
        <v>91</v>
      </c>
      <c r="J1401" t="s">
        <v>92</v>
      </c>
      <c r="K1401">
        <v>0</v>
      </c>
    </row>
    <row r="1402" spans="9:11">
      <c r="I1402" t="s">
        <v>94</v>
      </c>
      <c r="J1402" t="s">
        <v>95</v>
      </c>
      <c r="K1402">
        <v>0</v>
      </c>
    </row>
    <row r="1403" spans="9:11">
      <c r="I1403" t="s">
        <v>94</v>
      </c>
      <c r="J1403" t="s">
        <v>95</v>
      </c>
      <c r="K1403">
        <v>0</v>
      </c>
    </row>
    <row r="1404" spans="9:11">
      <c r="I1404" t="s">
        <v>94</v>
      </c>
      <c r="J1404" t="s">
        <v>95</v>
      </c>
      <c r="K1404">
        <v>1</v>
      </c>
    </row>
    <row r="1405" spans="9:11">
      <c r="I1405" t="s">
        <v>94</v>
      </c>
      <c r="J1405" t="s">
        <v>95</v>
      </c>
      <c r="K1405">
        <v>0</v>
      </c>
    </row>
    <row r="1406" spans="9:11">
      <c r="I1406" t="s">
        <v>91</v>
      </c>
      <c r="J1406" t="s">
        <v>92</v>
      </c>
      <c r="K1406">
        <v>0</v>
      </c>
    </row>
    <row r="1407" spans="9:11">
      <c r="I1407" t="s">
        <v>94</v>
      </c>
      <c r="J1407" t="s">
        <v>95</v>
      </c>
      <c r="K1407">
        <v>0</v>
      </c>
    </row>
    <row r="1408" spans="9:11">
      <c r="I1408" t="s">
        <v>91</v>
      </c>
      <c r="J1408" t="s">
        <v>92</v>
      </c>
      <c r="K1408">
        <v>0</v>
      </c>
    </row>
    <row r="1409" spans="9:11">
      <c r="I1409" t="s">
        <v>91</v>
      </c>
      <c r="J1409" t="s">
        <v>92</v>
      </c>
      <c r="K1409">
        <v>0</v>
      </c>
    </row>
    <row r="1410" spans="9:11">
      <c r="I1410" t="s">
        <v>94</v>
      </c>
      <c r="J1410" t="s">
        <v>95</v>
      </c>
      <c r="K1410">
        <v>0</v>
      </c>
    </row>
    <row r="1411" spans="9:11">
      <c r="I1411" t="s">
        <v>91</v>
      </c>
      <c r="J1411" t="s">
        <v>92</v>
      </c>
      <c r="K1411">
        <v>0</v>
      </c>
    </row>
    <row r="1412" spans="9:11">
      <c r="I1412" t="s">
        <v>94</v>
      </c>
      <c r="J1412" t="s">
        <v>95</v>
      </c>
      <c r="K1412">
        <v>0</v>
      </c>
    </row>
    <row r="1413" spans="9:11">
      <c r="I1413" t="s">
        <v>94</v>
      </c>
      <c r="J1413" t="s">
        <v>95</v>
      </c>
      <c r="K1413">
        <v>0</v>
      </c>
    </row>
    <row r="1414" spans="9:11">
      <c r="I1414" t="s">
        <v>91</v>
      </c>
      <c r="J1414" t="s">
        <v>92</v>
      </c>
      <c r="K1414">
        <v>0</v>
      </c>
    </row>
    <row r="1415" spans="9:11">
      <c r="I1415" t="s">
        <v>94</v>
      </c>
      <c r="J1415" t="s">
        <v>95</v>
      </c>
      <c r="K1415">
        <v>0</v>
      </c>
    </row>
    <row r="1416" spans="9:11">
      <c r="I1416" t="s">
        <v>91</v>
      </c>
      <c r="J1416" t="s">
        <v>92</v>
      </c>
      <c r="K1416">
        <v>0</v>
      </c>
    </row>
    <row r="1417" spans="9:11">
      <c r="I1417" t="s">
        <v>91</v>
      </c>
      <c r="J1417" t="s">
        <v>92</v>
      </c>
      <c r="K1417">
        <v>0</v>
      </c>
    </row>
    <row r="1418" spans="9:11">
      <c r="I1418" t="s">
        <v>91</v>
      </c>
      <c r="J1418" t="s">
        <v>92</v>
      </c>
      <c r="K1418">
        <v>0</v>
      </c>
    </row>
    <row r="1419" spans="9:11">
      <c r="I1419" t="s">
        <v>94</v>
      </c>
      <c r="J1419" t="s">
        <v>95</v>
      </c>
      <c r="K1419">
        <v>0</v>
      </c>
    </row>
    <row r="1420" spans="9:11">
      <c r="I1420" t="s">
        <v>91</v>
      </c>
      <c r="J1420" t="s">
        <v>92</v>
      </c>
      <c r="K1420">
        <v>0</v>
      </c>
    </row>
    <row r="1421" spans="9:11">
      <c r="I1421" t="s">
        <v>91</v>
      </c>
      <c r="J1421" t="s">
        <v>92</v>
      </c>
      <c r="K1421">
        <v>1</v>
      </c>
    </row>
    <row r="1422" spans="9:11">
      <c r="I1422" t="s">
        <v>94</v>
      </c>
      <c r="J1422" t="s">
        <v>95</v>
      </c>
      <c r="K1422">
        <v>0</v>
      </c>
    </row>
    <row r="1423" spans="9:11">
      <c r="I1423" t="s">
        <v>91</v>
      </c>
      <c r="J1423" t="s">
        <v>92</v>
      </c>
      <c r="K1423">
        <v>0</v>
      </c>
    </row>
    <row r="1424" spans="9:11">
      <c r="I1424" t="s">
        <v>91</v>
      </c>
      <c r="J1424" t="s">
        <v>92</v>
      </c>
      <c r="K1424">
        <v>0</v>
      </c>
    </row>
    <row r="1425" spans="9:11">
      <c r="I1425" t="s">
        <v>91</v>
      </c>
      <c r="J1425" t="s">
        <v>92</v>
      </c>
      <c r="K1425">
        <v>0</v>
      </c>
    </row>
    <row r="1426" spans="9:11">
      <c r="I1426" t="s">
        <v>94</v>
      </c>
      <c r="J1426" t="s">
        <v>95</v>
      </c>
      <c r="K1426">
        <v>0</v>
      </c>
    </row>
    <row r="1427" spans="9:11">
      <c r="I1427" t="s">
        <v>94</v>
      </c>
      <c r="J1427" t="s">
        <v>95</v>
      </c>
      <c r="K1427">
        <v>0</v>
      </c>
    </row>
    <row r="1428" spans="9:11">
      <c r="I1428" t="s">
        <v>91</v>
      </c>
      <c r="J1428" t="s">
        <v>92</v>
      </c>
      <c r="K1428">
        <v>0</v>
      </c>
    </row>
    <row r="1429" spans="9:11">
      <c r="I1429" t="s">
        <v>94</v>
      </c>
      <c r="J1429" t="s">
        <v>95</v>
      </c>
      <c r="K1429">
        <v>0</v>
      </c>
    </row>
    <row r="1430" spans="9:11">
      <c r="I1430" t="s">
        <v>94</v>
      </c>
      <c r="J1430" t="s">
        <v>95</v>
      </c>
      <c r="K1430">
        <v>0</v>
      </c>
    </row>
    <row r="1431" spans="9:11">
      <c r="I1431" t="s">
        <v>94</v>
      </c>
      <c r="J1431" t="s">
        <v>95</v>
      </c>
      <c r="K1431">
        <v>0</v>
      </c>
    </row>
    <row r="1432" spans="9:11">
      <c r="I1432" t="s">
        <v>94</v>
      </c>
      <c r="J1432" t="s">
        <v>95</v>
      </c>
      <c r="K1432">
        <v>0</v>
      </c>
    </row>
    <row r="1433" spans="9:11">
      <c r="I1433" t="s">
        <v>94</v>
      </c>
      <c r="J1433" t="s">
        <v>95</v>
      </c>
      <c r="K1433">
        <v>0</v>
      </c>
    </row>
    <row r="1434" spans="9:11">
      <c r="I1434" t="s">
        <v>91</v>
      </c>
      <c r="J1434" t="s">
        <v>92</v>
      </c>
      <c r="K1434">
        <v>0</v>
      </c>
    </row>
    <row r="1435" spans="9:11">
      <c r="I1435" t="s">
        <v>94</v>
      </c>
      <c r="J1435" t="s">
        <v>95</v>
      </c>
      <c r="K1435">
        <v>0</v>
      </c>
    </row>
    <row r="1436" spans="9:11">
      <c r="I1436" t="s">
        <v>94</v>
      </c>
      <c r="J1436" t="s">
        <v>95</v>
      </c>
      <c r="K1436">
        <v>0</v>
      </c>
    </row>
    <row r="1437" spans="9:11">
      <c r="I1437" t="s">
        <v>91</v>
      </c>
      <c r="J1437" t="s">
        <v>92</v>
      </c>
      <c r="K1437">
        <v>0</v>
      </c>
    </row>
    <row r="1438" spans="9:11">
      <c r="I1438" t="s">
        <v>94</v>
      </c>
      <c r="J1438" t="s">
        <v>95</v>
      </c>
      <c r="K1438">
        <v>0</v>
      </c>
    </row>
    <row r="1439" spans="9:11">
      <c r="I1439" t="s">
        <v>94</v>
      </c>
      <c r="J1439" t="s">
        <v>95</v>
      </c>
      <c r="K1439">
        <v>0</v>
      </c>
    </row>
    <row r="1440" spans="9:11">
      <c r="I1440" t="s">
        <v>94</v>
      </c>
      <c r="J1440" t="s">
        <v>95</v>
      </c>
      <c r="K1440">
        <v>0</v>
      </c>
    </row>
    <row r="1441" spans="9:11">
      <c r="I1441" t="s">
        <v>94</v>
      </c>
      <c r="J1441" t="s">
        <v>95</v>
      </c>
      <c r="K1441">
        <v>0</v>
      </c>
    </row>
    <row r="1442" spans="9:11">
      <c r="I1442" t="s">
        <v>91</v>
      </c>
      <c r="J1442" t="s">
        <v>92</v>
      </c>
      <c r="K1442">
        <v>0</v>
      </c>
    </row>
    <row r="1443" spans="9:11">
      <c r="I1443" t="s">
        <v>94</v>
      </c>
      <c r="J1443" t="s">
        <v>95</v>
      </c>
      <c r="K1443">
        <v>0</v>
      </c>
    </row>
    <row r="1444" spans="9:11">
      <c r="I1444" t="s">
        <v>94</v>
      </c>
      <c r="J1444" t="s">
        <v>95</v>
      </c>
      <c r="K1444">
        <v>0</v>
      </c>
    </row>
    <row r="1445" spans="9:11">
      <c r="I1445" t="s">
        <v>91</v>
      </c>
      <c r="J1445" t="s">
        <v>92</v>
      </c>
      <c r="K1445">
        <v>0</v>
      </c>
    </row>
    <row r="1446" spans="9:11">
      <c r="I1446" t="s">
        <v>91</v>
      </c>
      <c r="J1446" t="s">
        <v>92</v>
      </c>
      <c r="K1446">
        <v>0</v>
      </c>
    </row>
    <row r="1447" spans="9:11">
      <c r="I1447" t="s">
        <v>94</v>
      </c>
      <c r="J1447" t="s">
        <v>95</v>
      </c>
      <c r="K1447">
        <v>0</v>
      </c>
    </row>
    <row r="1448" spans="9:11">
      <c r="I1448" t="s">
        <v>94</v>
      </c>
      <c r="J1448" t="s">
        <v>95</v>
      </c>
      <c r="K1448">
        <v>0</v>
      </c>
    </row>
    <row r="1449" spans="9:11">
      <c r="I1449" t="s">
        <v>94</v>
      </c>
      <c r="J1449" t="s">
        <v>95</v>
      </c>
      <c r="K1449">
        <v>0</v>
      </c>
    </row>
    <row r="1450" spans="9:11">
      <c r="I1450" t="s">
        <v>91</v>
      </c>
      <c r="J1450" t="s">
        <v>92</v>
      </c>
      <c r="K1450">
        <v>0</v>
      </c>
    </row>
    <row r="1451" spans="9:11">
      <c r="I1451" t="s">
        <v>91</v>
      </c>
      <c r="J1451" t="s">
        <v>92</v>
      </c>
      <c r="K1451">
        <v>0</v>
      </c>
    </row>
    <row r="1452" spans="9:11">
      <c r="I1452" t="s">
        <v>91</v>
      </c>
      <c r="J1452" t="s">
        <v>92</v>
      </c>
      <c r="K1452">
        <v>0</v>
      </c>
    </row>
    <row r="1453" spans="9:11">
      <c r="I1453" t="s">
        <v>94</v>
      </c>
      <c r="J1453" t="s">
        <v>95</v>
      </c>
      <c r="K1453">
        <v>0</v>
      </c>
    </row>
    <row r="1454" spans="9:11">
      <c r="I1454" t="s">
        <v>94</v>
      </c>
      <c r="J1454" t="s">
        <v>95</v>
      </c>
      <c r="K1454">
        <v>0</v>
      </c>
    </row>
    <row r="1455" spans="9:11">
      <c r="I1455" t="s">
        <v>94</v>
      </c>
      <c r="J1455" t="s">
        <v>95</v>
      </c>
      <c r="K1455">
        <v>0</v>
      </c>
    </row>
    <row r="1456" spans="9:11">
      <c r="I1456" t="s">
        <v>91</v>
      </c>
      <c r="J1456" t="s">
        <v>92</v>
      </c>
      <c r="K1456">
        <v>0</v>
      </c>
    </row>
    <row r="1457" spans="9:11">
      <c r="I1457" t="s">
        <v>91</v>
      </c>
      <c r="J1457" t="s">
        <v>92</v>
      </c>
      <c r="K1457">
        <v>0</v>
      </c>
    </row>
    <row r="1458" spans="9:11">
      <c r="I1458" t="s">
        <v>91</v>
      </c>
      <c r="J1458" t="s">
        <v>92</v>
      </c>
      <c r="K1458">
        <v>0</v>
      </c>
    </row>
    <row r="1459" spans="9:11">
      <c r="I1459" t="s">
        <v>94</v>
      </c>
      <c r="J1459" t="s">
        <v>95</v>
      </c>
      <c r="K1459">
        <v>0</v>
      </c>
    </row>
    <row r="1460" spans="9:11">
      <c r="I1460" t="s">
        <v>94</v>
      </c>
      <c r="J1460" t="s">
        <v>95</v>
      </c>
      <c r="K1460">
        <v>0</v>
      </c>
    </row>
    <row r="1461" spans="9:11">
      <c r="I1461" t="s">
        <v>91</v>
      </c>
      <c r="J1461" t="s">
        <v>92</v>
      </c>
      <c r="K1461">
        <v>0</v>
      </c>
    </row>
    <row r="1462" spans="9:11">
      <c r="I1462" t="s">
        <v>91</v>
      </c>
      <c r="J1462" t="s">
        <v>92</v>
      </c>
      <c r="K1462">
        <v>0</v>
      </c>
    </row>
    <row r="1463" spans="9:11">
      <c r="I1463" t="s">
        <v>94</v>
      </c>
      <c r="J1463" t="s">
        <v>95</v>
      </c>
      <c r="K1463">
        <v>0</v>
      </c>
    </row>
    <row r="1464" spans="9:11">
      <c r="I1464" t="s">
        <v>91</v>
      </c>
      <c r="J1464" t="s">
        <v>92</v>
      </c>
      <c r="K1464">
        <v>0</v>
      </c>
    </row>
    <row r="1465" spans="9:11">
      <c r="I1465" t="s">
        <v>91</v>
      </c>
      <c r="J1465" t="s">
        <v>92</v>
      </c>
      <c r="K1465">
        <v>0</v>
      </c>
    </row>
    <row r="1466" spans="9:11">
      <c r="I1466" t="s">
        <v>91</v>
      </c>
      <c r="J1466" t="s">
        <v>92</v>
      </c>
      <c r="K1466">
        <v>0</v>
      </c>
    </row>
    <row r="1467" spans="9:11">
      <c r="I1467" t="s">
        <v>91</v>
      </c>
      <c r="J1467" t="s">
        <v>92</v>
      </c>
      <c r="K1467">
        <v>0</v>
      </c>
    </row>
    <row r="1468" spans="9:11">
      <c r="I1468" t="s">
        <v>94</v>
      </c>
      <c r="J1468" t="s">
        <v>95</v>
      </c>
      <c r="K1468">
        <v>0</v>
      </c>
    </row>
    <row r="1469" spans="9:11">
      <c r="I1469" t="s">
        <v>91</v>
      </c>
      <c r="J1469" t="s">
        <v>92</v>
      </c>
      <c r="K1469">
        <v>1</v>
      </c>
    </row>
    <row r="1470" spans="9:11">
      <c r="I1470" t="s">
        <v>91</v>
      </c>
      <c r="J1470" t="s">
        <v>92</v>
      </c>
      <c r="K1470">
        <v>0</v>
      </c>
    </row>
    <row r="1471" spans="9:11">
      <c r="I1471" t="s">
        <v>94</v>
      </c>
      <c r="J1471" t="s">
        <v>95</v>
      </c>
      <c r="K1471">
        <v>0</v>
      </c>
    </row>
    <row r="1472" spans="9:11">
      <c r="I1472" t="s">
        <v>91</v>
      </c>
      <c r="J1472" t="s">
        <v>92</v>
      </c>
      <c r="K1472">
        <v>0</v>
      </c>
    </row>
    <row r="1473" spans="9:11">
      <c r="I1473" t="s">
        <v>91</v>
      </c>
      <c r="J1473" t="s">
        <v>92</v>
      </c>
      <c r="K1473">
        <v>0</v>
      </c>
    </row>
    <row r="1474" spans="9:11">
      <c r="I1474" t="s">
        <v>94</v>
      </c>
      <c r="J1474" t="s">
        <v>95</v>
      </c>
      <c r="K1474">
        <v>0</v>
      </c>
    </row>
    <row r="1475" spans="9:11">
      <c r="I1475" t="s">
        <v>91</v>
      </c>
      <c r="J1475" t="s">
        <v>92</v>
      </c>
      <c r="K1475">
        <v>0</v>
      </c>
    </row>
    <row r="1476" spans="9:11">
      <c r="I1476" t="s">
        <v>94</v>
      </c>
      <c r="J1476" t="s">
        <v>95</v>
      </c>
      <c r="K1476">
        <v>0</v>
      </c>
    </row>
    <row r="1477" spans="9:11">
      <c r="I1477" t="s">
        <v>91</v>
      </c>
      <c r="J1477" t="s">
        <v>92</v>
      </c>
      <c r="K1477">
        <v>0</v>
      </c>
    </row>
    <row r="1478" spans="9:11">
      <c r="I1478" t="s">
        <v>91</v>
      </c>
      <c r="J1478" t="s">
        <v>92</v>
      </c>
      <c r="K1478">
        <v>0</v>
      </c>
    </row>
    <row r="1479" spans="9:11">
      <c r="I1479" t="s">
        <v>94</v>
      </c>
      <c r="J1479" t="s">
        <v>95</v>
      </c>
      <c r="K1479">
        <v>0</v>
      </c>
    </row>
    <row r="1480" spans="9:11">
      <c r="I1480" t="s">
        <v>91</v>
      </c>
      <c r="J1480" t="s">
        <v>92</v>
      </c>
      <c r="K1480">
        <v>0</v>
      </c>
    </row>
    <row r="1481" spans="9:11">
      <c r="I1481" t="s">
        <v>94</v>
      </c>
      <c r="J1481" t="s">
        <v>95</v>
      </c>
      <c r="K1481">
        <v>0</v>
      </c>
    </row>
    <row r="1482" spans="9:11">
      <c r="I1482" t="s">
        <v>94</v>
      </c>
      <c r="J1482" t="s">
        <v>95</v>
      </c>
      <c r="K1482">
        <v>0</v>
      </c>
    </row>
    <row r="1483" spans="9:11">
      <c r="I1483" t="s">
        <v>91</v>
      </c>
      <c r="J1483" t="s">
        <v>92</v>
      </c>
      <c r="K1483">
        <v>0</v>
      </c>
    </row>
    <row r="1484" spans="9:11">
      <c r="I1484" t="s">
        <v>91</v>
      </c>
      <c r="J1484" t="s">
        <v>92</v>
      </c>
      <c r="K1484">
        <v>0</v>
      </c>
    </row>
    <row r="1485" spans="9:11">
      <c r="I1485" t="s">
        <v>94</v>
      </c>
      <c r="J1485" t="s">
        <v>95</v>
      </c>
      <c r="K1485">
        <v>0</v>
      </c>
    </row>
    <row r="1486" spans="9:11">
      <c r="I1486" t="s">
        <v>94</v>
      </c>
      <c r="J1486" t="s">
        <v>95</v>
      </c>
      <c r="K1486">
        <v>1</v>
      </c>
    </row>
    <row r="1487" spans="9:11">
      <c r="I1487" t="s">
        <v>94</v>
      </c>
      <c r="J1487" t="s">
        <v>95</v>
      </c>
      <c r="K1487">
        <v>0</v>
      </c>
    </row>
    <row r="1488" spans="9:11">
      <c r="I1488" t="s">
        <v>91</v>
      </c>
      <c r="J1488" t="s">
        <v>92</v>
      </c>
      <c r="K1488">
        <v>0</v>
      </c>
    </row>
    <row r="1489" spans="9:11">
      <c r="I1489" t="s">
        <v>94</v>
      </c>
      <c r="J1489" t="s">
        <v>95</v>
      </c>
      <c r="K1489">
        <v>0</v>
      </c>
    </row>
    <row r="1490" spans="9:11">
      <c r="I1490" t="s">
        <v>91</v>
      </c>
      <c r="J1490" t="s">
        <v>92</v>
      </c>
      <c r="K1490">
        <v>0</v>
      </c>
    </row>
    <row r="1491" spans="9:11">
      <c r="I1491" t="s">
        <v>91</v>
      </c>
      <c r="J1491" t="s">
        <v>92</v>
      </c>
      <c r="K1491">
        <v>0</v>
      </c>
    </row>
    <row r="1492" spans="9:11">
      <c r="I1492" t="s">
        <v>94</v>
      </c>
      <c r="J1492" t="s">
        <v>95</v>
      </c>
      <c r="K1492">
        <v>0</v>
      </c>
    </row>
    <row r="1493" spans="9:11">
      <c r="I1493" t="s">
        <v>94</v>
      </c>
      <c r="J1493" t="s">
        <v>95</v>
      </c>
      <c r="K1493">
        <v>0</v>
      </c>
    </row>
    <row r="1494" spans="9:11">
      <c r="I1494" t="s">
        <v>91</v>
      </c>
      <c r="J1494" t="s">
        <v>92</v>
      </c>
      <c r="K1494">
        <v>0</v>
      </c>
    </row>
    <row r="1495" spans="9:11">
      <c r="I1495" t="s">
        <v>91</v>
      </c>
      <c r="J1495" t="s">
        <v>92</v>
      </c>
      <c r="K1495">
        <v>0</v>
      </c>
    </row>
    <row r="1496" spans="9:11">
      <c r="I1496" t="s">
        <v>94</v>
      </c>
      <c r="J1496" t="s">
        <v>95</v>
      </c>
      <c r="K1496">
        <v>0</v>
      </c>
    </row>
    <row r="1497" spans="9:11">
      <c r="I1497" t="s">
        <v>94</v>
      </c>
      <c r="J1497" t="s">
        <v>95</v>
      </c>
      <c r="K1497">
        <v>0</v>
      </c>
    </row>
    <row r="1498" spans="9:11">
      <c r="I1498" t="s">
        <v>94</v>
      </c>
      <c r="J1498" t="s">
        <v>95</v>
      </c>
      <c r="K1498">
        <v>0</v>
      </c>
    </row>
    <row r="1499" spans="9:11">
      <c r="I1499" t="s">
        <v>94</v>
      </c>
      <c r="J1499" t="s">
        <v>95</v>
      </c>
      <c r="K1499">
        <v>0</v>
      </c>
    </row>
    <row r="1500" spans="9:11">
      <c r="I1500" t="s">
        <v>91</v>
      </c>
      <c r="J1500" t="s">
        <v>92</v>
      </c>
      <c r="K1500">
        <v>0</v>
      </c>
    </row>
    <row r="1501" spans="9:11">
      <c r="I1501" t="s">
        <v>94</v>
      </c>
      <c r="J1501" t="s">
        <v>95</v>
      </c>
      <c r="K1501">
        <v>0</v>
      </c>
    </row>
    <row r="1502" spans="9:11">
      <c r="I1502" t="s">
        <v>91</v>
      </c>
      <c r="J1502" t="s">
        <v>92</v>
      </c>
      <c r="K1502">
        <v>0</v>
      </c>
    </row>
    <row r="1503" spans="9:11">
      <c r="I1503" t="s">
        <v>94</v>
      </c>
      <c r="J1503" t="s">
        <v>95</v>
      </c>
      <c r="K1503">
        <v>0</v>
      </c>
    </row>
    <row r="1504" spans="9:11">
      <c r="I1504" t="s">
        <v>94</v>
      </c>
      <c r="J1504" t="s">
        <v>95</v>
      </c>
      <c r="K1504">
        <v>0</v>
      </c>
    </row>
    <row r="1505" spans="9:11">
      <c r="I1505" t="s">
        <v>91</v>
      </c>
      <c r="J1505" t="s">
        <v>92</v>
      </c>
      <c r="K1505">
        <v>0</v>
      </c>
    </row>
    <row r="1506" spans="9:11">
      <c r="I1506" t="s">
        <v>91</v>
      </c>
      <c r="J1506" t="s">
        <v>92</v>
      </c>
      <c r="K1506">
        <v>0</v>
      </c>
    </row>
    <row r="1507" spans="9:11">
      <c r="I1507" t="s">
        <v>91</v>
      </c>
      <c r="J1507" t="s">
        <v>92</v>
      </c>
      <c r="K1507">
        <v>0</v>
      </c>
    </row>
    <row r="1508" spans="9:11">
      <c r="I1508" t="s">
        <v>94</v>
      </c>
      <c r="J1508" t="s">
        <v>95</v>
      </c>
      <c r="K1508">
        <v>0</v>
      </c>
    </row>
    <row r="1509" spans="9:11">
      <c r="I1509" t="s">
        <v>94</v>
      </c>
      <c r="J1509" t="s">
        <v>95</v>
      </c>
      <c r="K1509">
        <v>0</v>
      </c>
    </row>
    <row r="1510" spans="9:11">
      <c r="I1510" t="s">
        <v>91</v>
      </c>
      <c r="J1510" t="s">
        <v>92</v>
      </c>
      <c r="K1510">
        <v>0</v>
      </c>
    </row>
    <row r="1511" spans="9:11">
      <c r="I1511" t="s">
        <v>91</v>
      </c>
      <c r="J1511" t="s">
        <v>92</v>
      </c>
      <c r="K1511">
        <v>0</v>
      </c>
    </row>
    <row r="1512" spans="9:11">
      <c r="I1512" t="s">
        <v>94</v>
      </c>
      <c r="J1512" t="s">
        <v>95</v>
      </c>
      <c r="K1512">
        <v>0</v>
      </c>
    </row>
    <row r="1513" spans="9:11">
      <c r="I1513" t="s">
        <v>91</v>
      </c>
      <c r="J1513" t="s">
        <v>92</v>
      </c>
      <c r="K1513">
        <v>0</v>
      </c>
    </row>
    <row r="1514" spans="9:11">
      <c r="I1514" t="s">
        <v>94</v>
      </c>
      <c r="J1514" t="s">
        <v>95</v>
      </c>
      <c r="K1514">
        <v>0</v>
      </c>
    </row>
    <row r="1515" spans="9:11">
      <c r="I1515" t="s">
        <v>94</v>
      </c>
      <c r="J1515" t="s">
        <v>95</v>
      </c>
      <c r="K1515">
        <v>0</v>
      </c>
    </row>
    <row r="1516" spans="9:11">
      <c r="I1516" t="s">
        <v>94</v>
      </c>
      <c r="J1516" t="s">
        <v>95</v>
      </c>
      <c r="K1516">
        <v>0</v>
      </c>
    </row>
    <row r="1517" spans="9:11">
      <c r="I1517" t="s">
        <v>94</v>
      </c>
      <c r="J1517" t="s">
        <v>95</v>
      </c>
      <c r="K1517">
        <v>0</v>
      </c>
    </row>
    <row r="1518" spans="9:11">
      <c r="I1518" t="s">
        <v>94</v>
      </c>
      <c r="J1518" t="s">
        <v>95</v>
      </c>
      <c r="K1518">
        <v>0</v>
      </c>
    </row>
    <row r="1519" spans="9:11">
      <c r="I1519" t="s">
        <v>94</v>
      </c>
      <c r="J1519" t="s">
        <v>95</v>
      </c>
      <c r="K1519">
        <v>0</v>
      </c>
    </row>
    <row r="1520" spans="9:11">
      <c r="I1520" t="s">
        <v>91</v>
      </c>
      <c r="J1520" t="s">
        <v>92</v>
      </c>
      <c r="K1520">
        <v>0</v>
      </c>
    </row>
    <row r="1521" spans="9:11">
      <c r="I1521" t="s">
        <v>91</v>
      </c>
      <c r="J1521" t="s">
        <v>92</v>
      </c>
      <c r="K1521">
        <v>0</v>
      </c>
    </row>
    <row r="1522" spans="9:11">
      <c r="I1522" t="s">
        <v>91</v>
      </c>
      <c r="J1522" t="s">
        <v>92</v>
      </c>
      <c r="K1522">
        <v>0</v>
      </c>
    </row>
    <row r="1523" spans="9:11">
      <c r="I1523" t="s">
        <v>94</v>
      </c>
      <c r="J1523" t="s">
        <v>95</v>
      </c>
      <c r="K1523">
        <v>0</v>
      </c>
    </row>
    <row r="1524" spans="9:11">
      <c r="I1524" t="s">
        <v>91</v>
      </c>
      <c r="J1524" t="s">
        <v>92</v>
      </c>
      <c r="K1524">
        <v>0</v>
      </c>
    </row>
    <row r="1525" spans="9:11">
      <c r="I1525" t="s">
        <v>94</v>
      </c>
      <c r="J1525" t="s">
        <v>95</v>
      </c>
      <c r="K1525">
        <v>0</v>
      </c>
    </row>
    <row r="1526" spans="9:11">
      <c r="I1526" t="s">
        <v>94</v>
      </c>
      <c r="J1526" t="s">
        <v>95</v>
      </c>
      <c r="K1526">
        <v>0</v>
      </c>
    </row>
    <row r="1527" spans="9:11">
      <c r="I1527" t="s">
        <v>94</v>
      </c>
      <c r="J1527" t="s">
        <v>95</v>
      </c>
      <c r="K1527">
        <v>1</v>
      </c>
    </row>
    <row r="1528" spans="9:11">
      <c r="I1528" t="s">
        <v>94</v>
      </c>
      <c r="J1528" t="s">
        <v>95</v>
      </c>
      <c r="K1528">
        <v>0</v>
      </c>
    </row>
    <row r="1529" spans="9:11">
      <c r="I1529" t="s">
        <v>91</v>
      </c>
      <c r="J1529" t="s">
        <v>92</v>
      </c>
      <c r="K1529">
        <v>0</v>
      </c>
    </row>
    <row r="1530" spans="9:11">
      <c r="I1530" t="s">
        <v>94</v>
      </c>
      <c r="J1530" t="s">
        <v>95</v>
      </c>
      <c r="K1530">
        <v>0</v>
      </c>
    </row>
    <row r="1531" spans="9:11">
      <c r="I1531" t="s">
        <v>94</v>
      </c>
      <c r="J1531" t="s">
        <v>95</v>
      </c>
      <c r="K1531">
        <v>0</v>
      </c>
    </row>
    <row r="1532" spans="9:11">
      <c r="I1532" t="s">
        <v>94</v>
      </c>
      <c r="J1532" t="s">
        <v>95</v>
      </c>
      <c r="K1532">
        <v>0</v>
      </c>
    </row>
    <row r="1533" spans="9:11">
      <c r="I1533" t="s">
        <v>91</v>
      </c>
      <c r="J1533" t="s">
        <v>92</v>
      </c>
      <c r="K1533">
        <v>0</v>
      </c>
    </row>
    <row r="1534" spans="9:11">
      <c r="I1534" t="s">
        <v>94</v>
      </c>
      <c r="J1534" t="s">
        <v>95</v>
      </c>
      <c r="K1534">
        <v>0</v>
      </c>
    </row>
    <row r="1535" spans="9:11">
      <c r="I1535" t="s">
        <v>91</v>
      </c>
      <c r="J1535" t="s">
        <v>92</v>
      </c>
      <c r="K1535">
        <v>0</v>
      </c>
    </row>
    <row r="1536" spans="9:11">
      <c r="I1536" t="s">
        <v>94</v>
      </c>
      <c r="J1536" t="s">
        <v>95</v>
      </c>
      <c r="K1536">
        <v>0</v>
      </c>
    </row>
    <row r="1537" spans="9:11">
      <c r="I1537" t="s">
        <v>91</v>
      </c>
      <c r="J1537" t="s">
        <v>92</v>
      </c>
      <c r="K1537">
        <v>0</v>
      </c>
    </row>
    <row r="1538" spans="9:11">
      <c r="I1538" t="s">
        <v>91</v>
      </c>
      <c r="J1538" t="s">
        <v>92</v>
      </c>
      <c r="K1538">
        <v>0</v>
      </c>
    </row>
    <row r="1539" spans="9:11">
      <c r="I1539" t="s">
        <v>91</v>
      </c>
      <c r="J1539" t="s">
        <v>92</v>
      </c>
      <c r="K1539">
        <v>0</v>
      </c>
    </row>
    <row r="1540" spans="9:11">
      <c r="I1540" t="s">
        <v>94</v>
      </c>
      <c r="J1540" t="s">
        <v>95</v>
      </c>
      <c r="K1540">
        <v>0</v>
      </c>
    </row>
    <row r="1541" spans="9:11">
      <c r="I1541" t="s">
        <v>94</v>
      </c>
      <c r="J1541" t="s">
        <v>95</v>
      </c>
      <c r="K1541">
        <v>0</v>
      </c>
    </row>
    <row r="1542" spans="9:11">
      <c r="I1542" t="s">
        <v>91</v>
      </c>
      <c r="J1542" t="s">
        <v>92</v>
      </c>
      <c r="K1542">
        <v>0</v>
      </c>
    </row>
    <row r="1543" spans="9:11">
      <c r="I1543" t="s">
        <v>91</v>
      </c>
      <c r="J1543" t="s">
        <v>92</v>
      </c>
      <c r="K1543">
        <v>0</v>
      </c>
    </row>
    <row r="1544" spans="9:11">
      <c r="I1544" t="s">
        <v>94</v>
      </c>
      <c r="J1544" t="s">
        <v>95</v>
      </c>
      <c r="K1544">
        <v>0</v>
      </c>
    </row>
    <row r="1545" spans="9:11">
      <c r="I1545" t="s">
        <v>94</v>
      </c>
      <c r="J1545" t="s">
        <v>95</v>
      </c>
      <c r="K1545">
        <v>1</v>
      </c>
    </row>
    <row r="1546" spans="9:11">
      <c r="I1546" t="s">
        <v>91</v>
      </c>
      <c r="J1546" t="s">
        <v>92</v>
      </c>
      <c r="K1546">
        <v>0</v>
      </c>
    </row>
    <row r="1547" spans="9:11">
      <c r="I1547" t="s">
        <v>94</v>
      </c>
      <c r="J1547" t="s">
        <v>95</v>
      </c>
      <c r="K1547">
        <v>0</v>
      </c>
    </row>
    <row r="1548" spans="9:11">
      <c r="I1548" t="s">
        <v>94</v>
      </c>
      <c r="J1548" t="s">
        <v>95</v>
      </c>
      <c r="K1548">
        <v>0</v>
      </c>
    </row>
    <row r="1549" spans="9:11">
      <c r="I1549" t="s">
        <v>91</v>
      </c>
      <c r="J1549" t="s">
        <v>92</v>
      </c>
      <c r="K1549">
        <v>0</v>
      </c>
    </row>
    <row r="1550" spans="9:11">
      <c r="I1550" t="s">
        <v>94</v>
      </c>
      <c r="J1550" t="s">
        <v>95</v>
      </c>
      <c r="K1550">
        <v>0</v>
      </c>
    </row>
    <row r="1551" spans="9:11">
      <c r="I1551" t="s">
        <v>91</v>
      </c>
      <c r="J1551" t="s">
        <v>92</v>
      </c>
      <c r="K1551">
        <v>0</v>
      </c>
    </row>
    <row r="1552" spans="9:11">
      <c r="I1552" t="s">
        <v>91</v>
      </c>
      <c r="J1552" t="s">
        <v>92</v>
      </c>
      <c r="K1552">
        <v>0</v>
      </c>
    </row>
    <row r="1553" spans="9:11">
      <c r="I1553" t="s">
        <v>94</v>
      </c>
      <c r="J1553" t="s">
        <v>95</v>
      </c>
      <c r="K1553">
        <v>0</v>
      </c>
    </row>
    <row r="1554" spans="9:11">
      <c r="I1554" t="s">
        <v>91</v>
      </c>
      <c r="J1554" t="s">
        <v>92</v>
      </c>
      <c r="K1554">
        <v>0</v>
      </c>
    </row>
    <row r="1555" spans="9:11">
      <c r="I1555" t="s">
        <v>94</v>
      </c>
      <c r="J1555" t="s">
        <v>95</v>
      </c>
      <c r="K1555">
        <v>0</v>
      </c>
    </row>
    <row r="1556" spans="9:11">
      <c r="I1556" t="s">
        <v>94</v>
      </c>
      <c r="J1556" t="s">
        <v>95</v>
      </c>
      <c r="K1556">
        <v>0</v>
      </c>
    </row>
    <row r="1557" spans="9:11">
      <c r="I1557" t="s">
        <v>91</v>
      </c>
      <c r="J1557" t="s">
        <v>92</v>
      </c>
      <c r="K1557">
        <v>0</v>
      </c>
    </row>
    <row r="1558" spans="9:11">
      <c r="I1558" t="s">
        <v>91</v>
      </c>
      <c r="J1558" t="s">
        <v>92</v>
      </c>
      <c r="K1558">
        <v>0</v>
      </c>
    </row>
    <row r="1559" spans="9:11">
      <c r="I1559" t="s">
        <v>94</v>
      </c>
      <c r="J1559" t="s">
        <v>95</v>
      </c>
      <c r="K1559">
        <v>0</v>
      </c>
    </row>
    <row r="1560" spans="9:11">
      <c r="I1560" t="s">
        <v>91</v>
      </c>
      <c r="J1560" t="s">
        <v>92</v>
      </c>
      <c r="K1560">
        <v>0</v>
      </c>
    </row>
    <row r="1561" spans="9:11">
      <c r="I1561" t="s">
        <v>91</v>
      </c>
      <c r="J1561" t="s">
        <v>92</v>
      </c>
      <c r="K1561">
        <v>0</v>
      </c>
    </row>
    <row r="1562" spans="9:11">
      <c r="I1562" t="s">
        <v>91</v>
      </c>
      <c r="J1562" t="s">
        <v>92</v>
      </c>
      <c r="K1562">
        <v>0</v>
      </c>
    </row>
    <row r="1563" spans="9:11">
      <c r="I1563" t="s">
        <v>94</v>
      </c>
      <c r="J1563" t="s">
        <v>95</v>
      </c>
      <c r="K1563">
        <v>0</v>
      </c>
    </row>
    <row r="1564" spans="9:11">
      <c r="I1564" t="s">
        <v>91</v>
      </c>
      <c r="J1564" t="s">
        <v>92</v>
      </c>
      <c r="K1564">
        <v>0</v>
      </c>
    </row>
    <row r="1565" spans="9:11">
      <c r="I1565" t="s">
        <v>91</v>
      </c>
      <c r="J1565" t="s">
        <v>92</v>
      </c>
      <c r="K1565">
        <v>0</v>
      </c>
    </row>
    <row r="1566" spans="9:11">
      <c r="I1566" t="s">
        <v>94</v>
      </c>
      <c r="J1566" t="s">
        <v>95</v>
      </c>
      <c r="K1566">
        <v>0</v>
      </c>
    </row>
    <row r="1567" spans="9:11">
      <c r="I1567" t="s">
        <v>91</v>
      </c>
      <c r="J1567" t="s">
        <v>92</v>
      </c>
      <c r="K1567">
        <v>0</v>
      </c>
    </row>
    <row r="1568" spans="9:11">
      <c r="I1568" t="s">
        <v>94</v>
      </c>
      <c r="J1568" t="s">
        <v>95</v>
      </c>
      <c r="K1568">
        <v>0</v>
      </c>
    </row>
    <row r="1569" spans="9:11">
      <c r="I1569" t="s">
        <v>91</v>
      </c>
      <c r="J1569" t="s">
        <v>92</v>
      </c>
      <c r="K1569">
        <v>0</v>
      </c>
    </row>
    <row r="1570" spans="9:11">
      <c r="I1570" t="s">
        <v>91</v>
      </c>
      <c r="J1570" t="s">
        <v>92</v>
      </c>
      <c r="K1570">
        <v>0</v>
      </c>
    </row>
    <row r="1571" spans="9:11">
      <c r="I1571" t="s">
        <v>94</v>
      </c>
      <c r="J1571" t="s">
        <v>95</v>
      </c>
      <c r="K1571">
        <v>0</v>
      </c>
    </row>
    <row r="1572" spans="9:11">
      <c r="I1572" t="s">
        <v>94</v>
      </c>
      <c r="J1572" t="s">
        <v>95</v>
      </c>
      <c r="K1572">
        <v>0</v>
      </c>
    </row>
    <row r="1573" spans="9:11">
      <c r="I1573" t="s">
        <v>94</v>
      </c>
      <c r="J1573" t="s">
        <v>95</v>
      </c>
      <c r="K1573">
        <v>0</v>
      </c>
    </row>
    <row r="1574" spans="9:11">
      <c r="I1574" t="s">
        <v>91</v>
      </c>
      <c r="J1574" t="s">
        <v>92</v>
      </c>
      <c r="K1574">
        <v>0</v>
      </c>
    </row>
    <row r="1575" spans="9:11">
      <c r="I1575" t="s">
        <v>91</v>
      </c>
      <c r="J1575" t="s">
        <v>92</v>
      </c>
      <c r="K1575">
        <v>0</v>
      </c>
    </row>
    <row r="1576" spans="9:11">
      <c r="I1576" t="s">
        <v>91</v>
      </c>
      <c r="J1576" t="s">
        <v>92</v>
      </c>
      <c r="K1576">
        <v>0</v>
      </c>
    </row>
    <row r="1577" spans="9:11">
      <c r="I1577" t="s">
        <v>94</v>
      </c>
      <c r="J1577" t="s">
        <v>95</v>
      </c>
      <c r="K1577">
        <v>0</v>
      </c>
    </row>
    <row r="1578" spans="9:11">
      <c r="I1578" t="s">
        <v>94</v>
      </c>
      <c r="J1578" t="s">
        <v>95</v>
      </c>
      <c r="K1578">
        <v>0</v>
      </c>
    </row>
    <row r="1579" spans="9:11">
      <c r="I1579" t="s">
        <v>91</v>
      </c>
      <c r="J1579" t="s">
        <v>92</v>
      </c>
      <c r="K1579">
        <v>0</v>
      </c>
    </row>
    <row r="1580" spans="9:11">
      <c r="I1580" t="s">
        <v>94</v>
      </c>
      <c r="J1580" t="s">
        <v>95</v>
      </c>
      <c r="K1580">
        <v>0</v>
      </c>
    </row>
    <row r="1581" spans="9:11">
      <c r="I1581" t="s">
        <v>94</v>
      </c>
      <c r="J1581" t="s">
        <v>95</v>
      </c>
      <c r="K1581">
        <v>0</v>
      </c>
    </row>
    <row r="1582" spans="9:11">
      <c r="I1582" t="s">
        <v>91</v>
      </c>
      <c r="J1582" t="s">
        <v>92</v>
      </c>
      <c r="K1582">
        <v>0</v>
      </c>
    </row>
    <row r="1583" spans="9:11">
      <c r="I1583" t="s">
        <v>94</v>
      </c>
      <c r="J1583" t="s">
        <v>95</v>
      </c>
      <c r="K1583">
        <v>0</v>
      </c>
    </row>
    <row r="1584" spans="9:11">
      <c r="I1584" t="s">
        <v>91</v>
      </c>
      <c r="J1584" t="s">
        <v>92</v>
      </c>
      <c r="K1584">
        <v>0</v>
      </c>
    </row>
    <row r="1585" spans="9:11">
      <c r="I1585" t="s">
        <v>91</v>
      </c>
      <c r="J1585" t="s">
        <v>92</v>
      </c>
      <c r="K1585">
        <v>0</v>
      </c>
    </row>
    <row r="1586" spans="9:11">
      <c r="I1586" t="s">
        <v>94</v>
      </c>
      <c r="J1586" t="s">
        <v>95</v>
      </c>
      <c r="K1586">
        <v>0</v>
      </c>
    </row>
    <row r="1587" spans="9:11">
      <c r="I1587" t="s">
        <v>94</v>
      </c>
      <c r="J1587" t="s">
        <v>95</v>
      </c>
      <c r="K1587">
        <v>0</v>
      </c>
    </row>
    <row r="1588" spans="9:11">
      <c r="I1588" t="s">
        <v>94</v>
      </c>
      <c r="J1588" t="s">
        <v>95</v>
      </c>
      <c r="K1588">
        <v>0</v>
      </c>
    </row>
    <row r="1589" spans="9:11">
      <c r="I1589" t="s">
        <v>91</v>
      </c>
      <c r="J1589" t="s">
        <v>92</v>
      </c>
      <c r="K1589">
        <v>0</v>
      </c>
    </row>
    <row r="1590" spans="9:11">
      <c r="I1590" t="s">
        <v>94</v>
      </c>
      <c r="J1590" t="s">
        <v>95</v>
      </c>
      <c r="K1590">
        <v>0</v>
      </c>
    </row>
    <row r="1591" spans="9:11">
      <c r="I1591" t="s">
        <v>91</v>
      </c>
      <c r="J1591" t="s">
        <v>92</v>
      </c>
      <c r="K1591">
        <v>0</v>
      </c>
    </row>
    <row r="1592" spans="9:11">
      <c r="I1592" t="s">
        <v>94</v>
      </c>
      <c r="J1592" t="s">
        <v>95</v>
      </c>
      <c r="K1592">
        <v>0</v>
      </c>
    </row>
    <row r="1593" spans="9:11">
      <c r="I1593" t="s">
        <v>91</v>
      </c>
      <c r="J1593" t="s">
        <v>92</v>
      </c>
      <c r="K1593">
        <v>0</v>
      </c>
    </row>
    <row r="1594" spans="9:11">
      <c r="I1594" t="s">
        <v>91</v>
      </c>
      <c r="J1594" t="s">
        <v>92</v>
      </c>
      <c r="K1594">
        <v>0</v>
      </c>
    </row>
    <row r="1595" spans="9:11">
      <c r="I1595" t="s">
        <v>94</v>
      </c>
      <c r="J1595" t="s">
        <v>95</v>
      </c>
      <c r="K1595">
        <v>0</v>
      </c>
    </row>
    <row r="1596" spans="9:11">
      <c r="I1596" t="s">
        <v>94</v>
      </c>
      <c r="J1596" t="s">
        <v>95</v>
      </c>
      <c r="K1596">
        <v>0</v>
      </c>
    </row>
    <row r="1597" spans="9:11">
      <c r="I1597" t="s">
        <v>91</v>
      </c>
      <c r="J1597" t="s">
        <v>92</v>
      </c>
      <c r="K1597">
        <v>0</v>
      </c>
    </row>
    <row r="1598" spans="9:11">
      <c r="I1598" t="s">
        <v>91</v>
      </c>
      <c r="J1598" t="s">
        <v>92</v>
      </c>
      <c r="K1598">
        <v>0</v>
      </c>
    </row>
    <row r="1599" spans="9:11">
      <c r="I1599" t="s">
        <v>91</v>
      </c>
      <c r="J1599" t="s">
        <v>92</v>
      </c>
      <c r="K1599">
        <v>0</v>
      </c>
    </row>
    <row r="1600" spans="9:11">
      <c r="I1600" t="s">
        <v>91</v>
      </c>
      <c r="J1600" t="s">
        <v>92</v>
      </c>
      <c r="K1600">
        <v>0</v>
      </c>
    </row>
    <row r="1601" spans="9:11">
      <c r="I1601" t="s">
        <v>94</v>
      </c>
      <c r="J1601" t="s">
        <v>95</v>
      </c>
      <c r="K1601">
        <v>0</v>
      </c>
    </row>
    <row r="1602" spans="9:11">
      <c r="I1602" t="s">
        <v>91</v>
      </c>
      <c r="J1602" t="s">
        <v>92</v>
      </c>
      <c r="K1602">
        <v>0</v>
      </c>
    </row>
    <row r="1603" spans="9:11">
      <c r="I1603" t="s">
        <v>91</v>
      </c>
      <c r="J1603" t="s">
        <v>92</v>
      </c>
      <c r="K1603">
        <v>1</v>
      </c>
    </row>
    <row r="1604" spans="9:11">
      <c r="I1604" t="s">
        <v>94</v>
      </c>
      <c r="J1604" t="s">
        <v>95</v>
      </c>
      <c r="K1604">
        <v>0</v>
      </c>
    </row>
    <row r="1605" spans="9:11">
      <c r="I1605" t="s">
        <v>94</v>
      </c>
      <c r="J1605" t="s">
        <v>95</v>
      </c>
      <c r="K1605">
        <v>0</v>
      </c>
    </row>
    <row r="1606" spans="9:11">
      <c r="I1606" t="s">
        <v>94</v>
      </c>
      <c r="J1606" t="s">
        <v>95</v>
      </c>
      <c r="K1606">
        <v>0</v>
      </c>
    </row>
    <row r="1607" spans="9:11">
      <c r="I1607" t="s">
        <v>94</v>
      </c>
      <c r="J1607" t="s">
        <v>95</v>
      </c>
      <c r="K1607">
        <v>0</v>
      </c>
    </row>
    <row r="1608" spans="9:11">
      <c r="I1608" t="s">
        <v>94</v>
      </c>
      <c r="J1608" t="s">
        <v>95</v>
      </c>
      <c r="K1608">
        <v>0</v>
      </c>
    </row>
    <row r="1609" spans="9:11">
      <c r="I1609" t="s">
        <v>94</v>
      </c>
      <c r="J1609" t="s">
        <v>95</v>
      </c>
      <c r="K1609">
        <v>0</v>
      </c>
    </row>
    <row r="1610" spans="9:11">
      <c r="I1610" t="s">
        <v>91</v>
      </c>
      <c r="J1610" t="s">
        <v>92</v>
      </c>
      <c r="K1610">
        <v>0</v>
      </c>
    </row>
    <row r="1611" spans="9:11">
      <c r="I1611" t="s">
        <v>91</v>
      </c>
      <c r="J1611" t="s">
        <v>92</v>
      </c>
      <c r="K1611">
        <v>0</v>
      </c>
    </row>
    <row r="1612" spans="9:11">
      <c r="I1612" t="s">
        <v>91</v>
      </c>
      <c r="J1612" t="s">
        <v>92</v>
      </c>
      <c r="K1612">
        <v>0</v>
      </c>
    </row>
    <row r="1613" spans="9:11">
      <c r="I1613" t="s">
        <v>91</v>
      </c>
      <c r="J1613" t="s">
        <v>92</v>
      </c>
      <c r="K1613">
        <v>0</v>
      </c>
    </row>
    <row r="1614" spans="9:11">
      <c r="I1614" t="s">
        <v>94</v>
      </c>
      <c r="J1614" t="s">
        <v>95</v>
      </c>
      <c r="K1614">
        <v>0</v>
      </c>
    </row>
    <row r="1615" spans="9:11">
      <c r="I1615" t="s">
        <v>91</v>
      </c>
      <c r="J1615" t="s">
        <v>92</v>
      </c>
      <c r="K1615">
        <v>0</v>
      </c>
    </row>
    <row r="1616" spans="9:11">
      <c r="I1616" t="s">
        <v>91</v>
      </c>
      <c r="J1616" t="s">
        <v>92</v>
      </c>
      <c r="K1616">
        <v>0</v>
      </c>
    </row>
    <row r="1617" spans="9:11">
      <c r="I1617" t="s">
        <v>91</v>
      </c>
      <c r="J1617" t="s">
        <v>92</v>
      </c>
      <c r="K1617">
        <v>0</v>
      </c>
    </row>
    <row r="1618" spans="9:11">
      <c r="I1618" t="s">
        <v>91</v>
      </c>
      <c r="J1618" t="s">
        <v>92</v>
      </c>
      <c r="K1618">
        <v>0</v>
      </c>
    </row>
    <row r="1619" spans="9:11">
      <c r="I1619" t="s">
        <v>94</v>
      </c>
      <c r="J1619" t="s">
        <v>95</v>
      </c>
      <c r="K1619">
        <v>0</v>
      </c>
    </row>
    <row r="1620" spans="9:11">
      <c r="I1620" t="s">
        <v>91</v>
      </c>
      <c r="J1620" t="s">
        <v>92</v>
      </c>
      <c r="K1620">
        <v>0</v>
      </c>
    </row>
    <row r="1621" spans="9:11">
      <c r="I1621" t="s">
        <v>94</v>
      </c>
      <c r="J1621" t="s">
        <v>95</v>
      </c>
      <c r="K1621">
        <v>0</v>
      </c>
    </row>
    <row r="1622" spans="9:11">
      <c r="I1622" t="s">
        <v>94</v>
      </c>
      <c r="J1622" t="s">
        <v>95</v>
      </c>
      <c r="K1622">
        <v>1</v>
      </c>
    </row>
    <row r="1623" spans="9:11">
      <c r="I1623" t="s">
        <v>91</v>
      </c>
      <c r="J1623" t="s">
        <v>92</v>
      </c>
      <c r="K1623">
        <v>0</v>
      </c>
    </row>
    <row r="1624" spans="9:11">
      <c r="I1624" t="s">
        <v>91</v>
      </c>
      <c r="J1624" t="s">
        <v>92</v>
      </c>
      <c r="K1624">
        <v>1</v>
      </c>
    </row>
    <row r="1625" spans="9:11">
      <c r="I1625" t="s">
        <v>94</v>
      </c>
      <c r="J1625" t="s">
        <v>95</v>
      </c>
      <c r="K1625">
        <v>0</v>
      </c>
    </row>
    <row r="1626" spans="9:11">
      <c r="I1626" t="s">
        <v>91</v>
      </c>
      <c r="J1626" t="s">
        <v>92</v>
      </c>
      <c r="K1626">
        <v>0</v>
      </c>
    </row>
    <row r="1627" spans="9:11">
      <c r="I1627" t="s">
        <v>91</v>
      </c>
      <c r="J1627" t="s">
        <v>92</v>
      </c>
      <c r="K1627">
        <v>0</v>
      </c>
    </row>
    <row r="1628" spans="9:11">
      <c r="I1628" t="s">
        <v>91</v>
      </c>
      <c r="J1628" t="s">
        <v>92</v>
      </c>
      <c r="K1628">
        <v>0</v>
      </c>
    </row>
    <row r="1629" spans="9:11">
      <c r="I1629" t="s">
        <v>91</v>
      </c>
      <c r="J1629" t="s">
        <v>92</v>
      </c>
      <c r="K1629">
        <v>1</v>
      </c>
    </row>
    <row r="1630" spans="9:11">
      <c r="I1630" t="s">
        <v>94</v>
      </c>
      <c r="J1630" t="s">
        <v>95</v>
      </c>
      <c r="K1630">
        <v>0</v>
      </c>
    </row>
    <row r="1631" spans="9:11">
      <c r="I1631" t="s">
        <v>94</v>
      </c>
      <c r="J1631" t="s">
        <v>95</v>
      </c>
      <c r="K1631">
        <v>0</v>
      </c>
    </row>
    <row r="1632" spans="9:11">
      <c r="I1632" t="s">
        <v>91</v>
      </c>
      <c r="J1632" t="s">
        <v>92</v>
      </c>
      <c r="K1632">
        <v>0</v>
      </c>
    </row>
    <row r="1633" spans="9:11">
      <c r="I1633" t="s">
        <v>94</v>
      </c>
      <c r="J1633" t="s">
        <v>95</v>
      </c>
      <c r="K1633">
        <v>0</v>
      </c>
    </row>
    <row r="1634" spans="9:11">
      <c r="I1634" t="s">
        <v>91</v>
      </c>
      <c r="J1634" t="s">
        <v>92</v>
      </c>
      <c r="K1634">
        <v>0</v>
      </c>
    </row>
    <row r="1635" spans="9:11">
      <c r="I1635" t="s">
        <v>91</v>
      </c>
      <c r="J1635" t="s">
        <v>92</v>
      </c>
      <c r="K1635">
        <v>0</v>
      </c>
    </row>
    <row r="1636" spans="9:11">
      <c r="I1636" t="s">
        <v>91</v>
      </c>
      <c r="J1636" t="s">
        <v>92</v>
      </c>
      <c r="K1636">
        <v>0</v>
      </c>
    </row>
    <row r="1637" spans="9:11">
      <c r="I1637" t="s">
        <v>91</v>
      </c>
      <c r="J1637" t="s">
        <v>92</v>
      </c>
      <c r="K1637">
        <v>0</v>
      </c>
    </row>
    <row r="1638" spans="9:11">
      <c r="I1638" t="s">
        <v>91</v>
      </c>
      <c r="J1638" t="s">
        <v>92</v>
      </c>
      <c r="K1638">
        <v>0</v>
      </c>
    </row>
    <row r="1639" spans="9:11">
      <c r="I1639" t="s">
        <v>91</v>
      </c>
      <c r="J1639" t="s">
        <v>92</v>
      </c>
      <c r="K1639">
        <v>0</v>
      </c>
    </row>
    <row r="1640" spans="9:11">
      <c r="I1640" t="s">
        <v>94</v>
      </c>
      <c r="J1640" t="s">
        <v>95</v>
      </c>
      <c r="K1640">
        <v>1</v>
      </c>
    </row>
    <row r="1641" spans="9:11">
      <c r="I1641" t="s">
        <v>91</v>
      </c>
      <c r="J1641" t="s">
        <v>92</v>
      </c>
      <c r="K1641">
        <v>0</v>
      </c>
    </row>
    <row r="1642" spans="9:11">
      <c r="I1642" t="s">
        <v>91</v>
      </c>
      <c r="J1642" t="s">
        <v>92</v>
      </c>
      <c r="K1642">
        <v>0</v>
      </c>
    </row>
    <row r="1643" spans="9:11">
      <c r="I1643" t="s">
        <v>91</v>
      </c>
      <c r="J1643" t="s">
        <v>92</v>
      </c>
      <c r="K1643">
        <v>0</v>
      </c>
    </row>
    <row r="1644" spans="9:11">
      <c r="I1644" t="s">
        <v>91</v>
      </c>
      <c r="J1644" t="s">
        <v>92</v>
      </c>
      <c r="K1644">
        <v>0</v>
      </c>
    </row>
    <row r="1645" spans="9:11">
      <c r="I1645" t="s">
        <v>94</v>
      </c>
      <c r="J1645" t="s">
        <v>95</v>
      </c>
      <c r="K1645">
        <v>0</v>
      </c>
    </row>
    <row r="1646" spans="9:11">
      <c r="I1646" t="s">
        <v>94</v>
      </c>
      <c r="J1646" t="s">
        <v>95</v>
      </c>
      <c r="K1646">
        <v>0</v>
      </c>
    </row>
    <row r="1647" spans="9:11">
      <c r="I1647" t="s">
        <v>94</v>
      </c>
      <c r="J1647" t="s">
        <v>95</v>
      </c>
      <c r="K1647">
        <v>0</v>
      </c>
    </row>
    <row r="1648" spans="9:11">
      <c r="I1648" t="s">
        <v>94</v>
      </c>
      <c r="J1648" t="s">
        <v>95</v>
      </c>
      <c r="K1648">
        <v>0</v>
      </c>
    </row>
    <row r="1649" spans="9:11">
      <c r="I1649" t="s">
        <v>94</v>
      </c>
      <c r="J1649" t="s">
        <v>95</v>
      </c>
      <c r="K1649">
        <v>0</v>
      </c>
    </row>
    <row r="1650" spans="9:11">
      <c r="I1650" t="s">
        <v>94</v>
      </c>
      <c r="J1650" t="s">
        <v>95</v>
      </c>
      <c r="K1650">
        <v>0</v>
      </c>
    </row>
    <row r="1651" spans="9:11">
      <c r="I1651" t="s">
        <v>94</v>
      </c>
      <c r="J1651" t="s">
        <v>95</v>
      </c>
      <c r="K1651">
        <v>0</v>
      </c>
    </row>
    <row r="1652" spans="9:11">
      <c r="I1652" t="s">
        <v>94</v>
      </c>
      <c r="J1652" t="s">
        <v>95</v>
      </c>
      <c r="K1652">
        <v>0</v>
      </c>
    </row>
    <row r="1653" spans="9:11">
      <c r="I1653" t="s">
        <v>94</v>
      </c>
      <c r="J1653" t="s">
        <v>95</v>
      </c>
      <c r="K1653">
        <v>0</v>
      </c>
    </row>
    <row r="1654" spans="9:11">
      <c r="I1654" t="s">
        <v>91</v>
      </c>
      <c r="J1654" t="s">
        <v>92</v>
      </c>
      <c r="K1654">
        <v>0</v>
      </c>
    </row>
    <row r="1655" spans="9:11">
      <c r="I1655" t="s">
        <v>94</v>
      </c>
      <c r="J1655" t="s">
        <v>95</v>
      </c>
      <c r="K1655">
        <v>0</v>
      </c>
    </row>
    <row r="1656" spans="9:11">
      <c r="I1656" t="s">
        <v>91</v>
      </c>
      <c r="J1656" t="s">
        <v>92</v>
      </c>
      <c r="K1656">
        <v>0</v>
      </c>
    </row>
    <row r="1657" spans="9:11">
      <c r="I1657" t="s">
        <v>94</v>
      </c>
      <c r="J1657" t="s">
        <v>95</v>
      </c>
      <c r="K1657">
        <v>0</v>
      </c>
    </row>
    <row r="1658" spans="9:11">
      <c r="I1658" t="s">
        <v>91</v>
      </c>
      <c r="J1658" t="s">
        <v>92</v>
      </c>
      <c r="K1658">
        <v>0</v>
      </c>
    </row>
    <row r="1659" spans="9:11">
      <c r="I1659" t="s">
        <v>91</v>
      </c>
      <c r="J1659" t="s">
        <v>92</v>
      </c>
      <c r="K1659">
        <v>0</v>
      </c>
    </row>
    <row r="1660" spans="9:11">
      <c r="I1660" t="s">
        <v>94</v>
      </c>
      <c r="J1660" t="s">
        <v>95</v>
      </c>
      <c r="K1660">
        <v>0</v>
      </c>
    </row>
    <row r="1661" spans="9:11">
      <c r="I1661" t="s">
        <v>94</v>
      </c>
      <c r="J1661" t="s">
        <v>95</v>
      </c>
      <c r="K1661">
        <v>0</v>
      </c>
    </row>
    <row r="1662" spans="9:11">
      <c r="I1662" t="s">
        <v>91</v>
      </c>
      <c r="J1662" t="s">
        <v>92</v>
      </c>
      <c r="K1662">
        <v>0</v>
      </c>
    </row>
    <row r="1663" spans="9:11">
      <c r="I1663" t="s">
        <v>91</v>
      </c>
      <c r="J1663" t="s">
        <v>92</v>
      </c>
      <c r="K1663">
        <v>0</v>
      </c>
    </row>
    <row r="1664" spans="9:11">
      <c r="I1664" t="s">
        <v>91</v>
      </c>
      <c r="J1664" t="s">
        <v>92</v>
      </c>
      <c r="K1664">
        <v>0</v>
      </c>
    </row>
    <row r="1665" spans="9:11">
      <c r="I1665" t="s">
        <v>94</v>
      </c>
      <c r="J1665" t="s">
        <v>95</v>
      </c>
      <c r="K1665">
        <v>0</v>
      </c>
    </row>
    <row r="1666" spans="9:11">
      <c r="I1666" t="s">
        <v>94</v>
      </c>
      <c r="J1666" t="s">
        <v>95</v>
      </c>
      <c r="K1666">
        <v>0</v>
      </c>
    </row>
    <row r="1667" spans="9:11">
      <c r="I1667" t="s">
        <v>94</v>
      </c>
      <c r="J1667" t="s">
        <v>95</v>
      </c>
      <c r="K1667">
        <v>0</v>
      </c>
    </row>
    <row r="1668" spans="9:11">
      <c r="I1668" t="s">
        <v>91</v>
      </c>
      <c r="J1668" t="s">
        <v>92</v>
      </c>
      <c r="K1668">
        <v>0</v>
      </c>
    </row>
    <row r="1669" spans="9:11">
      <c r="I1669" t="s">
        <v>91</v>
      </c>
      <c r="J1669" t="s">
        <v>92</v>
      </c>
      <c r="K1669">
        <v>0</v>
      </c>
    </row>
    <row r="1670" spans="9:11">
      <c r="I1670" t="s">
        <v>94</v>
      </c>
      <c r="J1670" t="s">
        <v>95</v>
      </c>
      <c r="K1670">
        <v>0</v>
      </c>
    </row>
    <row r="1671" spans="9:11">
      <c r="I1671" t="s">
        <v>94</v>
      </c>
      <c r="J1671" t="s">
        <v>95</v>
      </c>
      <c r="K1671">
        <v>0</v>
      </c>
    </row>
    <row r="1672" spans="9:11">
      <c r="I1672" t="s">
        <v>91</v>
      </c>
      <c r="J1672" t="s">
        <v>92</v>
      </c>
      <c r="K1672">
        <v>0</v>
      </c>
    </row>
    <row r="1673" spans="9:11">
      <c r="I1673" t="s">
        <v>94</v>
      </c>
      <c r="J1673" t="s">
        <v>95</v>
      </c>
      <c r="K1673">
        <v>0</v>
      </c>
    </row>
    <row r="1674" spans="9:11">
      <c r="I1674" t="s">
        <v>91</v>
      </c>
      <c r="J1674" t="s">
        <v>92</v>
      </c>
      <c r="K1674">
        <v>0</v>
      </c>
    </row>
    <row r="1675" spans="9:11">
      <c r="I1675" t="s">
        <v>91</v>
      </c>
      <c r="J1675" t="s">
        <v>92</v>
      </c>
      <c r="K1675">
        <v>0</v>
      </c>
    </row>
    <row r="1676" spans="9:11">
      <c r="I1676" t="s">
        <v>91</v>
      </c>
      <c r="J1676" t="s">
        <v>92</v>
      </c>
      <c r="K1676">
        <v>0</v>
      </c>
    </row>
    <row r="1677" spans="9:11">
      <c r="I1677" t="s">
        <v>94</v>
      </c>
      <c r="J1677" t="s">
        <v>95</v>
      </c>
      <c r="K1677">
        <v>0</v>
      </c>
    </row>
    <row r="1678" spans="9:11">
      <c r="I1678" t="s">
        <v>91</v>
      </c>
      <c r="J1678" t="s">
        <v>92</v>
      </c>
      <c r="K1678">
        <v>0</v>
      </c>
    </row>
    <row r="1679" spans="9:11">
      <c r="I1679" t="s">
        <v>91</v>
      </c>
      <c r="J1679" t="s">
        <v>92</v>
      </c>
      <c r="K1679">
        <v>0</v>
      </c>
    </row>
    <row r="1680" spans="9:11">
      <c r="I1680" t="s">
        <v>91</v>
      </c>
      <c r="J1680" t="s">
        <v>92</v>
      </c>
      <c r="K1680">
        <v>0</v>
      </c>
    </row>
    <row r="1681" spans="9:11">
      <c r="I1681" t="s">
        <v>91</v>
      </c>
      <c r="J1681" t="s">
        <v>92</v>
      </c>
      <c r="K1681">
        <v>0</v>
      </c>
    </row>
    <row r="1682" spans="9:11">
      <c r="I1682" t="s">
        <v>91</v>
      </c>
      <c r="J1682" t="s">
        <v>92</v>
      </c>
      <c r="K1682">
        <v>0</v>
      </c>
    </row>
    <row r="1683" spans="9:11">
      <c r="I1683" t="s">
        <v>91</v>
      </c>
      <c r="J1683" t="s">
        <v>92</v>
      </c>
      <c r="K1683">
        <v>0</v>
      </c>
    </row>
    <row r="1684" spans="9:11">
      <c r="I1684" t="s">
        <v>94</v>
      </c>
      <c r="J1684" t="s">
        <v>95</v>
      </c>
      <c r="K1684">
        <v>0</v>
      </c>
    </row>
    <row r="1685" spans="9:11">
      <c r="I1685" t="s">
        <v>91</v>
      </c>
      <c r="J1685" t="s">
        <v>92</v>
      </c>
      <c r="K1685">
        <v>0</v>
      </c>
    </row>
    <row r="1686" spans="9:11">
      <c r="I1686" t="s">
        <v>91</v>
      </c>
      <c r="J1686" t="s">
        <v>92</v>
      </c>
      <c r="K1686">
        <v>0</v>
      </c>
    </row>
    <row r="1687" spans="9:11">
      <c r="I1687" t="s">
        <v>91</v>
      </c>
      <c r="J1687" t="s">
        <v>92</v>
      </c>
      <c r="K1687">
        <v>0</v>
      </c>
    </row>
    <row r="1688" spans="9:11">
      <c r="I1688" t="s">
        <v>94</v>
      </c>
      <c r="J1688" t="s">
        <v>95</v>
      </c>
      <c r="K1688">
        <v>0</v>
      </c>
    </row>
    <row r="1689" spans="9:11">
      <c r="I1689" t="s">
        <v>91</v>
      </c>
      <c r="J1689" t="s">
        <v>92</v>
      </c>
      <c r="K1689">
        <v>0</v>
      </c>
    </row>
    <row r="1690" spans="9:11">
      <c r="I1690" t="s">
        <v>94</v>
      </c>
      <c r="J1690" t="s">
        <v>95</v>
      </c>
      <c r="K1690">
        <v>0</v>
      </c>
    </row>
    <row r="1691" spans="9:11">
      <c r="I1691" t="s">
        <v>94</v>
      </c>
      <c r="J1691" t="s">
        <v>95</v>
      </c>
      <c r="K1691">
        <v>0</v>
      </c>
    </row>
    <row r="1692" spans="9:11">
      <c r="I1692" t="s">
        <v>91</v>
      </c>
      <c r="J1692" t="s">
        <v>92</v>
      </c>
      <c r="K1692">
        <v>0</v>
      </c>
    </row>
    <row r="1693" spans="9:11">
      <c r="I1693" t="s">
        <v>91</v>
      </c>
      <c r="J1693" t="s">
        <v>92</v>
      </c>
      <c r="K1693">
        <v>0</v>
      </c>
    </row>
    <row r="1694" spans="9:11">
      <c r="I1694" t="s">
        <v>94</v>
      </c>
      <c r="J1694" t="s">
        <v>95</v>
      </c>
      <c r="K1694">
        <v>0</v>
      </c>
    </row>
    <row r="1695" spans="9:11">
      <c r="I1695" t="s">
        <v>91</v>
      </c>
      <c r="J1695" t="s">
        <v>92</v>
      </c>
      <c r="K1695">
        <v>0</v>
      </c>
    </row>
    <row r="1696" spans="9:11">
      <c r="I1696" t="s">
        <v>94</v>
      </c>
      <c r="J1696" t="s">
        <v>95</v>
      </c>
      <c r="K1696">
        <v>0</v>
      </c>
    </row>
    <row r="1697" spans="9:11">
      <c r="I1697" t="s">
        <v>94</v>
      </c>
      <c r="J1697" t="s">
        <v>95</v>
      </c>
      <c r="K1697">
        <v>0</v>
      </c>
    </row>
    <row r="1698" spans="9:11">
      <c r="I1698" t="s">
        <v>94</v>
      </c>
      <c r="J1698" t="s">
        <v>95</v>
      </c>
      <c r="K1698">
        <v>0</v>
      </c>
    </row>
    <row r="1699" spans="9:11">
      <c r="I1699" t="s">
        <v>94</v>
      </c>
      <c r="J1699" t="s">
        <v>95</v>
      </c>
      <c r="K1699">
        <v>0</v>
      </c>
    </row>
    <row r="1700" spans="9:11">
      <c r="I1700" t="s">
        <v>91</v>
      </c>
      <c r="J1700" t="s">
        <v>92</v>
      </c>
      <c r="K1700">
        <v>0</v>
      </c>
    </row>
    <row r="1701" spans="9:11">
      <c r="I1701" t="s">
        <v>94</v>
      </c>
      <c r="J1701" t="s">
        <v>95</v>
      </c>
      <c r="K1701">
        <v>0</v>
      </c>
    </row>
    <row r="1702" spans="9:11">
      <c r="I1702" t="s">
        <v>94</v>
      </c>
      <c r="J1702" t="s">
        <v>95</v>
      </c>
      <c r="K1702">
        <v>0</v>
      </c>
    </row>
    <row r="1703" spans="9:11">
      <c r="I1703" t="s">
        <v>91</v>
      </c>
      <c r="J1703" t="s">
        <v>92</v>
      </c>
      <c r="K1703">
        <v>0</v>
      </c>
    </row>
    <row r="1704" spans="9:11">
      <c r="I1704" t="s">
        <v>94</v>
      </c>
      <c r="J1704" t="s">
        <v>95</v>
      </c>
      <c r="K1704">
        <v>0</v>
      </c>
    </row>
    <row r="1705" spans="9:11">
      <c r="I1705" t="s">
        <v>94</v>
      </c>
      <c r="J1705" t="s">
        <v>95</v>
      </c>
      <c r="K1705">
        <v>0</v>
      </c>
    </row>
    <row r="1706" spans="9:11">
      <c r="I1706" t="s">
        <v>91</v>
      </c>
      <c r="J1706" t="s">
        <v>92</v>
      </c>
      <c r="K1706">
        <v>0</v>
      </c>
    </row>
    <row r="1707" spans="9:11">
      <c r="I1707" t="s">
        <v>94</v>
      </c>
      <c r="J1707" t="s">
        <v>95</v>
      </c>
      <c r="K1707">
        <v>0</v>
      </c>
    </row>
    <row r="1708" spans="9:11">
      <c r="I1708" t="s">
        <v>91</v>
      </c>
      <c r="J1708" t="s">
        <v>92</v>
      </c>
      <c r="K1708">
        <v>0</v>
      </c>
    </row>
    <row r="1709" spans="9:11">
      <c r="I1709" t="s">
        <v>94</v>
      </c>
      <c r="J1709" t="s">
        <v>95</v>
      </c>
      <c r="K1709">
        <v>0</v>
      </c>
    </row>
    <row r="1710" spans="9:11">
      <c r="I1710" t="s">
        <v>91</v>
      </c>
      <c r="J1710" t="s">
        <v>92</v>
      </c>
      <c r="K1710">
        <v>0</v>
      </c>
    </row>
    <row r="1711" spans="9:11">
      <c r="I1711" t="s">
        <v>91</v>
      </c>
      <c r="J1711" t="s">
        <v>92</v>
      </c>
      <c r="K1711">
        <v>0</v>
      </c>
    </row>
    <row r="1712" spans="9:11">
      <c r="I1712" t="s">
        <v>94</v>
      </c>
      <c r="J1712" t="s">
        <v>95</v>
      </c>
      <c r="K1712">
        <v>0</v>
      </c>
    </row>
    <row r="1713" spans="9:11">
      <c r="I1713" t="s">
        <v>94</v>
      </c>
      <c r="J1713" t="s">
        <v>95</v>
      </c>
      <c r="K1713">
        <v>0</v>
      </c>
    </row>
    <row r="1714" spans="9:11">
      <c r="I1714" t="s">
        <v>91</v>
      </c>
      <c r="J1714" t="s">
        <v>92</v>
      </c>
      <c r="K1714">
        <v>0</v>
      </c>
    </row>
    <row r="1715" spans="9:11">
      <c r="I1715" t="s">
        <v>94</v>
      </c>
      <c r="J1715" t="s">
        <v>95</v>
      </c>
      <c r="K1715">
        <v>0</v>
      </c>
    </row>
    <row r="1716" spans="9:11">
      <c r="I1716" t="s">
        <v>91</v>
      </c>
      <c r="J1716" t="s">
        <v>92</v>
      </c>
      <c r="K1716">
        <v>1</v>
      </c>
    </row>
    <row r="1717" spans="9:11">
      <c r="I1717" t="s">
        <v>94</v>
      </c>
      <c r="J1717" t="s">
        <v>95</v>
      </c>
      <c r="K1717">
        <v>0</v>
      </c>
    </row>
    <row r="1718" spans="9:11">
      <c r="I1718" t="s">
        <v>94</v>
      </c>
      <c r="J1718" t="s">
        <v>95</v>
      </c>
      <c r="K1718">
        <v>0</v>
      </c>
    </row>
    <row r="1719" spans="9:11">
      <c r="I1719" t="s">
        <v>94</v>
      </c>
      <c r="J1719" t="s">
        <v>95</v>
      </c>
      <c r="K1719">
        <v>0</v>
      </c>
    </row>
    <row r="1720" spans="9:11">
      <c r="I1720" t="s">
        <v>91</v>
      </c>
      <c r="J1720" t="s">
        <v>92</v>
      </c>
      <c r="K1720">
        <v>0</v>
      </c>
    </row>
    <row r="1721" spans="9:11">
      <c r="I1721" t="s">
        <v>94</v>
      </c>
      <c r="J1721" t="s">
        <v>95</v>
      </c>
      <c r="K1721">
        <v>0</v>
      </c>
    </row>
    <row r="1722" spans="9:11">
      <c r="I1722" t="s">
        <v>91</v>
      </c>
      <c r="J1722" t="s">
        <v>92</v>
      </c>
      <c r="K1722">
        <v>0</v>
      </c>
    </row>
    <row r="1723" spans="9:11">
      <c r="I1723" t="s">
        <v>94</v>
      </c>
      <c r="J1723" t="s">
        <v>95</v>
      </c>
      <c r="K1723">
        <v>0</v>
      </c>
    </row>
    <row r="1724" spans="9:11">
      <c r="I1724" t="s">
        <v>91</v>
      </c>
      <c r="J1724" t="s">
        <v>92</v>
      </c>
      <c r="K1724">
        <v>0</v>
      </c>
    </row>
    <row r="1725" spans="9:11">
      <c r="I1725" t="s">
        <v>94</v>
      </c>
      <c r="J1725" t="s">
        <v>95</v>
      </c>
      <c r="K1725">
        <v>0</v>
      </c>
    </row>
    <row r="1726" spans="9:11">
      <c r="I1726" t="s">
        <v>91</v>
      </c>
      <c r="J1726" t="s">
        <v>92</v>
      </c>
      <c r="K1726">
        <v>0</v>
      </c>
    </row>
    <row r="1727" spans="9:11">
      <c r="I1727" t="s">
        <v>91</v>
      </c>
      <c r="J1727" t="s">
        <v>92</v>
      </c>
      <c r="K1727">
        <v>0</v>
      </c>
    </row>
    <row r="1728" spans="9:11">
      <c r="I1728" t="s">
        <v>94</v>
      </c>
      <c r="J1728" t="s">
        <v>95</v>
      </c>
      <c r="K1728">
        <v>0</v>
      </c>
    </row>
    <row r="1729" spans="9:11">
      <c r="I1729" t="s">
        <v>91</v>
      </c>
      <c r="J1729" t="s">
        <v>92</v>
      </c>
      <c r="K1729">
        <v>0</v>
      </c>
    </row>
    <row r="1730" spans="9:11">
      <c r="I1730" t="s">
        <v>94</v>
      </c>
      <c r="J1730" t="s">
        <v>95</v>
      </c>
      <c r="K1730">
        <v>0</v>
      </c>
    </row>
    <row r="1731" spans="9:11">
      <c r="I1731" t="s">
        <v>94</v>
      </c>
      <c r="J1731" t="s">
        <v>95</v>
      </c>
      <c r="K1731">
        <v>0</v>
      </c>
    </row>
    <row r="1732" spans="9:11">
      <c r="I1732" t="s">
        <v>91</v>
      </c>
      <c r="J1732" t="s">
        <v>92</v>
      </c>
      <c r="K1732">
        <v>0</v>
      </c>
    </row>
    <row r="1733" spans="9:11">
      <c r="I1733" t="s">
        <v>91</v>
      </c>
      <c r="J1733" t="s">
        <v>92</v>
      </c>
      <c r="K1733">
        <v>0</v>
      </c>
    </row>
    <row r="1734" spans="9:11">
      <c r="I1734" t="s">
        <v>94</v>
      </c>
      <c r="J1734" t="s">
        <v>95</v>
      </c>
      <c r="K1734">
        <v>0</v>
      </c>
    </row>
    <row r="1735" spans="9:11">
      <c r="I1735" t="s">
        <v>94</v>
      </c>
      <c r="J1735" t="s">
        <v>95</v>
      </c>
      <c r="K1735">
        <v>0</v>
      </c>
    </row>
    <row r="1736" spans="9:11">
      <c r="I1736" t="s">
        <v>91</v>
      </c>
      <c r="J1736" t="s">
        <v>92</v>
      </c>
      <c r="K1736">
        <v>0</v>
      </c>
    </row>
    <row r="1737" spans="9:11">
      <c r="I1737" t="s">
        <v>91</v>
      </c>
      <c r="J1737" t="s">
        <v>92</v>
      </c>
      <c r="K1737">
        <v>0</v>
      </c>
    </row>
    <row r="1738" spans="9:11">
      <c r="I1738" t="s">
        <v>94</v>
      </c>
      <c r="J1738" t="s">
        <v>95</v>
      </c>
      <c r="K1738">
        <v>0</v>
      </c>
    </row>
    <row r="1739" spans="9:11">
      <c r="I1739" t="s">
        <v>91</v>
      </c>
      <c r="J1739" t="s">
        <v>92</v>
      </c>
      <c r="K1739">
        <v>0</v>
      </c>
    </row>
    <row r="1740" spans="9:11">
      <c r="I1740" t="s">
        <v>94</v>
      </c>
      <c r="J1740" t="s">
        <v>95</v>
      </c>
      <c r="K1740">
        <v>0</v>
      </c>
    </row>
    <row r="1741" spans="9:11">
      <c r="I1741" t="s">
        <v>94</v>
      </c>
      <c r="J1741" t="s">
        <v>95</v>
      </c>
      <c r="K1741">
        <v>0</v>
      </c>
    </row>
    <row r="1742" spans="9:11">
      <c r="I1742" t="s">
        <v>94</v>
      </c>
      <c r="J1742" t="s">
        <v>95</v>
      </c>
      <c r="K1742">
        <v>0</v>
      </c>
    </row>
    <row r="1743" spans="9:11">
      <c r="I1743" t="s">
        <v>91</v>
      </c>
      <c r="J1743" t="s">
        <v>92</v>
      </c>
      <c r="K1743">
        <v>0</v>
      </c>
    </row>
    <row r="1744" spans="9:11">
      <c r="I1744" t="s">
        <v>94</v>
      </c>
      <c r="J1744" t="s">
        <v>95</v>
      </c>
      <c r="K1744">
        <v>0</v>
      </c>
    </row>
    <row r="1745" spans="9:11">
      <c r="I1745" t="s">
        <v>94</v>
      </c>
      <c r="J1745" t="s">
        <v>95</v>
      </c>
      <c r="K1745">
        <v>1</v>
      </c>
    </row>
    <row r="1746" spans="9:11">
      <c r="I1746" t="s">
        <v>94</v>
      </c>
      <c r="J1746" t="s">
        <v>95</v>
      </c>
      <c r="K1746">
        <v>0</v>
      </c>
    </row>
    <row r="1747" spans="9:11">
      <c r="I1747" t="s">
        <v>91</v>
      </c>
      <c r="J1747" t="s">
        <v>92</v>
      </c>
      <c r="K1747">
        <v>0</v>
      </c>
    </row>
    <row r="1748" spans="9:11">
      <c r="I1748" t="s">
        <v>94</v>
      </c>
      <c r="J1748" t="s">
        <v>95</v>
      </c>
      <c r="K1748">
        <v>0</v>
      </c>
    </row>
    <row r="1749" spans="9:11">
      <c r="I1749" t="s">
        <v>91</v>
      </c>
      <c r="J1749" t="s">
        <v>92</v>
      </c>
      <c r="K1749">
        <v>0</v>
      </c>
    </row>
    <row r="1750" spans="9:11">
      <c r="I1750" t="s">
        <v>94</v>
      </c>
      <c r="J1750" t="s">
        <v>95</v>
      </c>
      <c r="K1750">
        <v>0</v>
      </c>
    </row>
    <row r="1751" spans="9:11">
      <c r="I1751" t="s">
        <v>91</v>
      </c>
      <c r="J1751" t="s">
        <v>92</v>
      </c>
      <c r="K1751">
        <v>0</v>
      </c>
    </row>
    <row r="1752" spans="9:11">
      <c r="I1752" t="s">
        <v>94</v>
      </c>
      <c r="J1752" t="s">
        <v>95</v>
      </c>
      <c r="K1752">
        <v>0</v>
      </c>
    </row>
    <row r="1753" spans="9:11">
      <c r="I1753" t="s">
        <v>91</v>
      </c>
      <c r="J1753" t="s">
        <v>92</v>
      </c>
      <c r="K1753">
        <v>0</v>
      </c>
    </row>
    <row r="1754" spans="9:11">
      <c r="I1754" t="s">
        <v>91</v>
      </c>
      <c r="J1754" t="s">
        <v>92</v>
      </c>
      <c r="K1754">
        <v>0</v>
      </c>
    </row>
    <row r="1755" spans="9:11">
      <c r="I1755" t="s">
        <v>91</v>
      </c>
      <c r="J1755" t="s">
        <v>92</v>
      </c>
      <c r="K1755">
        <v>0</v>
      </c>
    </row>
    <row r="1756" spans="9:11">
      <c r="I1756" t="s">
        <v>94</v>
      </c>
      <c r="J1756" t="s">
        <v>95</v>
      </c>
      <c r="K1756">
        <v>0</v>
      </c>
    </row>
    <row r="1757" spans="9:11">
      <c r="I1757" t="s">
        <v>91</v>
      </c>
      <c r="J1757" t="s">
        <v>92</v>
      </c>
      <c r="K1757">
        <v>0</v>
      </c>
    </row>
    <row r="1758" spans="9:11">
      <c r="I1758" t="s">
        <v>91</v>
      </c>
      <c r="J1758" t="s">
        <v>92</v>
      </c>
      <c r="K1758">
        <v>0</v>
      </c>
    </row>
    <row r="1759" spans="9:11">
      <c r="I1759" t="s">
        <v>91</v>
      </c>
      <c r="J1759" t="s">
        <v>92</v>
      </c>
      <c r="K1759">
        <v>0</v>
      </c>
    </row>
    <row r="1760" spans="9:11">
      <c r="I1760" t="s">
        <v>94</v>
      </c>
      <c r="J1760" t="s">
        <v>95</v>
      </c>
      <c r="K1760">
        <v>0</v>
      </c>
    </row>
    <row r="1761" spans="9:11">
      <c r="I1761" t="s">
        <v>91</v>
      </c>
      <c r="J1761" t="s">
        <v>92</v>
      </c>
      <c r="K1761">
        <v>0</v>
      </c>
    </row>
    <row r="1762" spans="9:11">
      <c r="I1762" t="s">
        <v>91</v>
      </c>
      <c r="J1762" t="s">
        <v>92</v>
      </c>
      <c r="K1762">
        <v>0</v>
      </c>
    </row>
    <row r="1763" spans="9:11">
      <c r="I1763" t="s">
        <v>91</v>
      </c>
      <c r="J1763" t="s">
        <v>92</v>
      </c>
      <c r="K1763">
        <v>0</v>
      </c>
    </row>
    <row r="1764" spans="9:11">
      <c r="I1764" t="s">
        <v>94</v>
      </c>
      <c r="J1764" t="s">
        <v>95</v>
      </c>
      <c r="K1764">
        <v>0</v>
      </c>
    </row>
    <row r="1765" spans="9:11">
      <c r="I1765" t="s">
        <v>91</v>
      </c>
      <c r="J1765" t="s">
        <v>92</v>
      </c>
      <c r="K1765">
        <v>0</v>
      </c>
    </row>
    <row r="1766" spans="9:11">
      <c r="I1766" t="s">
        <v>94</v>
      </c>
      <c r="J1766" t="s">
        <v>95</v>
      </c>
      <c r="K1766">
        <v>0</v>
      </c>
    </row>
    <row r="1767" spans="9:11">
      <c r="I1767" t="s">
        <v>91</v>
      </c>
      <c r="J1767" t="s">
        <v>92</v>
      </c>
      <c r="K1767">
        <v>0</v>
      </c>
    </row>
    <row r="1768" spans="9:11">
      <c r="I1768" t="s">
        <v>91</v>
      </c>
      <c r="J1768" t="s">
        <v>92</v>
      </c>
      <c r="K1768">
        <v>0</v>
      </c>
    </row>
    <row r="1769" spans="9:11">
      <c r="I1769" t="s">
        <v>91</v>
      </c>
      <c r="J1769" t="s">
        <v>92</v>
      </c>
      <c r="K1769">
        <v>0</v>
      </c>
    </row>
    <row r="1770" spans="9:11">
      <c r="I1770" t="s">
        <v>94</v>
      </c>
      <c r="J1770" t="s">
        <v>95</v>
      </c>
      <c r="K1770">
        <v>0</v>
      </c>
    </row>
    <row r="1771" spans="9:11">
      <c r="I1771" t="s">
        <v>91</v>
      </c>
      <c r="J1771" t="s">
        <v>92</v>
      </c>
      <c r="K1771">
        <v>0</v>
      </c>
    </row>
    <row r="1772" spans="9:11">
      <c r="I1772" t="s">
        <v>91</v>
      </c>
      <c r="J1772" t="s">
        <v>92</v>
      </c>
      <c r="K1772">
        <v>0</v>
      </c>
    </row>
    <row r="1773" spans="9:11">
      <c r="I1773" t="s">
        <v>91</v>
      </c>
      <c r="J1773" t="s">
        <v>92</v>
      </c>
      <c r="K1773">
        <v>1</v>
      </c>
    </row>
    <row r="1774" spans="9:11">
      <c r="I1774" t="s">
        <v>94</v>
      </c>
      <c r="J1774" t="s">
        <v>95</v>
      </c>
      <c r="K1774">
        <v>0</v>
      </c>
    </row>
    <row r="1775" spans="9:11">
      <c r="I1775" t="s">
        <v>94</v>
      </c>
      <c r="J1775" t="s">
        <v>95</v>
      </c>
      <c r="K1775">
        <v>0</v>
      </c>
    </row>
    <row r="1776" spans="9:11">
      <c r="I1776" t="s">
        <v>91</v>
      </c>
      <c r="J1776" t="s">
        <v>92</v>
      </c>
      <c r="K1776">
        <v>0</v>
      </c>
    </row>
    <row r="1777" spans="9:11">
      <c r="I1777" t="s">
        <v>94</v>
      </c>
      <c r="J1777" t="s">
        <v>95</v>
      </c>
      <c r="K1777">
        <v>0</v>
      </c>
    </row>
    <row r="1778" spans="9:11">
      <c r="I1778" t="s">
        <v>91</v>
      </c>
      <c r="J1778" t="s">
        <v>92</v>
      </c>
      <c r="K1778">
        <v>0</v>
      </c>
    </row>
    <row r="1779" spans="9:11">
      <c r="I1779" t="s">
        <v>94</v>
      </c>
      <c r="J1779" t="s">
        <v>95</v>
      </c>
      <c r="K1779">
        <v>0</v>
      </c>
    </row>
    <row r="1780" spans="9:11">
      <c r="I1780" t="s">
        <v>91</v>
      </c>
      <c r="J1780" t="s">
        <v>92</v>
      </c>
      <c r="K1780">
        <v>0</v>
      </c>
    </row>
    <row r="1781" spans="9:11">
      <c r="I1781" t="s">
        <v>94</v>
      </c>
      <c r="J1781" t="s">
        <v>95</v>
      </c>
      <c r="K1781">
        <v>0</v>
      </c>
    </row>
    <row r="1782" spans="9:11">
      <c r="I1782" t="s">
        <v>94</v>
      </c>
      <c r="J1782" t="s">
        <v>95</v>
      </c>
      <c r="K1782">
        <v>0</v>
      </c>
    </row>
    <row r="1783" spans="9:11">
      <c r="I1783" t="s">
        <v>94</v>
      </c>
      <c r="J1783" t="s">
        <v>95</v>
      </c>
      <c r="K1783">
        <v>0</v>
      </c>
    </row>
    <row r="1784" spans="9:11">
      <c r="I1784" t="s">
        <v>91</v>
      </c>
      <c r="J1784" t="s">
        <v>92</v>
      </c>
      <c r="K1784">
        <v>0</v>
      </c>
    </row>
    <row r="1785" spans="9:11">
      <c r="I1785" t="s">
        <v>94</v>
      </c>
      <c r="J1785" t="s">
        <v>95</v>
      </c>
      <c r="K1785">
        <v>0</v>
      </c>
    </row>
    <row r="1786" spans="9:11">
      <c r="I1786" t="s">
        <v>94</v>
      </c>
      <c r="J1786" t="s">
        <v>95</v>
      </c>
      <c r="K1786">
        <v>0</v>
      </c>
    </row>
    <row r="1787" spans="9:11">
      <c r="I1787" t="s">
        <v>91</v>
      </c>
      <c r="J1787" t="s">
        <v>92</v>
      </c>
      <c r="K1787">
        <v>0</v>
      </c>
    </row>
    <row r="1788" spans="9:11">
      <c r="I1788" t="s">
        <v>91</v>
      </c>
      <c r="J1788" t="s">
        <v>92</v>
      </c>
      <c r="K1788">
        <v>0</v>
      </c>
    </row>
    <row r="1789" spans="9:11">
      <c r="I1789" t="s">
        <v>94</v>
      </c>
      <c r="J1789" t="s">
        <v>95</v>
      </c>
      <c r="K1789">
        <v>0</v>
      </c>
    </row>
    <row r="1790" spans="9:11">
      <c r="I1790" t="s">
        <v>91</v>
      </c>
      <c r="J1790" t="s">
        <v>92</v>
      </c>
      <c r="K1790">
        <v>0</v>
      </c>
    </row>
    <row r="1791" spans="9:11">
      <c r="I1791" t="s">
        <v>94</v>
      </c>
      <c r="J1791" t="s">
        <v>95</v>
      </c>
      <c r="K1791">
        <v>0</v>
      </c>
    </row>
    <row r="1792" spans="9:11">
      <c r="I1792" t="s">
        <v>94</v>
      </c>
      <c r="J1792" t="s">
        <v>95</v>
      </c>
      <c r="K1792">
        <v>0</v>
      </c>
    </row>
    <row r="1793" spans="9:11">
      <c r="I1793" t="s">
        <v>94</v>
      </c>
      <c r="J1793" t="s">
        <v>95</v>
      </c>
      <c r="K1793">
        <v>0</v>
      </c>
    </row>
    <row r="1794" spans="9:11">
      <c r="I1794" t="s">
        <v>94</v>
      </c>
      <c r="J1794" t="s">
        <v>95</v>
      </c>
      <c r="K1794">
        <v>0</v>
      </c>
    </row>
    <row r="1795" spans="9:11">
      <c r="I1795" t="s">
        <v>94</v>
      </c>
      <c r="J1795" t="s">
        <v>95</v>
      </c>
      <c r="K1795">
        <v>0</v>
      </c>
    </row>
    <row r="1796" spans="9:11">
      <c r="I1796" t="s">
        <v>94</v>
      </c>
      <c r="J1796" t="s">
        <v>95</v>
      </c>
      <c r="K1796">
        <v>0</v>
      </c>
    </row>
    <row r="1797" spans="9:11">
      <c r="I1797" t="s">
        <v>94</v>
      </c>
      <c r="J1797" t="s">
        <v>95</v>
      </c>
      <c r="K1797">
        <v>0</v>
      </c>
    </row>
    <row r="1798" spans="9:11">
      <c r="I1798" t="s">
        <v>91</v>
      </c>
      <c r="J1798" t="s">
        <v>92</v>
      </c>
      <c r="K1798">
        <v>0</v>
      </c>
    </row>
    <row r="1799" spans="9:11">
      <c r="I1799" t="s">
        <v>94</v>
      </c>
      <c r="J1799" t="s">
        <v>95</v>
      </c>
      <c r="K1799">
        <v>0</v>
      </c>
    </row>
    <row r="1800" spans="9:11">
      <c r="I1800" t="s">
        <v>94</v>
      </c>
      <c r="J1800" t="s">
        <v>95</v>
      </c>
      <c r="K1800">
        <v>0</v>
      </c>
    </row>
    <row r="1801" spans="9:11">
      <c r="I1801" t="s">
        <v>94</v>
      </c>
      <c r="J1801" t="s">
        <v>95</v>
      </c>
      <c r="K1801">
        <v>0</v>
      </c>
    </row>
    <row r="1802" spans="9:11">
      <c r="I1802" t="s">
        <v>91</v>
      </c>
      <c r="J1802" t="s">
        <v>92</v>
      </c>
      <c r="K1802">
        <v>0</v>
      </c>
    </row>
    <row r="1803" spans="9:11">
      <c r="I1803" t="s">
        <v>91</v>
      </c>
      <c r="J1803" t="s">
        <v>92</v>
      </c>
      <c r="K1803">
        <v>0</v>
      </c>
    </row>
    <row r="1804" spans="9:11">
      <c r="I1804" t="s">
        <v>94</v>
      </c>
      <c r="J1804" t="s">
        <v>95</v>
      </c>
      <c r="K1804">
        <v>0</v>
      </c>
    </row>
    <row r="1805" spans="9:11">
      <c r="I1805" t="s">
        <v>91</v>
      </c>
      <c r="J1805" t="s">
        <v>92</v>
      </c>
      <c r="K1805">
        <v>0</v>
      </c>
    </row>
    <row r="1806" spans="9:11">
      <c r="I1806" t="s">
        <v>91</v>
      </c>
      <c r="J1806" t="s">
        <v>92</v>
      </c>
      <c r="K1806">
        <v>0</v>
      </c>
    </row>
    <row r="1807" spans="9:11">
      <c r="I1807" t="s">
        <v>91</v>
      </c>
      <c r="J1807" t="s">
        <v>92</v>
      </c>
      <c r="K1807">
        <v>0</v>
      </c>
    </row>
    <row r="1808" spans="9:11">
      <c r="I1808" t="s">
        <v>91</v>
      </c>
      <c r="J1808" t="s">
        <v>92</v>
      </c>
      <c r="K1808">
        <v>0</v>
      </c>
    </row>
    <row r="1809" spans="9:11">
      <c r="I1809" t="s">
        <v>91</v>
      </c>
      <c r="J1809" t="s">
        <v>92</v>
      </c>
      <c r="K1809">
        <v>0</v>
      </c>
    </row>
    <row r="1810" spans="9:11">
      <c r="I1810" t="s">
        <v>94</v>
      </c>
      <c r="J1810" t="s">
        <v>95</v>
      </c>
      <c r="K1810">
        <v>0</v>
      </c>
    </row>
    <row r="1811" spans="9:11">
      <c r="I1811" t="s">
        <v>91</v>
      </c>
      <c r="J1811" t="s">
        <v>92</v>
      </c>
      <c r="K1811">
        <v>0</v>
      </c>
    </row>
    <row r="1812" spans="9:11">
      <c r="I1812" t="s">
        <v>94</v>
      </c>
      <c r="J1812" t="s">
        <v>95</v>
      </c>
      <c r="K1812">
        <v>0</v>
      </c>
    </row>
    <row r="1813" spans="9:11">
      <c r="I1813" t="s">
        <v>94</v>
      </c>
      <c r="J1813" t="s">
        <v>95</v>
      </c>
      <c r="K1813">
        <v>0</v>
      </c>
    </row>
    <row r="1814" spans="9:11">
      <c r="I1814" t="s">
        <v>94</v>
      </c>
      <c r="J1814" t="s">
        <v>95</v>
      </c>
      <c r="K1814">
        <v>0</v>
      </c>
    </row>
    <row r="1815" spans="9:11">
      <c r="I1815" t="s">
        <v>91</v>
      </c>
      <c r="J1815" t="s">
        <v>92</v>
      </c>
      <c r="K1815">
        <v>0</v>
      </c>
    </row>
    <row r="1816" spans="9:11">
      <c r="I1816" t="s">
        <v>91</v>
      </c>
      <c r="J1816" t="s">
        <v>92</v>
      </c>
      <c r="K1816">
        <v>0</v>
      </c>
    </row>
    <row r="1817" spans="9:11">
      <c r="I1817" t="s">
        <v>94</v>
      </c>
      <c r="J1817" t="s">
        <v>95</v>
      </c>
      <c r="K1817">
        <v>0</v>
      </c>
    </row>
    <row r="1818" spans="9:11">
      <c r="I1818" t="s">
        <v>94</v>
      </c>
      <c r="J1818" t="s">
        <v>95</v>
      </c>
      <c r="K1818">
        <v>0</v>
      </c>
    </row>
    <row r="1819" spans="9:11">
      <c r="I1819" t="s">
        <v>91</v>
      </c>
      <c r="J1819" t="s">
        <v>92</v>
      </c>
      <c r="K1819">
        <v>0</v>
      </c>
    </row>
    <row r="1820" spans="9:11">
      <c r="I1820" t="s">
        <v>94</v>
      </c>
      <c r="J1820" t="s">
        <v>95</v>
      </c>
      <c r="K1820">
        <v>0</v>
      </c>
    </row>
    <row r="1821" spans="9:11">
      <c r="I1821" t="s">
        <v>91</v>
      </c>
      <c r="J1821" t="s">
        <v>92</v>
      </c>
      <c r="K1821">
        <v>0</v>
      </c>
    </row>
    <row r="1822" spans="9:11">
      <c r="I1822" t="s">
        <v>94</v>
      </c>
      <c r="J1822" t="s">
        <v>95</v>
      </c>
      <c r="K1822">
        <v>0</v>
      </c>
    </row>
    <row r="1823" spans="9:11">
      <c r="I1823" t="s">
        <v>91</v>
      </c>
      <c r="J1823" t="s">
        <v>92</v>
      </c>
      <c r="K1823">
        <v>0</v>
      </c>
    </row>
    <row r="1824" spans="9:11">
      <c r="I1824" t="s">
        <v>94</v>
      </c>
      <c r="J1824" t="s">
        <v>95</v>
      </c>
      <c r="K1824">
        <v>0</v>
      </c>
    </row>
    <row r="1825" spans="9:11">
      <c r="I1825" t="s">
        <v>94</v>
      </c>
      <c r="J1825" t="s">
        <v>95</v>
      </c>
      <c r="K1825">
        <v>0</v>
      </c>
    </row>
    <row r="1826" spans="9:11">
      <c r="I1826" t="s">
        <v>94</v>
      </c>
      <c r="J1826" t="s">
        <v>95</v>
      </c>
      <c r="K1826">
        <v>0</v>
      </c>
    </row>
    <row r="1827" spans="9:11">
      <c r="I1827" t="s">
        <v>94</v>
      </c>
      <c r="J1827" t="s">
        <v>95</v>
      </c>
      <c r="K1827">
        <v>0</v>
      </c>
    </row>
    <row r="1828" spans="9:11">
      <c r="I1828" t="s">
        <v>94</v>
      </c>
      <c r="J1828" t="s">
        <v>95</v>
      </c>
      <c r="K1828">
        <v>0</v>
      </c>
    </row>
    <row r="1829" spans="9:11">
      <c r="I1829" t="s">
        <v>94</v>
      </c>
      <c r="J1829" t="s">
        <v>95</v>
      </c>
      <c r="K1829">
        <v>0</v>
      </c>
    </row>
    <row r="1830" spans="9:11">
      <c r="I1830" t="s">
        <v>94</v>
      </c>
      <c r="J1830" t="s">
        <v>95</v>
      </c>
      <c r="K1830">
        <v>0</v>
      </c>
    </row>
    <row r="1831" spans="9:11">
      <c r="I1831" t="s">
        <v>94</v>
      </c>
      <c r="J1831" t="s">
        <v>95</v>
      </c>
      <c r="K1831">
        <v>0</v>
      </c>
    </row>
    <row r="1832" spans="9:11">
      <c r="I1832" t="s">
        <v>94</v>
      </c>
      <c r="J1832" t="s">
        <v>95</v>
      </c>
      <c r="K1832">
        <v>0</v>
      </c>
    </row>
    <row r="1833" spans="9:11">
      <c r="I1833" t="s">
        <v>91</v>
      </c>
      <c r="J1833" t="s">
        <v>92</v>
      </c>
      <c r="K1833">
        <v>0</v>
      </c>
    </row>
    <row r="1834" spans="9:11">
      <c r="I1834" t="s">
        <v>91</v>
      </c>
      <c r="J1834" t="s">
        <v>92</v>
      </c>
      <c r="K1834">
        <v>0</v>
      </c>
    </row>
    <row r="1835" spans="9:11">
      <c r="I1835" t="s">
        <v>91</v>
      </c>
      <c r="J1835" t="s">
        <v>92</v>
      </c>
      <c r="K1835">
        <v>0</v>
      </c>
    </row>
    <row r="1836" spans="9:11">
      <c r="I1836" t="s">
        <v>94</v>
      </c>
      <c r="J1836" t="s">
        <v>95</v>
      </c>
      <c r="K1836">
        <v>0</v>
      </c>
    </row>
    <row r="1837" spans="9:11">
      <c r="I1837" t="s">
        <v>91</v>
      </c>
      <c r="J1837" t="s">
        <v>92</v>
      </c>
      <c r="K1837">
        <v>0</v>
      </c>
    </row>
    <row r="1838" spans="9:11">
      <c r="I1838" t="s">
        <v>94</v>
      </c>
      <c r="J1838" t="s">
        <v>95</v>
      </c>
      <c r="K1838">
        <v>0</v>
      </c>
    </row>
    <row r="1839" spans="9:11">
      <c r="I1839" t="s">
        <v>94</v>
      </c>
      <c r="J1839" t="s">
        <v>95</v>
      </c>
      <c r="K1839">
        <v>0</v>
      </c>
    </row>
    <row r="1840" spans="9:11">
      <c r="I1840" t="s">
        <v>91</v>
      </c>
      <c r="J1840" t="s">
        <v>92</v>
      </c>
      <c r="K1840">
        <v>0</v>
      </c>
    </row>
    <row r="1841" spans="9:11">
      <c r="I1841" t="s">
        <v>91</v>
      </c>
      <c r="J1841" t="s">
        <v>92</v>
      </c>
      <c r="K1841">
        <v>0</v>
      </c>
    </row>
    <row r="1842" spans="9:11">
      <c r="I1842" t="s">
        <v>91</v>
      </c>
      <c r="J1842" t="s">
        <v>92</v>
      </c>
      <c r="K1842">
        <v>0</v>
      </c>
    </row>
    <row r="1843" spans="9:11">
      <c r="I1843" t="s">
        <v>91</v>
      </c>
      <c r="J1843" t="s">
        <v>92</v>
      </c>
      <c r="K1843">
        <v>0</v>
      </c>
    </row>
    <row r="1844" spans="9:11">
      <c r="I1844" t="s">
        <v>91</v>
      </c>
      <c r="J1844" t="s">
        <v>92</v>
      </c>
      <c r="K1844">
        <v>0</v>
      </c>
    </row>
    <row r="1845" spans="9:11">
      <c r="I1845" t="s">
        <v>91</v>
      </c>
      <c r="J1845" t="s">
        <v>92</v>
      </c>
      <c r="K1845">
        <v>0</v>
      </c>
    </row>
    <row r="1846" spans="9:11">
      <c r="I1846" t="s">
        <v>94</v>
      </c>
      <c r="J1846" t="s">
        <v>95</v>
      </c>
      <c r="K1846">
        <v>0</v>
      </c>
    </row>
    <row r="1847" spans="9:11">
      <c r="I1847" t="s">
        <v>94</v>
      </c>
      <c r="J1847" t="s">
        <v>95</v>
      </c>
      <c r="K1847">
        <v>0</v>
      </c>
    </row>
    <row r="1848" spans="9:11">
      <c r="I1848" t="s">
        <v>91</v>
      </c>
      <c r="J1848" t="s">
        <v>92</v>
      </c>
      <c r="K1848">
        <v>0</v>
      </c>
    </row>
    <row r="1849" spans="9:11">
      <c r="I1849" t="s">
        <v>91</v>
      </c>
      <c r="J1849" t="s">
        <v>92</v>
      </c>
      <c r="K1849">
        <v>0</v>
      </c>
    </row>
    <row r="1850" spans="9:11">
      <c r="I1850" t="s">
        <v>91</v>
      </c>
      <c r="J1850" t="s">
        <v>92</v>
      </c>
      <c r="K1850">
        <v>0</v>
      </c>
    </row>
    <row r="1851" spans="9:11">
      <c r="I1851" t="s">
        <v>91</v>
      </c>
      <c r="J1851" t="s">
        <v>92</v>
      </c>
      <c r="K1851">
        <v>0</v>
      </c>
    </row>
    <row r="1852" spans="9:11">
      <c r="I1852" t="s">
        <v>91</v>
      </c>
      <c r="J1852" t="s">
        <v>92</v>
      </c>
      <c r="K1852">
        <v>0</v>
      </c>
    </row>
    <row r="1853" spans="9:11">
      <c r="I1853" t="s">
        <v>91</v>
      </c>
      <c r="J1853" t="s">
        <v>92</v>
      </c>
      <c r="K1853">
        <v>0</v>
      </c>
    </row>
    <row r="1854" spans="9:11">
      <c r="I1854" t="s">
        <v>94</v>
      </c>
      <c r="J1854" t="s">
        <v>95</v>
      </c>
      <c r="K1854">
        <v>0</v>
      </c>
    </row>
    <row r="1855" spans="9:11">
      <c r="I1855" t="s">
        <v>91</v>
      </c>
      <c r="J1855" t="s">
        <v>92</v>
      </c>
      <c r="K1855">
        <v>0</v>
      </c>
    </row>
    <row r="1856" spans="9:11">
      <c r="I1856" t="s">
        <v>91</v>
      </c>
      <c r="J1856" t="s">
        <v>92</v>
      </c>
      <c r="K1856">
        <v>0</v>
      </c>
    </row>
    <row r="1857" spans="9:11">
      <c r="I1857" t="s">
        <v>94</v>
      </c>
      <c r="J1857" t="s">
        <v>95</v>
      </c>
      <c r="K1857">
        <v>0</v>
      </c>
    </row>
    <row r="1858" spans="9:11">
      <c r="I1858" t="s">
        <v>91</v>
      </c>
      <c r="J1858" t="s">
        <v>92</v>
      </c>
      <c r="K1858">
        <v>0</v>
      </c>
    </row>
    <row r="1859" spans="9:11">
      <c r="I1859" t="s">
        <v>91</v>
      </c>
      <c r="J1859" t="s">
        <v>92</v>
      </c>
      <c r="K1859">
        <v>0</v>
      </c>
    </row>
    <row r="1860" spans="9:11">
      <c r="I1860" t="s">
        <v>91</v>
      </c>
      <c r="J1860" t="s">
        <v>92</v>
      </c>
      <c r="K1860">
        <v>0</v>
      </c>
    </row>
    <row r="1861" spans="9:11">
      <c r="I1861" t="s">
        <v>91</v>
      </c>
      <c r="J1861" t="s">
        <v>92</v>
      </c>
      <c r="K1861">
        <v>0</v>
      </c>
    </row>
    <row r="1862" spans="9:11">
      <c r="I1862" t="s">
        <v>94</v>
      </c>
      <c r="J1862" t="s">
        <v>95</v>
      </c>
      <c r="K1862">
        <v>0</v>
      </c>
    </row>
    <row r="1863" spans="9:11">
      <c r="I1863" t="s">
        <v>94</v>
      </c>
      <c r="J1863" t="s">
        <v>95</v>
      </c>
      <c r="K1863">
        <v>0</v>
      </c>
    </row>
    <row r="1864" spans="9:11">
      <c r="I1864" t="s">
        <v>91</v>
      </c>
      <c r="J1864" t="s">
        <v>92</v>
      </c>
      <c r="K1864">
        <v>1</v>
      </c>
    </row>
    <row r="1865" spans="9:11">
      <c r="I1865" t="s">
        <v>91</v>
      </c>
      <c r="J1865" t="s">
        <v>92</v>
      </c>
      <c r="K1865">
        <v>0</v>
      </c>
    </row>
    <row r="1866" spans="9:11">
      <c r="I1866" t="s">
        <v>91</v>
      </c>
      <c r="J1866" t="s">
        <v>92</v>
      </c>
      <c r="K1866">
        <v>0</v>
      </c>
    </row>
    <row r="1867" spans="9:11">
      <c r="I1867" t="s">
        <v>91</v>
      </c>
      <c r="J1867" t="s">
        <v>92</v>
      </c>
      <c r="K1867">
        <v>0</v>
      </c>
    </row>
    <row r="1868" spans="9:11">
      <c r="I1868" t="s">
        <v>91</v>
      </c>
      <c r="J1868" t="s">
        <v>92</v>
      </c>
      <c r="K1868">
        <v>0</v>
      </c>
    </row>
    <row r="1869" spans="9:11">
      <c r="I1869" t="s">
        <v>91</v>
      </c>
      <c r="J1869" t="s">
        <v>92</v>
      </c>
      <c r="K1869">
        <v>0</v>
      </c>
    </row>
    <row r="1870" spans="9:11">
      <c r="I1870" t="s">
        <v>94</v>
      </c>
      <c r="J1870" t="s">
        <v>95</v>
      </c>
      <c r="K1870">
        <v>0</v>
      </c>
    </row>
    <row r="1871" spans="9:11">
      <c r="I1871" t="s">
        <v>91</v>
      </c>
      <c r="J1871" t="s">
        <v>92</v>
      </c>
      <c r="K1871">
        <v>0</v>
      </c>
    </row>
    <row r="1872" spans="9:11">
      <c r="I1872" t="s">
        <v>91</v>
      </c>
      <c r="J1872" t="s">
        <v>92</v>
      </c>
      <c r="K1872">
        <v>1</v>
      </c>
    </row>
    <row r="1873" spans="9:11">
      <c r="I1873" t="s">
        <v>91</v>
      </c>
      <c r="J1873" t="s">
        <v>92</v>
      </c>
      <c r="K1873">
        <v>0</v>
      </c>
    </row>
    <row r="1874" spans="9:11">
      <c r="I1874" t="s">
        <v>94</v>
      </c>
      <c r="J1874" t="s">
        <v>95</v>
      </c>
      <c r="K1874">
        <v>0</v>
      </c>
    </row>
    <row r="1875" spans="9:11">
      <c r="I1875" t="s">
        <v>94</v>
      </c>
      <c r="J1875" t="s">
        <v>95</v>
      </c>
      <c r="K1875">
        <v>0</v>
      </c>
    </row>
    <row r="1876" spans="9:11">
      <c r="I1876" t="s">
        <v>91</v>
      </c>
      <c r="J1876" t="s">
        <v>92</v>
      </c>
      <c r="K1876">
        <v>0</v>
      </c>
    </row>
    <row r="1877" spans="9:11">
      <c r="I1877" t="s">
        <v>94</v>
      </c>
      <c r="J1877" t="s">
        <v>95</v>
      </c>
      <c r="K1877">
        <v>0</v>
      </c>
    </row>
    <row r="1878" spans="9:11">
      <c r="I1878" t="s">
        <v>91</v>
      </c>
      <c r="J1878" t="s">
        <v>92</v>
      </c>
      <c r="K1878">
        <v>0</v>
      </c>
    </row>
    <row r="1879" spans="9:11">
      <c r="I1879" t="s">
        <v>94</v>
      </c>
      <c r="J1879" t="s">
        <v>95</v>
      </c>
      <c r="K1879">
        <v>0</v>
      </c>
    </row>
    <row r="1880" spans="9:11">
      <c r="I1880" t="s">
        <v>91</v>
      </c>
      <c r="J1880" t="s">
        <v>92</v>
      </c>
      <c r="K1880">
        <v>0</v>
      </c>
    </row>
    <row r="1881" spans="9:11">
      <c r="I1881" t="s">
        <v>94</v>
      </c>
      <c r="J1881" t="s">
        <v>95</v>
      </c>
      <c r="K1881">
        <v>0</v>
      </c>
    </row>
    <row r="1882" spans="9:11">
      <c r="I1882" t="s">
        <v>94</v>
      </c>
      <c r="J1882" t="s">
        <v>95</v>
      </c>
      <c r="K1882">
        <v>0</v>
      </c>
    </row>
    <row r="1883" spans="9:11">
      <c r="I1883" t="s">
        <v>94</v>
      </c>
      <c r="J1883" t="s">
        <v>95</v>
      </c>
      <c r="K1883">
        <v>0</v>
      </c>
    </row>
    <row r="1884" spans="9:11">
      <c r="I1884" t="s">
        <v>94</v>
      </c>
      <c r="J1884" t="s">
        <v>95</v>
      </c>
      <c r="K1884">
        <v>0</v>
      </c>
    </row>
    <row r="1885" spans="9:11">
      <c r="I1885" t="s">
        <v>91</v>
      </c>
      <c r="J1885" t="s">
        <v>92</v>
      </c>
      <c r="K1885">
        <v>0</v>
      </c>
    </row>
    <row r="1886" spans="9:11">
      <c r="I1886" t="s">
        <v>91</v>
      </c>
      <c r="J1886" t="s">
        <v>92</v>
      </c>
      <c r="K1886">
        <v>1</v>
      </c>
    </row>
    <row r="1887" spans="9:11">
      <c r="I1887" t="s">
        <v>91</v>
      </c>
      <c r="J1887" t="s">
        <v>92</v>
      </c>
      <c r="K1887">
        <v>0</v>
      </c>
    </row>
    <row r="1888" spans="9:11">
      <c r="I1888" t="s">
        <v>91</v>
      </c>
      <c r="J1888" t="s">
        <v>92</v>
      </c>
      <c r="K1888">
        <v>0</v>
      </c>
    </row>
    <row r="1889" spans="9:11">
      <c r="I1889" t="s">
        <v>91</v>
      </c>
      <c r="J1889" t="s">
        <v>92</v>
      </c>
      <c r="K1889">
        <v>0</v>
      </c>
    </row>
    <row r="1890" spans="9:11">
      <c r="I1890" t="s">
        <v>94</v>
      </c>
      <c r="J1890" t="s">
        <v>95</v>
      </c>
      <c r="K1890">
        <v>0</v>
      </c>
    </row>
    <row r="1891" spans="9:11">
      <c r="I1891" t="s">
        <v>94</v>
      </c>
      <c r="J1891" t="s">
        <v>95</v>
      </c>
      <c r="K1891">
        <v>0</v>
      </c>
    </row>
    <row r="1892" spans="9:11">
      <c r="I1892" t="s">
        <v>94</v>
      </c>
      <c r="J1892" t="s">
        <v>95</v>
      </c>
      <c r="K1892">
        <v>0</v>
      </c>
    </row>
    <row r="1893" spans="9:11">
      <c r="I1893" t="s">
        <v>94</v>
      </c>
      <c r="J1893" t="s">
        <v>95</v>
      </c>
      <c r="K1893">
        <v>0</v>
      </c>
    </row>
    <row r="1894" spans="9:11">
      <c r="I1894" t="s">
        <v>91</v>
      </c>
      <c r="J1894" t="s">
        <v>92</v>
      </c>
      <c r="K1894">
        <v>0</v>
      </c>
    </row>
    <row r="1895" spans="9:11">
      <c r="I1895" t="s">
        <v>91</v>
      </c>
      <c r="J1895" t="s">
        <v>92</v>
      </c>
      <c r="K1895">
        <v>0</v>
      </c>
    </row>
    <row r="1896" spans="9:11">
      <c r="I1896" t="s">
        <v>94</v>
      </c>
      <c r="J1896" t="s">
        <v>95</v>
      </c>
      <c r="K1896">
        <v>0</v>
      </c>
    </row>
    <row r="1897" spans="9:11">
      <c r="I1897" t="s">
        <v>91</v>
      </c>
      <c r="J1897" t="s">
        <v>92</v>
      </c>
      <c r="K1897">
        <v>0</v>
      </c>
    </row>
    <row r="1898" spans="9:11">
      <c r="I1898" t="s">
        <v>94</v>
      </c>
      <c r="J1898" t="s">
        <v>95</v>
      </c>
      <c r="K1898">
        <v>1</v>
      </c>
    </row>
    <row r="1899" spans="9:11">
      <c r="I1899" t="s">
        <v>91</v>
      </c>
      <c r="J1899" t="s">
        <v>92</v>
      </c>
      <c r="K1899">
        <v>0</v>
      </c>
    </row>
    <row r="1900" spans="9:11">
      <c r="I1900" t="s">
        <v>94</v>
      </c>
      <c r="J1900" t="s">
        <v>95</v>
      </c>
      <c r="K1900">
        <v>0</v>
      </c>
    </row>
    <row r="1901" spans="9:11">
      <c r="I1901" t="s">
        <v>91</v>
      </c>
      <c r="J1901" t="s">
        <v>92</v>
      </c>
      <c r="K1901">
        <v>0</v>
      </c>
    </row>
    <row r="1902" spans="9:11">
      <c r="I1902" t="s">
        <v>94</v>
      </c>
      <c r="J1902" t="s">
        <v>95</v>
      </c>
      <c r="K1902">
        <v>0</v>
      </c>
    </row>
    <row r="1903" spans="9:11">
      <c r="I1903" t="s">
        <v>94</v>
      </c>
      <c r="J1903" t="s">
        <v>95</v>
      </c>
      <c r="K1903">
        <v>0</v>
      </c>
    </row>
    <row r="1904" spans="9:11">
      <c r="I1904" t="s">
        <v>94</v>
      </c>
      <c r="J1904" t="s">
        <v>95</v>
      </c>
      <c r="K1904">
        <v>1</v>
      </c>
    </row>
    <row r="1905" spans="9:11">
      <c r="I1905" t="s">
        <v>94</v>
      </c>
      <c r="J1905" t="s">
        <v>95</v>
      </c>
      <c r="K1905">
        <v>1</v>
      </c>
    </row>
    <row r="1906" spans="9:11">
      <c r="I1906" t="s">
        <v>91</v>
      </c>
      <c r="J1906" t="s">
        <v>92</v>
      </c>
      <c r="K1906">
        <v>0</v>
      </c>
    </row>
    <row r="1907" spans="9:11">
      <c r="I1907" t="s">
        <v>91</v>
      </c>
      <c r="J1907" t="s">
        <v>92</v>
      </c>
      <c r="K1907">
        <v>0</v>
      </c>
    </row>
    <row r="1908" spans="9:11">
      <c r="I1908" t="s">
        <v>91</v>
      </c>
      <c r="J1908" t="s">
        <v>92</v>
      </c>
      <c r="K1908">
        <v>0</v>
      </c>
    </row>
    <row r="1909" spans="9:11">
      <c r="I1909" t="s">
        <v>91</v>
      </c>
      <c r="J1909" t="s">
        <v>92</v>
      </c>
      <c r="K1909">
        <v>0</v>
      </c>
    </row>
    <row r="1910" spans="9:11">
      <c r="I1910" t="s">
        <v>91</v>
      </c>
      <c r="J1910" t="s">
        <v>92</v>
      </c>
      <c r="K1910">
        <v>1</v>
      </c>
    </row>
    <row r="1911" spans="9:11">
      <c r="I1911" t="s">
        <v>94</v>
      </c>
      <c r="J1911" t="s">
        <v>95</v>
      </c>
      <c r="K1911">
        <v>0</v>
      </c>
    </row>
    <row r="1912" spans="9:11">
      <c r="I1912" t="s">
        <v>91</v>
      </c>
      <c r="J1912" t="s">
        <v>92</v>
      </c>
      <c r="K1912">
        <v>0</v>
      </c>
    </row>
    <row r="1913" spans="9:11">
      <c r="I1913" t="s">
        <v>94</v>
      </c>
      <c r="J1913" t="s">
        <v>95</v>
      </c>
      <c r="K1913">
        <v>0</v>
      </c>
    </row>
    <row r="1914" spans="9:11">
      <c r="I1914" t="s">
        <v>94</v>
      </c>
      <c r="J1914" t="s">
        <v>95</v>
      </c>
      <c r="K1914">
        <v>0</v>
      </c>
    </row>
    <row r="1915" spans="9:11">
      <c r="I1915" t="s">
        <v>91</v>
      </c>
      <c r="J1915" t="s">
        <v>92</v>
      </c>
      <c r="K1915">
        <v>0</v>
      </c>
    </row>
    <row r="1916" spans="9:11">
      <c r="I1916" t="s">
        <v>94</v>
      </c>
      <c r="J1916" t="s">
        <v>95</v>
      </c>
      <c r="K1916">
        <v>0</v>
      </c>
    </row>
    <row r="1917" spans="9:11">
      <c r="I1917" t="s">
        <v>94</v>
      </c>
      <c r="J1917" t="s">
        <v>95</v>
      </c>
      <c r="K1917">
        <v>0</v>
      </c>
    </row>
    <row r="1918" spans="9:11">
      <c r="I1918" t="s">
        <v>91</v>
      </c>
      <c r="J1918" t="s">
        <v>92</v>
      </c>
      <c r="K1918">
        <v>0</v>
      </c>
    </row>
    <row r="1919" spans="9:11">
      <c r="I1919" t="s">
        <v>91</v>
      </c>
      <c r="J1919" t="s">
        <v>92</v>
      </c>
      <c r="K1919">
        <v>0</v>
      </c>
    </row>
    <row r="1920" spans="9:11">
      <c r="I1920" t="s">
        <v>94</v>
      </c>
      <c r="J1920" t="s">
        <v>95</v>
      </c>
      <c r="K1920">
        <v>0</v>
      </c>
    </row>
    <row r="1921" spans="9:11">
      <c r="I1921" t="s">
        <v>91</v>
      </c>
      <c r="J1921" t="s">
        <v>92</v>
      </c>
      <c r="K1921">
        <v>0</v>
      </c>
    </row>
    <row r="1922" spans="9:11">
      <c r="I1922" t="s">
        <v>91</v>
      </c>
      <c r="J1922" t="s">
        <v>92</v>
      </c>
      <c r="K1922">
        <v>0</v>
      </c>
    </row>
    <row r="1923" spans="9:11">
      <c r="I1923" t="s">
        <v>94</v>
      </c>
      <c r="J1923" t="s">
        <v>95</v>
      </c>
      <c r="K1923">
        <v>0</v>
      </c>
    </row>
    <row r="1924" spans="9:11">
      <c r="I1924" t="s">
        <v>94</v>
      </c>
      <c r="J1924" t="s">
        <v>95</v>
      </c>
      <c r="K1924">
        <v>0</v>
      </c>
    </row>
    <row r="1925" spans="9:11">
      <c r="I1925" t="s">
        <v>91</v>
      </c>
      <c r="J1925" t="s">
        <v>92</v>
      </c>
      <c r="K1925">
        <v>0</v>
      </c>
    </row>
    <row r="1926" spans="9:11">
      <c r="I1926" t="s">
        <v>91</v>
      </c>
      <c r="J1926" t="s">
        <v>92</v>
      </c>
      <c r="K1926">
        <v>0</v>
      </c>
    </row>
    <row r="1927" spans="9:11">
      <c r="I1927" t="s">
        <v>91</v>
      </c>
      <c r="J1927" t="s">
        <v>92</v>
      </c>
      <c r="K1927">
        <v>0</v>
      </c>
    </row>
    <row r="1928" spans="9:11">
      <c r="I1928" t="s">
        <v>94</v>
      </c>
      <c r="J1928" t="s">
        <v>95</v>
      </c>
      <c r="K1928">
        <v>1</v>
      </c>
    </row>
    <row r="1929" spans="9:11">
      <c r="I1929" t="s">
        <v>94</v>
      </c>
      <c r="J1929" t="s">
        <v>95</v>
      </c>
      <c r="K1929">
        <v>0</v>
      </c>
    </row>
    <row r="1930" spans="9:11">
      <c r="I1930" t="s">
        <v>94</v>
      </c>
      <c r="J1930" t="s">
        <v>95</v>
      </c>
      <c r="K1930">
        <v>0</v>
      </c>
    </row>
    <row r="1931" spans="9:11">
      <c r="I1931" t="s">
        <v>94</v>
      </c>
      <c r="J1931" t="s">
        <v>95</v>
      </c>
      <c r="K1931">
        <v>0</v>
      </c>
    </row>
    <row r="1932" spans="9:11">
      <c r="I1932" t="s">
        <v>94</v>
      </c>
      <c r="J1932" t="s">
        <v>95</v>
      </c>
      <c r="K1932">
        <v>0</v>
      </c>
    </row>
    <row r="1933" spans="9:11">
      <c r="I1933" t="s">
        <v>94</v>
      </c>
      <c r="J1933" t="s">
        <v>95</v>
      </c>
      <c r="K1933">
        <v>0</v>
      </c>
    </row>
    <row r="1934" spans="9:11">
      <c r="I1934" t="s">
        <v>91</v>
      </c>
      <c r="J1934" t="s">
        <v>92</v>
      </c>
      <c r="K1934">
        <v>0</v>
      </c>
    </row>
    <row r="1935" spans="9:11">
      <c r="I1935" t="s">
        <v>94</v>
      </c>
      <c r="J1935" t="s">
        <v>95</v>
      </c>
      <c r="K1935">
        <v>0</v>
      </c>
    </row>
    <row r="1936" spans="9:11">
      <c r="I1936" t="s">
        <v>94</v>
      </c>
      <c r="J1936" t="s">
        <v>95</v>
      </c>
      <c r="K1936">
        <v>0</v>
      </c>
    </row>
    <row r="1937" spans="9:11">
      <c r="I1937" t="s">
        <v>94</v>
      </c>
      <c r="J1937" t="s">
        <v>95</v>
      </c>
      <c r="K1937">
        <v>0</v>
      </c>
    </row>
    <row r="1938" spans="9:11">
      <c r="I1938" t="s">
        <v>91</v>
      </c>
      <c r="J1938" t="s">
        <v>92</v>
      </c>
      <c r="K1938">
        <v>0</v>
      </c>
    </row>
    <row r="1939" spans="9:11">
      <c r="I1939" t="s">
        <v>94</v>
      </c>
      <c r="J1939" t="s">
        <v>95</v>
      </c>
      <c r="K1939">
        <v>0</v>
      </c>
    </row>
    <row r="1940" spans="9:11">
      <c r="I1940" t="s">
        <v>94</v>
      </c>
      <c r="J1940" t="s">
        <v>95</v>
      </c>
      <c r="K1940">
        <v>0</v>
      </c>
    </row>
    <row r="1941" spans="9:11">
      <c r="I1941" t="s">
        <v>94</v>
      </c>
      <c r="J1941" t="s">
        <v>95</v>
      </c>
      <c r="K1941">
        <v>1</v>
      </c>
    </row>
    <row r="1942" spans="9:11">
      <c r="I1942" t="s">
        <v>94</v>
      </c>
      <c r="J1942" t="s">
        <v>95</v>
      </c>
      <c r="K1942">
        <v>0</v>
      </c>
    </row>
    <row r="1943" spans="9:11">
      <c r="I1943" t="s">
        <v>91</v>
      </c>
      <c r="J1943" t="s">
        <v>92</v>
      </c>
      <c r="K1943">
        <v>0</v>
      </c>
    </row>
    <row r="1944" spans="9:11">
      <c r="I1944" t="s">
        <v>91</v>
      </c>
      <c r="J1944" t="s">
        <v>92</v>
      </c>
      <c r="K1944">
        <v>0</v>
      </c>
    </row>
    <row r="1945" spans="9:11">
      <c r="I1945" t="s">
        <v>94</v>
      </c>
      <c r="J1945" t="s">
        <v>95</v>
      </c>
      <c r="K1945">
        <v>0</v>
      </c>
    </row>
    <row r="1946" spans="9:11">
      <c r="I1946" t="s">
        <v>94</v>
      </c>
      <c r="J1946" t="s">
        <v>95</v>
      </c>
      <c r="K1946">
        <v>0</v>
      </c>
    </row>
    <row r="1947" spans="9:11">
      <c r="I1947" t="s">
        <v>91</v>
      </c>
      <c r="J1947" t="s">
        <v>92</v>
      </c>
      <c r="K1947">
        <v>0</v>
      </c>
    </row>
    <row r="1948" spans="9:11">
      <c r="I1948" t="s">
        <v>91</v>
      </c>
      <c r="J1948" t="s">
        <v>92</v>
      </c>
      <c r="K1948">
        <v>0</v>
      </c>
    </row>
    <row r="1949" spans="9:11">
      <c r="I1949" t="s">
        <v>94</v>
      </c>
      <c r="J1949" t="s">
        <v>95</v>
      </c>
      <c r="K1949">
        <v>0</v>
      </c>
    </row>
    <row r="1950" spans="9:11">
      <c r="I1950" t="s">
        <v>91</v>
      </c>
      <c r="J1950" t="s">
        <v>92</v>
      </c>
      <c r="K1950">
        <v>0</v>
      </c>
    </row>
    <row r="1951" spans="9:11">
      <c r="I1951" t="s">
        <v>91</v>
      </c>
      <c r="J1951" t="s">
        <v>92</v>
      </c>
      <c r="K1951">
        <v>0</v>
      </c>
    </row>
    <row r="1952" spans="9:11">
      <c r="I1952" t="s">
        <v>91</v>
      </c>
      <c r="J1952" t="s">
        <v>92</v>
      </c>
      <c r="K1952">
        <v>0</v>
      </c>
    </row>
    <row r="1953" spans="9:11">
      <c r="I1953" t="s">
        <v>91</v>
      </c>
      <c r="J1953" t="s">
        <v>92</v>
      </c>
      <c r="K1953">
        <v>0</v>
      </c>
    </row>
    <row r="1954" spans="9:11">
      <c r="I1954" t="s">
        <v>94</v>
      </c>
      <c r="J1954" t="s">
        <v>95</v>
      </c>
      <c r="K1954">
        <v>0</v>
      </c>
    </row>
    <row r="1955" spans="9:11">
      <c r="I1955" t="s">
        <v>91</v>
      </c>
      <c r="J1955" t="s">
        <v>92</v>
      </c>
      <c r="K1955">
        <v>0</v>
      </c>
    </row>
    <row r="1956" spans="9:11">
      <c r="I1956" t="s">
        <v>91</v>
      </c>
      <c r="J1956" t="s">
        <v>92</v>
      </c>
      <c r="K1956">
        <v>0</v>
      </c>
    </row>
    <row r="1957" spans="9:11">
      <c r="I1957" t="s">
        <v>91</v>
      </c>
      <c r="J1957" t="s">
        <v>92</v>
      </c>
      <c r="K1957">
        <v>0</v>
      </c>
    </row>
    <row r="1958" spans="9:11">
      <c r="I1958" t="s">
        <v>94</v>
      </c>
      <c r="J1958" t="s">
        <v>95</v>
      </c>
      <c r="K1958">
        <v>0</v>
      </c>
    </row>
    <row r="1959" spans="9:11">
      <c r="I1959" t="s">
        <v>94</v>
      </c>
      <c r="J1959" t="s">
        <v>95</v>
      </c>
      <c r="K1959">
        <v>0</v>
      </c>
    </row>
    <row r="1960" spans="9:11">
      <c r="I1960" t="s">
        <v>91</v>
      </c>
      <c r="J1960" t="s">
        <v>92</v>
      </c>
      <c r="K1960">
        <v>0</v>
      </c>
    </row>
    <row r="1961" spans="9:11">
      <c r="I1961" t="s">
        <v>91</v>
      </c>
      <c r="J1961" t="s">
        <v>92</v>
      </c>
      <c r="K1961">
        <v>1</v>
      </c>
    </row>
    <row r="1962" spans="9:11">
      <c r="I1962" t="s">
        <v>94</v>
      </c>
      <c r="J1962" t="s">
        <v>95</v>
      </c>
      <c r="K1962">
        <v>0</v>
      </c>
    </row>
    <row r="1963" spans="9:11">
      <c r="I1963" t="s">
        <v>91</v>
      </c>
      <c r="J1963" t="s">
        <v>92</v>
      </c>
      <c r="K1963">
        <v>0</v>
      </c>
    </row>
    <row r="1964" spans="9:11">
      <c r="I1964" t="s">
        <v>91</v>
      </c>
      <c r="J1964" t="s">
        <v>92</v>
      </c>
      <c r="K1964">
        <v>0</v>
      </c>
    </row>
    <row r="1965" spans="9:11">
      <c r="I1965" t="s">
        <v>94</v>
      </c>
      <c r="J1965" t="s">
        <v>95</v>
      </c>
      <c r="K1965">
        <v>0</v>
      </c>
    </row>
    <row r="1966" spans="9:11">
      <c r="I1966" t="s">
        <v>94</v>
      </c>
      <c r="J1966" t="s">
        <v>95</v>
      </c>
      <c r="K1966">
        <v>0</v>
      </c>
    </row>
    <row r="1967" spans="9:11">
      <c r="I1967" t="s">
        <v>91</v>
      </c>
      <c r="J1967" t="s">
        <v>92</v>
      </c>
      <c r="K1967">
        <v>0</v>
      </c>
    </row>
    <row r="1968" spans="9:11">
      <c r="I1968" t="s">
        <v>91</v>
      </c>
      <c r="J1968" t="s">
        <v>92</v>
      </c>
      <c r="K1968">
        <v>0</v>
      </c>
    </row>
    <row r="1969" spans="9:11">
      <c r="I1969" t="s">
        <v>94</v>
      </c>
      <c r="J1969" t="s">
        <v>95</v>
      </c>
      <c r="K1969">
        <v>0</v>
      </c>
    </row>
    <row r="1970" spans="9:11">
      <c r="I1970" t="s">
        <v>94</v>
      </c>
      <c r="J1970" t="s">
        <v>95</v>
      </c>
      <c r="K1970">
        <v>0</v>
      </c>
    </row>
    <row r="1971" spans="9:11">
      <c r="I1971" t="s">
        <v>94</v>
      </c>
      <c r="J1971" t="s">
        <v>95</v>
      </c>
      <c r="K1971">
        <v>0</v>
      </c>
    </row>
    <row r="1972" spans="9:11">
      <c r="I1972" t="s">
        <v>91</v>
      </c>
      <c r="J1972" t="s">
        <v>92</v>
      </c>
      <c r="K1972">
        <v>0</v>
      </c>
    </row>
    <row r="1973" spans="9:11">
      <c r="I1973" t="s">
        <v>94</v>
      </c>
      <c r="J1973" t="s">
        <v>95</v>
      </c>
      <c r="K1973">
        <v>0</v>
      </c>
    </row>
    <row r="1974" spans="9:11">
      <c r="I1974" t="s">
        <v>91</v>
      </c>
      <c r="J1974" t="s">
        <v>92</v>
      </c>
      <c r="K1974">
        <v>0</v>
      </c>
    </row>
    <row r="1975" spans="9:11">
      <c r="I1975" t="s">
        <v>91</v>
      </c>
      <c r="J1975" t="s">
        <v>92</v>
      </c>
      <c r="K1975">
        <v>0</v>
      </c>
    </row>
    <row r="1976" spans="9:11">
      <c r="I1976" t="s">
        <v>91</v>
      </c>
      <c r="J1976" t="s">
        <v>92</v>
      </c>
      <c r="K1976">
        <v>0</v>
      </c>
    </row>
    <row r="1977" spans="9:11">
      <c r="I1977" t="s">
        <v>91</v>
      </c>
      <c r="J1977" t="s">
        <v>92</v>
      </c>
      <c r="K1977">
        <v>0</v>
      </c>
    </row>
    <row r="1978" spans="9:11">
      <c r="I1978" t="s">
        <v>94</v>
      </c>
      <c r="J1978" t="s">
        <v>95</v>
      </c>
      <c r="K1978">
        <v>0</v>
      </c>
    </row>
    <row r="1979" spans="9:11">
      <c r="I1979" t="s">
        <v>94</v>
      </c>
      <c r="J1979" t="s">
        <v>95</v>
      </c>
      <c r="K1979">
        <v>0</v>
      </c>
    </row>
    <row r="1980" spans="9:11">
      <c r="I1980" t="s">
        <v>91</v>
      </c>
      <c r="J1980" t="s">
        <v>92</v>
      </c>
      <c r="K1980">
        <v>0</v>
      </c>
    </row>
    <row r="1981" spans="9:11">
      <c r="I1981" t="s">
        <v>94</v>
      </c>
      <c r="J1981" t="s">
        <v>95</v>
      </c>
      <c r="K1981">
        <v>0</v>
      </c>
    </row>
    <row r="1982" spans="9:11">
      <c r="I1982" t="s">
        <v>94</v>
      </c>
      <c r="J1982" t="s">
        <v>95</v>
      </c>
      <c r="K1982">
        <v>0</v>
      </c>
    </row>
    <row r="1983" spans="9:11">
      <c r="I1983" t="s">
        <v>91</v>
      </c>
      <c r="J1983" t="s">
        <v>92</v>
      </c>
      <c r="K1983">
        <v>0</v>
      </c>
    </row>
    <row r="1984" spans="9:11">
      <c r="I1984" t="s">
        <v>91</v>
      </c>
      <c r="J1984" t="s">
        <v>92</v>
      </c>
      <c r="K1984">
        <v>0</v>
      </c>
    </row>
    <row r="1985" spans="9:11">
      <c r="I1985" t="s">
        <v>91</v>
      </c>
      <c r="J1985" t="s">
        <v>92</v>
      </c>
      <c r="K1985">
        <v>0</v>
      </c>
    </row>
    <row r="1986" spans="9:11">
      <c r="I1986" t="s">
        <v>94</v>
      </c>
      <c r="J1986" t="s">
        <v>95</v>
      </c>
      <c r="K1986">
        <v>0</v>
      </c>
    </row>
    <row r="1987" spans="9:11">
      <c r="I1987" t="s">
        <v>94</v>
      </c>
      <c r="J1987" t="s">
        <v>95</v>
      </c>
      <c r="K1987">
        <v>0</v>
      </c>
    </row>
    <row r="1988" spans="9:11">
      <c r="I1988" t="s">
        <v>94</v>
      </c>
      <c r="J1988" t="s">
        <v>95</v>
      </c>
      <c r="K1988">
        <v>0</v>
      </c>
    </row>
    <row r="1989" spans="9:11">
      <c r="I1989" t="s">
        <v>91</v>
      </c>
      <c r="J1989" t="s">
        <v>92</v>
      </c>
      <c r="K1989">
        <v>0</v>
      </c>
    </row>
    <row r="1990" spans="9:11">
      <c r="I1990" t="s">
        <v>94</v>
      </c>
      <c r="J1990" t="s">
        <v>95</v>
      </c>
      <c r="K1990">
        <v>0</v>
      </c>
    </row>
    <row r="1991" spans="9:11">
      <c r="I1991" t="s">
        <v>91</v>
      </c>
      <c r="J1991" t="s">
        <v>92</v>
      </c>
      <c r="K1991">
        <v>0</v>
      </c>
    </row>
    <row r="1992" spans="9:11">
      <c r="I1992" t="s">
        <v>94</v>
      </c>
      <c r="J1992" t="s">
        <v>95</v>
      </c>
      <c r="K1992">
        <v>0</v>
      </c>
    </row>
    <row r="1993" spans="9:11">
      <c r="I1993" t="s">
        <v>91</v>
      </c>
      <c r="J1993" t="s">
        <v>92</v>
      </c>
      <c r="K1993">
        <v>0</v>
      </c>
    </row>
    <row r="1994" spans="9:11">
      <c r="I1994" t="s">
        <v>94</v>
      </c>
      <c r="J1994" t="s">
        <v>95</v>
      </c>
      <c r="K1994">
        <v>0</v>
      </c>
    </row>
    <row r="1995" spans="9:11">
      <c r="I1995" t="s">
        <v>91</v>
      </c>
      <c r="J1995" t="s">
        <v>92</v>
      </c>
      <c r="K1995">
        <v>1</v>
      </c>
    </row>
    <row r="1996" spans="9:11">
      <c r="I1996" t="s">
        <v>94</v>
      </c>
      <c r="J1996" t="s">
        <v>95</v>
      </c>
      <c r="K1996">
        <v>0</v>
      </c>
    </row>
    <row r="1997" spans="9:11">
      <c r="I1997" t="s">
        <v>91</v>
      </c>
      <c r="J1997" t="s">
        <v>92</v>
      </c>
      <c r="K1997">
        <v>0</v>
      </c>
    </row>
    <row r="1998" spans="9:11">
      <c r="I1998" t="s">
        <v>94</v>
      </c>
      <c r="J1998" t="s">
        <v>95</v>
      </c>
      <c r="K1998">
        <v>0</v>
      </c>
    </row>
    <row r="1999" spans="9:11">
      <c r="I1999" t="s">
        <v>94</v>
      </c>
      <c r="J1999" t="s">
        <v>95</v>
      </c>
      <c r="K1999">
        <v>0</v>
      </c>
    </row>
    <row r="2000" spans="9:11">
      <c r="I2000" t="s">
        <v>91</v>
      </c>
      <c r="J2000" t="s">
        <v>92</v>
      </c>
      <c r="K2000">
        <v>0</v>
      </c>
    </row>
    <row r="2001" spans="9:11">
      <c r="I2001" t="s">
        <v>91</v>
      </c>
      <c r="J2001" t="s">
        <v>92</v>
      </c>
      <c r="K2001">
        <v>0</v>
      </c>
    </row>
    <row r="2002" spans="9:11">
      <c r="I2002" t="s">
        <v>91</v>
      </c>
      <c r="J2002" t="s">
        <v>92</v>
      </c>
      <c r="K2002">
        <v>0</v>
      </c>
    </row>
    <row r="2003" spans="9:11">
      <c r="I2003" t="s">
        <v>91</v>
      </c>
      <c r="J2003" t="s">
        <v>92</v>
      </c>
      <c r="K2003">
        <v>1</v>
      </c>
    </row>
    <row r="2004" spans="9:11">
      <c r="I2004" t="s">
        <v>91</v>
      </c>
      <c r="J2004" t="s">
        <v>92</v>
      </c>
      <c r="K2004">
        <v>0</v>
      </c>
    </row>
    <row r="2005" spans="9:11">
      <c r="I2005" t="s">
        <v>91</v>
      </c>
      <c r="J2005" t="s">
        <v>92</v>
      </c>
      <c r="K2005">
        <v>0</v>
      </c>
    </row>
    <row r="2006" spans="9:11">
      <c r="I2006" t="s">
        <v>91</v>
      </c>
      <c r="J2006" t="s">
        <v>92</v>
      </c>
      <c r="K2006">
        <v>0</v>
      </c>
    </row>
    <row r="2007" spans="9:11">
      <c r="I2007" t="s">
        <v>91</v>
      </c>
      <c r="J2007" t="s">
        <v>92</v>
      </c>
      <c r="K2007">
        <v>0</v>
      </c>
    </row>
    <row r="2008" spans="9:11">
      <c r="I2008" t="s">
        <v>94</v>
      </c>
      <c r="J2008" t="s">
        <v>95</v>
      </c>
      <c r="K2008">
        <v>0</v>
      </c>
    </row>
    <row r="2009" spans="9:11">
      <c r="I2009" t="s">
        <v>94</v>
      </c>
      <c r="J2009" t="s">
        <v>95</v>
      </c>
      <c r="K2009">
        <v>1</v>
      </c>
    </row>
    <row r="2010" spans="9:11">
      <c r="I2010" t="s">
        <v>94</v>
      </c>
      <c r="J2010" t="s">
        <v>95</v>
      </c>
      <c r="K2010">
        <v>0</v>
      </c>
    </row>
    <row r="2011" spans="9:11">
      <c r="I2011" t="s">
        <v>94</v>
      </c>
      <c r="J2011" t="s">
        <v>95</v>
      </c>
      <c r="K2011">
        <v>0</v>
      </c>
    </row>
    <row r="2012" spans="9:11">
      <c r="I2012" t="s">
        <v>91</v>
      </c>
      <c r="J2012" t="s">
        <v>92</v>
      </c>
      <c r="K2012">
        <v>0</v>
      </c>
    </row>
    <row r="2013" spans="9:11">
      <c r="I2013" t="s">
        <v>94</v>
      </c>
      <c r="J2013" t="s">
        <v>95</v>
      </c>
      <c r="K2013">
        <v>0</v>
      </c>
    </row>
    <row r="2014" spans="9:11">
      <c r="I2014" t="s">
        <v>94</v>
      </c>
      <c r="J2014" t="s">
        <v>95</v>
      </c>
      <c r="K2014">
        <v>0</v>
      </c>
    </row>
    <row r="2015" spans="9:11">
      <c r="I2015" t="s">
        <v>94</v>
      </c>
      <c r="J2015" t="s">
        <v>95</v>
      </c>
      <c r="K2015">
        <v>0</v>
      </c>
    </row>
    <row r="2016" spans="9:11">
      <c r="I2016" t="s">
        <v>91</v>
      </c>
      <c r="J2016" t="s">
        <v>92</v>
      </c>
      <c r="K2016">
        <v>0</v>
      </c>
    </row>
    <row r="2017" spans="9:11">
      <c r="I2017" t="s">
        <v>91</v>
      </c>
      <c r="J2017" t="s">
        <v>92</v>
      </c>
      <c r="K2017">
        <v>0</v>
      </c>
    </row>
    <row r="2018" spans="9:11">
      <c r="I2018" t="s">
        <v>94</v>
      </c>
      <c r="J2018" t="s">
        <v>95</v>
      </c>
      <c r="K2018">
        <v>0</v>
      </c>
    </row>
    <row r="2019" spans="9:11">
      <c r="I2019" t="s">
        <v>94</v>
      </c>
      <c r="J2019" t="s">
        <v>95</v>
      </c>
      <c r="K2019">
        <v>0</v>
      </c>
    </row>
    <row r="2020" spans="9:11">
      <c r="I2020" t="s">
        <v>91</v>
      </c>
      <c r="J2020" t="s">
        <v>92</v>
      </c>
      <c r="K2020">
        <v>0</v>
      </c>
    </row>
    <row r="2021" spans="9:11">
      <c r="I2021" t="s">
        <v>91</v>
      </c>
      <c r="J2021" t="s">
        <v>92</v>
      </c>
      <c r="K2021">
        <v>0</v>
      </c>
    </row>
    <row r="2022" spans="9:11">
      <c r="I2022" t="s">
        <v>91</v>
      </c>
      <c r="J2022" t="s">
        <v>92</v>
      </c>
      <c r="K2022">
        <v>0</v>
      </c>
    </row>
    <row r="2023" spans="9:11">
      <c r="I2023" t="s">
        <v>91</v>
      </c>
      <c r="J2023" t="s">
        <v>92</v>
      </c>
      <c r="K2023">
        <v>0</v>
      </c>
    </row>
    <row r="2024" spans="9:11">
      <c r="I2024" t="s">
        <v>94</v>
      </c>
      <c r="J2024" t="s">
        <v>95</v>
      </c>
      <c r="K2024">
        <v>0</v>
      </c>
    </row>
    <row r="2025" spans="9:11">
      <c r="I2025" t="s">
        <v>91</v>
      </c>
      <c r="J2025" t="s">
        <v>92</v>
      </c>
      <c r="K2025">
        <v>0</v>
      </c>
    </row>
    <row r="2026" spans="9:11">
      <c r="I2026" t="s">
        <v>94</v>
      </c>
      <c r="J2026" t="s">
        <v>95</v>
      </c>
      <c r="K2026">
        <v>0</v>
      </c>
    </row>
    <row r="2027" spans="9:11">
      <c r="I2027" t="s">
        <v>94</v>
      </c>
      <c r="J2027" t="s">
        <v>95</v>
      </c>
      <c r="K2027">
        <v>0</v>
      </c>
    </row>
    <row r="2028" spans="9:11">
      <c r="I2028" t="s">
        <v>91</v>
      </c>
      <c r="J2028" t="s">
        <v>92</v>
      </c>
      <c r="K2028">
        <v>0</v>
      </c>
    </row>
    <row r="2029" spans="9:11">
      <c r="I2029" t="s">
        <v>94</v>
      </c>
      <c r="J2029" t="s">
        <v>95</v>
      </c>
      <c r="K2029">
        <v>0</v>
      </c>
    </row>
    <row r="2030" spans="9:11">
      <c r="I2030" t="s">
        <v>94</v>
      </c>
      <c r="J2030" t="s">
        <v>95</v>
      </c>
      <c r="K2030">
        <v>0</v>
      </c>
    </row>
    <row r="2031" spans="9:11">
      <c r="I2031" t="s">
        <v>94</v>
      </c>
      <c r="J2031" t="s">
        <v>95</v>
      </c>
      <c r="K2031">
        <v>0</v>
      </c>
    </row>
    <row r="2032" spans="9:11">
      <c r="I2032" t="s">
        <v>94</v>
      </c>
      <c r="J2032" t="s">
        <v>95</v>
      </c>
      <c r="K2032">
        <v>0</v>
      </c>
    </row>
    <row r="2033" spans="9:11">
      <c r="I2033" t="s">
        <v>91</v>
      </c>
      <c r="J2033" t="s">
        <v>92</v>
      </c>
      <c r="K2033">
        <v>0</v>
      </c>
    </row>
    <row r="2034" spans="9:11">
      <c r="I2034" t="s">
        <v>94</v>
      </c>
      <c r="J2034" t="s">
        <v>95</v>
      </c>
      <c r="K2034">
        <v>0</v>
      </c>
    </row>
    <row r="2035" spans="9:11">
      <c r="I2035" t="s">
        <v>91</v>
      </c>
      <c r="J2035" t="s">
        <v>92</v>
      </c>
      <c r="K2035">
        <v>0</v>
      </c>
    </row>
    <row r="2036" spans="9:11">
      <c r="I2036" t="s">
        <v>91</v>
      </c>
      <c r="J2036" t="s">
        <v>92</v>
      </c>
      <c r="K2036">
        <v>0</v>
      </c>
    </row>
    <row r="2037" spans="9:11">
      <c r="I2037" t="s">
        <v>94</v>
      </c>
      <c r="J2037" t="s">
        <v>95</v>
      </c>
      <c r="K2037">
        <v>0</v>
      </c>
    </row>
    <row r="2038" spans="9:11">
      <c r="I2038" t="s">
        <v>94</v>
      </c>
      <c r="J2038" t="s">
        <v>95</v>
      </c>
      <c r="K2038">
        <v>0</v>
      </c>
    </row>
    <row r="2039" spans="9:11">
      <c r="I2039" t="s">
        <v>94</v>
      </c>
      <c r="J2039" t="s">
        <v>95</v>
      </c>
      <c r="K2039">
        <v>0</v>
      </c>
    </row>
    <row r="2040" spans="9:11">
      <c r="I2040" t="s">
        <v>94</v>
      </c>
      <c r="J2040" t="s">
        <v>95</v>
      </c>
      <c r="K2040">
        <v>0</v>
      </c>
    </row>
    <row r="2041" spans="9:11">
      <c r="I2041" t="s">
        <v>94</v>
      </c>
      <c r="J2041" t="s">
        <v>95</v>
      </c>
      <c r="K2041">
        <v>0</v>
      </c>
    </row>
    <row r="2042" spans="9:11">
      <c r="I2042" t="s">
        <v>91</v>
      </c>
      <c r="J2042" t="s">
        <v>92</v>
      </c>
      <c r="K2042">
        <v>0</v>
      </c>
    </row>
    <row r="2043" spans="9:11">
      <c r="I2043" t="s">
        <v>91</v>
      </c>
      <c r="J2043" t="s">
        <v>92</v>
      </c>
      <c r="K2043">
        <v>0</v>
      </c>
    </row>
    <row r="2044" spans="9:11">
      <c r="I2044" t="s">
        <v>91</v>
      </c>
      <c r="J2044" t="s">
        <v>92</v>
      </c>
      <c r="K2044">
        <v>0</v>
      </c>
    </row>
    <row r="2045" spans="9:11">
      <c r="I2045" t="s">
        <v>94</v>
      </c>
      <c r="J2045" t="s">
        <v>95</v>
      </c>
      <c r="K2045">
        <v>0</v>
      </c>
    </row>
    <row r="2046" spans="9:11">
      <c r="I2046" t="s">
        <v>91</v>
      </c>
      <c r="J2046" t="s">
        <v>92</v>
      </c>
      <c r="K2046">
        <v>0</v>
      </c>
    </row>
    <row r="2047" spans="9:11">
      <c r="I2047" t="s">
        <v>91</v>
      </c>
      <c r="J2047" t="s">
        <v>92</v>
      </c>
      <c r="K2047">
        <v>0</v>
      </c>
    </row>
    <row r="2048" spans="9:11">
      <c r="I2048" t="s">
        <v>94</v>
      </c>
      <c r="J2048" t="s">
        <v>95</v>
      </c>
      <c r="K2048">
        <v>0</v>
      </c>
    </row>
    <row r="2049" spans="9:11">
      <c r="I2049" t="s">
        <v>91</v>
      </c>
      <c r="J2049" t="s">
        <v>92</v>
      </c>
      <c r="K2049">
        <v>0</v>
      </c>
    </row>
    <row r="2050" spans="9:11">
      <c r="I2050" t="s">
        <v>91</v>
      </c>
      <c r="J2050" t="s">
        <v>92</v>
      </c>
      <c r="K2050">
        <v>0</v>
      </c>
    </row>
    <row r="2051" spans="9:11">
      <c r="I2051" t="s">
        <v>91</v>
      </c>
      <c r="J2051" t="s">
        <v>92</v>
      </c>
      <c r="K2051">
        <v>0</v>
      </c>
    </row>
    <row r="2052" spans="9:11">
      <c r="I2052" t="s">
        <v>91</v>
      </c>
      <c r="J2052" t="s">
        <v>92</v>
      </c>
      <c r="K2052">
        <v>0</v>
      </c>
    </row>
    <row r="2053" spans="9:11">
      <c r="I2053" t="s">
        <v>94</v>
      </c>
      <c r="J2053" t="s">
        <v>95</v>
      </c>
      <c r="K2053">
        <v>0</v>
      </c>
    </row>
    <row r="2054" spans="9:11">
      <c r="I2054" t="s">
        <v>91</v>
      </c>
      <c r="J2054" t="s">
        <v>92</v>
      </c>
      <c r="K2054">
        <v>0</v>
      </c>
    </row>
    <row r="2055" spans="9:11">
      <c r="I2055" t="s">
        <v>94</v>
      </c>
      <c r="J2055" t="s">
        <v>95</v>
      </c>
      <c r="K2055">
        <v>0</v>
      </c>
    </row>
    <row r="2056" spans="9:11">
      <c r="I2056" t="s">
        <v>94</v>
      </c>
      <c r="J2056" t="s">
        <v>95</v>
      </c>
      <c r="K2056">
        <v>0</v>
      </c>
    </row>
    <row r="2057" spans="9:11">
      <c r="I2057" t="s">
        <v>94</v>
      </c>
      <c r="J2057" t="s">
        <v>95</v>
      </c>
      <c r="K2057">
        <v>0</v>
      </c>
    </row>
    <row r="2058" spans="9:11">
      <c r="I2058" t="s">
        <v>91</v>
      </c>
      <c r="J2058" t="s">
        <v>92</v>
      </c>
      <c r="K2058">
        <v>0</v>
      </c>
    </row>
    <row r="2059" spans="9:11">
      <c r="I2059" t="s">
        <v>94</v>
      </c>
      <c r="J2059" t="s">
        <v>95</v>
      </c>
      <c r="K2059">
        <v>0</v>
      </c>
    </row>
    <row r="2060" spans="9:11">
      <c r="I2060" t="s">
        <v>91</v>
      </c>
      <c r="J2060" t="s">
        <v>92</v>
      </c>
      <c r="K2060">
        <v>0</v>
      </c>
    </row>
    <row r="2061" spans="9:11">
      <c r="I2061" t="s">
        <v>94</v>
      </c>
      <c r="J2061" t="s">
        <v>95</v>
      </c>
      <c r="K2061">
        <v>0</v>
      </c>
    </row>
    <row r="2062" spans="9:11">
      <c r="I2062" t="s">
        <v>94</v>
      </c>
      <c r="J2062" t="s">
        <v>95</v>
      </c>
      <c r="K2062">
        <v>0</v>
      </c>
    </row>
    <row r="2063" spans="9:11">
      <c r="I2063" t="s">
        <v>94</v>
      </c>
      <c r="J2063" t="s">
        <v>95</v>
      </c>
      <c r="K2063">
        <v>0</v>
      </c>
    </row>
    <row r="2064" spans="9:11">
      <c r="I2064" t="s">
        <v>94</v>
      </c>
      <c r="J2064" t="s">
        <v>95</v>
      </c>
      <c r="K2064">
        <v>0</v>
      </c>
    </row>
    <row r="2065" spans="9:11">
      <c r="I2065" t="s">
        <v>94</v>
      </c>
      <c r="J2065" t="s">
        <v>95</v>
      </c>
      <c r="K2065">
        <v>0</v>
      </c>
    </row>
    <row r="2066" spans="9:11">
      <c r="I2066" t="s">
        <v>91</v>
      </c>
      <c r="J2066" t="s">
        <v>92</v>
      </c>
      <c r="K2066">
        <v>0</v>
      </c>
    </row>
    <row r="2067" spans="9:11">
      <c r="I2067" t="s">
        <v>91</v>
      </c>
      <c r="J2067" t="s">
        <v>92</v>
      </c>
      <c r="K2067">
        <v>0</v>
      </c>
    </row>
    <row r="2068" spans="9:11">
      <c r="I2068" t="s">
        <v>91</v>
      </c>
      <c r="J2068" t="s">
        <v>92</v>
      </c>
      <c r="K2068">
        <v>0</v>
      </c>
    </row>
    <row r="2069" spans="9:11">
      <c r="I2069" t="s">
        <v>94</v>
      </c>
      <c r="J2069" t="s">
        <v>95</v>
      </c>
      <c r="K2069">
        <v>0</v>
      </c>
    </row>
    <row r="2070" spans="9:11">
      <c r="I2070" t="s">
        <v>91</v>
      </c>
      <c r="J2070" t="s">
        <v>92</v>
      </c>
      <c r="K2070">
        <v>0</v>
      </c>
    </row>
    <row r="2071" spans="9:11">
      <c r="I2071" t="s">
        <v>94</v>
      </c>
      <c r="J2071" t="s">
        <v>95</v>
      </c>
      <c r="K2071">
        <v>0</v>
      </c>
    </row>
    <row r="2072" spans="9:11">
      <c r="I2072" t="s">
        <v>94</v>
      </c>
      <c r="J2072" t="s">
        <v>95</v>
      </c>
      <c r="K2072">
        <v>0</v>
      </c>
    </row>
    <row r="2073" spans="9:11">
      <c r="I2073" t="s">
        <v>94</v>
      </c>
      <c r="J2073" t="s">
        <v>95</v>
      </c>
      <c r="K2073">
        <v>0</v>
      </c>
    </row>
    <row r="2074" spans="9:11">
      <c r="I2074" t="s">
        <v>94</v>
      </c>
      <c r="J2074" t="s">
        <v>95</v>
      </c>
      <c r="K2074">
        <v>1</v>
      </c>
    </row>
    <row r="2075" spans="9:11">
      <c r="I2075" t="s">
        <v>94</v>
      </c>
      <c r="J2075" t="s">
        <v>95</v>
      </c>
      <c r="K2075">
        <v>0</v>
      </c>
    </row>
    <row r="2076" spans="9:11">
      <c r="I2076" t="s">
        <v>94</v>
      </c>
      <c r="J2076" t="s">
        <v>95</v>
      </c>
      <c r="K2076">
        <v>0</v>
      </c>
    </row>
    <row r="2077" spans="9:11">
      <c r="I2077" t="s">
        <v>91</v>
      </c>
      <c r="J2077" t="s">
        <v>92</v>
      </c>
      <c r="K2077">
        <v>0</v>
      </c>
    </row>
    <row r="2078" spans="9:11">
      <c r="I2078" t="s">
        <v>91</v>
      </c>
      <c r="J2078" t="s">
        <v>92</v>
      </c>
      <c r="K2078">
        <v>0</v>
      </c>
    </row>
    <row r="2079" spans="9:11">
      <c r="I2079" t="s">
        <v>94</v>
      </c>
      <c r="J2079" t="s">
        <v>95</v>
      </c>
      <c r="K2079">
        <v>1</v>
      </c>
    </row>
    <row r="2080" spans="9:11">
      <c r="I2080" t="s">
        <v>94</v>
      </c>
      <c r="J2080" t="s">
        <v>95</v>
      </c>
      <c r="K2080">
        <v>0</v>
      </c>
    </row>
    <row r="2081" spans="9:11">
      <c r="I2081" t="s">
        <v>94</v>
      </c>
      <c r="J2081" t="s">
        <v>95</v>
      </c>
      <c r="K2081">
        <v>0</v>
      </c>
    </row>
    <row r="2082" spans="9:11">
      <c r="I2082" t="s">
        <v>94</v>
      </c>
      <c r="J2082" t="s">
        <v>95</v>
      </c>
      <c r="K2082">
        <v>0</v>
      </c>
    </row>
    <row r="2083" spans="9:11">
      <c r="I2083" t="s">
        <v>91</v>
      </c>
      <c r="J2083" t="s">
        <v>92</v>
      </c>
      <c r="K2083">
        <v>0</v>
      </c>
    </row>
    <row r="2084" spans="9:11">
      <c r="I2084" t="s">
        <v>94</v>
      </c>
      <c r="J2084" t="s">
        <v>95</v>
      </c>
      <c r="K2084">
        <v>0</v>
      </c>
    </row>
    <row r="2085" spans="9:11">
      <c r="I2085" t="s">
        <v>91</v>
      </c>
      <c r="J2085" t="s">
        <v>92</v>
      </c>
      <c r="K2085">
        <v>0</v>
      </c>
    </row>
    <row r="2086" spans="9:11">
      <c r="I2086" t="s">
        <v>91</v>
      </c>
      <c r="J2086" t="s">
        <v>92</v>
      </c>
      <c r="K2086">
        <v>0</v>
      </c>
    </row>
    <row r="2087" spans="9:11">
      <c r="I2087" t="s">
        <v>91</v>
      </c>
      <c r="J2087" t="s">
        <v>92</v>
      </c>
      <c r="K2087">
        <v>0</v>
      </c>
    </row>
    <row r="2088" spans="9:11">
      <c r="I2088" t="s">
        <v>91</v>
      </c>
      <c r="J2088" t="s">
        <v>92</v>
      </c>
      <c r="K2088">
        <v>1</v>
      </c>
    </row>
    <row r="2089" spans="9:11">
      <c r="I2089" t="s">
        <v>94</v>
      </c>
      <c r="J2089" t="s">
        <v>95</v>
      </c>
      <c r="K2089">
        <v>0</v>
      </c>
    </row>
    <row r="2090" spans="9:11">
      <c r="I2090" t="s">
        <v>94</v>
      </c>
      <c r="J2090" t="s">
        <v>95</v>
      </c>
      <c r="K2090">
        <v>0</v>
      </c>
    </row>
    <row r="2091" spans="9:11">
      <c r="I2091" t="s">
        <v>94</v>
      </c>
      <c r="J2091" t="s">
        <v>95</v>
      </c>
      <c r="K2091">
        <v>0</v>
      </c>
    </row>
    <row r="2092" spans="9:11">
      <c r="I2092" t="s">
        <v>91</v>
      </c>
      <c r="J2092" t="s">
        <v>92</v>
      </c>
      <c r="K2092">
        <v>1</v>
      </c>
    </row>
    <row r="2093" spans="9:11">
      <c r="I2093" t="s">
        <v>91</v>
      </c>
      <c r="J2093" t="s">
        <v>92</v>
      </c>
      <c r="K2093">
        <v>0</v>
      </c>
    </row>
    <row r="2094" spans="9:11">
      <c r="I2094" t="s">
        <v>91</v>
      </c>
      <c r="J2094" t="s">
        <v>92</v>
      </c>
      <c r="K2094">
        <v>0</v>
      </c>
    </row>
    <row r="2095" spans="9:11">
      <c r="I2095" t="s">
        <v>94</v>
      </c>
      <c r="J2095" t="s">
        <v>95</v>
      </c>
      <c r="K2095">
        <v>1</v>
      </c>
    </row>
    <row r="2096" spans="9:11">
      <c r="I2096" t="s">
        <v>91</v>
      </c>
      <c r="J2096" t="s">
        <v>92</v>
      </c>
      <c r="K2096">
        <v>0</v>
      </c>
    </row>
    <row r="2097" spans="9:11">
      <c r="I2097" t="s">
        <v>94</v>
      </c>
      <c r="J2097" t="s">
        <v>95</v>
      </c>
      <c r="K2097">
        <v>0</v>
      </c>
    </row>
    <row r="2098" spans="9:11">
      <c r="I2098" t="s">
        <v>94</v>
      </c>
      <c r="J2098" t="s">
        <v>95</v>
      </c>
      <c r="K2098">
        <v>0</v>
      </c>
    </row>
    <row r="2099" spans="9:11">
      <c r="I2099" t="s">
        <v>91</v>
      </c>
      <c r="J2099" t="s">
        <v>92</v>
      </c>
      <c r="K2099">
        <v>0</v>
      </c>
    </row>
    <row r="2100" spans="9:11">
      <c r="I2100" t="s">
        <v>94</v>
      </c>
      <c r="J2100" t="s">
        <v>95</v>
      </c>
      <c r="K2100">
        <v>0</v>
      </c>
    </row>
    <row r="2101" spans="9:11">
      <c r="I2101" t="s">
        <v>91</v>
      </c>
      <c r="J2101" t="s">
        <v>92</v>
      </c>
      <c r="K2101">
        <v>0</v>
      </c>
    </row>
    <row r="2102" spans="9:11">
      <c r="I2102" t="s">
        <v>94</v>
      </c>
      <c r="J2102" t="s">
        <v>95</v>
      </c>
      <c r="K2102">
        <v>0</v>
      </c>
    </row>
    <row r="2103" spans="9:11">
      <c r="I2103" t="s">
        <v>91</v>
      </c>
      <c r="J2103" t="s">
        <v>92</v>
      </c>
      <c r="K2103">
        <v>0</v>
      </c>
    </row>
    <row r="2104" spans="9:11">
      <c r="I2104" t="s">
        <v>94</v>
      </c>
      <c r="J2104" t="s">
        <v>95</v>
      </c>
      <c r="K2104">
        <v>0</v>
      </c>
    </row>
    <row r="2105" spans="9:11">
      <c r="I2105" t="s">
        <v>94</v>
      </c>
      <c r="J2105" t="s">
        <v>95</v>
      </c>
      <c r="K2105">
        <v>0</v>
      </c>
    </row>
    <row r="2106" spans="9:11">
      <c r="I2106" t="s">
        <v>94</v>
      </c>
      <c r="J2106" t="s">
        <v>95</v>
      </c>
      <c r="K2106">
        <v>0</v>
      </c>
    </row>
    <row r="2107" spans="9:11">
      <c r="I2107" t="s">
        <v>91</v>
      </c>
      <c r="J2107" t="s">
        <v>92</v>
      </c>
      <c r="K2107">
        <v>0</v>
      </c>
    </row>
    <row r="2108" spans="9:11">
      <c r="I2108" t="s">
        <v>94</v>
      </c>
      <c r="J2108" t="s">
        <v>95</v>
      </c>
      <c r="K2108">
        <v>0</v>
      </c>
    </row>
    <row r="2109" spans="9:11">
      <c r="I2109" t="s">
        <v>94</v>
      </c>
      <c r="J2109" t="s">
        <v>95</v>
      </c>
      <c r="K2109">
        <v>0</v>
      </c>
    </row>
    <row r="2110" spans="9:11">
      <c r="I2110" t="s">
        <v>94</v>
      </c>
      <c r="J2110" t="s">
        <v>95</v>
      </c>
      <c r="K2110">
        <v>0</v>
      </c>
    </row>
    <row r="2111" spans="9:11">
      <c r="I2111" t="s">
        <v>91</v>
      </c>
      <c r="J2111" t="s">
        <v>92</v>
      </c>
      <c r="K2111">
        <v>0</v>
      </c>
    </row>
    <row r="2112" spans="9:11">
      <c r="I2112" t="s">
        <v>91</v>
      </c>
      <c r="J2112" t="s">
        <v>92</v>
      </c>
      <c r="K2112">
        <v>0</v>
      </c>
    </row>
    <row r="2113" spans="9:11">
      <c r="I2113" t="s">
        <v>91</v>
      </c>
      <c r="J2113" t="s">
        <v>92</v>
      </c>
      <c r="K2113">
        <v>0</v>
      </c>
    </row>
    <row r="2114" spans="9:11">
      <c r="I2114" t="s">
        <v>94</v>
      </c>
      <c r="J2114" t="s">
        <v>95</v>
      </c>
      <c r="K2114">
        <v>0</v>
      </c>
    </row>
    <row r="2115" spans="9:11">
      <c r="I2115" t="s">
        <v>91</v>
      </c>
      <c r="J2115" t="s">
        <v>92</v>
      </c>
      <c r="K2115">
        <v>1</v>
      </c>
    </row>
    <row r="2116" spans="9:11">
      <c r="I2116" t="s">
        <v>94</v>
      </c>
      <c r="J2116" t="s">
        <v>95</v>
      </c>
      <c r="K2116">
        <v>0</v>
      </c>
    </row>
    <row r="2117" spans="9:11">
      <c r="I2117" t="s">
        <v>91</v>
      </c>
      <c r="J2117" t="s">
        <v>92</v>
      </c>
      <c r="K2117">
        <v>0</v>
      </c>
    </row>
    <row r="2118" spans="9:11">
      <c r="I2118" t="s">
        <v>94</v>
      </c>
      <c r="J2118" t="s">
        <v>95</v>
      </c>
      <c r="K2118">
        <v>0</v>
      </c>
    </row>
    <row r="2119" spans="9:11">
      <c r="I2119" t="s">
        <v>94</v>
      </c>
      <c r="J2119" t="s">
        <v>95</v>
      </c>
      <c r="K2119">
        <v>0</v>
      </c>
    </row>
    <row r="2120" spans="9:11">
      <c r="I2120" t="s">
        <v>94</v>
      </c>
      <c r="J2120" t="s">
        <v>95</v>
      </c>
      <c r="K2120">
        <v>0</v>
      </c>
    </row>
    <row r="2121" spans="9:11">
      <c r="I2121" t="s">
        <v>94</v>
      </c>
      <c r="J2121" t="s">
        <v>95</v>
      </c>
      <c r="K2121">
        <v>0</v>
      </c>
    </row>
    <row r="2122" spans="9:11">
      <c r="I2122" t="s">
        <v>91</v>
      </c>
      <c r="J2122" t="s">
        <v>92</v>
      </c>
      <c r="K2122">
        <v>0</v>
      </c>
    </row>
    <row r="2123" spans="9:11">
      <c r="I2123" t="s">
        <v>94</v>
      </c>
      <c r="J2123" t="s">
        <v>95</v>
      </c>
      <c r="K2123">
        <v>0</v>
      </c>
    </row>
    <row r="2124" spans="9:11">
      <c r="I2124" t="s">
        <v>94</v>
      </c>
      <c r="J2124" t="s">
        <v>95</v>
      </c>
      <c r="K2124">
        <v>0</v>
      </c>
    </row>
    <row r="2125" spans="9:11">
      <c r="I2125" t="s">
        <v>94</v>
      </c>
      <c r="J2125" t="s">
        <v>95</v>
      </c>
      <c r="K2125">
        <v>0</v>
      </c>
    </row>
    <row r="2126" spans="9:11">
      <c r="I2126" t="s">
        <v>91</v>
      </c>
      <c r="J2126" t="s">
        <v>92</v>
      </c>
      <c r="K2126">
        <v>0</v>
      </c>
    </row>
    <row r="2127" spans="9:11">
      <c r="I2127" t="s">
        <v>91</v>
      </c>
      <c r="J2127" t="s">
        <v>92</v>
      </c>
      <c r="K2127">
        <v>0</v>
      </c>
    </row>
    <row r="2128" spans="9:11">
      <c r="I2128" t="s">
        <v>91</v>
      </c>
      <c r="J2128" t="s">
        <v>92</v>
      </c>
      <c r="K2128">
        <v>0</v>
      </c>
    </row>
    <row r="2129" spans="9:11">
      <c r="I2129" t="s">
        <v>91</v>
      </c>
      <c r="J2129" t="s">
        <v>92</v>
      </c>
      <c r="K2129">
        <v>0</v>
      </c>
    </row>
    <row r="2130" spans="9:11">
      <c r="I2130" t="s">
        <v>91</v>
      </c>
      <c r="J2130" t="s">
        <v>92</v>
      </c>
      <c r="K2130">
        <v>0</v>
      </c>
    </row>
    <row r="2131" spans="9:11">
      <c r="I2131" t="s">
        <v>94</v>
      </c>
      <c r="J2131" t="s">
        <v>95</v>
      </c>
      <c r="K2131">
        <v>0</v>
      </c>
    </row>
    <row r="2132" spans="9:11">
      <c r="I2132" t="s">
        <v>91</v>
      </c>
      <c r="J2132" t="s">
        <v>92</v>
      </c>
      <c r="K2132">
        <v>0</v>
      </c>
    </row>
    <row r="2133" spans="9:11">
      <c r="I2133" t="s">
        <v>94</v>
      </c>
      <c r="J2133" t="s">
        <v>95</v>
      </c>
      <c r="K2133">
        <v>0</v>
      </c>
    </row>
    <row r="2134" spans="9:11">
      <c r="I2134" t="s">
        <v>94</v>
      </c>
      <c r="J2134" t="s">
        <v>95</v>
      </c>
      <c r="K2134">
        <v>0</v>
      </c>
    </row>
    <row r="2135" spans="9:11">
      <c r="I2135" t="s">
        <v>91</v>
      </c>
      <c r="J2135" t="s">
        <v>92</v>
      </c>
      <c r="K2135">
        <v>0</v>
      </c>
    </row>
    <row r="2136" spans="9:11">
      <c r="I2136" t="s">
        <v>91</v>
      </c>
      <c r="J2136" t="s">
        <v>92</v>
      </c>
      <c r="K2136">
        <v>0</v>
      </c>
    </row>
    <row r="2137" spans="9:11">
      <c r="I2137" t="s">
        <v>94</v>
      </c>
      <c r="J2137" t="s">
        <v>95</v>
      </c>
      <c r="K2137">
        <v>0</v>
      </c>
    </row>
    <row r="2138" spans="9:11">
      <c r="I2138" t="s">
        <v>94</v>
      </c>
      <c r="J2138" t="s">
        <v>95</v>
      </c>
      <c r="K2138">
        <v>0</v>
      </c>
    </row>
    <row r="2139" spans="9:11">
      <c r="I2139" t="s">
        <v>94</v>
      </c>
      <c r="J2139" t="s">
        <v>95</v>
      </c>
      <c r="K2139">
        <v>0</v>
      </c>
    </row>
    <row r="2140" spans="9:11">
      <c r="I2140" t="s">
        <v>94</v>
      </c>
      <c r="J2140" t="s">
        <v>95</v>
      </c>
      <c r="K2140">
        <v>0</v>
      </c>
    </row>
    <row r="2141" spans="9:11">
      <c r="I2141" t="s">
        <v>91</v>
      </c>
      <c r="J2141" t="s">
        <v>92</v>
      </c>
      <c r="K2141">
        <v>0</v>
      </c>
    </row>
    <row r="2142" spans="9:11">
      <c r="I2142" t="s">
        <v>91</v>
      </c>
      <c r="J2142" t="s">
        <v>92</v>
      </c>
      <c r="K2142">
        <v>0</v>
      </c>
    </row>
    <row r="2143" spans="9:11">
      <c r="I2143" t="s">
        <v>94</v>
      </c>
      <c r="J2143" t="s">
        <v>95</v>
      </c>
      <c r="K2143">
        <v>0</v>
      </c>
    </row>
    <row r="2144" spans="9:11">
      <c r="I2144" t="s">
        <v>94</v>
      </c>
      <c r="J2144" t="s">
        <v>95</v>
      </c>
      <c r="K2144">
        <v>0</v>
      </c>
    </row>
    <row r="2145" spans="9:11">
      <c r="I2145" t="s">
        <v>91</v>
      </c>
      <c r="J2145" t="s">
        <v>92</v>
      </c>
      <c r="K2145">
        <v>0</v>
      </c>
    </row>
    <row r="2146" spans="9:11">
      <c r="I2146" t="s">
        <v>94</v>
      </c>
      <c r="J2146" t="s">
        <v>95</v>
      </c>
      <c r="K2146">
        <v>0</v>
      </c>
    </row>
    <row r="2147" spans="9:11">
      <c r="I2147" t="s">
        <v>91</v>
      </c>
      <c r="J2147" t="s">
        <v>92</v>
      </c>
      <c r="K2147">
        <v>0</v>
      </c>
    </row>
    <row r="2148" spans="9:11">
      <c r="I2148" t="s">
        <v>91</v>
      </c>
      <c r="J2148" t="s">
        <v>92</v>
      </c>
      <c r="K2148">
        <v>0</v>
      </c>
    </row>
    <row r="2149" spans="9:11">
      <c r="I2149" t="s">
        <v>91</v>
      </c>
      <c r="J2149" t="s">
        <v>92</v>
      </c>
      <c r="K2149">
        <v>0</v>
      </c>
    </row>
    <row r="2150" spans="9:11">
      <c r="I2150" t="s">
        <v>94</v>
      </c>
      <c r="J2150" t="s">
        <v>95</v>
      </c>
      <c r="K2150">
        <v>0</v>
      </c>
    </row>
    <row r="2151" spans="9:11">
      <c r="I2151" t="s">
        <v>94</v>
      </c>
      <c r="J2151" t="s">
        <v>95</v>
      </c>
      <c r="K2151">
        <v>0</v>
      </c>
    </row>
    <row r="2152" spans="9:11">
      <c r="I2152" t="s">
        <v>94</v>
      </c>
      <c r="J2152" t="s">
        <v>95</v>
      </c>
      <c r="K2152">
        <v>1</v>
      </c>
    </row>
    <row r="2153" spans="9:11">
      <c r="I2153" t="s">
        <v>91</v>
      </c>
      <c r="J2153" t="s">
        <v>92</v>
      </c>
      <c r="K2153">
        <v>0</v>
      </c>
    </row>
    <row r="2154" spans="9:11">
      <c r="I2154" t="s">
        <v>94</v>
      </c>
      <c r="J2154" t="s">
        <v>95</v>
      </c>
      <c r="K2154">
        <v>0</v>
      </c>
    </row>
    <row r="2155" spans="9:11">
      <c r="I2155" t="s">
        <v>94</v>
      </c>
      <c r="J2155" t="s">
        <v>95</v>
      </c>
      <c r="K2155">
        <v>0</v>
      </c>
    </row>
    <row r="2156" spans="9:11">
      <c r="I2156" t="s">
        <v>94</v>
      </c>
      <c r="J2156" t="s">
        <v>95</v>
      </c>
      <c r="K2156">
        <v>0</v>
      </c>
    </row>
    <row r="2157" spans="9:11">
      <c r="I2157" t="s">
        <v>94</v>
      </c>
      <c r="J2157" t="s">
        <v>95</v>
      </c>
      <c r="K2157">
        <v>0</v>
      </c>
    </row>
    <row r="2158" spans="9:11">
      <c r="I2158" t="s">
        <v>94</v>
      </c>
      <c r="J2158" t="s">
        <v>95</v>
      </c>
      <c r="K2158">
        <v>0</v>
      </c>
    </row>
    <row r="2159" spans="9:11">
      <c r="I2159" t="s">
        <v>91</v>
      </c>
      <c r="J2159" t="s">
        <v>92</v>
      </c>
      <c r="K2159">
        <v>0</v>
      </c>
    </row>
    <row r="2160" spans="9:11">
      <c r="I2160" t="s">
        <v>94</v>
      </c>
      <c r="J2160" t="s">
        <v>95</v>
      </c>
      <c r="K2160">
        <v>0</v>
      </c>
    </row>
    <row r="2161" spans="9:11">
      <c r="I2161" t="s">
        <v>91</v>
      </c>
      <c r="J2161" t="s">
        <v>92</v>
      </c>
      <c r="K2161">
        <v>1</v>
      </c>
    </row>
    <row r="2162" spans="9:11">
      <c r="I2162" t="s">
        <v>94</v>
      </c>
      <c r="J2162" t="s">
        <v>95</v>
      </c>
      <c r="K2162">
        <v>0</v>
      </c>
    </row>
    <row r="2163" spans="9:11">
      <c r="I2163" t="s">
        <v>94</v>
      </c>
      <c r="J2163" t="s">
        <v>95</v>
      </c>
      <c r="K2163">
        <v>0</v>
      </c>
    </row>
    <row r="2164" spans="9:11">
      <c r="I2164" t="s">
        <v>91</v>
      </c>
      <c r="J2164" t="s">
        <v>92</v>
      </c>
      <c r="K2164">
        <v>0</v>
      </c>
    </row>
    <row r="2165" spans="9:11">
      <c r="I2165" t="s">
        <v>91</v>
      </c>
      <c r="J2165" t="s">
        <v>92</v>
      </c>
      <c r="K2165">
        <v>0</v>
      </c>
    </row>
    <row r="2166" spans="9:11">
      <c r="I2166" t="s">
        <v>94</v>
      </c>
      <c r="J2166" t="s">
        <v>95</v>
      </c>
      <c r="K2166">
        <v>0</v>
      </c>
    </row>
    <row r="2167" spans="9:11">
      <c r="I2167" t="s">
        <v>91</v>
      </c>
      <c r="J2167" t="s">
        <v>92</v>
      </c>
      <c r="K2167">
        <v>0</v>
      </c>
    </row>
    <row r="2168" spans="9:11">
      <c r="I2168" t="s">
        <v>91</v>
      </c>
      <c r="J2168" t="s">
        <v>92</v>
      </c>
      <c r="K2168">
        <v>0</v>
      </c>
    </row>
    <row r="2169" spans="9:11">
      <c r="I2169" t="s">
        <v>91</v>
      </c>
      <c r="J2169" t="s">
        <v>92</v>
      </c>
      <c r="K2169">
        <v>0</v>
      </c>
    </row>
    <row r="2170" spans="9:11">
      <c r="I2170" t="s">
        <v>91</v>
      </c>
      <c r="J2170" t="s">
        <v>92</v>
      </c>
      <c r="K2170">
        <v>0</v>
      </c>
    </row>
    <row r="2171" spans="9:11">
      <c r="I2171" t="s">
        <v>94</v>
      </c>
      <c r="J2171" t="s">
        <v>95</v>
      </c>
      <c r="K2171">
        <v>0</v>
      </c>
    </row>
    <row r="2172" spans="9:11">
      <c r="I2172" t="s">
        <v>91</v>
      </c>
      <c r="J2172" t="s">
        <v>92</v>
      </c>
      <c r="K2172">
        <v>0</v>
      </c>
    </row>
    <row r="2173" spans="9:11">
      <c r="I2173" t="s">
        <v>91</v>
      </c>
      <c r="J2173" t="s">
        <v>92</v>
      </c>
      <c r="K2173">
        <v>0</v>
      </c>
    </row>
    <row r="2174" spans="9:11">
      <c r="I2174" t="s">
        <v>94</v>
      </c>
      <c r="J2174" t="s">
        <v>95</v>
      </c>
      <c r="K2174">
        <v>0</v>
      </c>
    </row>
    <row r="2175" spans="9:11">
      <c r="I2175" t="s">
        <v>94</v>
      </c>
      <c r="J2175" t="s">
        <v>95</v>
      </c>
      <c r="K2175">
        <v>0</v>
      </c>
    </row>
    <row r="2176" spans="9:11">
      <c r="I2176" t="s">
        <v>94</v>
      </c>
      <c r="J2176" t="s">
        <v>95</v>
      </c>
      <c r="K2176">
        <v>0</v>
      </c>
    </row>
    <row r="2177" spans="9:11">
      <c r="I2177" t="s">
        <v>94</v>
      </c>
      <c r="J2177" t="s">
        <v>95</v>
      </c>
      <c r="K2177">
        <v>0</v>
      </c>
    </row>
    <row r="2178" spans="9:11">
      <c r="I2178" t="s">
        <v>91</v>
      </c>
      <c r="J2178" t="s">
        <v>92</v>
      </c>
      <c r="K2178">
        <v>0</v>
      </c>
    </row>
    <row r="2179" spans="9:11">
      <c r="I2179" t="s">
        <v>91</v>
      </c>
      <c r="J2179" t="s">
        <v>92</v>
      </c>
      <c r="K2179">
        <v>0</v>
      </c>
    </row>
    <row r="2180" spans="9:11">
      <c r="I2180" t="s">
        <v>94</v>
      </c>
      <c r="J2180" t="s">
        <v>95</v>
      </c>
      <c r="K2180">
        <v>0</v>
      </c>
    </row>
    <row r="2181" spans="9:11">
      <c r="I2181" t="s">
        <v>94</v>
      </c>
      <c r="J2181" t="s">
        <v>95</v>
      </c>
      <c r="K2181">
        <v>0</v>
      </c>
    </row>
    <row r="2182" spans="9:11">
      <c r="I2182" t="s">
        <v>91</v>
      </c>
      <c r="J2182" t="s">
        <v>92</v>
      </c>
      <c r="K2182">
        <v>0</v>
      </c>
    </row>
    <row r="2183" spans="9:11">
      <c r="I2183" t="s">
        <v>94</v>
      </c>
      <c r="J2183" t="s">
        <v>95</v>
      </c>
      <c r="K2183">
        <v>0</v>
      </c>
    </row>
    <row r="2184" spans="9:11">
      <c r="I2184" t="s">
        <v>91</v>
      </c>
      <c r="J2184" t="s">
        <v>92</v>
      </c>
      <c r="K2184">
        <v>0</v>
      </c>
    </row>
    <row r="2185" spans="9:11">
      <c r="I2185" t="s">
        <v>91</v>
      </c>
      <c r="J2185" t="s">
        <v>92</v>
      </c>
      <c r="K2185">
        <v>0</v>
      </c>
    </row>
    <row r="2186" spans="9:11">
      <c r="I2186" t="s">
        <v>91</v>
      </c>
      <c r="J2186" t="s">
        <v>92</v>
      </c>
      <c r="K2186">
        <v>0</v>
      </c>
    </row>
    <row r="2187" spans="9:11">
      <c r="I2187" t="s">
        <v>94</v>
      </c>
      <c r="J2187" t="s">
        <v>95</v>
      </c>
      <c r="K2187">
        <v>0</v>
      </c>
    </row>
    <row r="2188" spans="9:11">
      <c r="I2188" t="s">
        <v>91</v>
      </c>
      <c r="J2188" t="s">
        <v>92</v>
      </c>
      <c r="K2188">
        <v>0</v>
      </c>
    </row>
    <row r="2189" spans="9:11">
      <c r="I2189" t="s">
        <v>94</v>
      </c>
      <c r="J2189" t="s">
        <v>95</v>
      </c>
      <c r="K2189">
        <v>0</v>
      </c>
    </row>
    <row r="2190" spans="9:11">
      <c r="I2190" t="s">
        <v>91</v>
      </c>
      <c r="J2190" t="s">
        <v>92</v>
      </c>
      <c r="K2190">
        <v>0</v>
      </c>
    </row>
    <row r="2191" spans="9:11">
      <c r="I2191" t="s">
        <v>91</v>
      </c>
      <c r="J2191" t="s">
        <v>92</v>
      </c>
      <c r="K2191">
        <v>0</v>
      </c>
    </row>
    <row r="2192" spans="9:11">
      <c r="I2192" t="s">
        <v>91</v>
      </c>
      <c r="J2192" t="s">
        <v>92</v>
      </c>
      <c r="K2192">
        <v>0</v>
      </c>
    </row>
    <row r="2193" spans="9:11">
      <c r="I2193" t="s">
        <v>91</v>
      </c>
      <c r="J2193" t="s">
        <v>92</v>
      </c>
      <c r="K2193">
        <v>1</v>
      </c>
    </row>
    <row r="2194" spans="9:11">
      <c r="I2194" t="s">
        <v>91</v>
      </c>
      <c r="J2194" t="s">
        <v>92</v>
      </c>
      <c r="K2194">
        <v>0</v>
      </c>
    </row>
    <row r="2195" spans="9:11">
      <c r="I2195" t="s">
        <v>94</v>
      </c>
      <c r="J2195" t="s">
        <v>95</v>
      </c>
      <c r="K2195">
        <v>0</v>
      </c>
    </row>
    <row r="2196" spans="9:11">
      <c r="I2196" t="s">
        <v>94</v>
      </c>
      <c r="J2196" t="s">
        <v>95</v>
      </c>
      <c r="K2196">
        <v>0</v>
      </c>
    </row>
    <row r="2197" spans="9:11">
      <c r="I2197" t="s">
        <v>94</v>
      </c>
      <c r="J2197" t="s">
        <v>95</v>
      </c>
      <c r="K2197">
        <v>0</v>
      </c>
    </row>
    <row r="2198" spans="9:11">
      <c r="I2198" t="s">
        <v>94</v>
      </c>
      <c r="J2198" t="s">
        <v>95</v>
      </c>
      <c r="K2198">
        <v>0</v>
      </c>
    </row>
    <row r="2199" spans="9:11">
      <c r="I2199" t="s">
        <v>94</v>
      </c>
      <c r="J2199" t="s">
        <v>95</v>
      </c>
      <c r="K2199">
        <v>0</v>
      </c>
    </row>
    <row r="2200" spans="9:11">
      <c r="I2200" t="s">
        <v>94</v>
      </c>
      <c r="J2200" t="s">
        <v>95</v>
      </c>
      <c r="K2200">
        <v>0</v>
      </c>
    </row>
    <row r="2201" spans="9:11">
      <c r="I2201" t="s">
        <v>91</v>
      </c>
      <c r="J2201" t="s">
        <v>92</v>
      </c>
      <c r="K2201">
        <v>0</v>
      </c>
    </row>
    <row r="2202" spans="9:11">
      <c r="I2202" t="s">
        <v>91</v>
      </c>
      <c r="J2202" t="s">
        <v>92</v>
      </c>
      <c r="K2202">
        <v>0</v>
      </c>
    </row>
    <row r="2203" spans="9:11">
      <c r="I2203" t="s">
        <v>91</v>
      </c>
      <c r="J2203" t="s">
        <v>92</v>
      </c>
      <c r="K2203">
        <v>0</v>
      </c>
    </row>
    <row r="2204" spans="9:11">
      <c r="I2204" t="s">
        <v>94</v>
      </c>
      <c r="J2204" t="s">
        <v>95</v>
      </c>
      <c r="K2204">
        <v>0</v>
      </c>
    </row>
    <row r="2205" spans="9:11">
      <c r="I2205" t="s">
        <v>94</v>
      </c>
      <c r="J2205" t="s">
        <v>95</v>
      </c>
      <c r="K2205">
        <v>0</v>
      </c>
    </row>
    <row r="2206" spans="9:11">
      <c r="I2206" t="s">
        <v>91</v>
      </c>
      <c r="J2206" t="s">
        <v>92</v>
      </c>
      <c r="K2206">
        <v>0</v>
      </c>
    </row>
    <row r="2207" spans="9:11">
      <c r="I2207" t="s">
        <v>91</v>
      </c>
      <c r="J2207" t="s">
        <v>92</v>
      </c>
      <c r="K2207">
        <v>0</v>
      </c>
    </row>
    <row r="2208" spans="9:11">
      <c r="I2208" t="s">
        <v>94</v>
      </c>
      <c r="J2208" t="s">
        <v>95</v>
      </c>
      <c r="K2208">
        <v>0</v>
      </c>
    </row>
    <row r="2209" spans="9:11">
      <c r="I2209" t="s">
        <v>94</v>
      </c>
      <c r="J2209" t="s">
        <v>95</v>
      </c>
      <c r="K2209">
        <v>0</v>
      </c>
    </row>
    <row r="2210" spans="9:11">
      <c r="I2210" t="s">
        <v>94</v>
      </c>
      <c r="J2210" t="s">
        <v>95</v>
      </c>
      <c r="K2210">
        <v>0</v>
      </c>
    </row>
    <row r="2211" spans="9:11">
      <c r="I2211" t="s">
        <v>94</v>
      </c>
      <c r="J2211" t="s">
        <v>95</v>
      </c>
      <c r="K2211">
        <v>0</v>
      </c>
    </row>
    <row r="2212" spans="9:11">
      <c r="I2212" t="s">
        <v>91</v>
      </c>
      <c r="J2212" t="s">
        <v>92</v>
      </c>
      <c r="K2212">
        <v>0</v>
      </c>
    </row>
    <row r="2213" spans="9:11">
      <c r="I2213" t="s">
        <v>94</v>
      </c>
      <c r="J2213" t="s">
        <v>95</v>
      </c>
      <c r="K2213">
        <v>0</v>
      </c>
    </row>
    <row r="2214" spans="9:11">
      <c r="I2214" t="s">
        <v>91</v>
      </c>
      <c r="J2214" t="s">
        <v>92</v>
      </c>
      <c r="K2214">
        <v>0</v>
      </c>
    </row>
    <row r="2215" spans="9:11">
      <c r="I2215" t="s">
        <v>91</v>
      </c>
      <c r="J2215" t="s">
        <v>92</v>
      </c>
      <c r="K2215">
        <v>0</v>
      </c>
    </row>
    <row r="2216" spans="9:11">
      <c r="I2216" t="s">
        <v>91</v>
      </c>
      <c r="J2216" t="s">
        <v>92</v>
      </c>
      <c r="K2216">
        <v>0</v>
      </c>
    </row>
    <row r="2217" spans="9:11">
      <c r="I2217" t="s">
        <v>94</v>
      </c>
      <c r="J2217" t="s">
        <v>95</v>
      </c>
      <c r="K2217">
        <v>0</v>
      </c>
    </row>
    <row r="2218" spans="9:11">
      <c r="I2218" t="s">
        <v>91</v>
      </c>
      <c r="J2218" t="s">
        <v>92</v>
      </c>
      <c r="K2218">
        <v>0</v>
      </c>
    </row>
    <row r="2219" spans="9:11">
      <c r="I2219" t="s">
        <v>94</v>
      </c>
      <c r="J2219" t="s">
        <v>95</v>
      </c>
      <c r="K2219">
        <v>0</v>
      </c>
    </row>
    <row r="2220" spans="9:11">
      <c r="I2220" t="s">
        <v>94</v>
      </c>
      <c r="J2220" t="s">
        <v>95</v>
      </c>
      <c r="K2220">
        <v>0</v>
      </c>
    </row>
    <row r="2221" spans="9:11">
      <c r="I2221" t="s">
        <v>94</v>
      </c>
      <c r="J2221" t="s">
        <v>95</v>
      </c>
      <c r="K2221">
        <v>0</v>
      </c>
    </row>
    <row r="2222" spans="9:11">
      <c r="I2222" t="s">
        <v>91</v>
      </c>
      <c r="J2222" t="s">
        <v>92</v>
      </c>
      <c r="K2222">
        <v>0</v>
      </c>
    </row>
    <row r="2223" spans="9:11">
      <c r="I2223" t="s">
        <v>91</v>
      </c>
      <c r="J2223" t="s">
        <v>92</v>
      </c>
      <c r="K2223">
        <v>0</v>
      </c>
    </row>
    <row r="2224" spans="9:11">
      <c r="I2224" t="s">
        <v>91</v>
      </c>
      <c r="J2224" t="s">
        <v>92</v>
      </c>
      <c r="K2224">
        <v>0</v>
      </c>
    </row>
    <row r="2225" spans="9:11">
      <c r="I2225" t="s">
        <v>91</v>
      </c>
      <c r="J2225" t="s">
        <v>92</v>
      </c>
      <c r="K2225">
        <v>0</v>
      </c>
    </row>
    <row r="2226" spans="9:11">
      <c r="I2226" t="s">
        <v>91</v>
      </c>
      <c r="J2226" t="s">
        <v>92</v>
      </c>
      <c r="K2226">
        <v>0</v>
      </c>
    </row>
    <row r="2227" spans="9:11">
      <c r="I2227" t="s">
        <v>94</v>
      </c>
      <c r="J2227" t="s">
        <v>95</v>
      </c>
      <c r="K2227">
        <v>0</v>
      </c>
    </row>
    <row r="2228" spans="9:11">
      <c r="I2228" t="s">
        <v>91</v>
      </c>
      <c r="J2228" t="s">
        <v>92</v>
      </c>
      <c r="K2228">
        <v>0</v>
      </c>
    </row>
    <row r="2229" spans="9:11">
      <c r="I2229" t="s">
        <v>91</v>
      </c>
      <c r="J2229" t="s">
        <v>92</v>
      </c>
      <c r="K2229">
        <v>0</v>
      </c>
    </row>
    <row r="2230" spans="9:11">
      <c r="I2230" t="s">
        <v>91</v>
      </c>
      <c r="J2230" t="s">
        <v>92</v>
      </c>
      <c r="K2230">
        <v>0</v>
      </c>
    </row>
    <row r="2231" spans="9:11">
      <c r="I2231" t="s">
        <v>94</v>
      </c>
      <c r="J2231" t="s">
        <v>95</v>
      </c>
      <c r="K2231">
        <v>0</v>
      </c>
    </row>
    <row r="2232" spans="9:11">
      <c r="I2232" t="s">
        <v>91</v>
      </c>
      <c r="J2232" t="s">
        <v>92</v>
      </c>
      <c r="K2232">
        <v>0</v>
      </c>
    </row>
    <row r="2233" spans="9:11">
      <c r="I2233" t="s">
        <v>91</v>
      </c>
      <c r="J2233" t="s">
        <v>92</v>
      </c>
      <c r="K2233">
        <v>0</v>
      </c>
    </row>
    <row r="2234" spans="9:11">
      <c r="I2234" t="s">
        <v>94</v>
      </c>
      <c r="J2234" t="s">
        <v>95</v>
      </c>
      <c r="K2234">
        <v>0</v>
      </c>
    </row>
    <row r="2235" spans="9:11">
      <c r="I2235" t="s">
        <v>91</v>
      </c>
      <c r="J2235" t="s">
        <v>92</v>
      </c>
      <c r="K2235">
        <v>0</v>
      </c>
    </row>
    <row r="2236" spans="9:11">
      <c r="I2236" t="s">
        <v>94</v>
      </c>
      <c r="J2236" t="s">
        <v>95</v>
      </c>
      <c r="K2236">
        <v>1</v>
      </c>
    </row>
    <row r="2237" spans="9:11">
      <c r="I2237" t="s">
        <v>94</v>
      </c>
      <c r="J2237" t="s">
        <v>95</v>
      </c>
      <c r="K2237">
        <v>0</v>
      </c>
    </row>
    <row r="2238" spans="9:11">
      <c r="I2238" t="s">
        <v>91</v>
      </c>
      <c r="J2238" t="s">
        <v>92</v>
      </c>
      <c r="K2238">
        <v>0</v>
      </c>
    </row>
    <row r="2239" spans="9:11">
      <c r="I2239" t="s">
        <v>91</v>
      </c>
      <c r="J2239" t="s">
        <v>92</v>
      </c>
      <c r="K2239">
        <v>0</v>
      </c>
    </row>
    <row r="2240" spans="9:11">
      <c r="I2240" t="s">
        <v>91</v>
      </c>
      <c r="J2240" t="s">
        <v>92</v>
      </c>
      <c r="K2240">
        <v>0</v>
      </c>
    </row>
    <row r="2241" spans="9:11">
      <c r="I2241" t="s">
        <v>94</v>
      </c>
      <c r="J2241" t="s">
        <v>95</v>
      </c>
      <c r="K2241">
        <v>0</v>
      </c>
    </row>
    <row r="2242" spans="9:11">
      <c r="I2242" t="s">
        <v>94</v>
      </c>
      <c r="J2242" t="s">
        <v>95</v>
      </c>
      <c r="K2242">
        <v>1</v>
      </c>
    </row>
    <row r="2243" spans="9:11">
      <c r="I2243" t="s">
        <v>91</v>
      </c>
      <c r="J2243" t="s">
        <v>92</v>
      </c>
      <c r="K2243">
        <v>0</v>
      </c>
    </row>
    <row r="2244" spans="9:11">
      <c r="I2244" t="s">
        <v>94</v>
      </c>
      <c r="J2244" t="s">
        <v>95</v>
      </c>
      <c r="K2244">
        <v>0</v>
      </c>
    </row>
    <row r="2245" spans="9:11">
      <c r="I2245" t="s">
        <v>94</v>
      </c>
      <c r="J2245" t="s">
        <v>95</v>
      </c>
      <c r="K2245">
        <v>0</v>
      </c>
    </row>
    <row r="2246" spans="9:11">
      <c r="I2246" t="s">
        <v>94</v>
      </c>
      <c r="J2246" t="s">
        <v>95</v>
      </c>
      <c r="K2246">
        <v>0</v>
      </c>
    </row>
    <row r="2247" spans="9:11">
      <c r="I2247" t="s">
        <v>91</v>
      </c>
      <c r="J2247" t="s">
        <v>92</v>
      </c>
      <c r="K2247">
        <v>0</v>
      </c>
    </row>
    <row r="2248" spans="9:11">
      <c r="I2248" t="s">
        <v>91</v>
      </c>
      <c r="J2248" t="s">
        <v>92</v>
      </c>
      <c r="K2248">
        <v>0</v>
      </c>
    </row>
    <row r="2249" spans="9:11">
      <c r="I2249" t="s">
        <v>91</v>
      </c>
      <c r="J2249" t="s">
        <v>92</v>
      </c>
      <c r="K2249">
        <v>0</v>
      </c>
    </row>
    <row r="2250" spans="9:11">
      <c r="I2250" t="s">
        <v>91</v>
      </c>
      <c r="J2250" t="s">
        <v>92</v>
      </c>
      <c r="K2250">
        <v>0</v>
      </c>
    </row>
    <row r="2251" spans="9:11">
      <c r="I2251" t="s">
        <v>94</v>
      </c>
      <c r="J2251" t="s">
        <v>95</v>
      </c>
      <c r="K2251">
        <v>0</v>
      </c>
    </row>
    <row r="2252" spans="9:11">
      <c r="I2252" t="s">
        <v>94</v>
      </c>
      <c r="J2252" t="s">
        <v>95</v>
      </c>
      <c r="K2252">
        <v>1</v>
      </c>
    </row>
    <row r="2253" spans="9:11">
      <c r="I2253" t="s">
        <v>94</v>
      </c>
      <c r="J2253" t="s">
        <v>95</v>
      </c>
      <c r="K2253">
        <v>0</v>
      </c>
    </row>
    <row r="2254" spans="9:11">
      <c r="I2254" t="s">
        <v>94</v>
      </c>
      <c r="J2254" t="s">
        <v>95</v>
      </c>
      <c r="K2254">
        <v>0</v>
      </c>
    </row>
    <row r="2255" spans="9:11">
      <c r="I2255" t="s">
        <v>91</v>
      </c>
      <c r="J2255" t="s">
        <v>92</v>
      </c>
      <c r="K2255">
        <v>0</v>
      </c>
    </row>
    <row r="2256" spans="9:11">
      <c r="I2256" t="s">
        <v>91</v>
      </c>
      <c r="J2256" t="s">
        <v>92</v>
      </c>
      <c r="K2256">
        <v>0</v>
      </c>
    </row>
    <row r="2257" spans="9:11">
      <c r="I2257" t="s">
        <v>94</v>
      </c>
      <c r="J2257" t="s">
        <v>95</v>
      </c>
      <c r="K2257">
        <v>0</v>
      </c>
    </row>
    <row r="2258" spans="9:11">
      <c r="I2258" t="s">
        <v>94</v>
      </c>
      <c r="J2258" t="s">
        <v>95</v>
      </c>
      <c r="K2258">
        <v>0</v>
      </c>
    </row>
    <row r="2259" spans="9:11">
      <c r="I2259" t="s">
        <v>91</v>
      </c>
      <c r="J2259" t="s">
        <v>92</v>
      </c>
      <c r="K2259">
        <v>0</v>
      </c>
    </row>
    <row r="2260" spans="9:11">
      <c r="I2260" t="s">
        <v>94</v>
      </c>
      <c r="J2260" t="s">
        <v>95</v>
      </c>
      <c r="K2260">
        <v>0</v>
      </c>
    </row>
    <row r="2261" spans="9:11">
      <c r="I2261" t="s">
        <v>91</v>
      </c>
      <c r="J2261" t="s">
        <v>92</v>
      </c>
      <c r="K2261">
        <v>0</v>
      </c>
    </row>
    <row r="2262" spans="9:11">
      <c r="I2262" t="s">
        <v>91</v>
      </c>
      <c r="J2262" t="s">
        <v>92</v>
      </c>
      <c r="K2262">
        <v>0</v>
      </c>
    </row>
    <row r="2263" spans="9:11">
      <c r="I2263" t="s">
        <v>91</v>
      </c>
      <c r="J2263" t="s">
        <v>92</v>
      </c>
      <c r="K2263">
        <v>0</v>
      </c>
    </row>
    <row r="2264" spans="9:11">
      <c r="I2264" t="s">
        <v>91</v>
      </c>
      <c r="J2264" t="s">
        <v>92</v>
      </c>
      <c r="K2264">
        <v>0</v>
      </c>
    </row>
    <row r="2265" spans="9:11">
      <c r="I2265" t="s">
        <v>94</v>
      </c>
      <c r="J2265" t="s">
        <v>95</v>
      </c>
      <c r="K2265">
        <v>0</v>
      </c>
    </row>
    <row r="2266" spans="9:11">
      <c r="I2266" t="s">
        <v>94</v>
      </c>
      <c r="J2266" t="s">
        <v>95</v>
      </c>
      <c r="K2266">
        <v>0</v>
      </c>
    </row>
    <row r="2267" spans="9:11">
      <c r="I2267" t="s">
        <v>94</v>
      </c>
      <c r="J2267" t="s">
        <v>95</v>
      </c>
      <c r="K2267">
        <v>0</v>
      </c>
    </row>
    <row r="2268" spans="9:11">
      <c r="I2268" t="s">
        <v>91</v>
      </c>
      <c r="J2268" t="s">
        <v>92</v>
      </c>
      <c r="K2268">
        <v>0</v>
      </c>
    </row>
    <row r="2269" spans="9:11">
      <c r="I2269" t="s">
        <v>94</v>
      </c>
      <c r="J2269" t="s">
        <v>95</v>
      </c>
      <c r="K2269">
        <v>1</v>
      </c>
    </row>
    <row r="2270" spans="9:11">
      <c r="I2270" t="s">
        <v>94</v>
      </c>
      <c r="J2270" t="s">
        <v>95</v>
      </c>
      <c r="K2270">
        <v>0</v>
      </c>
    </row>
    <row r="2271" spans="9:11">
      <c r="I2271" t="s">
        <v>94</v>
      </c>
      <c r="J2271" t="s">
        <v>95</v>
      </c>
      <c r="K2271">
        <v>0</v>
      </c>
    </row>
    <row r="2272" spans="9:11">
      <c r="I2272" t="s">
        <v>91</v>
      </c>
      <c r="J2272" t="s">
        <v>92</v>
      </c>
      <c r="K2272">
        <v>0</v>
      </c>
    </row>
    <row r="2273" spans="9:11">
      <c r="I2273" t="s">
        <v>94</v>
      </c>
      <c r="J2273" t="s">
        <v>95</v>
      </c>
      <c r="K2273">
        <v>0</v>
      </c>
    </row>
    <row r="2274" spans="9:11">
      <c r="I2274" t="s">
        <v>94</v>
      </c>
      <c r="J2274" t="s">
        <v>95</v>
      </c>
      <c r="K2274">
        <v>0</v>
      </c>
    </row>
    <row r="2275" spans="9:11">
      <c r="I2275" t="s">
        <v>94</v>
      </c>
      <c r="J2275" t="s">
        <v>95</v>
      </c>
      <c r="K2275">
        <v>0</v>
      </c>
    </row>
    <row r="2276" spans="9:11">
      <c r="I2276" t="s">
        <v>94</v>
      </c>
      <c r="J2276" t="s">
        <v>95</v>
      </c>
      <c r="K2276">
        <v>0</v>
      </c>
    </row>
    <row r="2277" spans="9:11">
      <c r="I2277" t="s">
        <v>91</v>
      </c>
      <c r="J2277" t="s">
        <v>92</v>
      </c>
      <c r="K2277">
        <v>0</v>
      </c>
    </row>
    <row r="2278" spans="9:11">
      <c r="I2278" t="s">
        <v>94</v>
      </c>
      <c r="J2278" t="s">
        <v>95</v>
      </c>
      <c r="K2278">
        <v>0</v>
      </c>
    </row>
    <row r="2279" spans="9:11">
      <c r="I2279" t="s">
        <v>91</v>
      </c>
      <c r="J2279" t="s">
        <v>92</v>
      </c>
      <c r="K2279">
        <v>0</v>
      </c>
    </row>
    <row r="2280" spans="9:11">
      <c r="I2280" t="s">
        <v>91</v>
      </c>
      <c r="J2280" t="s">
        <v>92</v>
      </c>
      <c r="K2280">
        <v>0</v>
      </c>
    </row>
    <row r="2281" spans="9:11">
      <c r="I2281" t="s">
        <v>91</v>
      </c>
      <c r="J2281" t="s">
        <v>92</v>
      </c>
      <c r="K2281">
        <v>0</v>
      </c>
    </row>
    <row r="2282" spans="9:11">
      <c r="I2282" t="s">
        <v>91</v>
      </c>
      <c r="J2282" t="s">
        <v>92</v>
      </c>
      <c r="K2282">
        <v>0</v>
      </c>
    </row>
    <row r="2283" spans="9:11">
      <c r="I2283" t="s">
        <v>94</v>
      </c>
      <c r="J2283" t="s">
        <v>95</v>
      </c>
      <c r="K2283">
        <v>0</v>
      </c>
    </row>
    <row r="2284" spans="9:11">
      <c r="I2284" t="s">
        <v>91</v>
      </c>
      <c r="J2284" t="s">
        <v>92</v>
      </c>
      <c r="K2284">
        <v>0</v>
      </c>
    </row>
    <row r="2285" spans="9:11">
      <c r="I2285" t="s">
        <v>94</v>
      </c>
      <c r="J2285" t="s">
        <v>95</v>
      </c>
      <c r="K2285">
        <v>0</v>
      </c>
    </row>
    <row r="2286" spans="9:11">
      <c r="I2286" t="s">
        <v>94</v>
      </c>
      <c r="J2286" t="s">
        <v>95</v>
      </c>
      <c r="K2286">
        <v>0</v>
      </c>
    </row>
    <row r="2287" spans="9:11">
      <c r="I2287" t="s">
        <v>91</v>
      </c>
      <c r="J2287" t="s">
        <v>92</v>
      </c>
      <c r="K2287">
        <v>1</v>
      </c>
    </row>
    <row r="2288" spans="9:11">
      <c r="I2288" t="s">
        <v>94</v>
      </c>
      <c r="J2288" t="s">
        <v>95</v>
      </c>
      <c r="K2288">
        <v>0</v>
      </c>
    </row>
    <row r="2289" spans="9:11">
      <c r="I2289" t="s">
        <v>94</v>
      </c>
      <c r="J2289" t="s">
        <v>95</v>
      </c>
      <c r="K2289">
        <v>0</v>
      </c>
    </row>
    <row r="2290" spans="9:11">
      <c r="I2290" t="s">
        <v>94</v>
      </c>
      <c r="J2290" t="s">
        <v>95</v>
      </c>
      <c r="K2290">
        <v>1</v>
      </c>
    </row>
    <row r="2291" spans="9:11">
      <c r="I2291" t="s">
        <v>91</v>
      </c>
      <c r="J2291" t="s">
        <v>92</v>
      </c>
      <c r="K2291">
        <v>0</v>
      </c>
    </row>
    <row r="2292" spans="9:11">
      <c r="I2292" t="s">
        <v>94</v>
      </c>
      <c r="J2292" t="s">
        <v>95</v>
      </c>
      <c r="K2292">
        <v>0</v>
      </c>
    </row>
    <row r="2293" spans="9:11">
      <c r="I2293" t="s">
        <v>94</v>
      </c>
      <c r="J2293" t="s">
        <v>95</v>
      </c>
      <c r="K2293">
        <v>0</v>
      </c>
    </row>
    <row r="2294" spans="9:11">
      <c r="I2294" t="s">
        <v>94</v>
      </c>
      <c r="J2294" t="s">
        <v>95</v>
      </c>
      <c r="K2294">
        <v>0</v>
      </c>
    </row>
    <row r="2295" spans="9:11">
      <c r="I2295" t="s">
        <v>94</v>
      </c>
      <c r="J2295" t="s">
        <v>95</v>
      </c>
      <c r="K2295">
        <v>0</v>
      </c>
    </row>
    <row r="2296" spans="9:11">
      <c r="I2296" t="s">
        <v>91</v>
      </c>
      <c r="J2296" t="s">
        <v>92</v>
      </c>
      <c r="K2296">
        <v>0</v>
      </c>
    </row>
    <row r="2297" spans="9:11">
      <c r="I2297" t="s">
        <v>91</v>
      </c>
      <c r="J2297" t="s">
        <v>92</v>
      </c>
      <c r="K2297">
        <v>1</v>
      </c>
    </row>
    <row r="2298" spans="9:11">
      <c r="I2298" t="s">
        <v>91</v>
      </c>
      <c r="J2298" t="s">
        <v>92</v>
      </c>
      <c r="K2298">
        <v>1</v>
      </c>
    </row>
    <row r="2299" spans="9:11">
      <c r="I2299" t="s">
        <v>94</v>
      </c>
      <c r="J2299" t="s">
        <v>95</v>
      </c>
      <c r="K2299">
        <v>0</v>
      </c>
    </row>
    <row r="2300" spans="9:11">
      <c r="I2300" t="s">
        <v>91</v>
      </c>
      <c r="J2300" t="s">
        <v>92</v>
      </c>
      <c r="K2300">
        <v>0</v>
      </c>
    </row>
    <row r="2301" spans="9:11">
      <c r="I2301" t="s">
        <v>91</v>
      </c>
      <c r="J2301" t="s">
        <v>92</v>
      </c>
      <c r="K2301">
        <v>0</v>
      </c>
    </row>
    <row r="2302" spans="9:11">
      <c r="I2302" t="s">
        <v>91</v>
      </c>
      <c r="J2302" t="s">
        <v>92</v>
      </c>
      <c r="K2302">
        <v>0</v>
      </c>
    </row>
    <row r="2303" spans="9:11">
      <c r="I2303" t="s">
        <v>91</v>
      </c>
      <c r="J2303" t="s">
        <v>92</v>
      </c>
      <c r="K2303">
        <v>0</v>
      </c>
    </row>
    <row r="2304" spans="9:11">
      <c r="I2304" t="s">
        <v>91</v>
      </c>
      <c r="J2304" t="s">
        <v>92</v>
      </c>
      <c r="K2304">
        <v>0</v>
      </c>
    </row>
    <row r="2305" spans="9:11">
      <c r="I2305" t="s">
        <v>94</v>
      </c>
      <c r="J2305" t="s">
        <v>95</v>
      </c>
      <c r="K2305">
        <v>0</v>
      </c>
    </row>
    <row r="2306" spans="9:11">
      <c r="I2306" t="s">
        <v>91</v>
      </c>
      <c r="J2306" t="s">
        <v>92</v>
      </c>
      <c r="K2306">
        <v>0</v>
      </c>
    </row>
    <row r="2307" spans="9:11">
      <c r="I2307" t="s">
        <v>91</v>
      </c>
      <c r="J2307" t="s">
        <v>92</v>
      </c>
      <c r="K2307">
        <v>0</v>
      </c>
    </row>
    <row r="2308" spans="9:11">
      <c r="I2308" t="s">
        <v>94</v>
      </c>
      <c r="J2308" t="s">
        <v>95</v>
      </c>
      <c r="K2308">
        <v>0</v>
      </c>
    </row>
    <row r="2309" spans="9:11">
      <c r="I2309" t="s">
        <v>91</v>
      </c>
      <c r="J2309" t="s">
        <v>92</v>
      </c>
      <c r="K2309">
        <v>0</v>
      </c>
    </row>
    <row r="2310" spans="9:11">
      <c r="I2310" t="s">
        <v>94</v>
      </c>
      <c r="J2310" t="s">
        <v>95</v>
      </c>
      <c r="K2310">
        <v>0</v>
      </c>
    </row>
    <row r="2311" spans="9:11">
      <c r="I2311" t="s">
        <v>94</v>
      </c>
      <c r="J2311" t="s">
        <v>95</v>
      </c>
      <c r="K2311">
        <v>0</v>
      </c>
    </row>
    <row r="2312" spans="9:11">
      <c r="I2312" t="s">
        <v>94</v>
      </c>
      <c r="J2312" t="s">
        <v>95</v>
      </c>
      <c r="K2312">
        <v>0</v>
      </c>
    </row>
    <row r="2313" spans="9:11">
      <c r="I2313" t="s">
        <v>94</v>
      </c>
      <c r="J2313" t="s">
        <v>95</v>
      </c>
      <c r="K2313">
        <v>0</v>
      </c>
    </row>
    <row r="2314" spans="9:11">
      <c r="I2314" t="s">
        <v>91</v>
      </c>
      <c r="J2314" t="s">
        <v>92</v>
      </c>
      <c r="K2314">
        <v>0</v>
      </c>
    </row>
    <row r="2315" spans="9:11">
      <c r="I2315" t="s">
        <v>94</v>
      </c>
      <c r="J2315" t="s">
        <v>95</v>
      </c>
      <c r="K2315">
        <v>0</v>
      </c>
    </row>
    <row r="2316" spans="9:11">
      <c r="I2316" t="s">
        <v>91</v>
      </c>
      <c r="J2316" t="s">
        <v>92</v>
      </c>
      <c r="K2316">
        <v>0</v>
      </c>
    </row>
    <row r="2317" spans="9:11">
      <c r="I2317" t="s">
        <v>94</v>
      </c>
      <c r="J2317" t="s">
        <v>95</v>
      </c>
      <c r="K2317">
        <v>0</v>
      </c>
    </row>
    <row r="2318" spans="9:11">
      <c r="I2318" t="s">
        <v>94</v>
      </c>
      <c r="J2318" t="s">
        <v>95</v>
      </c>
      <c r="K2318">
        <v>0</v>
      </c>
    </row>
    <row r="2319" spans="9:11">
      <c r="I2319" t="s">
        <v>94</v>
      </c>
      <c r="J2319" t="s">
        <v>95</v>
      </c>
      <c r="K2319">
        <v>0</v>
      </c>
    </row>
    <row r="2320" spans="9:11">
      <c r="I2320" t="s">
        <v>91</v>
      </c>
      <c r="J2320" t="s">
        <v>92</v>
      </c>
      <c r="K2320">
        <v>0</v>
      </c>
    </row>
    <row r="2321" spans="9:11">
      <c r="I2321" t="s">
        <v>91</v>
      </c>
      <c r="J2321" t="s">
        <v>92</v>
      </c>
      <c r="K2321">
        <v>0</v>
      </c>
    </row>
    <row r="2322" spans="9:11">
      <c r="I2322" t="s">
        <v>91</v>
      </c>
      <c r="J2322" t="s">
        <v>92</v>
      </c>
      <c r="K2322">
        <v>0</v>
      </c>
    </row>
    <row r="2323" spans="9:11">
      <c r="I2323" t="s">
        <v>91</v>
      </c>
      <c r="J2323" t="s">
        <v>92</v>
      </c>
      <c r="K2323">
        <v>0</v>
      </c>
    </row>
    <row r="2324" spans="9:11">
      <c r="I2324" t="s">
        <v>94</v>
      </c>
      <c r="J2324" t="s">
        <v>95</v>
      </c>
      <c r="K2324">
        <v>1</v>
      </c>
    </row>
    <row r="2325" spans="9:11">
      <c r="I2325" t="s">
        <v>94</v>
      </c>
      <c r="J2325" t="s">
        <v>95</v>
      </c>
      <c r="K2325">
        <v>0</v>
      </c>
    </row>
    <row r="2326" spans="9:11">
      <c r="I2326" t="s">
        <v>94</v>
      </c>
      <c r="J2326" t="s">
        <v>95</v>
      </c>
      <c r="K2326">
        <v>0</v>
      </c>
    </row>
    <row r="2327" spans="9:11">
      <c r="I2327" t="s">
        <v>91</v>
      </c>
      <c r="J2327" t="s">
        <v>92</v>
      </c>
      <c r="K2327">
        <v>0</v>
      </c>
    </row>
    <row r="2328" spans="9:11">
      <c r="I2328" t="s">
        <v>94</v>
      </c>
      <c r="J2328" t="s">
        <v>95</v>
      </c>
      <c r="K2328">
        <v>0</v>
      </c>
    </row>
    <row r="2329" spans="9:11">
      <c r="I2329" t="s">
        <v>91</v>
      </c>
      <c r="J2329" t="s">
        <v>92</v>
      </c>
      <c r="K2329">
        <v>0</v>
      </c>
    </row>
    <row r="2330" spans="9:11">
      <c r="I2330" t="s">
        <v>94</v>
      </c>
      <c r="J2330" t="s">
        <v>95</v>
      </c>
      <c r="K2330">
        <v>0</v>
      </c>
    </row>
    <row r="2331" spans="9:11">
      <c r="I2331" t="s">
        <v>94</v>
      </c>
      <c r="J2331" t="s">
        <v>95</v>
      </c>
      <c r="K2331">
        <v>0</v>
      </c>
    </row>
    <row r="2332" spans="9:11">
      <c r="I2332" t="s">
        <v>94</v>
      </c>
      <c r="J2332" t="s">
        <v>95</v>
      </c>
      <c r="K2332">
        <v>1</v>
      </c>
    </row>
    <row r="2333" spans="9:11">
      <c r="I2333" t="s">
        <v>91</v>
      </c>
      <c r="J2333" t="s">
        <v>92</v>
      </c>
      <c r="K2333">
        <v>0</v>
      </c>
    </row>
    <row r="2334" spans="9:11">
      <c r="I2334" t="s">
        <v>91</v>
      </c>
      <c r="J2334" t="s">
        <v>92</v>
      </c>
      <c r="K2334">
        <v>0</v>
      </c>
    </row>
    <row r="2335" spans="9:11">
      <c r="I2335" t="s">
        <v>91</v>
      </c>
      <c r="J2335" t="s">
        <v>92</v>
      </c>
      <c r="K2335">
        <v>0</v>
      </c>
    </row>
    <row r="2336" spans="9:11">
      <c r="I2336" t="s">
        <v>94</v>
      </c>
      <c r="J2336" t="s">
        <v>95</v>
      </c>
      <c r="K2336">
        <v>0</v>
      </c>
    </row>
    <row r="2337" spans="9:11">
      <c r="I2337" t="s">
        <v>94</v>
      </c>
      <c r="J2337" t="s">
        <v>95</v>
      </c>
      <c r="K2337">
        <v>0</v>
      </c>
    </row>
    <row r="2338" spans="9:11">
      <c r="I2338" t="s">
        <v>94</v>
      </c>
      <c r="J2338" t="s">
        <v>95</v>
      </c>
      <c r="K2338">
        <v>1</v>
      </c>
    </row>
    <row r="2339" spans="9:11">
      <c r="I2339" t="s">
        <v>91</v>
      </c>
      <c r="J2339" t="s">
        <v>92</v>
      </c>
      <c r="K2339">
        <v>0</v>
      </c>
    </row>
    <row r="2340" spans="9:11">
      <c r="I2340" t="s">
        <v>91</v>
      </c>
      <c r="J2340" t="s">
        <v>92</v>
      </c>
      <c r="K2340">
        <v>0</v>
      </c>
    </row>
    <row r="2341" spans="9:11">
      <c r="I2341" t="s">
        <v>94</v>
      </c>
      <c r="J2341" t="s">
        <v>95</v>
      </c>
      <c r="K2341">
        <v>0</v>
      </c>
    </row>
    <row r="2342" spans="9:11">
      <c r="I2342" t="s">
        <v>94</v>
      </c>
      <c r="J2342" t="s">
        <v>95</v>
      </c>
      <c r="K2342">
        <v>0</v>
      </c>
    </row>
    <row r="2343" spans="9:11">
      <c r="I2343" t="s">
        <v>91</v>
      </c>
      <c r="J2343" t="s">
        <v>92</v>
      </c>
      <c r="K2343">
        <v>0</v>
      </c>
    </row>
    <row r="2344" spans="9:11">
      <c r="I2344" t="s">
        <v>91</v>
      </c>
      <c r="J2344" t="s">
        <v>92</v>
      </c>
      <c r="K2344">
        <v>0</v>
      </c>
    </row>
    <row r="2345" spans="9:11">
      <c r="I2345" t="s">
        <v>91</v>
      </c>
      <c r="J2345" t="s">
        <v>92</v>
      </c>
      <c r="K2345">
        <v>0</v>
      </c>
    </row>
    <row r="2346" spans="9:11">
      <c r="I2346" t="s">
        <v>94</v>
      </c>
      <c r="J2346" t="s">
        <v>95</v>
      </c>
      <c r="K2346">
        <v>0</v>
      </c>
    </row>
    <row r="2347" spans="9:11">
      <c r="I2347" t="s">
        <v>91</v>
      </c>
      <c r="J2347" t="s">
        <v>92</v>
      </c>
      <c r="K2347">
        <v>0</v>
      </c>
    </row>
    <row r="2348" spans="9:11">
      <c r="I2348" t="s">
        <v>91</v>
      </c>
      <c r="J2348" t="s">
        <v>92</v>
      </c>
      <c r="K2348">
        <v>0</v>
      </c>
    </row>
    <row r="2349" spans="9:11">
      <c r="I2349" t="s">
        <v>91</v>
      </c>
      <c r="J2349" t="s">
        <v>92</v>
      </c>
      <c r="K2349">
        <v>0</v>
      </c>
    </row>
    <row r="2350" spans="9:11">
      <c r="I2350" t="s">
        <v>94</v>
      </c>
      <c r="J2350" t="s">
        <v>95</v>
      </c>
      <c r="K2350">
        <v>0</v>
      </c>
    </row>
    <row r="2351" spans="9:11">
      <c r="I2351" t="s">
        <v>91</v>
      </c>
      <c r="J2351" t="s">
        <v>92</v>
      </c>
      <c r="K2351">
        <v>0</v>
      </c>
    </row>
    <row r="2352" spans="9:11">
      <c r="I2352" t="s">
        <v>91</v>
      </c>
      <c r="J2352" t="s">
        <v>92</v>
      </c>
      <c r="K2352">
        <v>0</v>
      </c>
    </row>
    <row r="2353" spans="9:11">
      <c r="I2353" t="s">
        <v>94</v>
      </c>
      <c r="J2353" t="s">
        <v>95</v>
      </c>
      <c r="K2353">
        <v>0</v>
      </c>
    </row>
    <row r="2354" spans="9:11">
      <c r="I2354" t="s">
        <v>91</v>
      </c>
      <c r="J2354" t="s">
        <v>92</v>
      </c>
      <c r="K2354">
        <v>0</v>
      </c>
    </row>
    <row r="2355" spans="9:11">
      <c r="I2355" t="s">
        <v>94</v>
      </c>
      <c r="J2355" t="s">
        <v>95</v>
      </c>
      <c r="K2355">
        <v>0</v>
      </c>
    </row>
    <row r="2356" spans="9:11">
      <c r="I2356" t="s">
        <v>91</v>
      </c>
      <c r="J2356" t="s">
        <v>92</v>
      </c>
      <c r="K2356">
        <v>0</v>
      </c>
    </row>
    <row r="2357" spans="9:11">
      <c r="I2357" t="s">
        <v>91</v>
      </c>
      <c r="J2357" t="s">
        <v>92</v>
      </c>
      <c r="K2357">
        <v>0</v>
      </c>
    </row>
    <row r="2358" spans="9:11">
      <c r="I2358" t="s">
        <v>91</v>
      </c>
      <c r="J2358" t="s">
        <v>92</v>
      </c>
      <c r="K2358">
        <v>0</v>
      </c>
    </row>
    <row r="2359" spans="9:11">
      <c r="I2359" t="s">
        <v>91</v>
      </c>
      <c r="J2359" t="s">
        <v>92</v>
      </c>
      <c r="K2359">
        <v>0</v>
      </c>
    </row>
    <row r="2360" spans="9:11">
      <c r="I2360" t="s">
        <v>91</v>
      </c>
      <c r="J2360" t="s">
        <v>92</v>
      </c>
      <c r="K2360">
        <v>0</v>
      </c>
    </row>
    <row r="2361" spans="9:11">
      <c r="I2361" t="s">
        <v>94</v>
      </c>
      <c r="J2361" t="s">
        <v>95</v>
      </c>
      <c r="K2361">
        <v>0</v>
      </c>
    </row>
    <row r="2362" spans="9:11">
      <c r="I2362" t="s">
        <v>91</v>
      </c>
      <c r="J2362" t="s">
        <v>92</v>
      </c>
      <c r="K2362">
        <v>0</v>
      </c>
    </row>
    <row r="2363" spans="9:11">
      <c r="I2363" t="s">
        <v>91</v>
      </c>
      <c r="J2363" t="s">
        <v>92</v>
      </c>
      <c r="K2363">
        <v>0</v>
      </c>
    </row>
    <row r="2364" spans="9:11">
      <c r="I2364" t="s">
        <v>94</v>
      </c>
      <c r="J2364" t="s">
        <v>95</v>
      </c>
      <c r="K2364">
        <v>0</v>
      </c>
    </row>
    <row r="2365" spans="9:11">
      <c r="I2365" t="s">
        <v>94</v>
      </c>
      <c r="J2365" t="s">
        <v>95</v>
      </c>
      <c r="K2365">
        <v>0</v>
      </c>
    </row>
    <row r="2366" spans="9:11">
      <c r="I2366" t="s">
        <v>94</v>
      </c>
      <c r="J2366" t="s">
        <v>95</v>
      </c>
      <c r="K2366">
        <v>0</v>
      </c>
    </row>
    <row r="2367" spans="9:11">
      <c r="I2367" t="s">
        <v>91</v>
      </c>
      <c r="J2367" t="s">
        <v>92</v>
      </c>
      <c r="K2367">
        <v>0</v>
      </c>
    </row>
    <row r="2368" spans="9:11">
      <c r="I2368" t="s">
        <v>91</v>
      </c>
      <c r="J2368" t="s">
        <v>92</v>
      </c>
      <c r="K2368">
        <v>0</v>
      </c>
    </row>
    <row r="2369" spans="9:11">
      <c r="I2369" t="s">
        <v>94</v>
      </c>
      <c r="J2369" t="s">
        <v>95</v>
      </c>
      <c r="K2369">
        <v>0</v>
      </c>
    </row>
    <row r="2370" spans="9:11">
      <c r="I2370" t="s">
        <v>91</v>
      </c>
      <c r="J2370" t="s">
        <v>92</v>
      </c>
      <c r="K2370">
        <v>1</v>
      </c>
    </row>
    <row r="2371" spans="9:11">
      <c r="I2371" t="s">
        <v>94</v>
      </c>
      <c r="J2371" t="s">
        <v>95</v>
      </c>
      <c r="K2371">
        <v>0</v>
      </c>
    </row>
    <row r="2372" spans="9:11">
      <c r="I2372" t="s">
        <v>94</v>
      </c>
      <c r="J2372" t="s">
        <v>95</v>
      </c>
      <c r="K2372">
        <v>0</v>
      </c>
    </row>
    <row r="2373" spans="9:11">
      <c r="I2373" t="s">
        <v>91</v>
      </c>
      <c r="J2373" t="s">
        <v>92</v>
      </c>
      <c r="K2373">
        <v>0</v>
      </c>
    </row>
    <row r="2374" spans="9:11">
      <c r="I2374" t="s">
        <v>94</v>
      </c>
      <c r="J2374" t="s">
        <v>95</v>
      </c>
      <c r="K2374">
        <v>0</v>
      </c>
    </row>
    <row r="2375" spans="9:11">
      <c r="I2375" t="s">
        <v>91</v>
      </c>
      <c r="J2375" t="s">
        <v>92</v>
      </c>
      <c r="K2375">
        <v>0</v>
      </c>
    </row>
    <row r="2376" spans="9:11">
      <c r="I2376" t="s">
        <v>91</v>
      </c>
      <c r="J2376" t="s">
        <v>92</v>
      </c>
      <c r="K2376">
        <v>0</v>
      </c>
    </row>
    <row r="2377" spans="9:11">
      <c r="I2377" t="s">
        <v>91</v>
      </c>
      <c r="J2377" t="s">
        <v>92</v>
      </c>
      <c r="K2377">
        <v>0</v>
      </c>
    </row>
    <row r="2378" spans="9:11">
      <c r="I2378" t="s">
        <v>91</v>
      </c>
      <c r="J2378" t="s">
        <v>92</v>
      </c>
      <c r="K2378">
        <v>0</v>
      </c>
    </row>
    <row r="2379" spans="9:11">
      <c r="I2379" t="s">
        <v>94</v>
      </c>
      <c r="J2379" t="s">
        <v>95</v>
      </c>
      <c r="K2379">
        <v>0</v>
      </c>
    </row>
    <row r="2380" spans="9:11">
      <c r="I2380" t="s">
        <v>91</v>
      </c>
      <c r="J2380" t="s">
        <v>92</v>
      </c>
      <c r="K2380">
        <v>0</v>
      </c>
    </row>
    <row r="2381" spans="9:11">
      <c r="I2381" t="s">
        <v>94</v>
      </c>
      <c r="J2381" t="s">
        <v>95</v>
      </c>
      <c r="K2381">
        <v>0</v>
      </c>
    </row>
    <row r="2382" spans="9:11">
      <c r="I2382" t="s">
        <v>91</v>
      </c>
      <c r="J2382" t="s">
        <v>92</v>
      </c>
      <c r="K2382">
        <v>0</v>
      </c>
    </row>
    <row r="2383" spans="9:11">
      <c r="I2383" t="s">
        <v>94</v>
      </c>
      <c r="J2383" t="s">
        <v>95</v>
      </c>
      <c r="K2383">
        <v>0</v>
      </c>
    </row>
    <row r="2384" spans="9:11">
      <c r="I2384" t="s">
        <v>91</v>
      </c>
      <c r="J2384" t="s">
        <v>92</v>
      </c>
      <c r="K2384">
        <v>0</v>
      </c>
    </row>
    <row r="2385" spans="9:11">
      <c r="I2385" t="s">
        <v>94</v>
      </c>
      <c r="J2385" t="s">
        <v>95</v>
      </c>
      <c r="K2385">
        <v>0</v>
      </c>
    </row>
    <row r="2386" spans="9:11">
      <c r="I2386" t="s">
        <v>94</v>
      </c>
      <c r="J2386" t="s">
        <v>95</v>
      </c>
      <c r="K2386">
        <v>0</v>
      </c>
    </row>
    <row r="2387" spans="9:11">
      <c r="I2387" t="s">
        <v>91</v>
      </c>
      <c r="J2387" t="s">
        <v>92</v>
      </c>
      <c r="K2387">
        <v>0</v>
      </c>
    </row>
    <row r="2388" spans="9:11">
      <c r="I2388" t="s">
        <v>94</v>
      </c>
      <c r="J2388" t="s">
        <v>95</v>
      </c>
      <c r="K2388">
        <v>0</v>
      </c>
    </row>
    <row r="2389" spans="9:11">
      <c r="I2389" t="s">
        <v>91</v>
      </c>
      <c r="J2389" t="s">
        <v>92</v>
      </c>
      <c r="K2389">
        <v>0</v>
      </c>
    </row>
    <row r="2390" spans="9:11">
      <c r="I2390" t="s">
        <v>91</v>
      </c>
      <c r="J2390" t="s">
        <v>92</v>
      </c>
      <c r="K2390">
        <v>0</v>
      </c>
    </row>
    <row r="2391" spans="9:11">
      <c r="I2391" t="s">
        <v>91</v>
      </c>
      <c r="J2391" t="s">
        <v>92</v>
      </c>
      <c r="K2391">
        <v>0</v>
      </c>
    </row>
    <row r="2392" spans="9:11">
      <c r="I2392" t="s">
        <v>94</v>
      </c>
      <c r="J2392" t="s">
        <v>95</v>
      </c>
      <c r="K2392">
        <v>0</v>
      </c>
    </row>
    <row r="2393" spans="9:11">
      <c r="I2393" t="s">
        <v>94</v>
      </c>
      <c r="J2393" t="s">
        <v>95</v>
      </c>
      <c r="K2393">
        <v>0</v>
      </c>
    </row>
    <row r="2394" spans="9:11">
      <c r="I2394" t="s">
        <v>91</v>
      </c>
      <c r="J2394" t="s">
        <v>92</v>
      </c>
      <c r="K2394">
        <v>0</v>
      </c>
    </row>
    <row r="2395" spans="9:11">
      <c r="I2395" t="s">
        <v>94</v>
      </c>
      <c r="J2395" t="s">
        <v>95</v>
      </c>
      <c r="K2395">
        <v>0</v>
      </c>
    </row>
    <row r="2396" spans="9:11">
      <c r="I2396" t="s">
        <v>94</v>
      </c>
      <c r="J2396" t="s">
        <v>95</v>
      </c>
      <c r="K2396">
        <v>0</v>
      </c>
    </row>
    <row r="2397" spans="9:11">
      <c r="I2397" t="s">
        <v>94</v>
      </c>
      <c r="J2397" t="s">
        <v>95</v>
      </c>
      <c r="K2397">
        <v>0</v>
      </c>
    </row>
    <row r="2398" spans="9:11">
      <c r="I2398" t="s">
        <v>91</v>
      </c>
      <c r="J2398" t="s">
        <v>92</v>
      </c>
      <c r="K2398">
        <v>0</v>
      </c>
    </row>
    <row r="2399" spans="9:11">
      <c r="I2399" t="s">
        <v>91</v>
      </c>
      <c r="J2399" t="s">
        <v>92</v>
      </c>
      <c r="K2399">
        <v>0</v>
      </c>
    </row>
    <row r="2400" spans="9:11">
      <c r="I2400" t="s">
        <v>91</v>
      </c>
      <c r="J2400" t="s">
        <v>92</v>
      </c>
      <c r="K2400">
        <v>0</v>
      </c>
    </row>
    <row r="2401" spans="9:11">
      <c r="I2401" t="s">
        <v>91</v>
      </c>
      <c r="J2401" t="s">
        <v>92</v>
      </c>
      <c r="K2401">
        <v>0</v>
      </c>
    </row>
    <row r="2402" spans="9:11">
      <c r="I2402" t="s">
        <v>94</v>
      </c>
      <c r="J2402" t="s">
        <v>95</v>
      </c>
      <c r="K2402">
        <v>0</v>
      </c>
    </row>
    <row r="2403" spans="9:11">
      <c r="I2403" t="s">
        <v>91</v>
      </c>
      <c r="J2403" t="s">
        <v>92</v>
      </c>
      <c r="K2403">
        <v>0</v>
      </c>
    </row>
    <row r="2404" spans="9:11">
      <c r="I2404" t="s">
        <v>91</v>
      </c>
      <c r="J2404" t="s">
        <v>92</v>
      </c>
      <c r="K2404">
        <v>0</v>
      </c>
    </row>
    <row r="2405" spans="9:11">
      <c r="I2405" t="s">
        <v>94</v>
      </c>
      <c r="J2405" t="s">
        <v>95</v>
      </c>
      <c r="K2405">
        <v>1</v>
      </c>
    </row>
    <row r="2406" spans="9:11">
      <c r="I2406" t="s">
        <v>94</v>
      </c>
      <c r="J2406" t="s">
        <v>95</v>
      </c>
      <c r="K2406">
        <v>0</v>
      </c>
    </row>
    <row r="2407" spans="9:11">
      <c r="I2407" t="s">
        <v>94</v>
      </c>
      <c r="J2407" t="s">
        <v>95</v>
      </c>
      <c r="K2407">
        <v>0</v>
      </c>
    </row>
    <row r="2408" spans="9:11">
      <c r="I2408" t="s">
        <v>94</v>
      </c>
      <c r="J2408" t="s">
        <v>95</v>
      </c>
      <c r="K2408">
        <v>0</v>
      </c>
    </row>
    <row r="2409" spans="9:11">
      <c r="I2409" t="s">
        <v>94</v>
      </c>
      <c r="J2409" t="s">
        <v>95</v>
      </c>
      <c r="K2409">
        <v>0</v>
      </c>
    </row>
    <row r="2410" spans="9:11">
      <c r="I2410" t="s">
        <v>91</v>
      </c>
      <c r="J2410" t="s">
        <v>92</v>
      </c>
      <c r="K2410">
        <v>0</v>
      </c>
    </row>
    <row r="2411" spans="9:11">
      <c r="I2411" t="s">
        <v>91</v>
      </c>
      <c r="J2411" t="s">
        <v>92</v>
      </c>
      <c r="K2411">
        <v>0</v>
      </c>
    </row>
    <row r="2412" spans="9:11">
      <c r="I2412" t="s">
        <v>94</v>
      </c>
      <c r="J2412" t="s">
        <v>95</v>
      </c>
      <c r="K2412">
        <v>0</v>
      </c>
    </row>
    <row r="2413" spans="9:11">
      <c r="I2413" t="s">
        <v>91</v>
      </c>
      <c r="J2413" t="s">
        <v>92</v>
      </c>
      <c r="K2413">
        <v>0</v>
      </c>
    </row>
    <row r="2414" spans="9:11">
      <c r="I2414" t="s">
        <v>91</v>
      </c>
      <c r="J2414" t="s">
        <v>92</v>
      </c>
      <c r="K2414">
        <v>0</v>
      </c>
    </row>
    <row r="2415" spans="9:11">
      <c r="I2415" t="s">
        <v>94</v>
      </c>
      <c r="J2415" t="s">
        <v>95</v>
      </c>
      <c r="K2415">
        <v>0</v>
      </c>
    </row>
    <row r="2416" spans="9:11">
      <c r="I2416" t="s">
        <v>94</v>
      </c>
      <c r="J2416" t="s">
        <v>95</v>
      </c>
      <c r="K2416">
        <v>0</v>
      </c>
    </row>
    <row r="2417" spans="9:11">
      <c r="I2417" t="s">
        <v>91</v>
      </c>
      <c r="J2417" t="s">
        <v>92</v>
      </c>
      <c r="K2417">
        <v>0</v>
      </c>
    </row>
    <row r="2418" spans="9:11">
      <c r="I2418" t="s">
        <v>91</v>
      </c>
      <c r="J2418" t="s">
        <v>92</v>
      </c>
      <c r="K2418">
        <v>0</v>
      </c>
    </row>
    <row r="2419" spans="9:11">
      <c r="I2419" t="s">
        <v>94</v>
      </c>
      <c r="J2419" t="s">
        <v>95</v>
      </c>
      <c r="K2419">
        <v>0</v>
      </c>
    </row>
    <row r="2420" spans="9:11">
      <c r="I2420" t="s">
        <v>94</v>
      </c>
      <c r="J2420" t="s">
        <v>95</v>
      </c>
      <c r="K2420">
        <v>0</v>
      </c>
    </row>
    <row r="2421" spans="9:11">
      <c r="I2421" t="s">
        <v>94</v>
      </c>
      <c r="J2421" t="s">
        <v>95</v>
      </c>
      <c r="K2421">
        <v>0</v>
      </c>
    </row>
    <row r="2422" spans="9:11">
      <c r="I2422" t="s">
        <v>94</v>
      </c>
      <c r="J2422" t="s">
        <v>95</v>
      </c>
      <c r="K2422">
        <v>0</v>
      </c>
    </row>
    <row r="2423" spans="9:11">
      <c r="I2423" t="s">
        <v>91</v>
      </c>
      <c r="J2423" t="s">
        <v>92</v>
      </c>
      <c r="K2423">
        <v>0</v>
      </c>
    </row>
    <row r="2424" spans="9:11">
      <c r="I2424" t="s">
        <v>91</v>
      </c>
      <c r="J2424" t="s">
        <v>92</v>
      </c>
      <c r="K2424">
        <v>0</v>
      </c>
    </row>
    <row r="2425" spans="9:11">
      <c r="I2425" t="s">
        <v>94</v>
      </c>
      <c r="J2425" t="s">
        <v>95</v>
      </c>
      <c r="K2425">
        <v>0</v>
      </c>
    </row>
    <row r="2426" spans="9:11">
      <c r="I2426" t="s">
        <v>91</v>
      </c>
      <c r="J2426" t="s">
        <v>92</v>
      </c>
      <c r="K2426">
        <v>0</v>
      </c>
    </row>
    <row r="2427" spans="9:11">
      <c r="I2427" t="s">
        <v>94</v>
      </c>
      <c r="J2427" t="s">
        <v>95</v>
      </c>
      <c r="K2427">
        <v>0</v>
      </c>
    </row>
    <row r="2428" spans="9:11">
      <c r="I2428" t="s">
        <v>91</v>
      </c>
      <c r="J2428" t="s">
        <v>92</v>
      </c>
      <c r="K2428">
        <v>0</v>
      </c>
    </row>
    <row r="2429" spans="9:11">
      <c r="I2429" t="s">
        <v>94</v>
      </c>
      <c r="J2429" t="s">
        <v>95</v>
      </c>
      <c r="K2429">
        <v>0</v>
      </c>
    </row>
    <row r="2430" spans="9:11">
      <c r="I2430" t="s">
        <v>94</v>
      </c>
      <c r="J2430" t="s">
        <v>95</v>
      </c>
      <c r="K2430">
        <v>0</v>
      </c>
    </row>
    <row r="2431" spans="9:11">
      <c r="I2431" t="s">
        <v>91</v>
      </c>
      <c r="J2431" t="s">
        <v>92</v>
      </c>
      <c r="K2431">
        <v>1</v>
      </c>
    </row>
    <row r="2432" spans="9:11">
      <c r="I2432" t="s">
        <v>94</v>
      </c>
      <c r="J2432" t="s">
        <v>95</v>
      </c>
      <c r="K2432">
        <v>0</v>
      </c>
    </row>
    <row r="2433" spans="9:11">
      <c r="I2433" t="s">
        <v>94</v>
      </c>
      <c r="J2433" t="s">
        <v>95</v>
      </c>
      <c r="K2433">
        <v>0</v>
      </c>
    </row>
    <row r="2434" spans="9:11">
      <c r="I2434" t="s">
        <v>94</v>
      </c>
      <c r="J2434" t="s">
        <v>95</v>
      </c>
      <c r="K2434">
        <v>0</v>
      </c>
    </row>
    <row r="2435" spans="9:11">
      <c r="I2435" t="s">
        <v>91</v>
      </c>
      <c r="J2435" t="s">
        <v>92</v>
      </c>
      <c r="K2435">
        <v>0</v>
      </c>
    </row>
    <row r="2436" spans="9:11">
      <c r="I2436" t="s">
        <v>94</v>
      </c>
      <c r="J2436" t="s">
        <v>95</v>
      </c>
      <c r="K2436">
        <v>0</v>
      </c>
    </row>
    <row r="2437" spans="9:11">
      <c r="I2437" t="s">
        <v>91</v>
      </c>
      <c r="J2437" t="s">
        <v>92</v>
      </c>
      <c r="K2437">
        <v>0</v>
      </c>
    </row>
    <row r="2438" spans="9:11">
      <c r="I2438" t="s">
        <v>94</v>
      </c>
      <c r="J2438" t="s">
        <v>95</v>
      </c>
      <c r="K2438">
        <v>0</v>
      </c>
    </row>
    <row r="2439" spans="9:11">
      <c r="I2439" t="s">
        <v>91</v>
      </c>
      <c r="J2439" t="s">
        <v>92</v>
      </c>
      <c r="K2439">
        <v>0</v>
      </c>
    </row>
    <row r="2440" spans="9:11">
      <c r="I2440" t="s">
        <v>94</v>
      </c>
      <c r="J2440" t="s">
        <v>95</v>
      </c>
      <c r="K2440">
        <v>0</v>
      </c>
    </row>
    <row r="2441" spans="9:11">
      <c r="I2441" t="s">
        <v>94</v>
      </c>
      <c r="J2441" t="s">
        <v>95</v>
      </c>
      <c r="K2441">
        <v>0</v>
      </c>
    </row>
    <row r="2442" spans="9:11">
      <c r="I2442" t="s">
        <v>94</v>
      </c>
      <c r="J2442" t="s">
        <v>95</v>
      </c>
      <c r="K2442">
        <v>0</v>
      </c>
    </row>
    <row r="2443" spans="9:11">
      <c r="I2443" t="s">
        <v>91</v>
      </c>
      <c r="J2443" t="s">
        <v>92</v>
      </c>
      <c r="K2443">
        <v>0</v>
      </c>
    </row>
    <row r="2444" spans="9:11">
      <c r="I2444" t="s">
        <v>91</v>
      </c>
      <c r="J2444" t="s">
        <v>92</v>
      </c>
      <c r="K2444">
        <v>0</v>
      </c>
    </row>
    <row r="2445" spans="9:11">
      <c r="I2445" t="s">
        <v>91</v>
      </c>
      <c r="J2445" t="s">
        <v>92</v>
      </c>
      <c r="K2445">
        <v>0</v>
      </c>
    </row>
    <row r="2446" spans="9:11">
      <c r="I2446" t="s">
        <v>91</v>
      </c>
      <c r="J2446" t="s">
        <v>92</v>
      </c>
      <c r="K2446">
        <v>0</v>
      </c>
    </row>
    <row r="2447" spans="9:11">
      <c r="I2447" t="s">
        <v>94</v>
      </c>
      <c r="J2447" t="s">
        <v>95</v>
      </c>
      <c r="K2447">
        <v>0</v>
      </c>
    </row>
    <row r="2448" spans="9:11">
      <c r="I2448" t="s">
        <v>91</v>
      </c>
      <c r="J2448" t="s">
        <v>92</v>
      </c>
      <c r="K2448">
        <v>0</v>
      </c>
    </row>
    <row r="2449" spans="9:11">
      <c r="I2449" t="s">
        <v>94</v>
      </c>
      <c r="J2449" t="s">
        <v>95</v>
      </c>
      <c r="K2449">
        <v>0</v>
      </c>
    </row>
    <row r="2450" spans="9:11">
      <c r="I2450" t="s">
        <v>91</v>
      </c>
      <c r="J2450" t="s">
        <v>92</v>
      </c>
      <c r="K2450">
        <v>0</v>
      </c>
    </row>
    <row r="2451" spans="9:11">
      <c r="I2451" t="s">
        <v>94</v>
      </c>
      <c r="J2451" t="s">
        <v>95</v>
      </c>
      <c r="K2451">
        <v>0</v>
      </c>
    </row>
    <row r="2452" spans="9:11">
      <c r="I2452" t="s">
        <v>94</v>
      </c>
      <c r="J2452" t="s">
        <v>95</v>
      </c>
      <c r="K2452">
        <v>0</v>
      </c>
    </row>
    <row r="2453" spans="9:11">
      <c r="I2453" t="s">
        <v>91</v>
      </c>
      <c r="J2453" t="s">
        <v>92</v>
      </c>
      <c r="K2453">
        <v>0</v>
      </c>
    </row>
    <row r="2454" spans="9:11">
      <c r="I2454" t="s">
        <v>94</v>
      </c>
      <c r="J2454" t="s">
        <v>95</v>
      </c>
      <c r="K2454">
        <v>0</v>
      </c>
    </row>
    <row r="2455" spans="9:11">
      <c r="I2455" t="s">
        <v>94</v>
      </c>
      <c r="J2455" t="s">
        <v>95</v>
      </c>
      <c r="K2455">
        <v>0</v>
      </c>
    </row>
    <row r="2456" spans="9:11">
      <c r="I2456" t="s">
        <v>94</v>
      </c>
      <c r="J2456" t="s">
        <v>95</v>
      </c>
      <c r="K2456">
        <v>0</v>
      </c>
    </row>
    <row r="2457" spans="9:11">
      <c r="I2457" t="s">
        <v>91</v>
      </c>
      <c r="J2457" t="s">
        <v>92</v>
      </c>
      <c r="K2457">
        <v>0</v>
      </c>
    </row>
    <row r="2458" spans="9:11">
      <c r="I2458" t="s">
        <v>91</v>
      </c>
      <c r="J2458" t="s">
        <v>92</v>
      </c>
      <c r="K2458">
        <v>0</v>
      </c>
    </row>
    <row r="2459" spans="9:11">
      <c r="I2459" t="s">
        <v>94</v>
      </c>
      <c r="J2459" t="s">
        <v>95</v>
      </c>
      <c r="K2459">
        <v>0</v>
      </c>
    </row>
    <row r="2460" spans="9:11">
      <c r="I2460" t="s">
        <v>94</v>
      </c>
      <c r="J2460" t="s">
        <v>95</v>
      </c>
      <c r="K2460">
        <v>0</v>
      </c>
    </row>
    <row r="2461" spans="9:11">
      <c r="I2461" t="s">
        <v>91</v>
      </c>
      <c r="J2461" t="s">
        <v>92</v>
      </c>
      <c r="K2461">
        <v>0</v>
      </c>
    </row>
    <row r="2462" spans="9:11">
      <c r="I2462" t="s">
        <v>94</v>
      </c>
      <c r="J2462" t="s">
        <v>95</v>
      </c>
      <c r="K2462">
        <v>1</v>
      </c>
    </row>
    <row r="2463" spans="9:11">
      <c r="I2463" t="s">
        <v>94</v>
      </c>
      <c r="J2463" t="s">
        <v>95</v>
      </c>
      <c r="K2463">
        <v>0</v>
      </c>
    </row>
    <row r="2464" spans="9:11">
      <c r="I2464" t="s">
        <v>94</v>
      </c>
      <c r="J2464" t="s">
        <v>95</v>
      </c>
      <c r="K2464">
        <v>0</v>
      </c>
    </row>
    <row r="2465" spans="9:11">
      <c r="I2465" t="s">
        <v>94</v>
      </c>
      <c r="J2465" t="s">
        <v>95</v>
      </c>
      <c r="K2465">
        <v>0</v>
      </c>
    </row>
    <row r="2466" spans="9:11">
      <c r="I2466" t="s">
        <v>91</v>
      </c>
      <c r="J2466" t="s">
        <v>92</v>
      </c>
      <c r="K2466">
        <v>0</v>
      </c>
    </row>
    <row r="2467" spans="9:11">
      <c r="I2467" t="s">
        <v>94</v>
      </c>
      <c r="J2467" t="s">
        <v>95</v>
      </c>
      <c r="K2467">
        <v>0</v>
      </c>
    </row>
    <row r="2468" spans="9:11">
      <c r="I2468" t="s">
        <v>94</v>
      </c>
      <c r="J2468" t="s">
        <v>95</v>
      </c>
      <c r="K2468">
        <v>0</v>
      </c>
    </row>
    <row r="2469" spans="9:11">
      <c r="I2469" t="s">
        <v>94</v>
      </c>
      <c r="J2469" t="s">
        <v>95</v>
      </c>
      <c r="K2469">
        <v>0</v>
      </c>
    </row>
    <row r="2470" spans="9:11">
      <c r="I2470" t="s">
        <v>94</v>
      </c>
      <c r="J2470" t="s">
        <v>95</v>
      </c>
      <c r="K2470">
        <v>0</v>
      </c>
    </row>
    <row r="2471" spans="9:11">
      <c r="I2471" t="s">
        <v>94</v>
      </c>
      <c r="J2471" t="s">
        <v>95</v>
      </c>
      <c r="K2471">
        <v>0</v>
      </c>
    </row>
    <row r="2472" spans="9:11">
      <c r="I2472" t="s">
        <v>94</v>
      </c>
      <c r="J2472" t="s">
        <v>95</v>
      </c>
      <c r="K2472">
        <v>0</v>
      </c>
    </row>
    <row r="2473" spans="9:11">
      <c r="I2473" t="s">
        <v>94</v>
      </c>
      <c r="J2473" t="s">
        <v>95</v>
      </c>
      <c r="K2473">
        <v>0</v>
      </c>
    </row>
    <row r="2474" spans="9:11">
      <c r="I2474" t="s">
        <v>91</v>
      </c>
      <c r="J2474" t="s">
        <v>92</v>
      </c>
      <c r="K2474">
        <v>0</v>
      </c>
    </row>
    <row r="2475" spans="9:11">
      <c r="I2475" t="s">
        <v>91</v>
      </c>
      <c r="J2475" t="s">
        <v>92</v>
      </c>
      <c r="K2475">
        <v>0</v>
      </c>
    </row>
    <row r="2476" spans="9:11">
      <c r="I2476" t="s">
        <v>91</v>
      </c>
      <c r="J2476" t="s">
        <v>92</v>
      </c>
      <c r="K2476">
        <v>0</v>
      </c>
    </row>
    <row r="2477" spans="9:11">
      <c r="I2477" t="s">
        <v>91</v>
      </c>
      <c r="J2477" t="s">
        <v>92</v>
      </c>
      <c r="K2477">
        <v>0</v>
      </c>
    </row>
    <row r="2478" spans="9:11">
      <c r="I2478" t="s">
        <v>91</v>
      </c>
      <c r="J2478" t="s">
        <v>92</v>
      </c>
      <c r="K2478">
        <v>0</v>
      </c>
    </row>
    <row r="2479" spans="9:11">
      <c r="I2479" t="s">
        <v>91</v>
      </c>
      <c r="J2479" t="s">
        <v>92</v>
      </c>
      <c r="K2479">
        <v>0</v>
      </c>
    </row>
    <row r="2480" spans="9:11">
      <c r="I2480" t="s">
        <v>94</v>
      </c>
      <c r="J2480" t="s">
        <v>95</v>
      </c>
      <c r="K2480">
        <v>0</v>
      </c>
    </row>
    <row r="2481" spans="9:11">
      <c r="I2481" t="s">
        <v>91</v>
      </c>
      <c r="J2481" t="s">
        <v>92</v>
      </c>
      <c r="K2481">
        <v>0</v>
      </c>
    </row>
    <row r="2482" spans="9:11">
      <c r="I2482" t="s">
        <v>94</v>
      </c>
      <c r="J2482" t="s">
        <v>95</v>
      </c>
      <c r="K2482">
        <v>0</v>
      </c>
    </row>
    <row r="2483" spans="9:11">
      <c r="I2483" t="s">
        <v>94</v>
      </c>
      <c r="J2483" t="s">
        <v>95</v>
      </c>
      <c r="K2483">
        <v>0</v>
      </c>
    </row>
    <row r="2484" spans="9:11">
      <c r="I2484" t="s">
        <v>94</v>
      </c>
      <c r="J2484" t="s">
        <v>95</v>
      </c>
      <c r="K2484">
        <v>0</v>
      </c>
    </row>
    <row r="2485" spans="9:11">
      <c r="I2485" t="s">
        <v>94</v>
      </c>
      <c r="J2485" t="s">
        <v>95</v>
      </c>
      <c r="K2485">
        <v>0</v>
      </c>
    </row>
    <row r="2486" spans="9:11">
      <c r="I2486" t="s">
        <v>91</v>
      </c>
      <c r="J2486" t="s">
        <v>92</v>
      </c>
      <c r="K2486">
        <v>0</v>
      </c>
    </row>
    <row r="2487" spans="9:11">
      <c r="I2487" t="s">
        <v>91</v>
      </c>
      <c r="J2487" t="s">
        <v>92</v>
      </c>
      <c r="K2487">
        <v>0</v>
      </c>
    </row>
    <row r="2488" spans="9:11">
      <c r="I2488" t="s">
        <v>94</v>
      </c>
      <c r="J2488" t="s">
        <v>95</v>
      </c>
      <c r="K2488">
        <v>0</v>
      </c>
    </row>
    <row r="2489" spans="9:11">
      <c r="I2489" t="s">
        <v>91</v>
      </c>
      <c r="J2489" t="s">
        <v>92</v>
      </c>
      <c r="K2489">
        <v>0</v>
      </c>
    </row>
    <row r="2490" spans="9:11">
      <c r="I2490" t="s">
        <v>91</v>
      </c>
      <c r="J2490" t="s">
        <v>92</v>
      </c>
      <c r="K2490">
        <v>0</v>
      </c>
    </row>
    <row r="2491" spans="9:11">
      <c r="I2491" t="s">
        <v>91</v>
      </c>
      <c r="J2491" t="s">
        <v>92</v>
      </c>
      <c r="K2491">
        <v>0</v>
      </c>
    </row>
    <row r="2492" spans="9:11">
      <c r="I2492" t="s">
        <v>91</v>
      </c>
      <c r="J2492" t="s">
        <v>92</v>
      </c>
      <c r="K2492">
        <v>0</v>
      </c>
    </row>
    <row r="2493" spans="9:11">
      <c r="I2493" t="s">
        <v>94</v>
      </c>
      <c r="J2493" t="s">
        <v>95</v>
      </c>
      <c r="K2493">
        <v>0</v>
      </c>
    </row>
    <row r="2494" spans="9:11">
      <c r="I2494" t="s">
        <v>94</v>
      </c>
      <c r="J2494" t="s">
        <v>95</v>
      </c>
      <c r="K2494">
        <v>0</v>
      </c>
    </row>
    <row r="2495" spans="9:11">
      <c r="I2495" t="s">
        <v>91</v>
      </c>
      <c r="J2495" t="s">
        <v>92</v>
      </c>
      <c r="K2495">
        <v>0</v>
      </c>
    </row>
    <row r="2496" spans="9:11">
      <c r="I2496" t="s">
        <v>94</v>
      </c>
      <c r="J2496" t="s">
        <v>95</v>
      </c>
      <c r="K2496">
        <v>0</v>
      </c>
    </row>
    <row r="2497" spans="9:11">
      <c r="I2497" t="s">
        <v>94</v>
      </c>
      <c r="J2497" t="s">
        <v>95</v>
      </c>
      <c r="K2497">
        <v>0</v>
      </c>
    </row>
    <row r="2498" spans="9:11">
      <c r="I2498" t="s">
        <v>91</v>
      </c>
      <c r="J2498" t="s">
        <v>92</v>
      </c>
      <c r="K2498">
        <v>0</v>
      </c>
    </row>
    <row r="2499" spans="9:11">
      <c r="I2499" t="s">
        <v>91</v>
      </c>
      <c r="J2499" t="s">
        <v>92</v>
      </c>
      <c r="K2499">
        <v>0</v>
      </c>
    </row>
    <row r="2500" spans="9:11">
      <c r="I2500" t="s">
        <v>94</v>
      </c>
      <c r="J2500" t="s">
        <v>95</v>
      </c>
      <c r="K2500">
        <v>0</v>
      </c>
    </row>
    <row r="2501" spans="9:11">
      <c r="I2501" t="s">
        <v>94</v>
      </c>
      <c r="J2501" t="s">
        <v>95</v>
      </c>
      <c r="K2501">
        <v>0</v>
      </c>
    </row>
    <row r="2502" spans="9:11">
      <c r="I2502" t="s">
        <v>91</v>
      </c>
      <c r="J2502" t="s">
        <v>92</v>
      </c>
      <c r="K2502">
        <v>0</v>
      </c>
    </row>
    <row r="2503" spans="9:11">
      <c r="I2503" t="s">
        <v>91</v>
      </c>
      <c r="J2503" t="s">
        <v>92</v>
      </c>
      <c r="K2503">
        <v>0</v>
      </c>
    </row>
    <row r="2504" spans="9:11">
      <c r="I2504" t="s">
        <v>91</v>
      </c>
      <c r="J2504" t="s">
        <v>92</v>
      </c>
      <c r="K2504">
        <v>0</v>
      </c>
    </row>
    <row r="2505" spans="9:11">
      <c r="I2505" t="s">
        <v>91</v>
      </c>
      <c r="J2505" t="s">
        <v>92</v>
      </c>
      <c r="K2505">
        <v>0</v>
      </c>
    </row>
    <row r="2506" spans="9:11">
      <c r="I2506" t="s">
        <v>94</v>
      </c>
      <c r="J2506" t="s">
        <v>95</v>
      </c>
      <c r="K2506">
        <v>0</v>
      </c>
    </row>
    <row r="2507" spans="9:11">
      <c r="I2507" t="s">
        <v>94</v>
      </c>
      <c r="J2507" t="s">
        <v>95</v>
      </c>
      <c r="K2507">
        <v>0</v>
      </c>
    </row>
    <row r="2508" spans="9:11">
      <c r="I2508" t="s">
        <v>94</v>
      </c>
      <c r="J2508" t="s">
        <v>95</v>
      </c>
      <c r="K2508">
        <v>0</v>
      </c>
    </row>
    <row r="2509" spans="9:11">
      <c r="I2509" t="s">
        <v>94</v>
      </c>
      <c r="J2509" t="s">
        <v>95</v>
      </c>
      <c r="K2509">
        <v>1</v>
      </c>
    </row>
    <row r="2510" spans="9:11">
      <c r="I2510" t="s">
        <v>94</v>
      </c>
      <c r="J2510" t="s">
        <v>95</v>
      </c>
      <c r="K2510">
        <v>0</v>
      </c>
    </row>
    <row r="2511" spans="9:11">
      <c r="I2511" t="s">
        <v>94</v>
      </c>
      <c r="J2511" t="s">
        <v>95</v>
      </c>
      <c r="K2511">
        <v>0</v>
      </c>
    </row>
    <row r="2512" spans="9:11">
      <c r="I2512" t="s">
        <v>94</v>
      </c>
      <c r="J2512" t="s">
        <v>95</v>
      </c>
      <c r="K2512">
        <v>0</v>
      </c>
    </row>
    <row r="2513" spans="9:11">
      <c r="I2513" t="s">
        <v>94</v>
      </c>
      <c r="J2513" t="s">
        <v>95</v>
      </c>
      <c r="K2513">
        <v>0</v>
      </c>
    </row>
    <row r="2514" spans="9:11">
      <c r="I2514" t="s">
        <v>91</v>
      </c>
      <c r="J2514" t="s">
        <v>92</v>
      </c>
      <c r="K2514">
        <v>0</v>
      </c>
    </row>
    <row r="2515" spans="9:11">
      <c r="I2515" t="s">
        <v>94</v>
      </c>
      <c r="J2515" t="s">
        <v>95</v>
      </c>
      <c r="K2515">
        <v>0</v>
      </c>
    </row>
    <row r="2516" spans="9:11">
      <c r="I2516" t="s">
        <v>91</v>
      </c>
      <c r="J2516" t="s">
        <v>92</v>
      </c>
      <c r="K2516">
        <v>0</v>
      </c>
    </row>
    <row r="2517" spans="9:11">
      <c r="I2517" t="s">
        <v>94</v>
      </c>
      <c r="J2517" t="s">
        <v>95</v>
      </c>
      <c r="K2517">
        <v>0</v>
      </c>
    </row>
    <row r="2518" spans="9:11">
      <c r="I2518" t="s">
        <v>94</v>
      </c>
      <c r="J2518" t="s">
        <v>95</v>
      </c>
      <c r="K2518">
        <v>0</v>
      </c>
    </row>
    <row r="2519" spans="9:11">
      <c r="I2519" t="s">
        <v>91</v>
      </c>
      <c r="J2519" t="s">
        <v>92</v>
      </c>
      <c r="K2519">
        <v>0</v>
      </c>
    </row>
    <row r="2520" spans="9:11">
      <c r="I2520" t="s">
        <v>91</v>
      </c>
      <c r="J2520" t="s">
        <v>92</v>
      </c>
      <c r="K2520">
        <v>0</v>
      </c>
    </row>
    <row r="2521" spans="9:11">
      <c r="I2521" t="s">
        <v>91</v>
      </c>
      <c r="J2521" t="s">
        <v>92</v>
      </c>
      <c r="K2521">
        <v>0</v>
      </c>
    </row>
    <row r="2522" spans="9:11">
      <c r="I2522" t="s">
        <v>91</v>
      </c>
      <c r="J2522" t="s">
        <v>92</v>
      </c>
      <c r="K2522">
        <v>0</v>
      </c>
    </row>
    <row r="2523" spans="9:11">
      <c r="I2523" t="s">
        <v>91</v>
      </c>
      <c r="J2523" t="s">
        <v>92</v>
      </c>
      <c r="K2523">
        <v>0</v>
      </c>
    </row>
    <row r="2524" spans="9:11">
      <c r="I2524" t="s">
        <v>94</v>
      </c>
      <c r="J2524" t="s">
        <v>95</v>
      </c>
      <c r="K2524">
        <v>0</v>
      </c>
    </row>
    <row r="2525" spans="9:11">
      <c r="I2525" t="s">
        <v>91</v>
      </c>
      <c r="J2525" t="s">
        <v>92</v>
      </c>
      <c r="K2525">
        <v>0</v>
      </c>
    </row>
    <row r="2526" spans="9:11">
      <c r="I2526" t="s">
        <v>91</v>
      </c>
      <c r="J2526" t="s">
        <v>92</v>
      </c>
      <c r="K2526">
        <v>0</v>
      </c>
    </row>
    <row r="2527" spans="9:11">
      <c r="I2527" t="s">
        <v>94</v>
      </c>
      <c r="J2527" t="s">
        <v>95</v>
      </c>
      <c r="K2527">
        <v>0</v>
      </c>
    </row>
    <row r="2528" spans="9:11">
      <c r="I2528" t="s">
        <v>91</v>
      </c>
      <c r="J2528" t="s">
        <v>92</v>
      </c>
      <c r="K2528">
        <v>0</v>
      </c>
    </row>
    <row r="2529" spans="9:11">
      <c r="I2529" t="s">
        <v>91</v>
      </c>
      <c r="J2529" t="s">
        <v>92</v>
      </c>
      <c r="K2529">
        <v>0</v>
      </c>
    </row>
    <row r="2530" spans="9:11">
      <c r="I2530" t="s">
        <v>94</v>
      </c>
      <c r="J2530" t="s">
        <v>95</v>
      </c>
      <c r="K2530">
        <v>0</v>
      </c>
    </row>
    <row r="2531" spans="9:11">
      <c r="I2531" t="s">
        <v>91</v>
      </c>
      <c r="J2531" t="s">
        <v>92</v>
      </c>
      <c r="K2531">
        <v>1</v>
      </c>
    </row>
    <row r="2532" spans="9:11">
      <c r="I2532" t="s">
        <v>94</v>
      </c>
      <c r="J2532" t="s">
        <v>95</v>
      </c>
      <c r="K2532">
        <v>0</v>
      </c>
    </row>
    <row r="2533" spans="9:11">
      <c r="I2533" t="s">
        <v>94</v>
      </c>
      <c r="J2533" t="s">
        <v>95</v>
      </c>
      <c r="K2533">
        <v>0</v>
      </c>
    </row>
    <row r="2534" spans="9:11">
      <c r="I2534" t="s">
        <v>91</v>
      </c>
      <c r="J2534" t="s">
        <v>92</v>
      </c>
      <c r="K2534">
        <v>0</v>
      </c>
    </row>
    <row r="2535" spans="9:11">
      <c r="I2535" t="s">
        <v>91</v>
      </c>
      <c r="J2535" t="s">
        <v>92</v>
      </c>
      <c r="K2535">
        <v>0</v>
      </c>
    </row>
    <row r="2536" spans="9:11">
      <c r="I2536" t="s">
        <v>94</v>
      </c>
      <c r="J2536" t="s">
        <v>95</v>
      </c>
      <c r="K2536">
        <v>0</v>
      </c>
    </row>
    <row r="2537" spans="9:11">
      <c r="I2537" t="s">
        <v>91</v>
      </c>
      <c r="J2537" t="s">
        <v>92</v>
      </c>
      <c r="K2537">
        <v>0</v>
      </c>
    </row>
    <row r="2538" spans="9:11">
      <c r="I2538" t="s">
        <v>91</v>
      </c>
      <c r="J2538" t="s">
        <v>92</v>
      </c>
      <c r="K2538">
        <v>0</v>
      </c>
    </row>
    <row r="2539" spans="9:11">
      <c r="I2539" t="s">
        <v>94</v>
      </c>
      <c r="J2539" t="s">
        <v>95</v>
      </c>
      <c r="K2539">
        <v>0</v>
      </c>
    </row>
    <row r="2540" spans="9:11">
      <c r="I2540" t="s">
        <v>94</v>
      </c>
      <c r="J2540" t="s">
        <v>95</v>
      </c>
      <c r="K2540">
        <v>0</v>
      </c>
    </row>
    <row r="2541" spans="9:11">
      <c r="I2541" t="s">
        <v>94</v>
      </c>
      <c r="J2541" t="s">
        <v>95</v>
      </c>
      <c r="K2541">
        <v>0</v>
      </c>
    </row>
    <row r="2542" spans="9:11">
      <c r="I2542" t="s">
        <v>94</v>
      </c>
      <c r="J2542" t="s">
        <v>95</v>
      </c>
      <c r="K2542">
        <v>0</v>
      </c>
    </row>
    <row r="2543" spans="9:11">
      <c r="I2543" t="s">
        <v>91</v>
      </c>
      <c r="J2543" t="s">
        <v>92</v>
      </c>
      <c r="K2543">
        <v>0</v>
      </c>
    </row>
    <row r="2544" spans="9:11">
      <c r="I2544" t="s">
        <v>94</v>
      </c>
      <c r="J2544" t="s">
        <v>95</v>
      </c>
      <c r="K2544">
        <v>0</v>
      </c>
    </row>
    <row r="2545" spans="9:11">
      <c r="I2545" t="s">
        <v>91</v>
      </c>
      <c r="J2545" t="s">
        <v>92</v>
      </c>
      <c r="K2545">
        <v>0</v>
      </c>
    </row>
    <row r="2546" spans="9:11">
      <c r="I2546" t="s">
        <v>91</v>
      </c>
      <c r="J2546" t="s">
        <v>92</v>
      </c>
      <c r="K2546">
        <v>0</v>
      </c>
    </row>
    <row r="2547" spans="9:11">
      <c r="I2547" t="s">
        <v>94</v>
      </c>
      <c r="J2547" t="s">
        <v>95</v>
      </c>
      <c r="K2547">
        <v>0</v>
      </c>
    </row>
    <row r="2548" spans="9:11">
      <c r="I2548" t="s">
        <v>91</v>
      </c>
      <c r="J2548" t="s">
        <v>92</v>
      </c>
      <c r="K2548">
        <v>0</v>
      </c>
    </row>
    <row r="2549" spans="9:11">
      <c r="I2549" t="s">
        <v>94</v>
      </c>
      <c r="J2549" t="s">
        <v>95</v>
      </c>
      <c r="K2549">
        <v>0</v>
      </c>
    </row>
    <row r="2550" spans="9:11">
      <c r="I2550" t="s">
        <v>94</v>
      </c>
      <c r="J2550" t="s">
        <v>95</v>
      </c>
      <c r="K2550">
        <v>0</v>
      </c>
    </row>
    <row r="2551" spans="9:11">
      <c r="I2551" t="s">
        <v>91</v>
      </c>
      <c r="J2551" t="s">
        <v>92</v>
      </c>
      <c r="K2551">
        <v>0</v>
      </c>
    </row>
    <row r="2552" spans="9:11">
      <c r="I2552" t="s">
        <v>91</v>
      </c>
      <c r="J2552" t="s">
        <v>92</v>
      </c>
      <c r="K2552">
        <v>0</v>
      </c>
    </row>
    <row r="2553" spans="9:11">
      <c r="I2553" t="s">
        <v>91</v>
      </c>
      <c r="J2553" t="s">
        <v>92</v>
      </c>
      <c r="K2553">
        <v>0</v>
      </c>
    </row>
    <row r="2554" spans="9:11">
      <c r="I2554" t="s">
        <v>94</v>
      </c>
      <c r="J2554" t="s">
        <v>95</v>
      </c>
      <c r="K2554">
        <v>0</v>
      </c>
    </row>
    <row r="2555" spans="9:11">
      <c r="I2555" t="s">
        <v>94</v>
      </c>
      <c r="J2555" t="s">
        <v>95</v>
      </c>
      <c r="K2555">
        <v>0</v>
      </c>
    </row>
    <row r="2556" spans="9:11">
      <c r="I2556" t="s">
        <v>94</v>
      </c>
      <c r="J2556" t="s">
        <v>95</v>
      </c>
      <c r="K2556">
        <v>0</v>
      </c>
    </row>
    <row r="2557" spans="9:11">
      <c r="I2557" t="s">
        <v>91</v>
      </c>
      <c r="J2557" t="s">
        <v>92</v>
      </c>
      <c r="K2557">
        <v>0</v>
      </c>
    </row>
    <row r="2558" spans="9:11">
      <c r="I2558" t="s">
        <v>91</v>
      </c>
      <c r="J2558" t="s">
        <v>92</v>
      </c>
      <c r="K2558">
        <v>0</v>
      </c>
    </row>
    <row r="2559" spans="9:11">
      <c r="I2559" t="s">
        <v>91</v>
      </c>
      <c r="J2559" t="s">
        <v>92</v>
      </c>
      <c r="K2559">
        <v>0</v>
      </c>
    </row>
    <row r="2560" spans="9:11">
      <c r="I2560" t="s">
        <v>94</v>
      </c>
      <c r="J2560" t="s">
        <v>95</v>
      </c>
      <c r="K2560">
        <v>0</v>
      </c>
    </row>
    <row r="2561" spans="9:11">
      <c r="I2561" t="s">
        <v>91</v>
      </c>
      <c r="J2561" t="s">
        <v>92</v>
      </c>
      <c r="K2561">
        <v>0</v>
      </c>
    </row>
    <row r="2562" spans="9:11">
      <c r="I2562" t="s">
        <v>91</v>
      </c>
      <c r="J2562" t="s">
        <v>92</v>
      </c>
      <c r="K2562">
        <v>0</v>
      </c>
    </row>
    <row r="2563" spans="9:11">
      <c r="I2563" t="s">
        <v>91</v>
      </c>
      <c r="J2563" t="s">
        <v>92</v>
      </c>
      <c r="K2563">
        <v>0</v>
      </c>
    </row>
    <row r="2564" spans="9:11">
      <c r="I2564" t="s">
        <v>94</v>
      </c>
      <c r="J2564" t="s">
        <v>95</v>
      </c>
      <c r="K2564">
        <v>0</v>
      </c>
    </row>
    <row r="2565" spans="9:11">
      <c r="I2565" t="s">
        <v>91</v>
      </c>
      <c r="J2565" t="s">
        <v>92</v>
      </c>
      <c r="K2565">
        <v>0</v>
      </c>
    </row>
    <row r="2566" spans="9:11">
      <c r="I2566" t="s">
        <v>91</v>
      </c>
      <c r="J2566" t="s">
        <v>92</v>
      </c>
      <c r="K2566">
        <v>0</v>
      </c>
    </row>
    <row r="2567" spans="9:11">
      <c r="I2567" t="s">
        <v>94</v>
      </c>
      <c r="J2567" t="s">
        <v>95</v>
      </c>
      <c r="K2567">
        <v>0</v>
      </c>
    </row>
    <row r="2568" spans="9:11">
      <c r="I2568" t="s">
        <v>94</v>
      </c>
      <c r="J2568" t="s">
        <v>95</v>
      </c>
      <c r="K2568">
        <v>0</v>
      </c>
    </row>
    <row r="2569" spans="9:11">
      <c r="I2569" t="s">
        <v>91</v>
      </c>
      <c r="J2569" t="s">
        <v>92</v>
      </c>
      <c r="K2569">
        <v>0</v>
      </c>
    </row>
    <row r="2570" spans="9:11">
      <c r="I2570" t="s">
        <v>91</v>
      </c>
      <c r="J2570" t="s">
        <v>92</v>
      </c>
      <c r="K2570">
        <v>0</v>
      </c>
    </row>
    <row r="2571" spans="9:11">
      <c r="I2571" t="s">
        <v>94</v>
      </c>
      <c r="J2571" t="s">
        <v>95</v>
      </c>
      <c r="K2571">
        <v>0</v>
      </c>
    </row>
    <row r="2572" spans="9:11">
      <c r="I2572" t="s">
        <v>94</v>
      </c>
      <c r="J2572" t="s">
        <v>95</v>
      </c>
      <c r="K2572">
        <v>0</v>
      </c>
    </row>
    <row r="2573" spans="9:11">
      <c r="I2573" t="s">
        <v>94</v>
      </c>
      <c r="J2573" t="s">
        <v>95</v>
      </c>
      <c r="K2573">
        <v>0</v>
      </c>
    </row>
    <row r="2574" spans="9:11">
      <c r="I2574" t="s">
        <v>91</v>
      </c>
      <c r="J2574" t="s">
        <v>92</v>
      </c>
      <c r="K2574">
        <v>0</v>
      </c>
    </row>
    <row r="2575" spans="9:11">
      <c r="I2575" t="s">
        <v>91</v>
      </c>
      <c r="J2575" t="s">
        <v>92</v>
      </c>
      <c r="K2575">
        <v>0</v>
      </c>
    </row>
    <row r="2576" spans="9:11">
      <c r="I2576" t="s">
        <v>91</v>
      </c>
      <c r="J2576" t="s">
        <v>92</v>
      </c>
      <c r="K2576">
        <v>0</v>
      </c>
    </row>
    <row r="2577" spans="9:11">
      <c r="I2577" t="s">
        <v>94</v>
      </c>
      <c r="J2577" t="s">
        <v>95</v>
      </c>
      <c r="K2577">
        <v>1</v>
      </c>
    </row>
    <row r="2578" spans="9:11">
      <c r="I2578" t="s">
        <v>91</v>
      </c>
      <c r="J2578" t="s">
        <v>92</v>
      </c>
      <c r="K2578">
        <v>0</v>
      </c>
    </row>
    <row r="2579" spans="9:11">
      <c r="I2579" t="s">
        <v>91</v>
      </c>
      <c r="J2579" t="s">
        <v>92</v>
      </c>
      <c r="K2579">
        <v>0</v>
      </c>
    </row>
    <row r="2580" spans="9:11">
      <c r="I2580" t="s">
        <v>94</v>
      </c>
      <c r="J2580" t="s">
        <v>95</v>
      </c>
      <c r="K2580">
        <v>0</v>
      </c>
    </row>
    <row r="2581" spans="9:11">
      <c r="I2581" t="s">
        <v>91</v>
      </c>
      <c r="J2581" t="s">
        <v>92</v>
      </c>
      <c r="K2581">
        <v>0</v>
      </c>
    </row>
    <row r="2582" spans="9:11">
      <c r="I2582" t="s">
        <v>94</v>
      </c>
      <c r="J2582" t="s">
        <v>95</v>
      </c>
      <c r="K2582">
        <v>0</v>
      </c>
    </row>
    <row r="2583" spans="9:11">
      <c r="I2583" t="s">
        <v>94</v>
      </c>
      <c r="J2583" t="s">
        <v>95</v>
      </c>
      <c r="K2583">
        <v>0</v>
      </c>
    </row>
    <row r="2584" spans="9:11">
      <c r="I2584" t="s">
        <v>94</v>
      </c>
      <c r="J2584" t="s">
        <v>95</v>
      </c>
      <c r="K2584">
        <v>0</v>
      </c>
    </row>
    <row r="2585" spans="9:11">
      <c r="I2585" t="s">
        <v>94</v>
      </c>
      <c r="J2585" t="s">
        <v>95</v>
      </c>
      <c r="K2585">
        <v>0</v>
      </c>
    </row>
    <row r="2586" spans="9:11">
      <c r="I2586" t="s">
        <v>91</v>
      </c>
      <c r="J2586" t="s">
        <v>92</v>
      </c>
      <c r="K2586">
        <v>0</v>
      </c>
    </row>
    <row r="2587" spans="9:11">
      <c r="I2587" t="s">
        <v>91</v>
      </c>
      <c r="J2587" t="s">
        <v>92</v>
      </c>
      <c r="K2587">
        <v>0</v>
      </c>
    </row>
    <row r="2588" spans="9:11">
      <c r="I2588" t="s">
        <v>94</v>
      </c>
      <c r="J2588" t="s">
        <v>95</v>
      </c>
      <c r="K2588">
        <v>0</v>
      </c>
    </row>
    <row r="2589" spans="9:11">
      <c r="I2589" t="s">
        <v>94</v>
      </c>
      <c r="J2589" t="s">
        <v>95</v>
      </c>
      <c r="K2589">
        <v>0</v>
      </c>
    </row>
    <row r="2590" spans="9:11">
      <c r="I2590" t="s">
        <v>91</v>
      </c>
      <c r="J2590" t="s">
        <v>92</v>
      </c>
      <c r="K2590">
        <v>0</v>
      </c>
    </row>
    <row r="2591" spans="9:11">
      <c r="I2591" t="s">
        <v>91</v>
      </c>
      <c r="J2591" t="s">
        <v>92</v>
      </c>
      <c r="K2591">
        <v>0</v>
      </c>
    </row>
    <row r="2592" spans="9:11">
      <c r="I2592" t="s">
        <v>91</v>
      </c>
      <c r="J2592" t="s">
        <v>92</v>
      </c>
      <c r="K2592">
        <v>0</v>
      </c>
    </row>
    <row r="2593" spans="9:11">
      <c r="I2593" t="s">
        <v>91</v>
      </c>
      <c r="J2593" t="s">
        <v>92</v>
      </c>
      <c r="K2593">
        <v>0</v>
      </c>
    </row>
    <row r="2594" spans="9:11">
      <c r="I2594" t="s">
        <v>91</v>
      </c>
      <c r="J2594" t="s">
        <v>92</v>
      </c>
      <c r="K2594">
        <v>0</v>
      </c>
    </row>
    <row r="2595" spans="9:11">
      <c r="I2595" t="s">
        <v>91</v>
      </c>
      <c r="J2595" t="s">
        <v>92</v>
      </c>
      <c r="K2595">
        <v>0</v>
      </c>
    </row>
    <row r="2596" spans="9:11">
      <c r="I2596" t="s">
        <v>91</v>
      </c>
      <c r="J2596" t="s">
        <v>92</v>
      </c>
      <c r="K2596">
        <v>0</v>
      </c>
    </row>
    <row r="2597" spans="9:11">
      <c r="I2597" t="s">
        <v>91</v>
      </c>
      <c r="J2597" t="s">
        <v>92</v>
      </c>
      <c r="K2597">
        <v>0</v>
      </c>
    </row>
    <row r="2598" spans="9:11">
      <c r="I2598" t="s">
        <v>94</v>
      </c>
      <c r="J2598" t="s">
        <v>95</v>
      </c>
      <c r="K2598">
        <v>0</v>
      </c>
    </row>
    <row r="2599" spans="9:11">
      <c r="I2599" t="s">
        <v>91</v>
      </c>
      <c r="J2599" t="s">
        <v>92</v>
      </c>
      <c r="K2599">
        <v>0</v>
      </c>
    </row>
    <row r="2600" spans="9:11">
      <c r="I2600" t="s">
        <v>94</v>
      </c>
      <c r="J2600" t="s">
        <v>95</v>
      </c>
      <c r="K2600">
        <v>0</v>
      </c>
    </row>
    <row r="2601" spans="9:11">
      <c r="I2601" t="s">
        <v>91</v>
      </c>
      <c r="J2601" t="s">
        <v>92</v>
      </c>
      <c r="K2601">
        <v>0</v>
      </c>
    </row>
    <row r="2602" spans="9:11">
      <c r="I2602" t="s">
        <v>91</v>
      </c>
      <c r="J2602" t="s">
        <v>92</v>
      </c>
      <c r="K2602">
        <v>0</v>
      </c>
    </row>
    <row r="2603" spans="9:11">
      <c r="I2603" t="s">
        <v>91</v>
      </c>
      <c r="J2603" t="s">
        <v>92</v>
      </c>
      <c r="K2603">
        <v>0</v>
      </c>
    </row>
    <row r="2604" spans="9:11">
      <c r="I2604" t="s">
        <v>91</v>
      </c>
      <c r="J2604" t="s">
        <v>92</v>
      </c>
      <c r="K2604">
        <v>0</v>
      </c>
    </row>
    <row r="2605" spans="9:11">
      <c r="I2605" t="s">
        <v>91</v>
      </c>
      <c r="J2605" t="s">
        <v>92</v>
      </c>
      <c r="K2605">
        <v>0</v>
      </c>
    </row>
    <row r="2606" spans="9:11">
      <c r="I2606" t="s">
        <v>91</v>
      </c>
      <c r="J2606" t="s">
        <v>92</v>
      </c>
      <c r="K2606">
        <v>0</v>
      </c>
    </row>
    <row r="2607" spans="9:11">
      <c r="I2607" t="s">
        <v>91</v>
      </c>
      <c r="J2607" t="s">
        <v>92</v>
      </c>
      <c r="K2607">
        <v>0</v>
      </c>
    </row>
    <row r="2608" spans="9:11">
      <c r="I2608" t="s">
        <v>94</v>
      </c>
      <c r="J2608" t="s">
        <v>95</v>
      </c>
      <c r="K2608">
        <v>0</v>
      </c>
    </row>
    <row r="2609" spans="9:11">
      <c r="I2609" t="s">
        <v>91</v>
      </c>
      <c r="J2609" t="s">
        <v>92</v>
      </c>
      <c r="K2609">
        <v>0</v>
      </c>
    </row>
    <row r="2610" spans="9:11">
      <c r="I2610" t="s">
        <v>91</v>
      </c>
      <c r="J2610" t="s">
        <v>92</v>
      </c>
      <c r="K2610">
        <v>0</v>
      </c>
    </row>
    <row r="2611" spans="9:11">
      <c r="I2611" t="s">
        <v>94</v>
      </c>
      <c r="J2611" t="s">
        <v>95</v>
      </c>
      <c r="K2611">
        <v>0</v>
      </c>
    </row>
    <row r="2612" spans="9:11">
      <c r="I2612" t="s">
        <v>94</v>
      </c>
      <c r="J2612" t="s">
        <v>95</v>
      </c>
      <c r="K2612">
        <v>0</v>
      </c>
    </row>
    <row r="2613" spans="9:11">
      <c r="I2613" t="s">
        <v>91</v>
      </c>
      <c r="J2613" t="s">
        <v>92</v>
      </c>
      <c r="K2613">
        <v>0</v>
      </c>
    </row>
    <row r="2614" spans="9:11">
      <c r="I2614" t="s">
        <v>94</v>
      </c>
      <c r="J2614" t="s">
        <v>95</v>
      </c>
      <c r="K2614">
        <v>0</v>
      </c>
    </row>
    <row r="2615" spans="9:11">
      <c r="I2615" t="s">
        <v>94</v>
      </c>
      <c r="J2615" t="s">
        <v>95</v>
      </c>
      <c r="K2615">
        <v>0</v>
      </c>
    </row>
    <row r="2616" spans="9:11">
      <c r="I2616" t="s">
        <v>94</v>
      </c>
      <c r="J2616" t="s">
        <v>95</v>
      </c>
      <c r="K2616">
        <v>0</v>
      </c>
    </row>
    <row r="2617" spans="9:11">
      <c r="I2617" t="s">
        <v>91</v>
      </c>
      <c r="J2617" t="s">
        <v>92</v>
      </c>
      <c r="K2617">
        <v>0</v>
      </c>
    </row>
    <row r="2618" spans="9:11">
      <c r="I2618" t="s">
        <v>91</v>
      </c>
      <c r="J2618" t="s">
        <v>92</v>
      </c>
      <c r="K2618">
        <v>0</v>
      </c>
    </row>
    <row r="2619" spans="9:11">
      <c r="I2619" t="s">
        <v>91</v>
      </c>
      <c r="J2619" t="s">
        <v>92</v>
      </c>
      <c r="K2619">
        <v>0</v>
      </c>
    </row>
    <row r="2620" spans="9:11">
      <c r="I2620" t="s">
        <v>91</v>
      </c>
      <c r="J2620" t="s">
        <v>92</v>
      </c>
      <c r="K2620">
        <v>0</v>
      </c>
    </row>
    <row r="2621" spans="9:11">
      <c r="I2621" t="s">
        <v>94</v>
      </c>
      <c r="J2621" t="s">
        <v>95</v>
      </c>
      <c r="K2621">
        <v>0</v>
      </c>
    </row>
    <row r="2622" spans="9:11">
      <c r="I2622" t="s">
        <v>94</v>
      </c>
      <c r="J2622" t="s">
        <v>95</v>
      </c>
      <c r="K2622">
        <v>0</v>
      </c>
    </row>
    <row r="2623" spans="9:11">
      <c r="I2623" t="s">
        <v>94</v>
      </c>
      <c r="J2623" t="s">
        <v>95</v>
      </c>
      <c r="K2623">
        <v>0</v>
      </c>
    </row>
    <row r="2624" spans="9:11">
      <c r="I2624" t="s">
        <v>91</v>
      </c>
      <c r="J2624" t="s">
        <v>92</v>
      </c>
      <c r="K2624">
        <v>0</v>
      </c>
    </row>
    <row r="2625" spans="9:11">
      <c r="I2625" t="s">
        <v>94</v>
      </c>
      <c r="J2625" t="s">
        <v>95</v>
      </c>
      <c r="K2625">
        <v>0</v>
      </c>
    </row>
    <row r="2626" spans="9:11">
      <c r="I2626" t="s">
        <v>91</v>
      </c>
      <c r="J2626" t="s">
        <v>92</v>
      </c>
      <c r="K2626">
        <v>0</v>
      </c>
    </row>
    <row r="2627" spans="9:11">
      <c r="I2627" t="s">
        <v>91</v>
      </c>
      <c r="J2627" t="s">
        <v>92</v>
      </c>
      <c r="K2627">
        <v>0</v>
      </c>
    </row>
    <row r="2628" spans="9:11">
      <c r="I2628" t="s">
        <v>94</v>
      </c>
      <c r="J2628" t="s">
        <v>95</v>
      </c>
      <c r="K2628">
        <v>0</v>
      </c>
    </row>
    <row r="2629" spans="9:11">
      <c r="I2629" t="s">
        <v>91</v>
      </c>
      <c r="J2629" t="s">
        <v>92</v>
      </c>
      <c r="K2629">
        <v>0</v>
      </c>
    </row>
    <row r="2630" spans="9:11">
      <c r="I2630" t="s">
        <v>91</v>
      </c>
      <c r="J2630" t="s">
        <v>92</v>
      </c>
      <c r="K2630">
        <v>0</v>
      </c>
    </row>
    <row r="2631" spans="9:11">
      <c r="I2631" t="s">
        <v>94</v>
      </c>
      <c r="J2631" t="s">
        <v>95</v>
      </c>
      <c r="K2631">
        <v>0</v>
      </c>
    </row>
    <row r="2632" spans="9:11">
      <c r="I2632" t="s">
        <v>94</v>
      </c>
      <c r="J2632" t="s">
        <v>95</v>
      </c>
      <c r="K2632">
        <v>0</v>
      </c>
    </row>
    <row r="2633" spans="9:11">
      <c r="I2633" t="s">
        <v>91</v>
      </c>
      <c r="J2633" t="s">
        <v>92</v>
      </c>
      <c r="K2633">
        <v>0</v>
      </c>
    </row>
    <row r="2634" spans="9:11">
      <c r="I2634" t="s">
        <v>91</v>
      </c>
      <c r="J2634" t="s">
        <v>92</v>
      </c>
      <c r="K2634">
        <v>0</v>
      </c>
    </row>
    <row r="2635" spans="9:11">
      <c r="I2635" t="s">
        <v>94</v>
      </c>
      <c r="J2635" t="s">
        <v>95</v>
      </c>
      <c r="K2635">
        <v>0</v>
      </c>
    </row>
    <row r="2636" spans="9:11">
      <c r="I2636" t="s">
        <v>94</v>
      </c>
      <c r="J2636" t="s">
        <v>95</v>
      </c>
      <c r="K2636">
        <v>0</v>
      </c>
    </row>
    <row r="2637" spans="9:11">
      <c r="I2637" t="s">
        <v>94</v>
      </c>
      <c r="J2637" t="s">
        <v>95</v>
      </c>
      <c r="K2637">
        <v>0</v>
      </c>
    </row>
    <row r="2638" spans="9:11">
      <c r="I2638" t="s">
        <v>94</v>
      </c>
      <c r="J2638" t="s">
        <v>95</v>
      </c>
      <c r="K2638">
        <v>0</v>
      </c>
    </row>
    <row r="2639" spans="9:11">
      <c r="I2639" t="s">
        <v>91</v>
      </c>
      <c r="J2639" t="s">
        <v>92</v>
      </c>
      <c r="K2639">
        <v>0</v>
      </c>
    </row>
    <row r="2640" spans="9:11">
      <c r="I2640" t="s">
        <v>91</v>
      </c>
      <c r="J2640" t="s">
        <v>92</v>
      </c>
      <c r="K2640">
        <v>0</v>
      </c>
    </row>
    <row r="2641" spans="9:11">
      <c r="I2641" t="s">
        <v>94</v>
      </c>
      <c r="J2641" t="s">
        <v>95</v>
      </c>
      <c r="K2641">
        <v>0</v>
      </c>
    </row>
    <row r="2642" spans="9:11">
      <c r="I2642" t="s">
        <v>94</v>
      </c>
      <c r="J2642" t="s">
        <v>95</v>
      </c>
      <c r="K2642">
        <v>0</v>
      </c>
    </row>
    <row r="2643" spans="9:11">
      <c r="I2643" t="s">
        <v>91</v>
      </c>
      <c r="J2643" t="s">
        <v>92</v>
      </c>
      <c r="K2643">
        <v>0</v>
      </c>
    </row>
    <row r="2644" spans="9:11">
      <c r="I2644" t="s">
        <v>94</v>
      </c>
      <c r="J2644" t="s">
        <v>95</v>
      </c>
      <c r="K2644">
        <v>0</v>
      </c>
    </row>
    <row r="2645" spans="9:11">
      <c r="I2645" t="s">
        <v>94</v>
      </c>
      <c r="J2645" t="s">
        <v>95</v>
      </c>
      <c r="K2645">
        <v>0</v>
      </c>
    </row>
    <row r="2646" spans="9:11">
      <c r="I2646" t="s">
        <v>91</v>
      </c>
      <c r="J2646" t="s">
        <v>92</v>
      </c>
      <c r="K2646">
        <v>0</v>
      </c>
    </row>
    <row r="2647" spans="9:11">
      <c r="I2647" t="s">
        <v>91</v>
      </c>
      <c r="J2647" t="s">
        <v>92</v>
      </c>
      <c r="K2647">
        <v>0</v>
      </c>
    </row>
    <row r="2648" spans="9:11">
      <c r="I2648" t="s">
        <v>94</v>
      </c>
      <c r="J2648" t="s">
        <v>95</v>
      </c>
      <c r="K2648">
        <v>0</v>
      </c>
    </row>
    <row r="2649" spans="9:11">
      <c r="I2649" t="s">
        <v>91</v>
      </c>
      <c r="J2649" t="s">
        <v>92</v>
      </c>
      <c r="K2649">
        <v>0</v>
      </c>
    </row>
    <row r="2650" spans="9:11">
      <c r="I2650" t="s">
        <v>91</v>
      </c>
      <c r="J2650" t="s">
        <v>92</v>
      </c>
      <c r="K2650">
        <v>0</v>
      </c>
    </row>
    <row r="2651" spans="9:11">
      <c r="I2651" t="s">
        <v>91</v>
      </c>
      <c r="J2651" t="s">
        <v>92</v>
      </c>
      <c r="K2651">
        <v>0</v>
      </c>
    </row>
    <row r="2652" spans="9:11">
      <c r="I2652" t="s">
        <v>94</v>
      </c>
      <c r="J2652" t="s">
        <v>95</v>
      </c>
      <c r="K2652">
        <v>0</v>
      </c>
    </row>
    <row r="2653" spans="9:11">
      <c r="I2653" t="s">
        <v>91</v>
      </c>
      <c r="J2653" t="s">
        <v>92</v>
      </c>
      <c r="K2653">
        <v>0</v>
      </c>
    </row>
    <row r="2654" spans="9:11">
      <c r="I2654" t="s">
        <v>94</v>
      </c>
      <c r="J2654" t="s">
        <v>95</v>
      </c>
      <c r="K2654">
        <v>0</v>
      </c>
    </row>
    <row r="2655" spans="9:11">
      <c r="I2655" t="s">
        <v>94</v>
      </c>
      <c r="J2655" t="s">
        <v>95</v>
      </c>
      <c r="K2655">
        <v>1</v>
      </c>
    </row>
    <row r="2656" spans="9:11">
      <c r="I2656" t="s">
        <v>94</v>
      </c>
      <c r="J2656" t="s">
        <v>95</v>
      </c>
      <c r="K2656">
        <v>0</v>
      </c>
    </row>
    <row r="2657" spans="9:11">
      <c r="I2657" t="s">
        <v>91</v>
      </c>
      <c r="J2657" t="s">
        <v>92</v>
      </c>
      <c r="K2657">
        <v>0</v>
      </c>
    </row>
    <row r="2658" spans="9:11">
      <c r="I2658" t="s">
        <v>94</v>
      </c>
      <c r="J2658" t="s">
        <v>95</v>
      </c>
      <c r="K2658">
        <v>0</v>
      </c>
    </row>
    <row r="2659" spans="9:11">
      <c r="I2659" t="s">
        <v>94</v>
      </c>
      <c r="J2659" t="s">
        <v>95</v>
      </c>
      <c r="K2659">
        <v>0</v>
      </c>
    </row>
    <row r="2660" spans="9:11">
      <c r="I2660" t="s">
        <v>94</v>
      </c>
      <c r="J2660" t="s">
        <v>95</v>
      </c>
      <c r="K2660">
        <v>0</v>
      </c>
    </row>
    <row r="2661" spans="9:11">
      <c r="I2661" t="s">
        <v>94</v>
      </c>
      <c r="J2661" t="s">
        <v>95</v>
      </c>
      <c r="K2661">
        <v>0</v>
      </c>
    </row>
    <row r="2662" spans="9:11">
      <c r="I2662" t="s">
        <v>91</v>
      </c>
      <c r="J2662" t="s">
        <v>92</v>
      </c>
      <c r="K2662">
        <v>0</v>
      </c>
    </row>
    <row r="2663" spans="9:11">
      <c r="I2663" t="s">
        <v>94</v>
      </c>
      <c r="J2663" t="s">
        <v>95</v>
      </c>
      <c r="K2663">
        <v>0</v>
      </c>
    </row>
    <row r="2664" spans="9:11">
      <c r="I2664" t="s">
        <v>91</v>
      </c>
      <c r="J2664" t="s">
        <v>92</v>
      </c>
      <c r="K2664">
        <v>0</v>
      </c>
    </row>
    <row r="2665" spans="9:11">
      <c r="I2665" t="s">
        <v>94</v>
      </c>
      <c r="J2665" t="s">
        <v>95</v>
      </c>
      <c r="K2665">
        <v>0</v>
      </c>
    </row>
    <row r="2666" spans="9:11">
      <c r="I2666" t="s">
        <v>91</v>
      </c>
      <c r="J2666" t="s">
        <v>92</v>
      </c>
      <c r="K2666">
        <v>0</v>
      </c>
    </row>
    <row r="2667" spans="9:11">
      <c r="I2667" t="s">
        <v>94</v>
      </c>
      <c r="J2667" t="s">
        <v>95</v>
      </c>
      <c r="K2667">
        <v>0</v>
      </c>
    </row>
    <row r="2668" spans="9:11">
      <c r="I2668" t="s">
        <v>91</v>
      </c>
      <c r="J2668" t="s">
        <v>92</v>
      </c>
      <c r="K2668">
        <v>0</v>
      </c>
    </row>
    <row r="2669" spans="9:11">
      <c r="I2669" t="s">
        <v>91</v>
      </c>
      <c r="J2669" t="s">
        <v>92</v>
      </c>
      <c r="K2669">
        <v>0</v>
      </c>
    </row>
    <row r="2670" spans="9:11">
      <c r="I2670" t="s">
        <v>91</v>
      </c>
      <c r="J2670" t="s">
        <v>92</v>
      </c>
      <c r="K2670">
        <v>0</v>
      </c>
    </row>
    <row r="2671" spans="9:11">
      <c r="I2671" t="s">
        <v>94</v>
      </c>
      <c r="J2671" t="s">
        <v>95</v>
      </c>
      <c r="K2671">
        <v>0</v>
      </c>
    </row>
    <row r="2672" spans="9:11">
      <c r="I2672" t="s">
        <v>91</v>
      </c>
      <c r="J2672" t="s">
        <v>92</v>
      </c>
      <c r="K2672">
        <v>0</v>
      </c>
    </row>
    <row r="2673" spans="9:11">
      <c r="I2673" t="s">
        <v>94</v>
      </c>
      <c r="J2673" t="s">
        <v>95</v>
      </c>
      <c r="K2673">
        <v>0</v>
      </c>
    </row>
    <row r="2674" spans="9:11">
      <c r="I2674" t="s">
        <v>94</v>
      </c>
      <c r="J2674" t="s">
        <v>95</v>
      </c>
      <c r="K2674">
        <v>0</v>
      </c>
    </row>
    <row r="2675" spans="9:11">
      <c r="I2675" t="s">
        <v>91</v>
      </c>
      <c r="J2675" t="s">
        <v>92</v>
      </c>
      <c r="K2675">
        <v>0</v>
      </c>
    </row>
    <row r="2676" spans="9:11">
      <c r="I2676" t="s">
        <v>94</v>
      </c>
      <c r="J2676" t="s">
        <v>95</v>
      </c>
      <c r="K2676">
        <v>0</v>
      </c>
    </row>
    <row r="2677" spans="9:11">
      <c r="I2677" t="s">
        <v>94</v>
      </c>
      <c r="J2677" t="s">
        <v>95</v>
      </c>
      <c r="K2677">
        <v>0</v>
      </c>
    </row>
    <row r="2678" spans="9:11">
      <c r="I2678" t="s">
        <v>94</v>
      </c>
      <c r="J2678" t="s">
        <v>95</v>
      </c>
      <c r="K2678">
        <v>0</v>
      </c>
    </row>
    <row r="2679" spans="9:11">
      <c r="I2679" t="s">
        <v>91</v>
      </c>
      <c r="J2679" t="s">
        <v>92</v>
      </c>
      <c r="K2679">
        <v>0</v>
      </c>
    </row>
    <row r="2680" spans="9:11">
      <c r="I2680" t="s">
        <v>94</v>
      </c>
      <c r="J2680" t="s">
        <v>95</v>
      </c>
      <c r="K2680">
        <v>0</v>
      </c>
    </row>
    <row r="2681" spans="9:11">
      <c r="I2681" t="s">
        <v>94</v>
      </c>
      <c r="J2681" t="s">
        <v>95</v>
      </c>
      <c r="K2681">
        <v>0</v>
      </c>
    </row>
    <row r="2682" spans="9:11">
      <c r="I2682" t="s">
        <v>94</v>
      </c>
      <c r="J2682" t="s">
        <v>95</v>
      </c>
      <c r="K2682">
        <v>0</v>
      </c>
    </row>
    <row r="2683" spans="9:11">
      <c r="I2683" t="s">
        <v>94</v>
      </c>
      <c r="J2683" t="s">
        <v>95</v>
      </c>
      <c r="K2683">
        <v>0</v>
      </c>
    </row>
    <row r="2684" spans="9:11">
      <c r="I2684" t="s">
        <v>94</v>
      </c>
      <c r="J2684" t="s">
        <v>95</v>
      </c>
      <c r="K2684">
        <v>0</v>
      </c>
    </row>
    <row r="2685" spans="9:11">
      <c r="I2685" t="s">
        <v>91</v>
      </c>
      <c r="J2685" t="s">
        <v>92</v>
      </c>
      <c r="K2685">
        <v>0</v>
      </c>
    </row>
    <row r="2686" spans="9:11">
      <c r="I2686" t="s">
        <v>91</v>
      </c>
      <c r="J2686" t="s">
        <v>92</v>
      </c>
      <c r="K2686">
        <v>0</v>
      </c>
    </row>
    <row r="2687" spans="9:11">
      <c r="I2687" t="s">
        <v>91</v>
      </c>
      <c r="J2687" t="s">
        <v>92</v>
      </c>
      <c r="K2687">
        <v>0</v>
      </c>
    </row>
    <row r="2688" spans="9:11">
      <c r="I2688" t="s">
        <v>94</v>
      </c>
      <c r="J2688" t="s">
        <v>95</v>
      </c>
      <c r="K2688">
        <v>0</v>
      </c>
    </row>
    <row r="2689" spans="9:11">
      <c r="I2689" t="s">
        <v>94</v>
      </c>
      <c r="J2689" t="s">
        <v>95</v>
      </c>
      <c r="K2689">
        <v>0</v>
      </c>
    </row>
    <row r="2690" spans="9:11">
      <c r="I2690" t="s">
        <v>94</v>
      </c>
      <c r="J2690" t="s">
        <v>95</v>
      </c>
      <c r="K2690">
        <v>0</v>
      </c>
    </row>
    <row r="2691" spans="9:11">
      <c r="I2691" t="s">
        <v>94</v>
      </c>
      <c r="J2691" t="s">
        <v>95</v>
      </c>
      <c r="K2691">
        <v>0</v>
      </c>
    </row>
    <row r="2692" spans="9:11">
      <c r="I2692" t="s">
        <v>94</v>
      </c>
      <c r="J2692" t="s">
        <v>95</v>
      </c>
      <c r="K2692">
        <v>0</v>
      </c>
    </row>
    <row r="2693" spans="9:11">
      <c r="I2693" t="s">
        <v>94</v>
      </c>
      <c r="J2693" t="s">
        <v>95</v>
      </c>
      <c r="K2693">
        <v>0</v>
      </c>
    </row>
    <row r="2694" spans="9:11">
      <c r="I2694" t="s">
        <v>91</v>
      </c>
      <c r="J2694" t="s">
        <v>92</v>
      </c>
      <c r="K2694">
        <v>0</v>
      </c>
    </row>
    <row r="2695" spans="9:11">
      <c r="I2695" t="s">
        <v>91</v>
      </c>
      <c r="J2695" t="s">
        <v>92</v>
      </c>
      <c r="K2695">
        <v>1</v>
      </c>
    </row>
    <row r="2696" spans="9:11">
      <c r="I2696" t="s">
        <v>91</v>
      </c>
      <c r="J2696" t="s">
        <v>92</v>
      </c>
      <c r="K2696">
        <v>1</v>
      </c>
    </row>
    <row r="2697" spans="9:11">
      <c r="I2697" t="s">
        <v>94</v>
      </c>
      <c r="J2697" t="s">
        <v>95</v>
      </c>
      <c r="K2697">
        <v>0</v>
      </c>
    </row>
    <row r="2698" spans="9:11">
      <c r="I2698" t="s">
        <v>91</v>
      </c>
      <c r="J2698" t="s">
        <v>92</v>
      </c>
      <c r="K2698">
        <v>0</v>
      </c>
    </row>
    <row r="2699" spans="9:11">
      <c r="I2699" t="s">
        <v>91</v>
      </c>
      <c r="J2699" t="s">
        <v>92</v>
      </c>
      <c r="K2699">
        <v>0</v>
      </c>
    </row>
    <row r="2700" spans="9:11">
      <c r="I2700" t="s">
        <v>91</v>
      </c>
      <c r="J2700" t="s">
        <v>92</v>
      </c>
      <c r="K2700">
        <v>0</v>
      </c>
    </row>
    <row r="2701" spans="9:11">
      <c r="I2701" t="s">
        <v>91</v>
      </c>
      <c r="J2701" t="s">
        <v>92</v>
      </c>
      <c r="K2701">
        <v>0</v>
      </c>
    </row>
    <row r="2702" spans="9:11">
      <c r="I2702" t="s">
        <v>94</v>
      </c>
      <c r="J2702" t="s">
        <v>95</v>
      </c>
      <c r="K2702">
        <v>0</v>
      </c>
    </row>
    <row r="2703" spans="9:11">
      <c r="I2703" t="s">
        <v>91</v>
      </c>
      <c r="J2703" t="s">
        <v>92</v>
      </c>
      <c r="K2703">
        <v>0</v>
      </c>
    </row>
    <row r="2704" spans="9:11">
      <c r="I2704" t="s">
        <v>94</v>
      </c>
      <c r="J2704" t="s">
        <v>95</v>
      </c>
      <c r="K2704">
        <v>0</v>
      </c>
    </row>
    <row r="2705" spans="9:11">
      <c r="I2705" t="s">
        <v>91</v>
      </c>
      <c r="J2705" t="s">
        <v>92</v>
      </c>
      <c r="K2705">
        <v>0</v>
      </c>
    </row>
    <row r="2706" spans="9:11">
      <c r="I2706" t="s">
        <v>91</v>
      </c>
      <c r="J2706" t="s">
        <v>92</v>
      </c>
      <c r="K2706">
        <v>0</v>
      </c>
    </row>
    <row r="2707" spans="9:11">
      <c r="I2707" t="s">
        <v>94</v>
      </c>
      <c r="J2707" t="s">
        <v>95</v>
      </c>
      <c r="K2707">
        <v>0</v>
      </c>
    </row>
    <row r="2708" spans="9:11">
      <c r="I2708" t="s">
        <v>94</v>
      </c>
      <c r="J2708" t="s">
        <v>95</v>
      </c>
      <c r="K2708">
        <v>0</v>
      </c>
    </row>
    <row r="2709" spans="9:11">
      <c r="I2709" t="s">
        <v>91</v>
      </c>
      <c r="J2709" t="s">
        <v>92</v>
      </c>
      <c r="K2709">
        <v>0</v>
      </c>
    </row>
    <row r="2710" spans="9:11">
      <c r="I2710" t="s">
        <v>91</v>
      </c>
      <c r="J2710" t="s">
        <v>92</v>
      </c>
      <c r="K2710">
        <v>0</v>
      </c>
    </row>
    <row r="2711" spans="9:11">
      <c r="I2711" t="s">
        <v>94</v>
      </c>
      <c r="J2711" t="s">
        <v>95</v>
      </c>
      <c r="K2711">
        <v>0</v>
      </c>
    </row>
    <row r="2712" spans="9:11">
      <c r="I2712" t="s">
        <v>94</v>
      </c>
      <c r="J2712" t="s">
        <v>95</v>
      </c>
      <c r="K2712">
        <v>0</v>
      </c>
    </row>
    <row r="2713" spans="9:11">
      <c r="I2713" t="s">
        <v>94</v>
      </c>
      <c r="J2713" t="s">
        <v>95</v>
      </c>
      <c r="K2713">
        <v>0</v>
      </c>
    </row>
    <row r="2714" spans="9:11">
      <c r="I2714" t="s">
        <v>91</v>
      </c>
      <c r="J2714" t="s">
        <v>92</v>
      </c>
      <c r="K2714">
        <v>0</v>
      </c>
    </row>
    <row r="2715" spans="9:11">
      <c r="I2715" t="s">
        <v>91</v>
      </c>
      <c r="J2715" t="s">
        <v>92</v>
      </c>
      <c r="K2715">
        <v>1</v>
      </c>
    </row>
    <row r="2716" spans="9:11">
      <c r="I2716" t="s">
        <v>91</v>
      </c>
      <c r="J2716" t="s">
        <v>92</v>
      </c>
      <c r="K2716">
        <v>0</v>
      </c>
    </row>
    <row r="2717" spans="9:11">
      <c r="I2717" t="s">
        <v>91</v>
      </c>
      <c r="J2717" t="s">
        <v>92</v>
      </c>
      <c r="K2717">
        <v>0</v>
      </c>
    </row>
    <row r="2718" spans="9:11">
      <c r="I2718" t="s">
        <v>94</v>
      </c>
      <c r="J2718" t="s">
        <v>95</v>
      </c>
      <c r="K2718">
        <v>0</v>
      </c>
    </row>
    <row r="2719" spans="9:11">
      <c r="I2719" t="s">
        <v>91</v>
      </c>
      <c r="J2719" t="s">
        <v>92</v>
      </c>
      <c r="K2719">
        <v>0</v>
      </c>
    </row>
    <row r="2720" spans="9:11">
      <c r="I2720" t="s">
        <v>94</v>
      </c>
      <c r="J2720" t="s">
        <v>95</v>
      </c>
      <c r="K2720">
        <v>0</v>
      </c>
    </row>
    <row r="2721" spans="9:11">
      <c r="I2721" t="s">
        <v>94</v>
      </c>
      <c r="J2721" t="s">
        <v>95</v>
      </c>
      <c r="K2721">
        <v>0</v>
      </c>
    </row>
    <row r="2722" spans="9:11">
      <c r="I2722" t="s">
        <v>94</v>
      </c>
      <c r="J2722" t="s">
        <v>95</v>
      </c>
      <c r="K2722">
        <v>0</v>
      </c>
    </row>
    <row r="2723" spans="9:11">
      <c r="I2723" t="s">
        <v>91</v>
      </c>
      <c r="J2723" t="s">
        <v>92</v>
      </c>
      <c r="K2723">
        <v>0</v>
      </c>
    </row>
    <row r="2724" spans="9:11">
      <c r="I2724" t="s">
        <v>91</v>
      </c>
      <c r="J2724" t="s">
        <v>92</v>
      </c>
      <c r="K2724">
        <v>0</v>
      </c>
    </row>
    <row r="2725" spans="9:11">
      <c r="I2725" t="s">
        <v>94</v>
      </c>
      <c r="J2725" t="s">
        <v>95</v>
      </c>
      <c r="K2725">
        <v>0</v>
      </c>
    </row>
    <row r="2726" spans="9:11">
      <c r="I2726" t="s">
        <v>94</v>
      </c>
      <c r="J2726" t="s">
        <v>95</v>
      </c>
      <c r="K2726">
        <v>0</v>
      </c>
    </row>
    <row r="2727" spans="9:11">
      <c r="I2727" t="s">
        <v>94</v>
      </c>
      <c r="J2727" t="s">
        <v>95</v>
      </c>
      <c r="K2727">
        <v>0</v>
      </c>
    </row>
    <row r="2728" spans="9:11">
      <c r="I2728" t="s">
        <v>94</v>
      </c>
      <c r="J2728" t="s">
        <v>95</v>
      </c>
      <c r="K2728">
        <v>0</v>
      </c>
    </row>
    <row r="2729" spans="9:11">
      <c r="I2729" t="s">
        <v>91</v>
      </c>
      <c r="J2729" t="s">
        <v>92</v>
      </c>
      <c r="K2729">
        <v>0</v>
      </c>
    </row>
    <row r="2730" spans="9:11">
      <c r="I2730" t="s">
        <v>94</v>
      </c>
      <c r="J2730" t="s">
        <v>95</v>
      </c>
      <c r="K2730">
        <v>0</v>
      </c>
    </row>
    <row r="2731" spans="9:11">
      <c r="I2731" t="s">
        <v>94</v>
      </c>
      <c r="J2731" t="s">
        <v>95</v>
      </c>
      <c r="K2731">
        <v>0</v>
      </c>
    </row>
    <row r="2732" spans="9:11">
      <c r="I2732" t="s">
        <v>94</v>
      </c>
      <c r="J2732" t="s">
        <v>95</v>
      </c>
      <c r="K2732">
        <v>0</v>
      </c>
    </row>
    <row r="2733" spans="9:11">
      <c r="I2733" t="s">
        <v>91</v>
      </c>
      <c r="J2733" t="s">
        <v>92</v>
      </c>
      <c r="K2733">
        <v>0</v>
      </c>
    </row>
    <row r="2734" spans="9:11">
      <c r="I2734" t="s">
        <v>94</v>
      </c>
      <c r="J2734" t="s">
        <v>95</v>
      </c>
      <c r="K2734">
        <v>0</v>
      </c>
    </row>
    <row r="2735" spans="9:11">
      <c r="I2735" t="s">
        <v>94</v>
      </c>
      <c r="J2735" t="s">
        <v>95</v>
      </c>
      <c r="K2735">
        <v>0</v>
      </c>
    </row>
    <row r="2736" spans="9:11">
      <c r="I2736" t="s">
        <v>94</v>
      </c>
      <c r="J2736" t="s">
        <v>95</v>
      </c>
      <c r="K2736">
        <v>1</v>
      </c>
    </row>
    <row r="2737" spans="9:11">
      <c r="I2737" t="s">
        <v>94</v>
      </c>
      <c r="J2737" t="s">
        <v>95</v>
      </c>
      <c r="K2737">
        <v>0</v>
      </c>
    </row>
    <row r="2738" spans="9:11">
      <c r="I2738" t="s">
        <v>94</v>
      </c>
      <c r="J2738" t="s">
        <v>95</v>
      </c>
      <c r="K2738">
        <v>0</v>
      </c>
    </row>
    <row r="2739" spans="9:11">
      <c r="I2739" t="s">
        <v>91</v>
      </c>
      <c r="J2739" t="s">
        <v>92</v>
      </c>
      <c r="K2739">
        <v>0</v>
      </c>
    </row>
    <row r="2740" spans="9:11">
      <c r="I2740" t="s">
        <v>91</v>
      </c>
      <c r="J2740" t="s">
        <v>92</v>
      </c>
      <c r="K2740">
        <v>0</v>
      </c>
    </row>
    <row r="2741" spans="9:11">
      <c r="I2741" t="s">
        <v>91</v>
      </c>
      <c r="J2741" t="s">
        <v>92</v>
      </c>
      <c r="K2741">
        <v>0</v>
      </c>
    </row>
    <row r="2742" spans="9:11">
      <c r="I2742" t="s">
        <v>91</v>
      </c>
      <c r="J2742" t="s">
        <v>92</v>
      </c>
      <c r="K2742">
        <v>0</v>
      </c>
    </row>
    <row r="2743" spans="9:11">
      <c r="I2743" t="s">
        <v>94</v>
      </c>
      <c r="J2743" t="s">
        <v>95</v>
      </c>
      <c r="K2743">
        <v>0</v>
      </c>
    </row>
    <row r="2744" spans="9:11">
      <c r="I2744" t="s">
        <v>94</v>
      </c>
      <c r="J2744" t="s">
        <v>95</v>
      </c>
      <c r="K2744">
        <v>0</v>
      </c>
    </row>
    <row r="2745" spans="9:11">
      <c r="I2745" t="s">
        <v>94</v>
      </c>
      <c r="J2745" t="s">
        <v>95</v>
      </c>
      <c r="K2745">
        <v>0</v>
      </c>
    </row>
    <row r="2746" spans="9:11">
      <c r="I2746" t="s">
        <v>91</v>
      </c>
      <c r="J2746" t="s">
        <v>92</v>
      </c>
      <c r="K2746">
        <v>0</v>
      </c>
    </row>
    <row r="2747" spans="9:11">
      <c r="I2747" t="s">
        <v>91</v>
      </c>
      <c r="J2747" t="s">
        <v>92</v>
      </c>
      <c r="K2747">
        <v>1</v>
      </c>
    </row>
    <row r="2748" spans="9:11">
      <c r="I2748" t="s">
        <v>94</v>
      </c>
      <c r="J2748" t="s">
        <v>95</v>
      </c>
      <c r="K2748">
        <v>0</v>
      </c>
    </row>
    <row r="2749" spans="9:11">
      <c r="I2749" t="s">
        <v>91</v>
      </c>
      <c r="J2749" t="s">
        <v>92</v>
      </c>
      <c r="K2749">
        <v>0</v>
      </c>
    </row>
    <row r="2750" spans="9:11">
      <c r="I2750" t="s">
        <v>91</v>
      </c>
      <c r="J2750" t="s">
        <v>92</v>
      </c>
      <c r="K2750">
        <v>0</v>
      </c>
    </row>
    <row r="2751" spans="9:11">
      <c r="I2751" t="s">
        <v>94</v>
      </c>
      <c r="J2751" t="s">
        <v>95</v>
      </c>
      <c r="K2751">
        <v>0</v>
      </c>
    </row>
    <row r="2752" spans="9:11">
      <c r="I2752" t="s">
        <v>91</v>
      </c>
      <c r="J2752" t="s">
        <v>92</v>
      </c>
      <c r="K2752">
        <v>0</v>
      </c>
    </row>
    <row r="2753" spans="9:11">
      <c r="I2753" t="s">
        <v>94</v>
      </c>
      <c r="J2753" t="s">
        <v>95</v>
      </c>
      <c r="K2753">
        <v>0</v>
      </c>
    </row>
    <row r="2754" spans="9:11">
      <c r="I2754" t="s">
        <v>94</v>
      </c>
      <c r="J2754" t="s">
        <v>95</v>
      </c>
      <c r="K2754">
        <v>0</v>
      </c>
    </row>
    <row r="2755" spans="9:11">
      <c r="I2755" t="s">
        <v>91</v>
      </c>
      <c r="J2755" t="s">
        <v>92</v>
      </c>
      <c r="K2755">
        <v>0</v>
      </c>
    </row>
    <row r="2756" spans="9:11">
      <c r="I2756" t="s">
        <v>91</v>
      </c>
      <c r="J2756" t="s">
        <v>92</v>
      </c>
      <c r="K2756">
        <v>0</v>
      </c>
    </row>
    <row r="2757" spans="9:11">
      <c r="I2757" t="s">
        <v>94</v>
      </c>
      <c r="J2757" t="s">
        <v>95</v>
      </c>
      <c r="K2757">
        <v>1</v>
      </c>
    </row>
    <row r="2758" spans="9:11">
      <c r="I2758" t="s">
        <v>91</v>
      </c>
      <c r="J2758" t="s">
        <v>92</v>
      </c>
      <c r="K2758">
        <v>0</v>
      </c>
    </row>
    <row r="2759" spans="9:11">
      <c r="I2759" t="s">
        <v>91</v>
      </c>
      <c r="J2759" t="s">
        <v>92</v>
      </c>
      <c r="K2759">
        <v>0</v>
      </c>
    </row>
    <row r="2760" spans="9:11">
      <c r="I2760" t="s">
        <v>94</v>
      </c>
      <c r="J2760" t="s">
        <v>95</v>
      </c>
      <c r="K2760">
        <v>0</v>
      </c>
    </row>
    <row r="2761" spans="9:11">
      <c r="I2761" t="s">
        <v>94</v>
      </c>
      <c r="J2761" t="s">
        <v>95</v>
      </c>
      <c r="K2761">
        <v>0</v>
      </c>
    </row>
    <row r="2762" spans="9:11">
      <c r="I2762" t="s">
        <v>94</v>
      </c>
      <c r="J2762" t="s">
        <v>95</v>
      </c>
      <c r="K2762">
        <v>0</v>
      </c>
    </row>
    <row r="2763" spans="9:11">
      <c r="I2763" t="s">
        <v>91</v>
      </c>
      <c r="J2763" t="s">
        <v>92</v>
      </c>
      <c r="K2763">
        <v>0</v>
      </c>
    </row>
    <row r="2764" spans="9:11">
      <c r="I2764" t="s">
        <v>94</v>
      </c>
      <c r="J2764" t="s">
        <v>95</v>
      </c>
      <c r="K2764">
        <v>0</v>
      </c>
    </row>
    <row r="2765" spans="9:11">
      <c r="I2765" t="s">
        <v>91</v>
      </c>
      <c r="J2765" t="s">
        <v>92</v>
      </c>
      <c r="K2765">
        <v>0</v>
      </c>
    </row>
    <row r="2766" spans="9:11">
      <c r="I2766" t="s">
        <v>94</v>
      </c>
      <c r="J2766" t="s">
        <v>95</v>
      </c>
      <c r="K2766">
        <v>0</v>
      </c>
    </row>
    <row r="2767" spans="9:11">
      <c r="I2767" t="s">
        <v>91</v>
      </c>
      <c r="J2767" t="s">
        <v>92</v>
      </c>
      <c r="K2767">
        <v>0</v>
      </c>
    </row>
    <row r="2768" spans="9:11">
      <c r="I2768" t="s">
        <v>94</v>
      </c>
      <c r="J2768" t="s">
        <v>95</v>
      </c>
      <c r="K2768">
        <v>0</v>
      </c>
    </row>
    <row r="2769" spans="9:11">
      <c r="I2769" t="s">
        <v>91</v>
      </c>
      <c r="J2769" t="s">
        <v>92</v>
      </c>
      <c r="K2769">
        <v>0</v>
      </c>
    </row>
    <row r="2770" spans="9:11">
      <c r="I2770" t="s">
        <v>91</v>
      </c>
      <c r="J2770" t="s">
        <v>92</v>
      </c>
      <c r="K2770">
        <v>1</v>
      </c>
    </row>
    <row r="2771" spans="9:11">
      <c r="I2771" t="s">
        <v>91</v>
      </c>
      <c r="J2771" t="s">
        <v>92</v>
      </c>
      <c r="K2771">
        <v>0</v>
      </c>
    </row>
    <row r="2772" spans="9:11">
      <c r="I2772" t="s">
        <v>94</v>
      </c>
      <c r="J2772" t="s">
        <v>95</v>
      </c>
      <c r="K2772">
        <v>0</v>
      </c>
    </row>
    <row r="2773" spans="9:11">
      <c r="I2773" t="s">
        <v>94</v>
      </c>
      <c r="J2773" t="s">
        <v>95</v>
      </c>
      <c r="K2773">
        <v>0</v>
      </c>
    </row>
    <row r="2774" spans="9:11">
      <c r="I2774" t="s">
        <v>94</v>
      </c>
      <c r="J2774" t="s">
        <v>95</v>
      </c>
      <c r="K2774">
        <v>0</v>
      </c>
    </row>
    <row r="2775" spans="9:11">
      <c r="I2775" t="s">
        <v>94</v>
      </c>
      <c r="J2775" t="s">
        <v>95</v>
      </c>
      <c r="K2775">
        <v>0</v>
      </c>
    </row>
    <row r="2776" spans="9:11">
      <c r="I2776" t="s">
        <v>94</v>
      </c>
      <c r="J2776" t="s">
        <v>95</v>
      </c>
      <c r="K2776">
        <v>0</v>
      </c>
    </row>
    <row r="2777" spans="9:11">
      <c r="I2777" t="s">
        <v>94</v>
      </c>
      <c r="J2777" t="s">
        <v>95</v>
      </c>
      <c r="K2777">
        <v>0</v>
      </c>
    </row>
    <row r="2778" spans="9:11">
      <c r="I2778" t="s">
        <v>94</v>
      </c>
      <c r="J2778" t="s">
        <v>95</v>
      </c>
      <c r="K2778">
        <v>0</v>
      </c>
    </row>
    <row r="2779" spans="9:11">
      <c r="I2779" t="s">
        <v>94</v>
      </c>
      <c r="J2779" t="s">
        <v>95</v>
      </c>
      <c r="K2779">
        <v>0</v>
      </c>
    </row>
    <row r="2780" spans="9:11">
      <c r="I2780" t="s">
        <v>91</v>
      </c>
      <c r="J2780" t="s">
        <v>92</v>
      </c>
      <c r="K2780">
        <v>0</v>
      </c>
    </row>
    <row r="2781" spans="9:11">
      <c r="I2781" t="s">
        <v>91</v>
      </c>
      <c r="J2781" t="s">
        <v>92</v>
      </c>
      <c r="K2781">
        <v>0</v>
      </c>
    </row>
    <row r="2782" spans="9:11">
      <c r="I2782" t="s">
        <v>91</v>
      </c>
      <c r="J2782" t="s">
        <v>92</v>
      </c>
      <c r="K2782">
        <v>0</v>
      </c>
    </row>
    <row r="2783" spans="9:11">
      <c r="I2783" t="s">
        <v>91</v>
      </c>
      <c r="J2783" t="s">
        <v>92</v>
      </c>
      <c r="K2783">
        <v>0</v>
      </c>
    </row>
    <row r="2784" spans="9:11">
      <c r="I2784" t="s">
        <v>94</v>
      </c>
      <c r="J2784" t="s">
        <v>95</v>
      </c>
      <c r="K2784">
        <v>0</v>
      </c>
    </row>
    <row r="2785" spans="9:11">
      <c r="I2785" t="s">
        <v>94</v>
      </c>
      <c r="J2785" t="s">
        <v>95</v>
      </c>
      <c r="K2785">
        <v>0</v>
      </c>
    </row>
    <row r="2786" spans="9:11">
      <c r="I2786" t="s">
        <v>94</v>
      </c>
      <c r="J2786" t="s">
        <v>95</v>
      </c>
      <c r="K2786">
        <v>0</v>
      </c>
    </row>
    <row r="2787" spans="9:11">
      <c r="I2787" t="s">
        <v>94</v>
      </c>
      <c r="J2787" t="s">
        <v>95</v>
      </c>
      <c r="K2787">
        <v>0</v>
      </c>
    </row>
    <row r="2788" spans="9:11">
      <c r="I2788" t="s">
        <v>94</v>
      </c>
      <c r="J2788" t="s">
        <v>95</v>
      </c>
      <c r="K2788">
        <v>0</v>
      </c>
    </row>
    <row r="2789" spans="9:11">
      <c r="I2789" t="s">
        <v>91</v>
      </c>
      <c r="J2789" t="s">
        <v>92</v>
      </c>
      <c r="K2789">
        <v>0</v>
      </c>
    </row>
    <row r="2790" spans="9:11">
      <c r="I2790" t="s">
        <v>91</v>
      </c>
      <c r="J2790" t="s">
        <v>92</v>
      </c>
      <c r="K2790">
        <v>0</v>
      </c>
    </row>
    <row r="2791" spans="9:11">
      <c r="I2791" t="s">
        <v>94</v>
      </c>
      <c r="J2791" t="s">
        <v>95</v>
      </c>
      <c r="K2791">
        <v>0</v>
      </c>
    </row>
    <row r="2792" spans="9:11">
      <c r="I2792" t="s">
        <v>91</v>
      </c>
      <c r="J2792" t="s">
        <v>92</v>
      </c>
      <c r="K2792">
        <v>0</v>
      </c>
    </row>
    <row r="2793" spans="9:11">
      <c r="I2793" t="s">
        <v>91</v>
      </c>
      <c r="J2793" t="s">
        <v>92</v>
      </c>
      <c r="K2793">
        <v>0</v>
      </c>
    </row>
    <row r="2794" spans="9:11">
      <c r="I2794" t="s">
        <v>91</v>
      </c>
      <c r="J2794" t="s">
        <v>92</v>
      </c>
      <c r="K2794">
        <v>0</v>
      </c>
    </row>
    <row r="2795" spans="9:11">
      <c r="I2795" t="s">
        <v>94</v>
      </c>
      <c r="J2795" t="s">
        <v>95</v>
      </c>
      <c r="K2795">
        <v>0</v>
      </c>
    </row>
    <row r="2796" spans="9:11">
      <c r="I2796" t="s">
        <v>94</v>
      </c>
      <c r="J2796" t="s">
        <v>95</v>
      </c>
      <c r="K2796">
        <v>0</v>
      </c>
    </row>
    <row r="2797" spans="9:11">
      <c r="I2797" t="s">
        <v>91</v>
      </c>
      <c r="J2797" t="s">
        <v>92</v>
      </c>
      <c r="K2797">
        <v>0</v>
      </c>
    </row>
    <row r="2798" spans="9:11">
      <c r="I2798" t="s">
        <v>91</v>
      </c>
      <c r="J2798" t="s">
        <v>92</v>
      </c>
      <c r="K2798">
        <v>0</v>
      </c>
    </row>
    <row r="2799" spans="9:11">
      <c r="I2799" t="s">
        <v>91</v>
      </c>
      <c r="J2799" t="s">
        <v>92</v>
      </c>
      <c r="K2799">
        <v>0</v>
      </c>
    </row>
    <row r="2800" spans="9:11">
      <c r="I2800" t="s">
        <v>94</v>
      </c>
      <c r="J2800" t="s">
        <v>95</v>
      </c>
      <c r="K2800">
        <v>0</v>
      </c>
    </row>
    <row r="2801" spans="9:11">
      <c r="I2801" t="s">
        <v>94</v>
      </c>
      <c r="J2801" t="s">
        <v>95</v>
      </c>
      <c r="K2801">
        <v>0</v>
      </c>
    </row>
    <row r="2802" spans="9:11">
      <c r="I2802" t="s">
        <v>91</v>
      </c>
      <c r="J2802" t="s">
        <v>92</v>
      </c>
      <c r="K2802">
        <v>0</v>
      </c>
    </row>
    <row r="2803" spans="9:11">
      <c r="I2803" t="s">
        <v>91</v>
      </c>
      <c r="J2803" t="s">
        <v>92</v>
      </c>
      <c r="K2803">
        <v>0</v>
      </c>
    </row>
    <row r="2804" spans="9:11">
      <c r="I2804" t="s">
        <v>91</v>
      </c>
      <c r="J2804" t="s">
        <v>92</v>
      </c>
      <c r="K2804">
        <v>0</v>
      </c>
    </row>
    <row r="2805" spans="9:11">
      <c r="I2805" t="s">
        <v>91</v>
      </c>
      <c r="J2805" t="s">
        <v>92</v>
      </c>
      <c r="K2805">
        <v>0</v>
      </c>
    </row>
    <row r="2806" spans="9:11">
      <c r="I2806" t="s">
        <v>94</v>
      </c>
      <c r="J2806" t="s">
        <v>95</v>
      </c>
      <c r="K2806">
        <v>0</v>
      </c>
    </row>
    <row r="2807" spans="9:11">
      <c r="I2807" t="s">
        <v>91</v>
      </c>
      <c r="J2807" t="s">
        <v>92</v>
      </c>
      <c r="K2807">
        <v>0</v>
      </c>
    </row>
    <row r="2808" spans="9:11">
      <c r="I2808" t="s">
        <v>91</v>
      </c>
      <c r="J2808" t="s">
        <v>92</v>
      </c>
      <c r="K2808">
        <v>0</v>
      </c>
    </row>
    <row r="2809" spans="9:11">
      <c r="I2809" t="s">
        <v>94</v>
      </c>
      <c r="J2809" t="s">
        <v>95</v>
      </c>
      <c r="K2809">
        <v>0</v>
      </c>
    </row>
    <row r="2810" spans="9:11">
      <c r="I2810" t="s">
        <v>94</v>
      </c>
      <c r="J2810" t="s">
        <v>95</v>
      </c>
      <c r="K2810">
        <v>0</v>
      </c>
    </row>
    <row r="2811" spans="9:11">
      <c r="I2811" t="s">
        <v>91</v>
      </c>
      <c r="J2811" t="s">
        <v>92</v>
      </c>
      <c r="K2811">
        <v>0</v>
      </c>
    </row>
    <row r="2812" spans="9:11">
      <c r="I2812" t="s">
        <v>91</v>
      </c>
      <c r="J2812" t="s">
        <v>92</v>
      </c>
      <c r="K2812">
        <v>0</v>
      </c>
    </row>
    <row r="2813" spans="9:11">
      <c r="I2813" t="s">
        <v>91</v>
      </c>
      <c r="J2813" t="s">
        <v>92</v>
      </c>
      <c r="K2813">
        <v>0</v>
      </c>
    </row>
    <row r="2814" spans="9:11">
      <c r="I2814" t="s">
        <v>91</v>
      </c>
      <c r="J2814" t="s">
        <v>92</v>
      </c>
      <c r="K2814">
        <v>0</v>
      </c>
    </row>
    <row r="2815" spans="9:11">
      <c r="I2815" t="s">
        <v>91</v>
      </c>
      <c r="J2815" t="s">
        <v>92</v>
      </c>
      <c r="K2815">
        <v>0</v>
      </c>
    </row>
    <row r="2816" spans="9:11">
      <c r="I2816" t="s">
        <v>91</v>
      </c>
      <c r="J2816" t="s">
        <v>92</v>
      </c>
      <c r="K2816">
        <v>0</v>
      </c>
    </row>
    <row r="2817" spans="9:11">
      <c r="I2817" t="s">
        <v>91</v>
      </c>
      <c r="J2817" t="s">
        <v>92</v>
      </c>
      <c r="K2817">
        <v>0</v>
      </c>
    </row>
    <row r="2818" spans="9:11">
      <c r="I2818" t="s">
        <v>91</v>
      </c>
      <c r="J2818" t="s">
        <v>92</v>
      </c>
      <c r="K2818">
        <v>0</v>
      </c>
    </row>
    <row r="2819" spans="9:11">
      <c r="I2819" t="s">
        <v>94</v>
      </c>
      <c r="J2819" t="s">
        <v>95</v>
      </c>
      <c r="K2819">
        <v>0</v>
      </c>
    </row>
    <row r="2820" spans="9:11">
      <c r="I2820" t="s">
        <v>91</v>
      </c>
      <c r="J2820" t="s">
        <v>92</v>
      </c>
      <c r="K2820">
        <v>0</v>
      </c>
    </row>
    <row r="2821" spans="9:11">
      <c r="I2821" t="s">
        <v>94</v>
      </c>
      <c r="J2821" t="s">
        <v>95</v>
      </c>
      <c r="K2821">
        <v>0</v>
      </c>
    </row>
    <row r="2822" spans="9:11">
      <c r="I2822" t="s">
        <v>94</v>
      </c>
      <c r="J2822" t="s">
        <v>95</v>
      </c>
      <c r="K2822">
        <v>0</v>
      </c>
    </row>
    <row r="2823" spans="9:11">
      <c r="I2823" t="s">
        <v>91</v>
      </c>
      <c r="J2823" t="s">
        <v>92</v>
      </c>
      <c r="K2823">
        <v>0</v>
      </c>
    </row>
    <row r="2824" spans="9:11">
      <c r="I2824" t="s">
        <v>94</v>
      </c>
      <c r="J2824" t="s">
        <v>95</v>
      </c>
      <c r="K2824">
        <v>0</v>
      </c>
    </row>
    <row r="2825" spans="9:11">
      <c r="I2825" t="s">
        <v>91</v>
      </c>
      <c r="J2825" t="s">
        <v>92</v>
      </c>
      <c r="K2825">
        <v>0</v>
      </c>
    </row>
    <row r="2826" spans="9:11">
      <c r="I2826" t="s">
        <v>91</v>
      </c>
      <c r="J2826" t="s">
        <v>92</v>
      </c>
      <c r="K2826">
        <v>0</v>
      </c>
    </row>
    <row r="2827" spans="9:11">
      <c r="I2827" t="s">
        <v>94</v>
      </c>
      <c r="J2827" t="s">
        <v>95</v>
      </c>
      <c r="K2827">
        <v>0</v>
      </c>
    </row>
    <row r="2828" spans="9:11">
      <c r="I2828" t="s">
        <v>91</v>
      </c>
      <c r="J2828" t="s">
        <v>92</v>
      </c>
      <c r="K2828">
        <v>0</v>
      </c>
    </row>
    <row r="2829" spans="9:11">
      <c r="I2829" t="s">
        <v>91</v>
      </c>
      <c r="J2829" t="s">
        <v>92</v>
      </c>
      <c r="K2829">
        <v>0</v>
      </c>
    </row>
    <row r="2830" spans="9:11">
      <c r="I2830" t="s">
        <v>91</v>
      </c>
      <c r="J2830" t="s">
        <v>92</v>
      </c>
      <c r="K2830">
        <v>0</v>
      </c>
    </row>
    <row r="2831" spans="9:11">
      <c r="I2831" t="s">
        <v>94</v>
      </c>
      <c r="J2831" t="s">
        <v>95</v>
      </c>
      <c r="K2831">
        <v>0</v>
      </c>
    </row>
    <row r="2832" spans="9:11">
      <c r="I2832" t="s">
        <v>94</v>
      </c>
      <c r="J2832" t="s">
        <v>95</v>
      </c>
      <c r="K2832">
        <v>0</v>
      </c>
    </row>
    <row r="2833" spans="9:11">
      <c r="I2833" t="s">
        <v>94</v>
      </c>
      <c r="J2833" t="s">
        <v>95</v>
      </c>
      <c r="K2833">
        <v>0</v>
      </c>
    </row>
    <row r="2834" spans="9:11">
      <c r="I2834" t="s">
        <v>91</v>
      </c>
      <c r="J2834" t="s">
        <v>92</v>
      </c>
      <c r="K2834">
        <v>0</v>
      </c>
    </row>
    <row r="2835" spans="9:11">
      <c r="I2835" t="s">
        <v>94</v>
      </c>
      <c r="J2835" t="s">
        <v>95</v>
      </c>
      <c r="K2835">
        <v>0</v>
      </c>
    </row>
    <row r="2836" spans="9:11">
      <c r="I2836" t="s">
        <v>91</v>
      </c>
      <c r="J2836" t="s">
        <v>92</v>
      </c>
      <c r="K2836">
        <v>0</v>
      </c>
    </row>
    <row r="2837" spans="9:11">
      <c r="I2837" t="s">
        <v>94</v>
      </c>
      <c r="J2837" t="s">
        <v>95</v>
      </c>
      <c r="K2837">
        <v>0</v>
      </c>
    </row>
    <row r="2838" spans="9:11">
      <c r="I2838" t="s">
        <v>91</v>
      </c>
      <c r="J2838" t="s">
        <v>92</v>
      </c>
      <c r="K2838">
        <v>0</v>
      </c>
    </row>
    <row r="2839" spans="9:11">
      <c r="I2839" t="s">
        <v>94</v>
      </c>
      <c r="J2839" t="s">
        <v>95</v>
      </c>
      <c r="K2839">
        <v>0</v>
      </c>
    </row>
    <row r="2840" spans="9:11">
      <c r="I2840" t="s">
        <v>91</v>
      </c>
      <c r="J2840" t="s">
        <v>92</v>
      </c>
      <c r="K2840">
        <v>0</v>
      </c>
    </row>
    <row r="2841" spans="9:11">
      <c r="I2841" t="s">
        <v>91</v>
      </c>
      <c r="J2841" t="s">
        <v>92</v>
      </c>
      <c r="K2841">
        <v>0</v>
      </c>
    </row>
    <row r="2842" spans="9:11">
      <c r="I2842" t="s">
        <v>94</v>
      </c>
      <c r="J2842" t="s">
        <v>95</v>
      </c>
      <c r="K2842">
        <v>0</v>
      </c>
    </row>
    <row r="2843" spans="9:11">
      <c r="I2843" t="s">
        <v>91</v>
      </c>
      <c r="J2843" t="s">
        <v>92</v>
      </c>
      <c r="K2843">
        <v>0</v>
      </c>
    </row>
    <row r="2844" spans="9:11">
      <c r="I2844" t="s">
        <v>91</v>
      </c>
      <c r="J2844" t="s">
        <v>92</v>
      </c>
      <c r="K2844">
        <v>0</v>
      </c>
    </row>
    <row r="2845" spans="9:11">
      <c r="I2845" t="s">
        <v>94</v>
      </c>
      <c r="J2845" t="s">
        <v>95</v>
      </c>
      <c r="K2845">
        <v>0</v>
      </c>
    </row>
    <row r="2846" spans="9:11">
      <c r="I2846" t="s">
        <v>94</v>
      </c>
      <c r="J2846" t="s">
        <v>95</v>
      </c>
      <c r="K2846">
        <v>0</v>
      </c>
    </row>
    <row r="2847" spans="9:11">
      <c r="I2847" t="s">
        <v>94</v>
      </c>
      <c r="J2847" t="s">
        <v>95</v>
      </c>
      <c r="K2847">
        <v>0</v>
      </c>
    </row>
    <row r="2848" spans="9:11">
      <c r="I2848" t="s">
        <v>91</v>
      </c>
      <c r="J2848" t="s">
        <v>92</v>
      </c>
      <c r="K2848">
        <v>0</v>
      </c>
    </row>
    <row r="2849" spans="9:11">
      <c r="I2849" t="s">
        <v>91</v>
      </c>
      <c r="J2849" t="s">
        <v>92</v>
      </c>
      <c r="K2849">
        <v>0</v>
      </c>
    </row>
    <row r="2850" spans="9:11">
      <c r="I2850" t="s">
        <v>91</v>
      </c>
      <c r="J2850" t="s">
        <v>92</v>
      </c>
      <c r="K2850">
        <v>0</v>
      </c>
    </row>
    <row r="2851" spans="9:11">
      <c r="I2851" t="s">
        <v>91</v>
      </c>
      <c r="J2851" t="s">
        <v>92</v>
      </c>
      <c r="K2851">
        <v>0</v>
      </c>
    </row>
    <row r="2852" spans="9:11">
      <c r="I2852" t="s">
        <v>94</v>
      </c>
      <c r="J2852" t="s">
        <v>95</v>
      </c>
      <c r="K2852">
        <v>0</v>
      </c>
    </row>
    <row r="2853" spans="9:11">
      <c r="I2853" t="s">
        <v>94</v>
      </c>
      <c r="J2853" t="s">
        <v>95</v>
      </c>
      <c r="K2853">
        <v>1</v>
      </c>
    </row>
    <row r="2854" spans="9:11">
      <c r="I2854" t="s">
        <v>91</v>
      </c>
      <c r="J2854" t="s">
        <v>92</v>
      </c>
      <c r="K2854">
        <v>0</v>
      </c>
    </row>
    <row r="2855" spans="9:11">
      <c r="I2855" t="s">
        <v>94</v>
      </c>
      <c r="J2855" t="s">
        <v>95</v>
      </c>
      <c r="K2855">
        <v>0</v>
      </c>
    </row>
    <row r="2856" spans="9:11">
      <c r="I2856" t="s">
        <v>94</v>
      </c>
      <c r="J2856" t="s">
        <v>95</v>
      </c>
      <c r="K2856">
        <v>0</v>
      </c>
    </row>
    <row r="2857" spans="9:11">
      <c r="I2857" t="s">
        <v>91</v>
      </c>
      <c r="J2857" t="s">
        <v>92</v>
      </c>
      <c r="K2857">
        <v>0</v>
      </c>
    </row>
    <row r="2858" spans="9:11">
      <c r="I2858" t="s">
        <v>91</v>
      </c>
      <c r="J2858" t="s">
        <v>92</v>
      </c>
      <c r="K2858">
        <v>0</v>
      </c>
    </row>
    <row r="2859" spans="9:11">
      <c r="I2859" t="s">
        <v>94</v>
      </c>
      <c r="J2859" t="s">
        <v>95</v>
      </c>
      <c r="K2859">
        <v>0</v>
      </c>
    </row>
    <row r="2860" spans="9:11">
      <c r="I2860" t="s">
        <v>94</v>
      </c>
      <c r="J2860" t="s">
        <v>95</v>
      </c>
      <c r="K2860">
        <v>0</v>
      </c>
    </row>
    <row r="2861" spans="9:11">
      <c r="I2861" t="s">
        <v>91</v>
      </c>
      <c r="J2861" t="s">
        <v>92</v>
      </c>
      <c r="K2861">
        <v>0</v>
      </c>
    </row>
    <row r="2862" spans="9:11">
      <c r="I2862" t="s">
        <v>94</v>
      </c>
      <c r="J2862" t="s">
        <v>95</v>
      </c>
      <c r="K2862">
        <v>0</v>
      </c>
    </row>
    <row r="2863" spans="9:11">
      <c r="I2863" t="s">
        <v>91</v>
      </c>
      <c r="J2863" t="s">
        <v>92</v>
      </c>
      <c r="K2863">
        <v>0</v>
      </c>
    </row>
    <row r="2864" spans="9:11">
      <c r="I2864" t="s">
        <v>94</v>
      </c>
      <c r="J2864" t="s">
        <v>95</v>
      </c>
      <c r="K2864">
        <v>0</v>
      </c>
    </row>
    <row r="2865" spans="9:11">
      <c r="I2865" t="s">
        <v>94</v>
      </c>
      <c r="J2865" t="s">
        <v>95</v>
      </c>
      <c r="K2865">
        <v>0</v>
      </c>
    </row>
    <row r="2866" spans="9:11">
      <c r="I2866" t="s">
        <v>94</v>
      </c>
      <c r="J2866" t="s">
        <v>95</v>
      </c>
      <c r="K2866">
        <v>0</v>
      </c>
    </row>
    <row r="2867" spans="9:11">
      <c r="I2867" t="s">
        <v>94</v>
      </c>
      <c r="J2867" t="s">
        <v>95</v>
      </c>
      <c r="K2867">
        <v>1</v>
      </c>
    </row>
    <row r="2868" spans="9:11">
      <c r="I2868" t="s">
        <v>94</v>
      </c>
      <c r="J2868" t="s">
        <v>95</v>
      </c>
      <c r="K2868">
        <v>0</v>
      </c>
    </row>
    <row r="2869" spans="9:11">
      <c r="I2869" t="s">
        <v>94</v>
      </c>
      <c r="J2869" t="s">
        <v>95</v>
      </c>
      <c r="K2869">
        <v>0</v>
      </c>
    </row>
    <row r="2870" spans="9:11">
      <c r="I2870" t="s">
        <v>94</v>
      </c>
      <c r="J2870" t="s">
        <v>95</v>
      </c>
      <c r="K2870">
        <v>0</v>
      </c>
    </row>
    <row r="2871" spans="9:11">
      <c r="I2871" t="s">
        <v>94</v>
      </c>
      <c r="J2871" t="s">
        <v>95</v>
      </c>
      <c r="K2871">
        <v>0</v>
      </c>
    </row>
    <row r="2872" spans="9:11">
      <c r="I2872" t="s">
        <v>94</v>
      </c>
      <c r="J2872" t="s">
        <v>95</v>
      </c>
      <c r="K2872">
        <v>0</v>
      </c>
    </row>
    <row r="2873" spans="9:11">
      <c r="I2873" t="s">
        <v>94</v>
      </c>
      <c r="J2873" t="s">
        <v>95</v>
      </c>
      <c r="K2873">
        <v>0</v>
      </c>
    </row>
    <row r="2874" spans="9:11">
      <c r="I2874" t="s">
        <v>91</v>
      </c>
      <c r="J2874" t="s">
        <v>92</v>
      </c>
      <c r="K2874">
        <v>0</v>
      </c>
    </row>
    <row r="2875" spans="9:11">
      <c r="I2875" t="s">
        <v>91</v>
      </c>
      <c r="J2875" t="s">
        <v>92</v>
      </c>
      <c r="K2875">
        <v>0</v>
      </c>
    </row>
    <row r="2876" spans="9:11">
      <c r="I2876" t="s">
        <v>94</v>
      </c>
      <c r="J2876" t="s">
        <v>95</v>
      </c>
      <c r="K2876">
        <v>0</v>
      </c>
    </row>
    <row r="2877" spans="9:11">
      <c r="I2877" t="s">
        <v>94</v>
      </c>
      <c r="J2877" t="s">
        <v>95</v>
      </c>
      <c r="K2877">
        <v>1</v>
      </c>
    </row>
    <row r="2878" spans="9:11">
      <c r="I2878" t="s">
        <v>94</v>
      </c>
      <c r="J2878" t="s">
        <v>95</v>
      </c>
      <c r="K2878">
        <v>0</v>
      </c>
    </row>
    <row r="2879" spans="9:11">
      <c r="I2879" t="s">
        <v>94</v>
      </c>
      <c r="J2879" t="s">
        <v>95</v>
      </c>
      <c r="K2879">
        <v>0</v>
      </c>
    </row>
    <row r="2880" spans="9:11">
      <c r="I2880" t="s">
        <v>94</v>
      </c>
      <c r="J2880" t="s">
        <v>95</v>
      </c>
      <c r="K2880">
        <v>0</v>
      </c>
    </row>
    <row r="2881" spans="9:11">
      <c r="I2881" t="s">
        <v>91</v>
      </c>
      <c r="J2881" t="s">
        <v>92</v>
      </c>
      <c r="K2881">
        <v>0</v>
      </c>
    </row>
    <row r="2882" spans="9:11">
      <c r="I2882" t="s">
        <v>91</v>
      </c>
      <c r="J2882" t="s">
        <v>92</v>
      </c>
      <c r="K2882">
        <v>0</v>
      </c>
    </row>
    <row r="2883" spans="9:11">
      <c r="I2883" t="s">
        <v>94</v>
      </c>
      <c r="J2883" t="s">
        <v>95</v>
      </c>
      <c r="K2883">
        <v>0</v>
      </c>
    </row>
    <row r="2884" spans="9:11">
      <c r="I2884" t="s">
        <v>94</v>
      </c>
      <c r="J2884" t="s">
        <v>95</v>
      </c>
      <c r="K2884">
        <v>0</v>
      </c>
    </row>
    <row r="2885" spans="9:11">
      <c r="I2885" t="s">
        <v>94</v>
      </c>
      <c r="J2885" t="s">
        <v>95</v>
      </c>
      <c r="K2885">
        <v>1</v>
      </c>
    </row>
    <row r="2886" spans="9:11">
      <c r="I2886" t="s">
        <v>94</v>
      </c>
      <c r="J2886" t="s">
        <v>95</v>
      </c>
      <c r="K2886">
        <v>0</v>
      </c>
    </row>
    <row r="2887" spans="9:11">
      <c r="I2887" t="s">
        <v>94</v>
      </c>
      <c r="J2887" t="s">
        <v>95</v>
      </c>
      <c r="K2887">
        <v>0</v>
      </c>
    </row>
    <row r="2888" spans="9:11">
      <c r="I2888" t="s">
        <v>94</v>
      </c>
      <c r="J2888" t="s">
        <v>95</v>
      </c>
      <c r="K2888">
        <v>0</v>
      </c>
    </row>
    <row r="2889" spans="9:11">
      <c r="I2889" t="s">
        <v>91</v>
      </c>
      <c r="J2889" t="s">
        <v>92</v>
      </c>
      <c r="K2889">
        <v>0</v>
      </c>
    </row>
    <row r="2890" spans="9:11">
      <c r="I2890" t="s">
        <v>94</v>
      </c>
      <c r="J2890" t="s">
        <v>95</v>
      </c>
      <c r="K2890">
        <v>0</v>
      </c>
    </row>
    <row r="2891" spans="9:11">
      <c r="I2891" t="s">
        <v>91</v>
      </c>
      <c r="J2891" t="s">
        <v>92</v>
      </c>
      <c r="K2891">
        <v>0</v>
      </c>
    </row>
    <row r="2892" spans="9:11">
      <c r="I2892" t="s">
        <v>94</v>
      </c>
      <c r="J2892" t="s">
        <v>95</v>
      </c>
      <c r="K2892">
        <v>0</v>
      </c>
    </row>
    <row r="2893" spans="9:11">
      <c r="I2893" t="s">
        <v>91</v>
      </c>
      <c r="J2893" t="s">
        <v>92</v>
      </c>
      <c r="K2893">
        <v>0</v>
      </c>
    </row>
    <row r="2894" spans="9:11">
      <c r="I2894" t="s">
        <v>91</v>
      </c>
      <c r="J2894" t="s">
        <v>92</v>
      </c>
      <c r="K2894">
        <v>0</v>
      </c>
    </row>
    <row r="2895" spans="9:11">
      <c r="I2895" t="s">
        <v>91</v>
      </c>
      <c r="J2895" t="s">
        <v>92</v>
      </c>
      <c r="K2895">
        <v>0</v>
      </c>
    </row>
    <row r="2896" spans="9:11">
      <c r="I2896" t="s">
        <v>91</v>
      </c>
      <c r="J2896" t="s">
        <v>92</v>
      </c>
      <c r="K2896">
        <v>0</v>
      </c>
    </row>
    <row r="2897" spans="9:11">
      <c r="I2897" t="s">
        <v>94</v>
      </c>
      <c r="J2897" t="s">
        <v>95</v>
      </c>
      <c r="K2897">
        <v>0</v>
      </c>
    </row>
    <row r="2898" spans="9:11">
      <c r="I2898" t="s">
        <v>91</v>
      </c>
      <c r="J2898" t="s">
        <v>92</v>
      </c>
      <c r="K2898">
        <v>0</v>
      </c>
    </row>
    <row r="2899" spans="9:11">
      <c r="I2899" t="s">
        <v>94</v>
      </c>
      <c r="J2899" t="s">
        <v>95</v>
      </c>
      <c r="K2899">
        <v>0</v>
      </c>
    </row>
    <row r="2900" spans="9:11">
      <c r="I2900" t="s">
        <v>91</v>
      </c>
      <c r="J2900" t="s">
        <v>92</v>
      </c>
      <c r="K2900">
        <v>0</v>
      </c>
    </row>
    <row r="2901" spans="9:11">
      <c r="I2901" t="s">
        <v>91</v>
      </c>
      <c r="J2901" t="s">
        <v>92</v>
      </c>
      <c r="K2901">
        <v>0</v>
      </c>
    </row>
    <row r="2902" spans="9:11">
      <c r="I2902" t="s">
        <v>91</v>
      </c>
      <c r="J2902" t="s">
        <v>92</v>
      </c>
      <c r="K2902">
        <v>0</v>
      </c>
    </row>
    <row r="2903" spans="9:11">
      <c r="I2903" t="s">
        <v>94</v>
      </c>
      <c r="J2903" t="s">
        <v>95</v>
      </c>
      <c r="K2903">
        <v>0</v>
      </c>
    </row>
    <row r="2904" spans="9:11">
      <c r="I2904" t="s">
        <v>94</v>
      </c>
      <c r="J2904" t="s">
        <v>95</v>
      </c>
      <c r="K2904">
        <v>0</v>
      </c>
    </row>
    <row r="2905" spans="9:11">
      <c r="I2905" t="s">
        <v>94</v>
      </c>
      <c r="J2905" t="s">
        <v>95</v>
      </c>
      <c r="K2905">
        <v>0</v>
      </c>
    </row>
    <row r="2906" spans="9:11">
      <c r="I2906" t="s">
        <v>91</v>
      </c>
      <c r="J2906" t="s">
        <v>92</v>
      </c>
      <c r="K2906">
        <v>0</v>
      </c>
    </row>
    <row r="2907" spans="9:11">
      <c r="I2907" t="s">
        <v>94</v>
      </c>
      <c r="J2907" t="s">
        <v>95</v>
      </c>
      <c r="K2907">
        <v>0</v>
      </c>
    </row>
    <row r="2908" spans="9:11">
      <c r="I2908" t="s">
        <v>91</v>
      </c>
      <c r="J2908" t="s">
        <v>92</v>
      </c>
      <c r="K2908">
        <v>0</v>
      </c>
    </row>
    <row r="2909" spans="9:11">
      <c r="I2909" t="s">
        <v>91</v>
      </c>
      <c r="J2909" t="s">
        <v>92</v>
      </c>
      <c r="K2909">
        <v>0</v>
      </c>
    </row>
    <row r="2910" spans="9:11">
      <c r="I2910" t="s">
        <v>94</v>
      </c>
      <c r="J2910" t="s">
        <v>95</v>
      </c>
      <c r="K2910">
        <v>0</v>
      </c>
    </row>
    <row r="2911" spans="9:11">
      <c r="I2911" t="s">
        <v>91</v>
      </c>
      <c r="J2911" t="s">
        <v>92</v>
      </c>
      <c r="K2911">
        <v>0</v>
      </c>
    </row>
    <row r="2912" spans="9:11">
      <c r="I2912" t="s">
        <v>94</v>
      </c>
      <c r="J2912" t="s">
        <v>95</v>
      </c>
      <c r="K2912">
        <v>0</v>
      </c>
    </row>
    <row r="2913" spans="9:11">
      <c r="I2913" t="s">
        <v>91</v>
      </c>
      <c r="J2913" t="s">
        <v>92</v>
      </c>
      <c r="K2913">
        <v>0</v>
      </c>
    </row>
    <row r="2914" spans="9:11">
      <c r="I2914" t="s">
        <v>94</v>
      </c>
      <c r="J2914" t="s">
        <v>95</v>
      </c>
      <c r="K2914">
        <v>0</v>
      </c>
    </row>
    <row r="2915" spans="9:11">
      <c r="I2915" t="s">
        <v>94</v>
      </c>
      <c r="J2915" t="s">
        <v>95</v>
      </c>
      <c r="K2915">
        <v>0</v>
      </c>
    </row>
    <row r="2916" spans="9:11">
      <c r="I2916" t="s">
        <v>94</v>
      </c>
      <c r="J2916" t="s">
        <v>95</v>
      </c>
      <c r="K2916">
        <v>0</v>
      </c>
    </row>
    <row r="2917" spans="9:11">
      <c r="I2917" t="s">
        <v>91</v>
      </c>
      <c r="J2917" t="s">
        <v>92</v>
      </c>
      <c r="K2917">
        <v>0</v>
      </c>
    </row>
    <row r="2918" spans="9:11">
      <c r="I2918" t="s">
        <v>94</v>
      </c>
      <c r="J2918" t="s">
        <v>95</v>
      </c>
      <c r="K2918">
        <v>0</v>
      </c>
    </row>
    <row r="2919" spans="9:11">
      <c r="I2919" t="s">
        <v>91</v>
      </c>
      <c r="J2919" t="s">
        <v>92</v>
      </c>
      <c r="K2919">
        <v>0</v>
      </c>
    </row>
    <row r="2920" spans="9:11">
      <c r="I2920" t="s">
        <v>94</v>
      </c>
      <c r="J2920" t="s">
        <v>95</v>
      </c>
      <c r="K2920">
        <v>0</v>
      </c>
    </row>
    <row r="2921" spans="9:11">
      <c r="I2921" t="s">
        <v>94</v>
      </c>
      <c r="J2921" t="s">
        <v>95</v>
      </c>
      <c r="K2921">
        <v>0</v>
      </c>
    </row>
    <row r="2922" spans="9:11">
      <c r="I2922" t="s">
        <v>94</v>
      </c>
      <c r="J2922" t="s">
        <v>95</v>
      </c>
      <c r="K2922">
        <v>0</v>
      </c>
    </row>
    <row r="2923" spans="9:11">
      <c r="I2923" t="s">
        <v>91</v>
      </c>
      <c r="J2923" t="s">
        <v>92</v>
      </c>
      <c r="K2923">
        <v>0</v>
      </c>
    </row>
    <row r="2924" spans="9:11">
      <c r="I2924" t="s">
        <v>91</v>
      </c>
      <c r="J2924" t="s">
        <v>92</v>
      </c>
      <c r="K2924">
        <v>0</v>
      </c>
    </row>
    <row r="2925" spans="9:11">
      <c r="I2925" t="s">
        <v>91</v>
      </c>
      <c r="J2925" t="s">
        <v>92</v>
      </c>
      <c r="K2925">
        <v>0</v>
      </c>
    </row>
    <row r="2926" spans="9:11">
      <c r="I2926" t="s">
        <v>94</v>
      </c>
      <c r="J2926" t="s">
        <v>95</v>
      </c>
      <c r="K2926">
        <v>0</v>
      </c>
    </row>
    <row r="2927" spans="9:11">
      <c r="I2927" t="s">
        <v>91</v>
      </c>
      <c r="J2927" t="s">
        <v>92</v>
      </c>
      <c r="K2927">
        <v>0</v>
      </c>
    </row>
    <row r="2928" spans="9:11">
      <c r="I2928" t="s">
        <v>91</v>
      </c>
      <c r="J2928" t="s">
        <v>92</v>
      </c>
      <c r="K2928">
        <v>0</v>
      </c>
    </row>
    <row r="2929" spans="9:11">
      <c r="I2929" t="s">
        <v>94</v>
      </c>
      <c r="J2929" t="s">
        <v>95</v>
      </c>
      <c r="K2929">
        <v>0</v>
      </c>
    </row>
    <row r="2930" spans="9:11">
      <c r="I2930" t="s">
        <v>94</v>
      </c>
      <c r="J2930" t="s">
        <v>95</v>
      </c>
      <c r="K2930">
        <v>0</v>
      </c>
    </row>
    <row r="2931" spans="9:11">
      <c r="I2931" t="s">
        <v>91</v>
      </c>
      <c r="J2931" t="s">
        <v>92</v>
      </c>
      <c r="K2931">
        <v>0</v>
      </c>
    </row>
    <row r="2932" spans="9:11">
      <c r="I2932" t="s">
        <v>91</v>
      </c>
      <c r="J2932" t="s">
        <v>92</v>
      </c>
      <c r="K2932">
        <v>0</v>
      </c>
    </row>
    <row r="2933" spans="9:11">
      <c r="I2933" t="s">
        <v>91</v>
      </c>
      <c r="J2933" t="s">
        <v>92</v>
      </c>
      <c r="K2933">
        <v>0</v>
      </c>
    </row>
    <row r="2934" spans="9:11">
      <c r="I2934" t="s">
        <v>91</v>
      </c>
      <c r="J2934" t="s">
        <v>92</v>
      </c>
      <c r="K2934">
        <v>0</v>
      </c>
    </row>
    <row r="2935" spans="9:11">
      <c r="I2935" t="s">
        <v>94</v>
      </c>
      <c r="J2935" t="s">
        <v>95</v>
      </c>
      <c r="K2935">
        <v>0</v>
      </c>
    </row>
    <row r="2936" spans="9:11">
      <c r="I2936" t="s">
        <v>94</v>
      </c>
      <c r="J2936" t="s">
        <v>95</v>
      </c>
      <c r="K2936">
        <v>0</v>
      </c>
    </row>
    <row r="2937" spans="9:11">
      <c r="I2937" t="s">
        <v>94</v>
      </c>
      <c r="J2937" t="s">
        <v>95</v>
      </c>
      <c r="K2937">
        <v>0</v>
      </c>
    </row>
    <row r="2938" spans="9:11">
      <c r="I2938" t="s">
        <v>94</v>
      </c>
      <c r="J2938" t="s">
        <v>95</v>
      </c>
      <c r="K2938">
        <v>0</v>
      </c>
    </row>
    <row r="2939" spans="9:11">
      <c r="I2939" t="s">
        <v>91</v>
      </c>
      <c r="J2939" t="s">
        <v>92</v>
      </c>
      <c r="K2939">
        <v>0</v>
      </c>
    </row>
    <row r="2940" spans="9:11">
      <c r="I2940" t="s">
        <v>91</v>
      </c>
      <c r="J2940" t="s">
        <v>92</v>
      </c>
      <c r="K2940">
        <v>0</v>
      </c>
    </row>
    <row r="2941" spans="9:11">
      <c r="I2941" t="s">
        <v>91</v>
      </c>
      <c r="J2941" t="s">
        <v>92</v>
      </c>
      <c r="K2941">
        <v>0</v>
      </c>
    </row>
    <row r="2942" spans="9:11">
      <c r="I2942" t="s">
        <v>91</v>
      </c>
      <c r="J2942" t="s">
        <v>92</v>
      </c>
      <c r="K2942">
        <v>0</v>
      </c>
    </row>
    <row r="2943" spans="9:11">
      <c r="I2943" t="s">
        <v>91</v>
      </c>
      <c r="J2943" t="s">
        <v>92</v>
      </c>
      <c r="K2943">
        <v>0</v>
      </c>
    </row>
    <row r="2944" spans="9:11">
      <c r="I2944" t="s">
        <v>91</v>
      </c>
      <c r="J2944" t="s">
        <v>92</v>
      </c>
      <c r="K2944">
        <v>0</v>
      </c>
    </row>
    <row r="2945" spans="9:11">
      <c r="I2945" t="s">
        <v>94</v>
      </c>
      <c r="J2945" t="s">
        <v>95</v>
      </c>
      <c r="K2945">
        <v>0</v>
      </c>
    </row>
    <row r="2946" spans="9:11">
      <c r="I2946" t="s">
        <v>94</v>
      </c>
      <c r="J2946" t="s">
        <v>95</v>
      </c>
      <c r="K2946">
        <v>0</v>
      </c>
    </row>
    <row r="2947" spans="9:11">
      <c r="I2947" t="s">
        <v>94</v>
      </c>
      <c r="J2947" t="s">
        <v>95</v>
      </c>
      <c r="K2947">
        <v>0</v>
      </c>
    </row>
    <row r="2948" spans="9:11">
      <c r="I2948" t="s">
        <v>94</v>
      </c>
      <c r="J2948" t="s">
        <v>95</v>
      </c>
      <c r="K2948">
        <v>0</v>
      </c>
    </row>
    <row r="2949" spans="9:11">
      <c r="I2949" t="s">
        <v>91</v>
      </c>
      <c r="J2949" t="s">
        <v>92</v>
      </c>
      <c r="K2949">
        <v>0</v>
      </c>
    </row>
    <row r="2950" spans="9:11">
      <c r="I2950" t="s">
        <v>91</v>
      </c>
      <c r="J2950" t="s">
        <v>92</v>
      </c>
      <c r="K2950">
        <v>0</v>
      </c>
    </row>
    <row r="2951" spans="9:11">
      <c r="I2951" t="s">
        <v>94</v>
      </c>
      <c r="J2951" t="s">
        <v>95</v>
      </c>
      <c r="K2951">
        <v>0</v>
      </c>
    </row>
    <row r="2952" spans="9:11">
      <c r="I2952" t="s">
        <v>94</v>
      </c>
      <c r="J2952" t="s">
        <v>95</v>
      </c>
      <c r="K2952">
        <v>0</v>
      </c>
    </row>
    <row r="2953" spans="9:11">
      <c r="I2953" t="s">
        <v>91</v>
      </c>
      <c r="J2953" t="s">
        <v>92</v>
      </c>
      <c r="K2953">
        <v>0</v>
      </c>
    </row>
    <row r="2954" spans="9:11">
      <c r="I2954" t="s">
        <v>94</v>
      </c>
      <c r="J2954" t="s">
        <v>95</v>
      </c>
      <c r="K2954">
        <v>0</v>
      </c>
    </row>
    <row r="2955" spans="9:11">
      <c r="I2955" t="s">
        <v>91</v>
      </c>
      <c r="J2955" t="s">
        <v>92</v>
      </c>
      <c r="K2955">
        <v>0</v>
      </c>
    </row>
    <row r="2956" spans="9:11">
      <c r="I2956" t="s">
        <v>91</v>
      </c>
      <c r="J2956" t="s">
        <v>92</v>
      </c>
      <c r="K2956">
        <v>0</v>
      </c>
    </row>
    <row r="2957" spans="9:11">
      <c r="I2957" t="s">
        <v>91</v>
      </c>
      <c r="J2957" t="s">
        <v>92</v>
      </c>
      <c r="K2957">
        <v>1</v>
      </c>
    </row>
    <row r="2958" spans="9:11">
      <c r="I2958" t="s">
        <v>94</v>
      </c>
      <c r="J2958" t="s">
        <v>95</v>
      </c>
      <c r="K2958">
        <v>0</v>
      </c>
    </row>
    <row r="2959" spans="9:11">
      <c r="I2959" t="s">
        <v>91</v>
      </c>
      <c r="J2959" t="s">
        <v>92</v>
      </c>
      <c r="K2959">
        <v>0</v>
      </c>
    </row>
    <row r="2960" spans="9:11">
      <c r="I2960" t="s">
        <v>91</v>
      </c>
      <c r="J2960" t="s">
        <v>92</v>
      </c>
      <c r="K2960">
        <v>0</v>
      </c>
    </row>
    <row r="2961" spans="9:11">
      <c r="I2961" t="s">
        <v>94</v>
      </c>
      <c r="J2961" t="s">
        <v>95</v>
      </c>
      <c r="K2961">
        <v>0</v>
      </c>
    </row>
    <row r="2962" spans="9:11">
      <c r="I2962" t="s">
        <v>91</v>
      </c>
      <c r="J2962" t="s">
        <v>92</v>
      </c>
      <c r="K2962">
        <v>0</v>
      </c>
    </row>
    <row r="2963" spans="9:11">
      <c r="I2963" t="s">
        <v>91</v>
      </c>
      <c r="J2963" t="s">
        <v>92</v>
      </c>
      <c r="K2963">
        <v>0</v>
      </c>
    </row>
    <row r="2964" spans="9:11">
      <c r="I2964" t="s">
        <v>94</v>
      </c>
      <c r="J2964" t="s">
        <v>95</v>
      </c>
      <c r="K2964">
        <v>0</v>
      </c>
    </row>
    <row r="2965" spans="9:11">
      <c r="I2965" t="s">
        <v>94</v>
      </c>
      <c r="J2965" t="s">
        <v>95</v>
      </c>
      <c r="K2965">
        <v>0</v>
      </c>
    </row>
    <row r="2966" spans="9:11">
      <c r="I2966" t="s">
        <v>94</v>
      </c>
      <c r="J2966" t="s">
        <v>95</v>
      </c>
      <c r="K2966">
        <v>0</v>
      </c>
    </row>
    <row r="2967" spans="9:11">
      <c r="I2967" t="s">
        <v>94</v>
      </c>
      <c r="J2967" t="s">
        <v>95</v>
      </c>
      <c r="K2967">
        <v>0</v>
      </c>
    </row>
    <row r="2968" spans="9:11">
      <c r="I2968" t="s">
        <v>94</v>
      </c>
      <c r="J2968" t="s">
        <v>95</v>
      </c>
      <c r="K2968">
        <v>0</v>
      </c>
    </row>
    <row r="2969" spans="9:11">
      <c r="I2969" t="s">
        <v>91</v>
      </c>
      <c r="J2969" t="s">
        <v>92</v>
      </c>
      <c r="K2969">
        <v>0</v>
      </c>
    </row>
    <row r="2970" spans="9:11">
      <c r="I2970" t="s">
        <v>94</v>
      </c>
      <c r="J2970" t="s">
        <v>95</v>
      </c>
      <c r="K2970">
        <v>1</v>
      </c>
    </row>
    <row r="2971" spans="9:11">
      <c r="I2971" t="s">
        <v>91</v>
      </c>
      <c r="J2971" t="s">
        <v>92</v>
      </c>
      <c r="K2971">
        <v>0</v>
      </c>
    </row>
    <row r="2972" spans="9:11">
      <c r="I2972" t="s">
        <v>94</v>
      </c>
      <c r="J2972" t="s">
        <v>95</v>
      </c>
      <c r="K2972">
        <v>0</v>
      </c>
    </row>
    <row r="2973" spans="9:11">
      <c r="I2973" t="s">
        <v>91</v>
      </c>
      <c r="J2973" t="s">
        <v>92</v>
      </c>
      <c r="K2973">
        <v>0</v>
      </c>
    </row>
    <row r="2974" spans="9:11">
      <c r="I2974" t="s">
        <v>94</v>
      </c>
      <c r="J2974" t="s">
        <v>95</v>
      </c>
      <c r="K2974">
        <v>0</v>
      </c>
    </row>
    <row r="2975" spans="9:11">
      <c r="I2975" t="s">
        <v>91</v>
      </c>
      <c r="J2975" t="s">
        <v>92</v>
      </c>
      <c r="K2975">
        <v>0</v>
      </c>
    </row>
    <row r="2976" spans="9:11">
      <c r="I2976" t="s">
        <v>91</v>
      </c>
      <c r="J2976" t="s">
        <v>92</v>
      </c>
      <c r="K2976">
        <v>0</v>
      </c>
    </row>
    <row r="2977" spans="9:11">
      <c r="I2977" t="s">
        <v>94</v>
      </c>
      <c r="J2977" t="s">
        <v>95</v>
      </c>
      <c r="K2977">
        <v>0</v>
      </c>
    </row>
    <row r="2978" spans="9:11">
      <c r="I2978" t="s">
        <v>91</v>
      </c>
      <c r="J2978" t="s">
        <v>92</v>
      </c>
      <c r="K2978">
        <v>0</v>
      </c>
    </row>
    <row r="2979" spans="9:11">
      <c r="I2979" t="s">
        <v>94</v>
      </c>
      <c r="J2979" t="s">
        <v>95</v>
      </c>
      <c r="K2979">
        <v>0</v>
      </c>
    </row>
    <row r="2980" spans="9:11">
      <c r="I2980" t="s">
        <v>94</v>
      </c>
      <c r="J2980" t="s">
        <v>95</v>
      </c>
      <c r="K2980">
        <v>0</v>
      </c>
    </row>
    <row r="2981" spans="9:11">
      <c r="I2981" t="s">
        <v>91</v>
      </c>
      <c r="J2981" t="s">
        <v>92</v>
      </c>
      <c r="K2981">
        <v>0</v>
      </c>
    </row>
    <row r="2982" spans="9:11">
      <c r="I2982" t="s">
        <v>91</v>
      </c>
      <c r="J2982" t="s">
        <v>92</v>
      </c>
      <c r="K2982">
        <v>0</v>
      </c>
    </row>
    <row r="2983" spans="9:11">
      <c r="I2983" t="s">
        <v>91</v>
      </c>
      <c r="J2983" t="s">
        <v>92</v>
      </c>
      <c r="K2983">
        <v>0</v>
      </c>
    </row>
    <row r="2984" spans="9:11">
      <c r="I2984" t="s">
        <v>94</v>
      </c>
      <c r="J2984" t="s">
        <v>95</v>
      </c>
      <c r="K2984">
        <v>0</v>
      </c>
    </row>
    <row r="2985" spans="9:11">
      <c r="I2985" t="s">
        <v>91</v>
      </c>
      <c r="J2985" t="s">
        <v>92</v>
      </c>
      <c r="K2985">
        <v>0</v>
      </c>
    </row>
    <row r="2986" spans="9:11">
      <c r="I2986" t="s">
        <v>94</v>
      </c>
      <c r="J2986" t="s">
        <v>95</v>
      </c>
      <c r="K2986">
        <v>0</v>
      </c>
    </row>
    <row r="2987" spans="9:11">
      <c r="I2987" t="s">
        <v>94</v>
      </c>
      <c r="J2987" t="s">
        <v>95</v>
      </c>
      <c r="K2987">
        <v>0</v>
      </c>
    </row>
    <row r="2988" spans="9:11">
      <c r="I2988" t="s">
        <v>91</v>
      </c>
      <c r="J2988" t="s">
        <v>92</v>
      </c>
      <c r="K2988">
        <v>0</v>
      </c>
    </row>
    <row r="2989" spans="9:11">
      <c r="I2989" t="s">
        <v>91</v>
      </c>
      <c r="J2989" t="s">
        <v>92</v>
      </c>
      <c r="K2989">
        <v>0</v>
      </c>
    </row>
    <row r="2990" spans="9:11">
      <c r="I2990" t="s">
        <v>91</v>
      </c>
      <c r="J2990" t="s">
        <v>92</v>
      </c>
      <c r="K2990">
        <v>0</v>
      </c>
    </row>
    <row r="2991" spans="9:11">
      <c r="I2991" t="s">
        <v>91</v>
      </c>
      <c r="J2991" t="s">
        <v>92</v>
      </c>
      <c r="K2991">
        <v>0</v>
      </c>
    </row>
    <row r="2992" spans="9:11">
      <c r="I2992" t="s">
        <v>94</v>
      </c>
      <c r="J2992" t="s">
        <v>95</v>
      </c>
      <c r="K2992">
        <v>0</v>
      </c>
    </row>
    <row r="2993" spans="9:11">
      <c r="I2993" t="s">
        <v>91</v>
      </c>
      <c r="J2993" t="s">
        <v>92</v>
      </c>
      <c r="K2993">
        <v>0</v>
      </c>
    </row>
    <row r="2994" spans="9:11">
      <c r="I2994" t="s">
        <v>94</v>
      </c>
      <c r="J2994" t="s">
        <v>95</v>
      </c>
      <c r="K2994">
        <v>0</v>
      </c>
    </row>
    <row r="2995" spans="9:11">
      <c r="I2995" t="s">
        <v>94</v>
      </c>
      <c r="J2995" t="s">
        <v>95</v>
      </c>
      <c r="K2995">
        <v>0</v>
      </c>
    </row>
    <row r="2996" spans="9:11">
      <c r="I2996" t="s">
        <v>94</v>
      </c>
      <c r="J2996" t="s">
        <v>95</v>
      </c>
      <c r="K2996">
        <v>0</v>
      </c>
    </row>
    <row r="2997" spans="9:11">
      <c r="I2997" t="s">
        <v>91</v>
      </c>
      <c r="J2997" t="s">
        <v>92</v>
      </c>
      <c r="K2997">
        <v>0</v>
      </c>
    </row>
    <row r="2998" spans="9:11">
      <c r="I2998" t="s">
        <v>94</v>
      </c>
      <c r="J2998" t="s">
        <v>95</v>
      </c>
      <c r="K2998">
        <v>0</v>
      </c>
    </row>
    <row r="2999" spans="9:11">
      <c r="I2999" t="s">
        <v>91</v>
      </c>
      <c r="J2999" t="s">
        <v>92</v>
      </c>
      <c r="K2999">
        <v>0</v>
      </c>
    </row>
    <row r="3000" spans="9:11">
      <c r="I3000" t="s">
        <v>91</v>
      </c>
      <c r="J3000" t="s">
        <v>92</v>
      </c>
      <c r="K3000">
        <v>0</v>
      </c>
    </row>
    <row r="3001" spans="9:11">
      <c r="I3001" t="s">
        <v>94</v>
      </c>
      <c r="J3001" t="s">
        <v>95</v>
      </c>
      <c r="K3001">
        <v>0</v>
      </c>
    </row>
    <row r="3002" spans="9:11">
      <c r="I3002" t="s">
        <v>94</v>
      </c>
      <c r="J3002" t="s">
        <v>95</v>
      </c>
      <c r="K3002">
        <v>0</v>
      </c>
    </row>
    <row r="3003" spans="9:11">
      <c r="I3003" t="s">
        <v>94</v>
      </c>
      <c r="J3003" t="s">
        <v>95</v>
      </c>
      <c r="K3003">
        <v>0</v>
      </c>
    </row>
    <row r="3004" spans="9:11">
      <c r="I3004" t="s">
        <v>94</v>
      </c>
      <c r="J3004" t="s">
        <v>95</v>
      </c>
      <c r="K3004">
        <v>1</v>
      </c>
    </row>
    <row r="3005" spans="9:11">
      <c r="I3005" t="s">
        <v>91</v>
      </c>
      <c r="J3005" t="s">
        <v>92</v>
      </c>
      <c r="K3005">
        <v>0</v>
      </c>
    </row>
    <row r="3006" spans="9:11">
      <c r="I3006" t="s">
        <v>94</v>
      </c>
      <c r="J3006" t="s">
        <v>95</v>
      </c>
      <c r="K3006">
        <v>0</v>
      </c>
    </row>
    <row r="3007" spans="9:11">
      <c r="I3007" t="s">
        <v>94</v>
      </c>
      <c r="J3007" t="s">
        <v>95</v>
      </c>
      <c r="K3007">
        <v>0</v>
      </c>
    </row>
    <row r="3008" spans="9:11">
      <c r="I3008" t="s">
        <v>94</v>
      </c>
      <c r="J3008" t="s">
        <v>95</v>
      </c>
      <c r="K3008">
        <v>0</v>
      </c>
    </row>
    <row r="3009" spans="9:11">
      <c r="I3009" t="s">
        <v>91</v>
      </c>
      <c r="J3009" t="s">
        <v>92</v>
      </c>
      <c r="K3009">
        <v>0</v>
      </c>
    </row>
    <row r="3010" spans="9:11">
      <c r="I3010" t="s">
        <v>94</v>
      </c>
      <c r="J3010" t="s">
        <v>95</v>
      </c>
      <c r="K3010">
        <v>0</v>
      </c>
    </row>
    <row r="3011" spans="9:11">
      <c r="I3011" t="s">
        <v>94</v>
      </c>
      <c r="J3011" t="s">
        <v>95</v>
      </c>
      <c r="K3011">
        <v>0</v>
      </c>
    </row>
    <row r="3012" spans="9:11">
      <c r="I3012" t="s">
        <v>94</v>
      </c>
      <c r="J3012" t="s">
        <v>95</v>
      </c>
      <c r="K3012">
        <v>0</v>
      </c>
    </row>
    <row r="3013" spans="9:11">
      <c r="I3013" t="s">
        <v>94</v>
      </c>
      <c r="J3013" t="s">
        <v>95</v>
      </c>
      <c r="K3013">
        <v>0</v>
      </c>
    </row>
    <row r="3014" spans="9:11">
      <c r="I3014" t="s">
        <v>94</v>
      </c>
      <c r="J3014" t="s">
        <v>95</v>
      </c>
      <c r="K3014">
        <v>0</v>
      </c>
    </row>
    <row r="3015" spans="9:11">
      <c r="I3015" t="s">
        <v>94</v>
      </c>
      <c r="J3015" t="s">
        <v>95</v>
      </c>
      <c r="K3015">
        <v>0</v>
      </c>
    </row>
    <row r="3016" spans="9:11">
      <c r="I3016" t="s">
        <v>91</v>
      </c>
      <c r="J3016" t="s">
        <v>92</v>
      </c>
      <c r="K3016">
        <v>0</v>
      </c>
    </row>
    <row r="3017" spans="9:11">
      <c r="I3017" t="s">
        <v>91</v>
      </c>
      <c r="J3017" t="s">
        <v>92</v>
      </c>
      <c r="K3017">
        <v>0</v>
      </c>
    </row>
    <row r="3018" spans="9:11">
      <c r="I3018" t="s">
        <v>91</v>
      </c>
      <c r="J3018" t="s">
        <v>92</v>
      </c>
      <c r="K3018">
        <v>0</v>
      </c>
    </row>
    <row r="3019" spans="9:11">
      <c r="I3019" t="s">
        <v>91</v>
      </c>
      <c r="J3019" t="s">
        <v>92</v>
      </c>
      <c r="K3019">
        <v>0</v>
      </c>
    </row>
    <row r="3020" spans="9:11">
      <c r="I3020" t="s">
        <v>91</v>
      </c>
      <c r="J3020" t="s">
        <v>92</v>
      </c>
      <c r="K3020">
        <v>0</v>
      </c>
    </row>
    <row r="3021" spans="9:11">
      <c r="I3021" t="s">
        <v>94</v>
      </c>
      <c r="J3021" t="s">
        <v>95</v>
      </c>
      <c r="K3021">
        <v>0</v>
      </c>
    </row>
    <row r="3022" spans="9:11">
      <c r="I3022" t="s">
        <v>94</v>
      </c>
      <c r="J3022" t="s">
        <v>95</v>
      </c>
      <c r="K3022">
        <v>0</v>
      </c>
    </row>
    <row r="3023" spans="9:11">
      <c r="I3023" t="s">
        <v>94</v>
      </c>
      <c r="J3023" t="s">
        <v>95</v>
      </c>
      <c r="K3023">
        <v>0</v>
      </c>
    </row>
    <row r="3024" spans="9:11">
      <c r="I3024" t="s">
        <v>94</v>
      </c>
      <c r="J3024" t="s">
        <v>95</v>
      </c>
      <c r="K3024">
        <v>0</v>
      </c>
    </row>
    <row r="3025" spans="9:11">
      <c r="I3025" t="s">
        <v>94</v>
      </c>
      <c r="J3025" t="s">
        <v>95</v>
      </c>
      <c r="K3025">
        <v>0</v>
      </c>
    </row>
    <row r="3026" spans="9:11">
      <c r="I3026" t="s">
        <v>91</v>
      </c>
      <c r="J3026" t="s">
        <v>92</v>
      </c>
      <c r="K3026">
        <v>0</v>
      </c>
    </row>
    <row r="3027" spans="9:11">
      <c r="I3027" t="s">
        <v>94</v>
      </c>
      <c r="J3027" t="s">
        <v>95</v>
      </c>
      <c r="K3027">
        <v>0</v>
      </c>
    </row>
    <row r="3028" spans="9:11">
      <c r="I3028" t="s">
        <v>94</v>
      </c>
      <c r="J3028" t="s">
        <v>95</v>
      </c>
      <c r="K3028">
        <v>0</v>
      </c>
    </row>
    <row r="3029" spans="9:11">
      <c r="I3029" t="s">
        <v>94</v>
      </c>
      <c r="J3029" t="s">
        <v>95</v>
      </c>
      <c r="K3029">
        <v>0</v>
      </c>
    </row>
    <row r="3030" spans="9:11">
      <c r="I3030" t="s">
        <v>91</v>
      </c>
      <c r="J3030" t="s">
        <v>92</v>
      </c>
      <c r="K3030">
        <v>0</v>
      </c>
    </row>
    <row r="3031" spans="9:11">
      <c r="I3031" t="s">
        <v>94</v>
      </c>
      <c r="J3031" t="s">
        <v>95</v>
      </c>
      <c r="K3031">
        <v>0</v>
      </c>
    </row>
    <row r="3032" spans="9:11">
      <c r="I3032" t="s">
        <v>91</v>
      </c>
      <c r="J3032" t="s">
        <v>92</v>
      </c>
      <c r="K3032">
        <v>0</v>
      </c>
    </row>
    <row r="3033" spans="9:11">
      <c r="I3033" t="s">
        <v>91</v>
      </c>
      <c r="J3033" t="s">
        <v>92</v>
      </c>
      <c r="K3033">
        <v>0</v>
      </c>
    </row>
    <row r="3034" spans="9:11">
      <c r="I3034" t="s">
        <v>91</v>
      </c>
      <c r="J3034" t="s">
        <v>92</v>
      </c>
      <c r="K3034">
        <v>0</v>
      </c>
    </row>
    <row r="3035" spans="9:11">
      <c r="I3035" t="s">
        <v>94</v>
      </c>
      <c r="J3035" t="s">
        <v>95</v>
      </c>
      <c r="K3035">
        <v>0</v>
      </c>
    </row>
    <row r="3036" spans="9:11">
      <c r="I3036" t="s">
        <v>94</v>
      </c>
      <c r="J3036" t="s">
        <v>95</v>
      </c>
      <c r="K3036">
        <v>0</v>
      </c>
    </row>
    <row r="3037" spans="9:11">
      <c r="I3037" t="s">
        <v>91</v>
      </c>
      <c r="J3037" t="s">
        <v>92</v>
      </c>
      <c r="K3037">
        <v>0</v>
      </c>
    </row>
    <row r="3038" spans="9:11">
      <c r="I3038" t="s">
        <v>94</v>
      </c>
      <c r="J3038" t="s">
        <v>95</v>
      </c>
      <c r="K3038">
        <v>0</v>
      </c>
    </row>
    <row r="3039" spans="9:11">
      <c r="I3039" t="s">
        <v>91</v>
      </c>
      <c r="J3039" t="s">
        <v>92</v>
      </c>
      <c r="K3039">
        <v>0</v>
      </c>
    </row>
    <row r="3040" spans="9:11">
      <c r="I3040" t="s">
        <v>94</v>
      </c>
      <c r="J3040" t="s">
        <v>95</v>
      </c>
      <c r="K3040">
        <v>0</v>
      </c>
    </row>
    <row r="3041" spans="9:11">
      <c r="I3041" t="s">
        <v>94</v>
      </c>
      <c r="J3041" t="s">
        <v>95</v>
      </c>
      <c r="K3041">
        <v>0</v>
      </c>
    </row>
    <row r="3042" spans="9:11">
      <c r="I3042" t="s">
        <v>94</v>
      </c>
      <c r="J3042" t="s">
        <v>95</v>
      </c>
      <c r="K3042">
        <v>0</v>
      </c>
    </row>
    <row r="3043" spans="9:11">
      <c r="I3043" t="s">
        <v>91</v>
      </c>
      <c r="J3043" t="s">
        <v>92</v>
      </c>
      <c r="K3043">
        <v>0</v>
      </c>
    </row>
    <row r="3044" spans="9:11">
      <c r="I3044" t="s">
        <v>91</v>
      </c>
      <c r="J3044" t="s">
        <v>92</v>
      </c>
      <c r="K3044">
        <v>0</v>
      </c>
    </row>
    <row r="3045" spans="9:11">
      <c r="I3045" t="s">
        <v>91</v>
      </c>
      <c r="J3045" t="s">
        <v>92</v>
      </c>
      <c r="K3045">
        <v>0</v>
      </c>
    </row>
    <row r="3046" spans="9:11">
      <c r="I3046" t="s">
        <v>91</v>
      </c>
      <c r="J3046" t="s">
        <v>92</v>
      </c>
      <c r="K3046">
        <v>0</v>
      </c>
    </row>
    <row r="3047" spans="9:11">
      <c r="I3047" t="s">
        <v>94</v>
      </c>
      <c r="J3047" t="s">
        <v>95</v>
      </c>
      <c r="K3047">
        <v>0</v>
      </c>
    </row>
    <row r="3048" spans="9:11">
      <c r="I3048" t="s">
        <v>91</v>
      </c>
      <c r="J3048" t="s">
        <v>92</v>
      </c>
      <c r="K3048">
        <v>0</v>
      </c>
    </row>
    <row r="3049" spans="9:11">
      <c r="I3049" t="s">
        <v>91</v>
      </c>
      <c r="J3049" t="s">
        <v>92</v>
      </c>
      <c r="K3049">
        <v>0</v>
      </c>
    </row>
    <row r="3050" spans="9:11">
      <c r="I3050" t="s">
        <v>94</v>
      </c>
      <c r="J3050" t="s">
        <v>95</v>
      </c>
      <c r="K3050">
        <v>0</v>
      </c>
    </row>
    <row r="3051" spans="9:11">
      <c r="I3051" t="s">
        <v>94</v>
      </c>
      <c r="J3051" t="s">
        <v>95</v>
      </c>
      <c r="K3051">
        <v>0</v>
      </c>
    </row>
    <row r="3052" spans="9:11">
      <c r="I3052" t="s">
        <v>94</v>
      </c>
      <c r="J3052" t="s">
        <v>95</v>
      </c>
      <c r="K3052">
        <v>0</v>
      </c>
    </row>
    <row r="3053" spans="9:11">
      <c r="I3053" t="s">
        <v>94</v>
      </c>
      <c r="J3053" t="s">
        <v>95</v>
      </c>
      <c r="K3053">
        <v>0</v>
      </c>
    </row>
    <row r="3054" spans="9:11">
      <c r="I3054" t="s">
        <v>94</v>
      </c>
      <c r="J3054" t="s">
        <v>95</v>
      </c>
      <c r="K3054">
        <v>0</v>
      </c>
    </row>
    <row r="3055" spans="9:11">
      <c r="I3055" t="s">
        <v>94</v>
      </c>
      <c r="J3055" t="s">
        <v>95</v>
      </c>
      <c r="K3055">
        <v>0</v>
      </c>
    </row>
    <row r="3056" spans="9:11">
      <c r="I3056" t="s">
        <v>94</v>
      </c>
      <c r="J3056" t="s">
        <v>95</v>
      </c>
      <c r="K3056">
        <v>0</v>
      </c>
    </row>
    <row r="3057" spans="9:11">
      <c r="I3057" t="s">
        <v>91</v>
      </c>
      <c r="J3057" t="s">
        <v>92</v>
      </c>
      <c r="K3057">
        <v>0</v>
      </c>
    </row>
    <row r="3058" spans="9:11">
      <c r="I3058" t="s">
        <v>94</v>
      </c>
      <c r="J3058" t="s">
        <v>95</v>
      </c>
      <c r="K3058">
        <v>0</v>
      </c>
    </row>
    <row r="3059" spans="9:11">
      <c r="I3059" t="s">
        <v>91</v>
      </c>
      <c r="J3059" t="s">
        <v>92</v>
      </c>
      <c r="K3059">
        <v>0</v>
      </c>
    </row>
    <row r="3060" spans="9:11">
      <c r="I3060" t="s">
        <v>91</v>
      </c>
      <c r="J3060" t="s">
        <v>92</v>
      </c>
      <c r="K3060">
        <v>0</v>
      </c>
    </row>
    <row r="3061" spans="9:11">
      <c r="I3061" t="s">
        <v>91</v>
      </c>
      <c r="J3061" t="s">
        <v>92</v>
      </c>
      <c r="K3061">
        <v>0</v>
      </c>
    </row>
    <row r="3062" spans="9:11">
      <c r="I3062" t="s">
        <v>94</v>
      </c>
      <c r="J3062" t="s">
        <v>95</v>
      </c>
      <c r="K3062">
        <v>0</v>
      </c>
    </row>
    <row r="3063" spans="9:11">
      <c r="I3063" t="s">
        <v>91</v>
      </c>
      <c r="J3063" t="s">
        <v>92</v>
      </c>
      <c r="K3063">
        <v>0</v>
      </c>
    </row>
    <row r="3064" spans="9:11">
      <c r="I3064" t="s">
        <v>94</v>
      </c>
      <c r="J3064" t="s">
        <v>95</v>
      </c>
      <c r="K3064">
        <v>0</v>
      </c>
    </row>
    <row r="3065" spans="9:11">
      <c r="I3065" t="s">
        <v>91</v>
      </c>
      <c r="J3065" t="s">
        <v>92</v>
      </c>
      <c r="K3065">
        <v>0</v>
      </c>
    </row>
    <row r="3066" spans="9:11">
      <c r="I3066" t="s">
        <v>91</v>
      </c>
      <c r="J3066" t="s">
        <v>92</v>
      </c>
      <c r="K3066">
        <v>0</v>
      </c>
    </row>
    <row r="3067" spans="9:11">
      <c r="I3067" t="s">
        <v>91</v>
      </c>
      <c r="J3067" t="s">
        <v>92</v>
      </c>
      <c r="K3067">
        <v>0</v>
      </c>
    </row>
    <row r="3068" spans="9:11">
      <c r="I3068" t="s">
        <v>91</v>
      </c>
      <c r="J3068" t="s">
        <v>92</v>
      </c>
      <c r="K3068">
        <v>0</v>
      </c>
    </row>
    <row r="3069" spans="9:11">
      <c r="I3069" t="s">
        <v>91</v>
      </c>
      <c r="J3069" t="s">
        <v>92</v>
      </c>
      <c r="K3069">
        <v>0</v>
      </c>
    </row>
    <row r="3070" spans="9:11">
      <c r="I3070" t="s">
        <v>91</v>
      </c>
      <c r="J3070" t="s">
        <v>92</v>
      </c>
      <c r="K3070">
        <v>0</v>
      </c>
    </row>
    <row r="3071" spans="9:11">
      <c r="I3071" t="s">
        <v>91</v>
      </c>
      <c r="J3071" t="s">
        <v>92</v>
      </c>
      <c r="K3071">
        <v>0</v>
      </c>
    </row>
    <row r="3072" spans="9:11">
      <c r="I3072" t="s">
        <v>94</v>
      </c>
      <c r="J3072" t="s">
        <v>95</v>
      </c>
      <c r="K3072">
        <v>0</v>
      </c>
    </row>
    <row r="3073" spans="9:11">
      <c r="I3073" t="s">
        <v>94</v>
      </c>
      <c r="J3073" t="s">
        <v>95</v>
      </c>
      <c r="K3073">
        <v>0</v>
      </c>
    </row>
    <row r="3074" spans="9:11">
      <c r="I3074" t="s">
        <v>94</v>
      </c>
      <c r="J3074" t="s">
        <v>95</v>
      </c>
      <c r="K3074">
        <v>0</v>
      </c>
    </row>
    <row r="3075" spans="9:11">
      <c r="I3075" t="s">
        <v>94</v>
      </c>
      <c r="J3075" t="s">
        <v>95</v>
      </c>
      <c r="K3075">
        <v>0</v>
      </c>
    </row>
    <row r="3076" spans="9:11">
      <c r="I3076" t="s">
        <v>94</v>
      </c>
      <c r="J3076" t="s">
        <v>95</v>
      </c>
      <c r="K3076">
        <v>0</v>
      </c>
    </row>
    <row r="3077" spans="9:11">
      <c r="I3077" t="s">
        <v>91</v>
      </c>
      <c r="J3077" t="s">
        <v>92</v>
      </c>
      <c r="K3077">
        <v>0</v>
      </c>
    </row>
    <row r="3078" spans="9:11">
      <c r="I3078" t="s">
        <v>94</v>
      </c>
      <c r="J3078" t="s">
        <v>95</v>
      </c>
      <c r="K3078">
        <v>0</v>
      </c>
    </row>
    <row r="3079" spans="9:11">
      <c r="I3079" t="s">
        <v>91</v>
      </c>
      <c r="J3079" t="s">
        <v>92</v>
      </c>
      <c r="K3079">
        <v>0</v>
      </c>
    </row>
    <row r="3080" spans="9:11">
      <c r="I3080" t="s">
        <v>94</v>
      </c>
      <c r="J3080" t="s">
        <v>95</v>
      </c>
      <c r="K3080">
        <v>0</v>
      </c>
    </row>
    <row r="3081" spans="9:11">
      <c r="I3081" t="s">
        <v>94</v>
      </c>
      <c r="J3081" t="s">
        <v>95</v>
      </c>
      <c r="K3081">
        <v>0</v>
      </c>
    </row>
    <row r="3082" spans="9:11">
      <c r="I3082" t="s">
        <v>91</v>
      </c>
      <c r="J3082" t="s">
        <v>92</v>
      </c>
      <c r="K3082">
        <v>0</v>
      </c>
    </row>
    <row r="3083" spans="9:11">
      <c r="I3083" t="s">
        <v>91</v>
      </c>
      <c r="J3083" t="s">
        <v>92</v>
      </c>
      <c r="K3083">
        <v>0</v>
      </c>
    </row>
    <row r="3084" spans="9:11">
      <c r="I3084" t="s">
        <v>91</v>
      </c>
      <c r="J3084" t="s">
        <v>92</v>
      </c>
      <c r="K3084">
        <v>0</v>
      </c>
    </row>
    <row r="3085" spans="9:11">
      <c r="I3085" t="s">
        <v>91</v>
      </c>
      <c r="J3085" t="s">
        <v>92</v>
      </c>
      <c r="K3085">
        <v>0</v>
      </c>
    </row>
    <row r="3086" spans="9:11">
      <c r="I3086" t="s">
        <v>94</v>
      </c>
      <c r="J3086" t="s">
        <v>95</v>
      </c>
      <c r="K3086">
        <v>0</v>
      </c>
    </row>
    <row r="3087" spans="9:11">
      <c r="I3087" t="s">
        <v>91</v>
      </c>
      <c r="J3087" t="s">
        <v>92</v>
      </c>
      <c r="K3087">
        <v>0</v>
      </c>
    </row>
    <row r="3088" spans="9:11">
      <c r="I3088" t="s">
        <v>94</v>
      </c>
      <c r="J3088" t="s">
        <v>95</v>
      </c>
      <c r="K3088">
        <v>1</v>
      </c>
    </row>
    <row r="3089" spans="9:11">
      <c r="I3089" t="s">
        <v>91</v>
      </c>
      <c r="J3089" t="s">
        <v>92</v>
      </c>
      <c r="K3089">
        <v>0</v>
      </c>
    </row>
    <row r="3090" spans="9:11">
      <c r="I3090" t="s">
        <v>91</v>
      </c>
      <c r="J3090" t="s">
        <v>92</v>
      </c>
      <c r="K3090">
        <v>0</v>
      </c>
    </row>
    <row r="3091" spans="9:11">
      <c r="I3091" t="s">
        <v>94</v>
      </c>
      <c r="J3091" t="s">
        <v>95</v>
      </c>
      <c r="K3091">
        <v>0</v>
      </c>
    </row>
    <row r="3092" spans="9:11">
      <c r="I3092" t="s">
        <v>91</v>
      </c>
      <c r="J3092" t="s">
        <v>92</v>
      </c>
      <c r="K3092">
        <v>0</v>
      </c>
    </row>
    <row r="3093" spans="9:11">
      <c r="I3093" t="s">
        <v>94</v>
      </c>
      <c r="J3093" t="s">
        <v>95</v>
      </c>
      <c r="K3093">
        <v>0</v>
      </c>
    </row>
    <row r="3094" spans="9:11">
      <c r="I3094" t="s">
        <v>94</v>
      </c>
      <c r="J3094" t="s">
        <v>95</v>
      </c>
      <c r="K3094">
        <v>0</v>
      </c>
    </row>
    <row r="3095" spans="9:11">
      <c r="I3095" t="s">
        <v>91</v>
      </c>
      <c r="J3095" t="s">
        <v>92</v>
      </c>
      <c r="K3095">
        <v>0</v>
      </c>
    </row>
    <row r="3096" spans="9:11">
      <c r="I3096" t="s">
        <v>94</v>
      </c>
      <c r="J3096" t="s">
        <v>95</v>
      </c>
      <c r="K3096">
        <v>0</v>
      </c>
    </row>
    <row r="3097" spans="9:11">
      <c r="I3097" t="s">
        <v>94</v>
      </c>
      <c r="J3097" t="s">
        <v>95</v>
      </c>
      <c r="K3097">
        <v>0</v>
      </c>
    </row>
    <row r="3098" spans="9:11">
      <c r="I3098" t="s">
        <v>94</v>
      </c>
      <c r="J3098" t="s">
        <v>95</v>
      </c>
      <c r="K3098">
        <v>0</v>
      </c>
    </row>
    <row r="3099" spans="9:11">
      <c r="I3099" t="s">
        <v>91</v>
      </c>
      <c r="J3099" t="s">
        <v>92</v>
      </c>
      <c r="K3099">
        <v>0</v>
      </c>
    </row>
    <row r="3100" spans="9:11">
      <c r="I3100" t="s">
        <v>91</v>
      </c>
      <c r="J3100" t="s">
        <v>92</v>
      </c>
      <c r="K3100">
        <v>0</v>
      </c>
    </row>
    <row r="3101" spans="9:11">
      <c r="I3101" t="s">
        <v>91</v>
      </c>
      <c r="J3101" t="s">
        <v>92</v>
      </c>
      <c r="K3101">
        <v>0</v>
      </c>
    </row>
    <row r="3102" spans="9:11">
      <c r="I3102" t="s">
        <v>94</v>
      </c>
      <c r="J3102" t="s">
        <v>95</v>
      </c>
      <c r="K3102">
        <v>0</v>
      </c>
    </row>
    <row r="3103" spans="9:11">
      <c r="I3103" t="s">
        <v>91</v>
      </c>
      <c r="J3103" t="s">
        <v>92</v>
      </c>
      <c r="K3103">
        <v>0</v>
      </c>
    </row>
    <row r="3104" spans="9:11">
      <c r="I3104" t="s">
        <v>91</v>
      </c>
      <c r="J3104" t="s">
        <v>92</v>
      </c>
      <c r="K3104">
        <v>0</v>
      </c>
    </row>
    <row r="3105" spans="9:11">
      <c r="I3105" t="s">
        <v>91</v>
      </c>
      <c r="J3105" t="s">
        <v>92</v>
      </c>
      <c r="K3105">
        <v>0</v>
      </c>
    </row>
    <row r="3106" spans="9:11">
      <c r="I3106" t="s">
        <v>94</v>
      </c>
      <c r="J3106" t="s">
        <v>95</v>
      </c>
      <c r="K3106">
        <v>0</v>
      </c>
    </row>
    <row r="3107" spans="9:11">
      <c r="I3107" t="s">
        <v>94</v>
      </c>
      <c r="J3107" t="s">
        <v>95</v>
      </c>
      <c r="K3107">
        <v>0</v>
      </c>
    </row>
    <row r="3108" spans="9:11">
      <c r="I3108" t="s">
        <v>94</v>
      </c>
      <c r="J3108" t="s">
        <v>95</v>
      </c>
      <c r="K3108">
        <v>0</v>
      </c>
    </row>
    <row r="3109" spans="9:11">
      <c r="I3109" t="s">
        <v>94</v>
      </c>
      <c r="J3109" t="s">
        <v>95</v>
      </c>
      <c r="K3109">
        <v>0</v>
      </c>
    </row>
    <row r="3110" spans="9:11">
      <c r="I3110" t="s">
        <v>94</v>
      </c>
      <c r="J3110" t="s">
        <v>95</v>
      </c>
      <c r="K3110">
        <v>0</v>
      </c>
    </row>
    <row r="3111" spans="9:11">
      <c r="I3111" t="s">
        <v>91</v>
      </c>
      <c r="J3111" t="s">
        <v>92</v>
      </c>
      <c r="K3111">
        <v>0</v>
      </c>
    </row>
    <row r="3112" spans="9:11">
      <c r="I3112" t="s">
        <v>91</v>
      </c>
      <c r="J3112" t="s">
        <v>92</v>
      </c>
      <c r="K3112">
        <v>0</v>
      </c>
    </row>
    <row r="3113" spans="9:11">
      <c r="I3113" t="s">
        <v>91</v>
      </c>
      <c r="J3113" t="s">
        <v>92</v>
      </c>
      <c r="K3113">
        <v>0</v>
      </c>
    </row>
    <row r="3114" spans="9:11">
      <c r="I3114" t="s">
        <v>94</v>
      </c>
      <c r="J3114" t="s">
        <v>95</v>
      </c>
      <c r="K3114">
        <v>0</v>
      </c>
    </row>
    <row r="3115" spans="9:11">
      <c r="I3115" t="s">
        <v>91</v>
      </c>
      <c r="J3115" t="s">
        <v>92</v>
      </c>
      <c r="K3115">
        <v>0</v>
      </c>
    </row>
    <row r="3116" spans="9:11">
      <c r="I3116" t="s">
        <v>91</v>
      </c>
      <c r="J3116" t="s">
        <v>92</v>
      </c>
      <c r="K3116">
        <v>0</v>
      </c>
    </row>
    <row r="3117" spans="9:11">
      <c r="I3117" t="s">
        <v>91</v>
      </c>
      <c r="J3117" t="s">
        <v>92</v>
      </c>
      <c r="K3117">
        <v>0</v>
      </c>
    </row>
    <row r="3118" spans="9:11">
      <c r="I3118" t="s">
        <v>94</v>
      </c>
      <c r="J3118" t="s">
        <v>95</v>
      </c>
      <c r="K3118">
        <v>0</v>
      </c>
    </row>
    <row r="3119" spans="9:11">
      <c r="I3119" t="s">
        <v>94</v>
      </c>
      <c r="J3119" t="s">
        <v>95</v>
      </c>
      <c r="K3119">
        <v>0</v>
      </c>
    </row>
    <row r="3120" spans="9:11">
      <c r="I3120" t="s">
        <v>91</v>
      </c>
      <c r="J3120" t="s">
        <v>92</v>
      </c>
      <c r="K3120">
        <v>0</v>
      </c>
    </row>
    <row r="3121" spans="9:11">
      <c r="I3121" t="s">
        <v>94</v>
      </c>
      <c r="J3121" t="s">
        <v>95</v>
      </c>
      <c r="K3121">
        <v>0</v>
      </c>
    </row>
    <row r="3122" spans="9:11">
      <c r="I3122" t="s">
        <v>94</v>
      </c>
      <c r="J3122" t="s">
        <v>95</v>
      </c>
      <c r="K3122">
        <v>0</v>
      </c>
    </row>
    <row r="3123" spans="9:11">
      <c r="I3123" t="s">
        <v>94</v>
      </c>
      <c r="J3123" t="s">
        <v>95</v>
      </c>
      <c r="K3123">
        <v>0</v>
      </c>
    </row>
    <row r="3124" spans="9:11">
      <c r="I3124" t="s">
        <v>91</v>
      </c>
      <c r="J3124" t="s">
        <v>92</v>
      </c>
      <c r="K3124">
        <v>0</v>
      </c>
    </row>
    <row r="3125" spans="9:11">
      <c r="I3125" t="s">
        <v>94</v>
      </c>
      <c r="J3125" t="s">
        <v>95</v>
      </c>
      <c r="K3125">
        <v>0</v>
      </c>
    </row>
    <row r="3126" spans="9:11">
      <c r="I3126" t="s">
        <v>91</v>
      </c>
      <c r="J3126" t="s">
        <v>92</v>
      </c>
      <c r="K3126">
        <v>0</v>
      </c>
    </row>
    <row r="3127" spans="9:11">
      <c r="I3127" t="s">
        <v>94</v>
      </c>
      <c r="J3127" t="s">
        <v>95</v>
      </c>
      <c r="K3127">
        <v>0</v>
      </c>
    </row>
    <row r="3128" spans="9:11">
      <c r="I3128" t="s">
        <v>94</v>
      </c>
      <c r="J3128" t="s">
        <v>95</v>
      </c>
      <c r="K3128">
        <v>0</v>
      </c>
    </row>
    <row r="3129" spans="9:11">
      <c r="I3129" t="s">
        <v>91</v>
      </c>
      <c r="J3129" t="s">
        <v>92</v>
      </c>
      <c r="K3129">
        <v>0</v>
      </c>
    </row>
    <row r="3130" spans="9:11">
      <c r="I3130" t="s">
        <v>94</v>
      </c>
      <c r="J3130" t="s">
        <v>95</v>
      </c>
      <c r="K3130">
        <v>0</v>
      </c>
    </row>
    <row r="3131" spans="9:11">
      <c r="I3131" t="s">
        <v>91</v>
      </c>
      <c r="J3131" t="s">
        <v>92</v>
      </c>
      <c r="K3131">
        <v>0</v>
      </c>
    </row>
    <row r="3132" spans="9:11">
      <c r="I3132" t="s">
        <v>91</v>
      </c>
      <c r="J3132" t="s">
        <v>92</v>
      </c>
      <c r="K3132">
        <v>0</v>
      </c>
    </row>
    <row r="3133" spans="9:11">
      <c r="I3133" t="s">
        <v>94</v>
      </c>
      <c r="J3133" t="s">
        <v>95</v>
      </c>
      <c r="K3133">
        <v>1</v>
      </c>
    </row>
    <row r="3134" spans="9:11">
      <c r="I3134" t="s">
        <v>94</v>
      </c>
      <c r="J3134" t="s">
        <v>95</v>
      </c>
      <c r="K3134">
        <v>0</v>
      </c>
    </row>
    <row r="3135" spans="9:11">
      <c r="I3135" t="s">
        <v>94</v>
      </c>
      <c r="J3135" t="s">
        <v>95</v>
      </c>
      <c r="K3135">
        <v>0</v>
      </c>
    </row>
    <row r="3136" spans="9:11">
      <c r="I3136" t="s">
        <v>94</v>
      </c>
      <c r="J3136" t="s">
        <v>95</v>
      </c>
      <c r="K3136">
        <v>1</v>
      </c>
    </row>
    <row r="3137" spans="9:11">
      <c r="I3137" t="s">
        <v>94</v>
      </c>
      <c r="J3137" t="s">
        <v>95</v>
      </c>
      <c r="K3137">
        <v>0</v>
      </c>
    </row>
    <row r="3138" spans="9:11">
      <c r="I3138" t="s">
        <v>94</v>
      </c>
      <c r="J3138" t="s">
        <v>95</v>
      </c>
      <c r="K3138">
        <v>1</v>
      </c>
    </row>
    <row r="3139" spans="9:11">
      <c r="I3139" t="s">
        <v>91</v>
      </c>
      <c r="J3139" t="s">
        <v>92</v>
      </c>
      <c r="K3139">
        <v>0</v>
      </c>
    </row>
    <row r="3140" spans="9:11">
      <c r="I3140" t="s">
        <v>91</v>
      </c>
      <c r="J3140" t="s">
        <v>92</v>
      </c>
      <c r="K3140">
        <v>0</v>
      </c>
    </row>
    <row r="3141" spans="9:11">
      <c r="I3141" t="s">
        <v>91</v>
      </c>
      <c r="J3141" t="s">
        <v>92</v>
      </c>
      <c r="K3141">
        <v>0</v>
      </c>
    </row>
    <row r="3142" spans="9:11">
      <c r="I3142" t="s">
        <v>94</v>
      </c>
      <c r="J3142" t="s">
        <v>95</v>
      </c>
      <c r="K3142">
        <v>0</v>
      </c>
    </row>
    <row r="3143" spans="9:11">
      <c r="I3143" t="s">
        <v>94</v>
      </c>
      <c r="J3143" t="s">
        <v>95</v>
      </c>
      <c r="K3143">
        <v>0</v>
      </c>
    </row>
    <row r="3144" spans="9:11">
      <c r="I3144" t="s">
        <v>94</v>
      </c>
      <c r="J3144" t="s">
        <v>95</v>
      </c>
      <c r="K3144">
        <v>0</v>
      </c>
    </row>
    <row r="3145" spans="9:11">
      <c r="I3145" t="s">
        <v>94</v>
      </c>
      <c r="J3145" t="s">
        <v>95</v>
      </c>
      <c r="K3145">
        <v>0</v>
      </c>
    </row>
    <row r="3146" spans="9:11">
      <c r="I3146" t="s">
        <v>91</v>
      </c>
      <c r="J3146" t="s">
        <v>92</v>
      </c>
      <c r="K3146">
        <v>0</v>
      </c>
    </row>
    <row r="3147" spans="9:11">
      <c r="I3147" t="s">
        <v>91</v>
      </c>
      <c r="J3147" t="s">
        <v>92</v>
      </c>
      <c r="K3147">
        <v>0</v>
      </c>
    </row>
    <row r="3148" spans="9:11">
      <c r="I3148" t="s">
        <v>91</v>
      </c>
      <c r="J3148" t="s">
        <v>92</v>
      </c>
      <c r="K3148">
        <v>0</v>
      </c>
    </row>
    <row r="3149" spans="9:11">
      <c r="I3149" t="s">
        <v>94</v>
      </c>
      <c r="J3149" t="s">
        <v>95</v>
      </c>
      <c r="K3149">
        <v>0</v>
      </c>
    </row>
    <row r="3150" spans="9:11">
      <c r="I3150" t="s">
        <v>94</v>
      </c>
      <c r="J3150" t="s">
        <v>95</v>
      </c>
      <c r="K3150">
        <v>0</v>
      </c>
    </row>
    <row r="3151" spans="9:11">
      <c r="I3151" t="s">
        <v>91</v>
      </c>
      <c r="J3151" t="s">
        <v>92</v>
      </c>
      <c r="K3151">
        <v>0</v>
      </c>
    </row>
    <row r="3152" spans="9:11">
      <c r="I3152" t="s">
        <v>91</v>
      </c>
      <c r="J3152" t="s">
        <v>92</v>
      </c>
      <c r="K3152">
        <v>0</v>
      </c>
    </row>
    <row r="3153" spans="9:11">
      <c r="I3153" t="s">
        <v>91</v>
      </c>
      <c r="J3153" t="s">
        <v>92</v>
      </c>
      <c r="K3153">
        <v>0</v>
      </c>
    </row>
    <row r="3154" spans="9:11">
      <c r="I3154" t="s">
        <v>94</v>
      </c>
      <c r="J3154" t="s">
        <v>95</v>
      </c>
      <c r="K3154">
        <v>0</v>
      </c>
    </row>
    <row r="3155" spans="9:11">
      <c r="I3155" t="s">
        <v>94</v>
      </c>
      <c r="J3155" t="s">
        <v>95</v>
      </c>
      <c r="K3155">
        <v>0</v>
      </c>
    </row>
    <row r="3156" spans="9:11">
      <c r="I3156" t="s">
        <v>94</v>
      </c>
      <c r="J3156" t="s">
        <v>95</v>
      </c>
      <c r="K3156">
        <v>0</v>
      </c>
    </row>
    <row r="3157" spans="9:11">
      <c r="I3157" t="s">
        <v>94</v>
      </c>
      <c r="J3157" t="s">
        <v>95</v>
      </c>
      <c r="K3157">
        <v>0</v>
      </c>
    </row>
    <row r="3158" spans="9:11">
      <c r="I3158" t="s">
        <v>91</v>
      </c>
      <c r="J3158" t="s">
        <v>92</v>
      </c>
      <c r="K3158">
        <v>0</v>
      </c>
    </row>
    <row r="3159" spans="9:11">
      <c r="I3159" t="s">
        <v>91</v>
      </c>
      <c r="J3159" t="s">
        <v>92</v>
      </c>
      <c r="K3159">
        <v>0</v>
      </c>
    </row>
    <row r="3160" spans="9:11">
      <c r="I3160" t="s">
        <v>91</v>
      </c>
      <c r="J3160" t="s">
        <v>92</v>
      </c>
      <c r="K3160">
        <v>0</v>
      </c>
    </row>
    <row r="3161" spans="9:11">
      <c r="I3161" t="s">
        <v>94</v>
      </c>
      <c r="J3161" t="s">
        <v>95</v>
      </c>
      <c r="K3161">
        <v>0</v>
      </c>
    </row>
    <row r="3162" spans="9:11">
      <c r="I3162" t="s">
        <v>94</v>
      </c>
      <c r="J3162" t="s">
        <v>95</v>
      </c>
      <c r="K3162">
        <v>0</v>
      </c>
    </row>
    <row r="3163" spans="9:11">
      <c r="I3163" t="s">
        <v>91</v>
      </c>
      <c r="J3163" t="s">
        <v>92</v>
      </c>
      <c r="K3163">
        <v>0</v>
      </c>
    </row>
    <row r="3164" spans="9:11">
      <c r="I3164" t="s">
        <v>91</v>
      </c>
      <c r="J3164" t="s">
        <v>92</v>
      </c>
      <c r="K3164">
        <v>0</v>
      </c>
    </row>
    <row r="3165" spans="9:11">
      <c r="I3165" t="s">
        <v>91</v>
      </c>
      <c r="J3165" t="s">
        <v>92</v>
      </c>
      <c r="K3165">
        <v>0</v>
      </c>
    </row>
    <row r="3166" spans="9:11">
      <c r="I3166" t="s">
        <v>94</v>
      </c>
      <c r="J3166" t="s">
        <v>95</v>
      </c>
      <c r="K3166">
        <v>0</v>
      </c>
    </row>
    <row r="3167" spans="9:11">
      <c r="I3167" t="s">
        <v>94</v>
      </c>
      <c r="J3167" t="s">
        <v>95</v>
      </c>
      <c r="K3167">
        <v>0</v>
      </c>
    </row>
    <row r="3168" spans="9:11">
      <c r="I3168" t="s">
        <v>94</v>
      </c>
      <c r="J3168" t="s">
        <v>95</v>
      </c>
      <c r="K3168">
        <v>0</v>
      </c>
    </row>
    <row r="3169" spans="9:11">
      <c r="I3169" t="s">
        <v>91</v>
      </c>
      <c r="J3169" t="s">
        <v>92</v>
      </c>
      <c r="K3169">
        <v>0</v>
      </c>
    </row>
    <row r="3170" spans="9:11">
      <c r="I3170" t="s">
        <v>94</v>
      </c>
      <c r="J3170" t="s">
        <v>95</v>
      </c>
      <c r="K3170">
        <v>0</v>
      </c>
    </row>
    <row r="3171" spans="9:11">
      <c r="I3171" t="s">
        <v>91</v>
      </c>
      <c r="J3171" t="s">
        <v>92</v>
      </c>
      <c r="K3171">
        <v>0</v>
      </c>
    </row>
    <row r="3172" spans="9:11">
      <c r="I3172" t="s">
        <v>94</v>
      </c>
      <c r="J3172" t="s">
        <v>95</v>
      </c>
      <c r="K3172">
        <v>0</v>
      </c>
    </row>
    <row r="3173" spans="9:11">
      <c r="I3173" t="s">
        <v>94</v>
      </c>
      <c r="J3173" t="s">
        <v>95</v>
      </c>
      <c r="K3173">
        <v>0</v>
      </c>
    </row>
    <row r="3174" spans="9:11">
      <c r="I3174" t="s">
        <v>94</v>
      </c>
      <c r="J3174" t="s">
        <v>95</v>
      </c>
      <c r="K3174">
        <v>0</v>
      </c>
    </row>
    <row r="3175" spans="9:11">
      <c r="I3175" t="s">
        <v>91</v>
      </c>
      <c r="J3175" t="s">
        <v>92</v>
      </c>
      <c r="K3175">
        <v>0</v>
      </c>
    </row>
    <row r="3176" spans="9:11">
      <c r="I3176" t="s">
        <v>91</v>
      </c>
      <c r="J3176" t="s">
        <v>92</v>
      </c>
      <c r="K3176">
        <v>0</v>
      </c>
    </row>
    <row r="3177" spans="9:11">
      <c r="I3177" t="s">
        <v>91</v>
      </c>
      <c r="J3177" t="s">
        <v>92</v>
      </c>
      <c r="K3177">
        <v>0</v>
      </c>
    </row>
    <row r="3178" spans="9:11">
      <c r="I3178" t="s">
        <v>91</v>
      </c>
      <c r="J3178" t="s">
        <v>92</v>
      </c>
      <c r="K3178">
        <v>0</v>
      </c>
    </row>
    <row r="3179" spans="9:11">
      <c r="I3179" t="s">
        <v>91</v>
      </c>
      <c r="J3179" t="s">
        <v>92</v>
      </c>
      <c r="K3179">
        <v>0</v>
      </c>
    </row>
    <row r="3180" spans="9:11">
      <c r="I3180" t="s">
        <v>94</v>
      </c>
      <c r="J3180" t="s">
        <v>95</v>
      </c>
      <c r="K3180">
        <v>0</v>
      </c>
    </row>
    <row r="3181" spans="9:11">
      <c r="I3181" t="s">
        <v>94</v>
      </c>
      <c r="J3181" t="s">
        <v>95</v>
      </c>
      <c r="K3181">
        <v>0</v>
      </c>
    </row>
    <row r="3182" spans="9:11">
      <c r="I3182" t="s">
        <v>94</v>
      </c>
      <c r="J3182" t="s">
        <v>95</v>
      </c>
      <c r="K3182">
        <v>0</v>
      </c>
    </row>
    <row r="3183" spans="9:11">
      <c r="I3183" t="s">
        <v>91</v>
      </c>
      <c r="J3183" t="s">
        <v>92</v>
      </c>
      <c r="K3183">
        <v>0</v>
      </c>
    </row>
    <row r="3184" spans="9:11">
      <c r="I3184" t="s">
        <v>91</v>
      </c>
      <c r="J3184" t="s">
        <v>92</v>
      </c>
      <c r="K3184">
        <v>0</v>
      </c>
    </row>
    <row r="3185" spans="9:11">
      <c r="I3185" t="s">
        <v>91</v>
      </c>
      <c r="J3185" t="s">
        <v>92</v>
      </c>
      <c r="K3185">
        <v>0</v>
      </c>
    </row>
    <row r="3186" spans="9:11">
      <c r="I3186" t="s">
        <v>91</v>
      </c>
      <c r="J3186" t="s">
        <v>92</v>
      </c>
      <c r="K3186">
        <v>0</v>
      </c>
    </row>
    <row r="3187" spans="9:11">
      <c r="I3187" t="s">
        <v>91</v>
      </c>
      <c r="J3187" t="s">
        <v>92</v>
      </c>
      <c r="K3187">
        <v>0</v>
      </c>
    </row>
    <row r="3188" spans="9:11">
      <c r="I3188" t="s">
        <v>94</v>
      </c>
      <c r="J3188" t="s">
        <v>95</v>
      </c>
      <c r="K3188">
        <v>0</v>
      </c>
    </row>
    <row r="3189" spans="9:11">
      <c r="I3189" t="s">
        <v>94</v>
      </c>
      <c r="J3189" t="s">
        <v>95</v>
      </c>
      <c r="K3189">
        <v>0</v>
      </c>
    </row>
    <row r="3190" spans="9:11">
      <c r="I3190" t="s">
        <v>94</v>
      </c>
      <c r="J3190" t="s">
        <v>95</v>
      </c>
      <c r="K3190">
        <v>0</v>
      </c>
    </row>
    <row r="3191" spans="9:11">
      <c r="I3191" t="s">
        <v>91</v>
      </c>
      <c r="J3191" t="s">
        <v>92</v>
      </c>
      <c r="K3191">
        <v>0</v>
      </c>
    </row>
    <row r="3192" spans="9:11">
      <c r="I3192" t="s">
        <v>94</v>
      </c>
      <c r="J3192" t="s">
        <v>95</v>
      </c>
      <c r="K3192">
        <v>0</v>
      </c>
    </row>
    <row r="3193" spans="9:11">
      <c r="I3193" t="s">
        <v>91</v>
      </c>
      <c r="J3193" t="s">
        <v>92</v>
      </c>
      <c r="K3193">
        <v>0</v>
      </c>
    </row>
    <row r="3194" spans="9:11">
      <c r="I3194" t="s">
        <v>94</v>
      </c>
      <c r="J3194" t="s">
        <v>95</v>
      </c>
      <c r="K3194">
        <v>0</v>
      </c>
    </row>
    <row r="3195" spans="9:11">
      <c r="I3195" t="s">
        <v>91</v>
      </c>
      <c r="J3195" t="s">
        <v>92</v>
      </c>
      <c r="K3195">
        <v>0</v>
      </c>
    </row>
    <row r="3196" spans="9:11">
      <c r="I3196" t="s">
        <v>94</v>
      </c>
      <c r="J3196" t="s">
        <v>95</v>
      </c>
      <c r="K3196">
        <v>0</v>
      </c>
    </row>
    <row r="3197" spans="9:11">
      <c r="I3197" t="s">
        <v>94</v>
      </c>
      <c r="J3197" t="s">
        <v>95</v>
      </c>
      <c r="K3197">
        <v>0</v>
      </c>
    </row>
    <row r="3198" spans="9:11">
      <c r="I3198" t="s">
        <v>91</v>
      </c>
      <c r="J3198" t="s">
        <v>92</v>
      </c>
      <c r="K3198">
        <v>0</v>
      </c>
    </row>
    <row r="3199" spans="9:11">
      <c r="I3199" t="s">
        <v>94</v>
      </c>
      <c r="J3199" t="s">
        <v>95</v>
      </c>
      <c r="K3199">
        <v>0</v>
      </c>
    </row>
    <row r="3200" spans="9:11">
      <c r="I3200" t="s">
        <v>94</v>
      </c>
      <c r="J3200" t="s">
        <v>95</v>
      </c>
      <c r="K3200">
        <v>0</v>
      </c>
    </row>
    <row r="3201" spans="9:11">
      <c r="I3201" t="s">
        <v>91</v>
      </c>
      <c r="J3201" t="s">
        <v>92</v>
      </c>
      <c r="K3201">
        <v>0</v>
      </c>
    </row>
    <row r="3202" spans="9:11">
      <c r="I3202" t="s">
        <v>91</v>
      </c>
      <c r="J3202" t="s">
        <v>92</v>
      </c>
      <c r="K3202">
        <v>0</v>
      </c>
    </row>
    <row r="3203" spans="9:11">
      <c r="I3203" t="s">
        <v>91</v>
      </c>
      <c r="J3203" t="s">
        <v>92</v>
      </c>
      <c r="K3203">
        <v>0</v>
      </c>
    </row>
    <row r="3204" spans="9:11">
      <c r="I3204" t="s">
        <v>94</v>
      </c>
      <c r="J3204" t="s">
        <v>95</v>
      </c>
      <c r="K3204">
        <v>0</v>
      </c>
    </row>
    <row r="3205" spans="9:11">
      <c r="I3205" t="s">
        <v>94</v>
      </c>
      <c r="J3205" t="s">
        <v>95</v>
      </c>
      <c r="K3205">
        <v>0</v>
      </c>
    </row>
    <row r="3206" spans="9:11">
      <c r="I3206" t="s">
        <v>91</v>
      </c>
      <c r="J3206" t="s">
        <v>92</v>
      </c>
      <c r="K3206">
        <v>0</v>
      </c>
    </row>
    <row r="3207" spans="9:11">
      <c r="I3207" t="s">
        <v>94</v>
      </c>
      <c r="J3207" t="s">
        <v>95</v>
      </c>
      <c r="K3207">
        <v>0</v>
      </c>
    </row>
    <row r="3208" spans="9:11">
      <c r="I3208" t="s">
        <v>94</v>
      </c>
      <c r="J3208" t="s">
        <v>95</v>
      </c>
      <c r="K3208">
        <v>0</v>
      </c>
    </row>
    <row r="3209" spans="9:11">
      <c r="I3209" t="s">
        <v>91</v>
      </c>
      <c r="J3209" t="s">
        <v>92</v>
      </c>
      <c r="K3209">
        <v>0</v>
      </c>
    </row>
    <row r="3210" spans="9:11">
      <c r="I3210" t="s">
        <v>91</v>
      </c>
      <c r="J3210" t="s">
        <v>92</v>
      </c>
      <c r="K3210">
        <v>1</v>
      </c>
    </row>
    <row r="3211" spans="9:11">
      <c r="I3211" t="s">
        <v>94</v>
      </c>
      <c r="J3211" t="s">
        <v>95</v>
      </c>
      <c r="K3211">
        <v>0</v>
      </c>
    </row>
    <row r="3212" spans="9:11">
      <c r="I3212" t="s">
        <v>94</v>
      </c>
      <c r="J3212" t="s">
        <v>95</v>
      </c>
      <c r="K3212">
        <v>0</v>
      </c>
    </row>
    <row r="3213" spans="9:11">
      <c r="I3213" t="s">
        <v>91</v>
      </c>
      <c r="J3213" t="s">
        <v>92</v>
      </c>
      <c r="K3213">
        <v>0</v>
      </c>
    </row>
    <row r="3214" spans="9:11">
      <c r="I3214" t="s">
        <v>91</v>
      </c>
      <c r="J3214" t="s">
        <v>92</v>
      </c>
      <c r="K3214">
        <v>0</v>
      </c>
    </row>
    <row r="3215" spans="9:11">
      <c r="I3215" t="s">
        <v>94</v>
      </c>
      <c r="J3215" t="s">
        <v>95</v>
      </c>
      <c r="K3215">
        <v>0</v>
      </c>
    </row>
    <row r="3216" spans="9:11">
      <c r="I3216" t="s">
        <v>91</v>
      </c>
      <c r="J3216" t="s">
        <v>92</v>
      </c>
      <c r="K3216">
        <v>0</v>
      </c>
    </row>
    <row r="3217" spans="9:11">
      <c r="I3217" t="s">
        <v>94</v>
      </c>
      <c r="J3217" t="s">
        <v>95</v>
      </c>
      <c r="K3217">
        <v>0</v>
      </c>
    </row>
    <row r="3218" spans="9:11">
      <c r="I3218" t="s">
        <v>94</v>
      </c>
      <c r="J3218" t="s">
        <v>95</v>
      </c>
      <c r="K3218">
        <v>0</v>
      </c>
    </row>
    <row r="3219" spans="9:11">
      <c r="I3219" t="s">
        <v>91</v>
      </c>
      <c r="J3219" t="s">
        <v>92</v>
      </c>
      <c r="K3219">
        <v>0</v>
      </c>
    </row>
    <row r="3220" spans="9:11">
      <c r="I3220" t="s">
        <v>91</v>
      </c>
      <c r="J3220" t="s">
        <v>92</v>
      </c>
      <c r="K3220">
        <v>0</v>
      </c>
    </row>
    <row r="3221" spans="9:11">
      <c r="I3221" t="s">
        <v>94</v>
      </c>
      <c r="J3221" t="s">
        <v>95</v>
      </c>
      <c r="K3221">
        <v>0</v>
      </c>
    </row>
    <row r="3222" spans="9:11">
      <c r="I3222" t="s">
        <v>91</v>
      </c>
      <c r="J3222" t="s">
        <v>92</v>
      </c>
      <c r="K3222">
        <v>0</v>
      </c>
    </row>
    <row r="3223" spans="9:11">
      <c r="I3223" t="s">
        <v>94</v>
      </c>
      <c r="J3223" t="s">
        <v>95</v>
      </c>
      <c r="K3223">
        <v>0</v>
      </c>
    </row>
    <row r="3224" spans="9:11">
      <c r="I3224" t="s">
        <v>91</v>
      </c>
      <c r="J3224" t="s">
        <v>92</v>
      </c>
      <c r="K3224">
        <v>0</v>
      </c>
    </row>
    <row r="3225" spans="9:11">
      <c r="I3225" t="s">
        <v>94</v>
      </c>
      <c r="J3225" t="s">
        <v>95</v>
      </c>
      <c r="K3225">
        <v>0</v>
      </c>
    </row>
    <row r="3226" spans="9:11">
      <c r="I3226" t="s">
        <v>94</v>
      </c>
      <c r="J3226" t="s">
        <v>95</v>
      </c>
      <c r="K3226">
        <v>0</v>
      </c>
    </row>
    <row r="3227" spans="9:11">
      <c r="I3227" t="s">
        <v>94</v>
      </c>
      <c r="J3227" t="s">
        <v>95</v>
      </c>
      <c r="K3227">
        <v>0</v>
      </c>
    </row>
    <row r="3228" spans="9:11">
      <c r="I3228" t="s">
        <v>91</v>
      </c>
      <c r="J3228" t="s">
        <v>92</v>
      </c>
      <c r="K3228">
        <v>0</v>
      </c>
    </row>
    <row r="3229" spans="9:11">
      <c r="I3229" t="s">
        <v>94</v>
      </c>
      <c r="J3229" t="s">
        <v>95</v>
      </c>
      <c r="K3229">
        <v>0</v>
      </c>
    </row>
    <row r="3230" spans="9:11">
      <c r="I3230" t="s">
        <v>94</v>
      </c>
      <c r="J3230" t="s">
        <v>95</v>
      </c>
      <c r="K3230">
        <v>0</v>
      </c>
    </row>
    <row r="3231" spans="9:11">
      <c r="I3231" t="s">
        <v>91</v>
      </c>
      <c r="J3231" t="s">
        <v>92</v>
      </c>
      <c r="K3231">
        <v>0</v>
      </c>
    </row>
    <row r="3232" spans="9:11">
      <c r="I3232" t="s">
        <v>94</v>
      </c>
      <c r="J3232" t="s">
        <v>95</v>
      </c>
      <c r="K3232">
        <v>0</v>
      </c>
    </row>
    <row r="3233" spans="9:11">
      <c r="I3233" t="s">
        <v>91</v>
      </c>
      <c r="J3233" t="s">
        <v>92</v>
      </c>
      <c r="K3233">
        <v>0</v>
      </c>
    </row>
    <row r="3234" spans="9:11">
      <c r="I3234" t="s">
        <v>94</v>
      </c>
      <c r="J3234" t="s">
        <v>95</v>
      </c>
      <c r="K3234">
        <v>0</v>
      </c>
    </row>
    <row r="3235" spans="9:11">
      <c r="I3235" t="s">
        <v>94</v>
      </c>
      <c r="J3235" t="s">
        <v>95</v>
      </c>
      <c r="K3235">
        <v>0</v>
      </c>
    </row>
    <row r="3236" spans="9:11">
      <c r="I3236" t="s">
        <v>91</v>
      </c>
      <c r="J3236" t="s">
        <v>92</v>
      </c>
      <c r="K3236">
        <v>0</v>
      </c>
    </row>
    <row r="3237" spans="9:11">
      <c r="I3237" t="s">
        <v>91</v>
      </c>
      <c r="J3237" t="s">
        <v>92</v>
      </c>
      <c r="K3237">
        <v>0</v>
      </c>
    </row>
    <row r="3238" spans="9:11">
      <c r="I3238" t="s">
        <v>94</v>
      </c>
      <c r="J3238" t="s">
        <v>95</v>
      </c>
      <c r="K3238">
        <v>0</v>
      </c>
    </row>
    <row r="3239" spans="9:11">
      <c r="I3239" t="s">
        <v>94</v>
      </c>
      <c r="J3239" t="s">
        <v>95</v>
      </c>
      <c r="K3239">
        <v>0</v>
      </c>
    </row>
    <row r="3240" spans="9:11">
      <c r="I3240" t="s">
        <v>94</v>
      </c>
      <c r="J3240" t="s">
        <v>95</v>
      </c>
      <c r="K3240">
        <v>0</v>
      </c>
    </row>
    <row r="3241" spans="9:11">
      <c r="I3241" t="s">
        <v>94</v>
      </c>
      <c r="J3241" t="s">
        <v>95</v>
      </c>
      <c r="K3241">
        <v>1</v>
      </c>
    </row>
    <row r="3242" spans="9:11">
      <c r="I3242" t="s">
        <v>94</v>
      </c>
      <c r="J3242" t="s">
        <v>95</v>
      </c>
      <c r="K3242">
        <v>0</v>
      </c>
    </row>
    <row r="3243" spans="9:11">
      <c r="I3243" t="s">
        <v>94</v>
      </c>
      <c r="J3243" t="s">
        <v>95</v>
      </c>
      <c r="K3243">
        <v>0</v>
      </c>
    </row>
    <row r="3244" spans="9:11">
      <c r="I3244" t="s">
        <v>91</v>
      </c>
      <c r="J3244" t="s">
        <v>92</v>
      </c>
      <c r="K3244">
        <v>0</v>
      </c>
    </row>
    <row r="3245" spans="9:11">
      <c r="I3245" t="s">
        <v>91</v>
      </c>
      <c r="J3245" t="s">
        <v>92</v>
      </c>
      <c r="K3245">
        <v>0</v>
      </c>
    </row>
    <row r="3246" spans="9:11">
      <c r="I3246" t="s">
        <v>94</v>
      </c>
      <c r="J3246" t="s">
        <v>95</v>
      </c>
      <c r="K3246">
        <v>0</v>
      </c>
    </row>
    <row r="3247" spans="9:11">
      <c r="I3247" t="s">
        <v>94</v>
      </c>
      <c r="J3247" t="s">
        <v>95</v>
      </c>
      <c r="K3247">
        <v>0</v>
      </c>
    </row>
    <row r="3248" spans="9:11">
      <c r="I3248" t="s">
        <v>94</v>
      </c>
      <c r="J3248" t="s">
        <v>95</v>
      </c>
      <c r="K3248">
        <v>0</v>
      </c>
    </row>
    <row r="3249" spans="9:11">
      <c r="I3249" t="s">
        <v>94</v>
      </c>
      <c r="J3249" t="s">
        <v>95</v>
      </c>
      <c r="K3249">
        <v>0</v>
      </c>
    </row>
    <row r="3250" spans="9:11">
      <c r="I3250" t="s">
        <v>91</v>
      </c>
      <c r="J3250" t="s">
        <v>92</v>
      </c>
      <c r="K3250">
        <v>0</v>
      </c>
    </row>
    <row r="3251" spans="9:11">
      <c r="I3251" t="s">
        <v>94</v>
      </c>
      <c r="J3251" t="s">
        <v>95</v>
      </c>
      <c r="K3251">
        <v>0</v>
      </c>
    </row>
    <row r="3252" spans="9:11">
      <c r="I3252" t="s">
        <v>91</v>
      </c>
      <c r="J3252" t="s">
        <v>92</v>
      </c>
      <c r="K3252">
        <v>0</v>
      </c>
    </row>
    <row r="3253" spans="9:11">
      <c r="I3253" t="s">
        <v>94</v>
      </c>
      <c r="J3253" t="s">
        <v>95</v>
      </c>
      <c r="K3253">
        <v>0</v>
      </c>
    </row>
    <row r="3254" spans="9:11">
      <c r="I3254" t="s">
        <v>94</v>
      </c>
      <c r="J3254" t="s">
        <v>95</v>
      </c>
      <c r="K3254">
        <v>0</v>
      </c>
    </row>
    <row r="3255" spans="9:11">
      <c r="I3255" t="s">
        <v>94</v>
      </c>
      <c r="J3255" t="s">
        <v>95</v>
      </c>
      <c r="K3255">
        <v>0</v>
      </c>
    </row>
    <row r="3256" spans="9:11">
      <c r="I3256" t="s">
        <v>91</v>
      </c>
      <c r="J3256" t="s">
        <v>92</v>
      </c>
      <c r="K3256">
        <v>0</v>
      </c>
    </row>
    <row r="3257" spans="9:11">
      <c r="I3257" t="s">
        <v>94</v>
      </c>
      <c r="J3257" t="s">
        <v>95</v>
      </c>
      <c r="K3257">
        <v>0</v>
      </c>
    </row>
    <row r="3258" spans="9:11">
      <c r="I3258" t="s">
        <v>91</v>
      </c>
      <c r="J3258" t="s">
        <v>92</v>
      </c>
      <c r="K3258">
        <v>0</v>
      </c>
    </row>
    <row r="3259" spans="9:11">
      <c r="I3259" t="s">
        <v>94</v>
      </c>
      <c r="J3259" t="s">
        <v>95</v>
      </c>
      <c r="K3259">
        <v>0</v>
      </c>
    </row>
    <row r="3260" spans="9:11">
      <c r="I3260" t="s">
        <v>91</v>
      </c>
      <c r="J3260" t="s">
        <v>92</v>
      </c>
      <c r="K3260">
        <v>0</v>
      </c>
    </row>
    <row r="3261" spans="9:11">
      <c r="I3261" t="s">
        <v>94</v>
      </c>
      <c r="J3261" t="s">
        <v>95</v>
      </c>
      <c r="K3261">
        <v>0</v>
      </c>
    </row>
    <row r="3262" spans="9:11">
      <c r="I3262" t="s">
        <v>91</v>
      </c>
      <c r="J3262" t="s">
        <v>92</v>
      </c>
      <c r="K3262">
        <v>0</v>
      </c>
    </row>
    <row r="3263" spans="9:11">
      <c r="I3263" t="s">
        <v>91</v>
      </c>
      <c r="J3263" t="s">
        <v>92</v>
      </c>
      <c r="K3263">
        <v>0</v>
      </c>
    </row>
    <row r="3264" spans="9:11">
      <c r="I3264" t="s">
        <v>91</v>
      </c>
      <c r="J3264" t="s">
        <v>92</v>
      </c>
      <c r="K3264">
        <v>0</v>
      </c>
    </row>
    <row r="3265" spans="9:11">
      <c r="I3265" t="s">
        <v>91</v>
      </c>
      <c r="J3265" t="s">
        <v>92</v>
      </c>
      <c r="K3265">
        <v>0</v>
      </c>
    </row>
    <row r="3266" spans="9:11">
      <c r="I3266" t="s">
        <v>91</v>
      </c>
      <c r="J3266" t="s">
        <v>92</v>
      </c>
      <c r="K3266">
        <v>0</v>
      </c>
    </row>
    <row r="3267" spans="9:11">
      <c r="I3267" t="s">
        <v>91</v>
      </c>
      <c r="J3267" t="s">
        <v>92</v>
      </c>
      <c r="K3267">
        <v>0</v>
      </c>
    </row>
    <row r="3268" spans="9:11">
      <c r="I3268" t="s">
        <v>94</v>
      </c>
      <c r="J3268" t="s">
        <v>95</v>
      </c>
      <c r="K3268">
        <v>0</v>
      </c>
    </row>
    <row r="3269" spans="9:11">
      <c r="I3269" t="s">
        <v>91</v>
      </c>
      <c r="J3269" t="s">
        <v>92</v>
      </c>
      <c r="K3269">
        <v>0</v>
      </c>
    </row>
    <row r="3270" spans="9:11">
      <c r="I3270" t="s">
        <v>94</v>
      </c>
      <c r="J3270" t="s">
        <v>95</v>
      </c>
      <c r="K3270">
        <v>0</v>
      </c>
    </row>
    <row r="3271" spans="9:11">
      <c r="I3271" t="s">
        <v>91</v>
      </c>
      <c r="J3271" t="s">
        <v>92</v>
      </c>
      <c r="K3271">
        <v>0</v>
      </c>
    </row>
    <row r="3272" spans="9:11">
      <c r="I3272" t="s">
        <v>94</v>
      </c>
      <c r="J3272" t="s">
        <v>95</v>
      </c>
      <c r="K3272">
        <v>0</v>
      </c>
    </row>
    <row r="3273" spans="9:11">
      <c r="I3273" t="s">
        <v>91</v>
      </c>
      <c r="J3273" t="s">
        <v>92</v>
      </c>
      <c r="K3273">
        <v>0</v>
      </c>
    </row>
    <row r="3274" spans="9:11">
      <c r="I3274" t="s">
        <v>91</v>
      </c>
      <c r="J3274" t="s">
        <v>92</v>
      </c>
      <c r="K3274">
        <v>0</v>
      </c>
    </row>
    <row r="3275" spans="9:11">
      <c r="I3275" t="s">
        <v>94</v>
      </c>
      <c r="J3275" t="s">
        <v>95</v>
      </c>
      <c r="K3275">
        <v>0</v>
      </c>
    </row>
    <row r="3276" spans="9:11">
      <c r="I3276" t="s">
        <v>91</v>
      </c>
      <c r="J3276" t="s">
        <v>92</v>
      </c>
      <c r="K3276">
        <v>0</v>
      </c>
    </row>
    <row r="3277" spans="9:11">
      <c r="I3277" t="s">
        <v>91</v>
      </c>
      <c r="J3277" t="s">
        <v>92</v>
      </c>
      <c r="K3277">
        <v>0</v>
      </c>
    </row>
    <row r="3278" spans="9:11">
      <c r="I3278" t="s">
        <v>91</v>
      </c>
      <c r="J3278" t="s">
        <v>92</v>
      </c>
      <c r="K3278">
        <v>0</v>
      </c>
    </row>
    <row r="3279" spans="9:11">
      <c r="I3279" t="s">
        <v>91</v>
      </c>
      <c r="J3279" t="s">
        <v>92</v>
      </c>
      <c r="K3279">
        <v>0</v>
      </c>
    </row>
    <row r="3280" spans="9:11">
      <c r="I3280" t="s">
        <v>91</v>
      </c>
      <c r="J3280" t="s">
        <v>92</v>
      </c>
      <c r="K3280">
        <v>0</v>
      </c>
    </row>
    <row r="3281" spans="9:11">
      <c r="I3281" t="s">
        <v>94</v>
      </c>
      <c r="J3281" t="s">
        <v>95</v>
      </c>
      <c r="K3281">
        <v>0</v>
      </c>
    </row>
    <row r="3282" spans="9:11">
      <c r="I3282" t="s">
        <v>94</v>
      </c>
      <c r="J3282" t="s">
        <v>95</v>
      </c>
      <c r="K3282">
        <v>0</v>
      </c>
    </row>
    <row r="3283" spans="9:11">
      <c r="I3283" t="s">
        <v>91</v>
      </c>
      <c r="J3283" t="s">
        <v>92</v>
      </c>
      <c r="K3283">
        <v>0</v>
      </c>
    </row>
    <row r="3284" spans="9:11">
      <c r="I3284" t="s">
        <v>94</v>
      </c>
      <c r="J3284" t="s">
        <v>95</v>
      </c>
      <c r="K3284">
        <v>0</v>
      </c>
    </row>
    <row r="3285" spans="9:11">
      <c r="I3285" t="s">
        <v>94</v>
      </c>
      <c r="J3285" t="s">
        <v>95</v>
      </c>
      <c r="K3285">
        <v>0</v>
      </c>
    </row>
    <row r="3286" spans="9:11">
      <c r="I3286" t="s">
        <v>94</v>
      </c>
      <c r="J3286" t="s">
        <v>95</v>
      </c>
      <c r="K3286">
        <v>0</v>
      </c>
    </row>
    <row r="3287" spans="9:11">
      <c r="I3287" t="s">
        <v>91</v>
      </c>
      <c r="J3287" t="s">
        <v>92</v>
      </c>
      <c r="K3287">
        <v>0</v>
      </c>
    </row>
    <row r="3288" spans="9:11">
      <c r="I3288" t="s">
        <v>91</v>
      </c>
      <c r="J3288" t="s">
        <v>92</v>
      </c>
      <c r="K3288">
        <v>0</v>
      </c>
    </row>
    <row r="3289" spans="9:11">
      <c r="I3289" t="s">
        <v>94</v>
      </c>
      <c r="J3289" t="s">
        <v>95</v>
      </c>
      <c r="K3289">
        <v>0</v>
      </c>
    </row>
    <row r="3290" spans="9:11">
      <c r="I3290" t="s">
        <v>94</v>
      </c>
      <c r="J3290" t="s">
        <v>95</v>
      </c>
      <c r="K3290">
        <v>0</v>
      </c>
    </row>
    <row r="3291" spans="9:11">
      <c r="I3291" t="s">
        <v>94</v>
      </c>
      <c r="J3291" t="s">
        <v>95</v>
      </c>
      <c r="K3291">
        <v>0</v>
      </c>
    </row>
    <row r="3292" spans="9:11">
      <c r="I3292" t="s">
        <v>94</v>
      </c>
      <c r="J3292" t="s">
        <v>95</v>
      </c>
      <c r="K3292">
        <v>0</v>
      </c>
    </row>
    <row r="3293" spans="9:11">
      <c r="I3293" t="s">
        <v>91</v>
      </c>
      <c r="J3293" t="s">
        <v>92</v>
      </c>
      <c r="K3293">
        <v>0</v>
      </c>
    </row>
    <row r="3294" spans="9:11">
      <c r="I3294" t="s">
        <v>91</v>
      </c>
      <c r="J3294" t="s">
        <v>92</v>
      </c>
      <c r="K3294">
        <v>0</v>
      </c>
    </row>
    <row r="3295" spans="9:11">
      <c r="I3295" t="s">
        <v>91</v>
      </c>
      <c r="J3295" t="s">
        <v>92</v>
      </c>
      <c r="K3295">
        <v>0</v>
      </c>
    </row>
    <row r="3296" spans="9:11">
      <c r="I3296" t="s">
        <v>91</v>
      </c>
      <c r="J3296" t="s">
        <v>92</v>
      </c>
      <c r="K3296">
        <v>0</v>
      </c>
    </row>
    <row r="3297" spans="9:11">
      <c r="I3297" t="s">
        <v>91</v>
      </c>
      <c r="J3297" t="s">
        <v>92</v>
      </c>
      <c r="K3297">
        <v>0</v>
      </c>
    </row>
    <row r="3298" spans="9:11">
      <c r="I3298" t="s">
        <v>91</v>
      </c>
      <c r="J3298" t="s">
        <v>92</v>
      </c>
      <c r="K3298">
        <v>0</v>
      </c>
    </row>
    <row r="3299" spans="9:11">
      <c r="I3299" t="s">
        <v>91</v>
      </c>
      <c r="J3299" t="s">
        <v>92</v>
      </c>
      <c r="K3299">
        <v>0</v>
      </c>
    </row>
    <row r="3300" spans="9:11">
      <c r="I3300" t="s">
        <v>94</v>
      </c>
      <c r="J3300" t="s">
        <v>95</v>
      </c>
      <c r="K3300">
        <v>1</v>
      </c>
    </row>
    <row r="3301" spans="9:11">
      <c r="I3301" t="s">
        <v>91</v>
      </c>
      <c r="J3301" t="s">
        <v>92</v>
      </c>
      <c r="K3301">
        <v>0</v>
      </c>
    </row>
    <row r="3302" spans="9:11">
      <c r="I3302" t="s">
        <v>91</v>
      </c>
      <c r="J3302" t="s">
        <v>92</v>
      </c>
      <c r="K3302">
        <v>0</v>
      </c>
    </row>
    <row r="3303" spans="9:11">
      <c r="I3303" t="s">
        <v>91</v>
      </c>
      <c r="J3303" t="s">
        <v>92</v>
      </c>
      <c r="K3303">
        <v>0</v>
      </c>
    </row>
    <row r="3304" spans="9:11">
      <c r="I3304" t="s">
        <v>94</v>
      </c>
      <c r="J3304" t="s">
        <v>95</v>
      </c>
      <c r="K3304">
        <v>0</v>
      </c>
    </row>
    <row r="3305" spans="9:11">
      <c r="I3305" t="s">
        <v>94</v>
      </c>
      <c r="J3305" t="s">
        <v>95</v>
      </c>
      <c r="K3305">
        <v>0</v>
      </c>
    </row>
    <row r="3306" spans="9:11">
      <c r="I3306" t="s">
        <v>94</v>
      </c>
      <c r="J3306" t="s">
        <v>95</v>
      </c>
      <c r="K3306">
        <v>0</v>
      </c>
    </row>
    <row r="3307" spans="9:11">
      <c r="I3307" t="s">
        <v>91</v>
      </c>
      <c r="J3307" t="s">
        <v>92</v>
      </c>
      <c r="K3307">
        <v>0</v>
      </c>
    </row>
    <row r="3308" spans="9:11">
      <c r="I3308" t="s">
        <v>91</v>
      </c>
      <c r="J3308" t="s">
        <v>92</v>
      </c>
      <c r="K3308">
        <v>0</v>
      </c>
    </row>
    <row r="3309" spans="9:11">
      <c r="I3309" t="s">
        <v>94</v>
      </c>
      <c r="J3309" t="s">
        <v>95</v>
      </c>
      <c r="K3309">
        <v>0</v>
      </c>
    </row>
    <row r="3310" spans="9:11">
      <c r="I3310" t="s">
        <v>94</v>
      </c>
      <c r="J3310" t="s">
        <v>95</v>
      </c>
      <c r="K3310">
        <v>0</v>
      </c>
    </row>
    <row r="3311" spans="9:11">
      <c r="I3311" t="s">
        <v>91</v>
      </c>
      <c r="J3311" t="s">
        <v>92</v>
      </c>
      <c r="K3311">
        <v>0</v>
      </c>
    </row>
    <row r="3312" spans="9:11">
      <c r="I3312" t="s">
        <v>91</v>
      </c>
      <c r="J3312" t="s">
        <v>92</v>
      </c>
      <c r="K3312">
        <v>0</v>
      </c>
    </row>
    <row r="3313" spans="9:11">
      <c r="I3313" t="s">
        <v>91</v>
      </c>
      <c r="J3313" t="s">
        <v>92</v>
      </c>
      <c r="K3313">
        <v>0</v>
      </c>
    </row>
    <row r="3314" spans="9:11">
      <c r="I3314" t="s">
        <v>94</v>
      </c>
      <c r="J3314" t="s">
        <v>95</v>
      </c>
      <c r="K3314">
        <v>1</v>
      </c>
    </row>
    <row r="3315" spans="9:11">
      <c r="I3315" t="s">
        <v>94</v>
      </c>
      <c r="J3315" t="s">
        <v>95</v>
      </c>
      <c r="K3315">
        <v>0</v>
      </c>
    </row>
    <row r="3316" spans="9:11">
      <c r="I3316" t="s">
        <v>94</v>
      </c>
      <c r="J3316" t="s">
        <v>95</v>
      </c>
      <c r="K3316">
        <v>0</v>
      </c>
    </row>
    <row r="3317" spans="9:11">
      <c r="I3317" t="s">
        <v>94</v>
      </c>
      <c r="J3317" t="s">
        <v>95</v>
      </c>
      <c r="K3317">
        <v>0</v>
      </c>
    </row>
    <row r="3318" spans="9:11">
      <c r="I3318" t="s">
        <v>94</v>
      </c>
      <c r="J3318" t="s">
        <v>95</v>
      </c>
      <c r="K3318">
        <v>0</v>
      </c>
    </row>
    <row r="3319" spans="9:11">
      <c r="I3319" t="s">
        <v>94</v>
      </c>
      <c r="J3319" t="s">
        <v>95</v>
      </c>
      <c r="K3319">
        <v>0</v>
      </c>
    </row>
    <row r="3320" spans="9:11">
      <c r="I3320" t="s">
        <v>91</v>
      </c>
      <c r="J3320" t="s">
        <v>92</v>
      </c>
      <c r="K3320">
        <v>0</v>
      </c>
    </row>
    <row r="3321" spans="9:11">
      <c r="I3321" t="s">
        <v>94</v>
      </c>
      <c r="J3321" t="s">
        <v>95</v>
      </c>
      <c r="K3321">
        <v>0</v>
      </c>
    </row>
    <row r="3322" spans="9:11">
      <c r="I3322" t="s">
        <v>91</v>
      </c>
      <c r="J3322" t="s">
        <v>92</v>
      </c>
      <c r="K3322">
        <v>0</v>
      </c>
    </row>
    <row r="3323" spans="9:11">
      <c r="I3323" t="s">
        <v>91</v>
      </c>
      <c r="J3323" t="s">
        <v>92</v>
      </c>
      <c r="K3323">
        <v>0</v>
      </c>
    </row>
    <row r="3324" spans="9:11">
      <c r="I3324" t="s">
        <v>94</v>
      </c>
      <c r="J3324" t="s">
        <v>95</v>
      </c>
      <c r="K3324">
        <v>0</v>
      </c>
    </row>
    <row r="3325" spans="9:11">
      <c r="I3325" t="s">
        <v>91</v>
      </c>
      <c r="J3325" t="s">
        <v>92</v>
      </c>
      <c r="K3325">
        <v>0</v>
      </c>
    </row>
    <row r="3326" spans="9:11">
      <c r="I3326" t="s">
        <v>91</v>
      </c>
      <c r="J3326" t="s">
        <v>92</v>
      </c>
      <c r="K3326">
        <v>0</v>
      </c>
    </row>
    <row r="3327" spans="9:11">
      <c r="I3327" t="s">
        <v>94</v>
      </c>
      <c r="J3327" t="s">
        <v>95</v>
      </c>
      <c r="K3327">
        <v>0</v>
      </c>
    </row>
    <row r="3328" spans="9:11">
      <c r="I3328" t="s">
        <v>91</v>
      </c>
      <c r="J3328" t="s">
        <v>92</v>
      </c>
      <c r="K3328">
        <v>0</v>
      </c>
    </row>
    <row r="3329" spans="9:11">
      <c r="I3329" t="s">
        <v>91</v>
      </c>
      <c r="J3329" t="s">
        <v>92</v>
      </c>
      <c r="K3329">
        <v>0</v>
      </c>
    </row>
    <row r="3330" spans="9:11">
      <c r="I3330" t="s">
        <v>91</v>
      </c>
      <c r="J3330" t="s">
        <v>92</v>
      </c>
      <c r="K3330">
        <v>0</v>
      </c>
    </row>
    <row r="3331" spans="9:11">
      <c r="I3331" t="s">
        <v>91</v>
      </c>
      <c r="J3331" t="s">
        <v>92</v>
      </c>
      <c r="K3331">
        <v>0</v>
      </c>
    </row>
    <row r="3332" spans="9:11">
      <c r="I3332" t="s">
        <v>94</v>
      </c>
      <c r="J3332" t="s">
        <v>95</v>
      </c>
      <c r="K3332">
        <v>0</v>
      </c>
    </row>
    <row r="3333" spans="9:11">
      <c r="I3333" t="s">
        <v>94</v>
      </c>
      <c r="J3333" t="s">
        <v>95</v>
      </c>
      <c r="K3333">
        <v>0</v>
      </c>
    </row>
    <row r="3334" spans="9:11">
      <c r="I3334" t="s">
        <v>94</v>
      </c>
      <c r="J3334" t="s">
        <v>95</v>
      </c>
      <c r="K3334">
        <v>0</v>
      </c>
    </row>
    <row r="3335" spans="9:11">
      <c r="I3335" t="s">
        <v>94</v>
      </c>
      <c r="J3335" t="s">
        <v>95</v>
      </c>
      <c r="K3335">
        <v>0</v>
      </c>
    </row>
    <row r="3336" spans="9:11">
      <c r="I3336" t="s">
        <v>91</v>
      </c>
      <c r="J3336" t="s">
        <v>92</v>
      </c>
      <c r="K3336">
        <v>0</v>
      </c>
    </row>
    <row r="3337" spans="9:11">
      <c r="I3337" t="s">
        <v>94</v>
      </c>
      <c r="J3337" t="s">
        <v>95</v>
      </c>
      <c r="K3337">
        <v>0</v>
      </c>
    </row>
    <row r="3338" spans="9:11">
      <c r="I3338" t="s">
        <v>91</v>
      </c>
      <c r="J3338" t="s">
        <v>92</v>
      </c>
      <c r="K3338">
        <v>0</v>
      </c>
    </row>
    <row r="3339" spans="9:11">
      <c r="I3339" t="s">
        <v>94</v>
      </c>
      <c r="J3339" t="s">
        <v>95</v>
      </c>
      <c r="K3339">
        <v>0</v>
      </c>
    </row>
    <row r="3340" spans="9:11">
      <c r="I3340" t="s">
        <v>94</v>
      </c>
      <c r="J3340" t="s">
        <v>95</v>
      </c>
      <c r="K3340">
        <v>0</v>
      </c>
    </row>
    <row r="3341" spans="9:11">
      <c r="I3341" t="s">
        <v>91</v>
      </c>
      <c r="J3341" t="s">
        <v>92</v>
      </c>
      <c r="K3341">
        <v>0</v>
      </c>
    </row>
    <row r="3342" spans="9:11">
      <c r="I3342" t="s">
        <v>94</v>
      </c>
      <c r="J3342" t="s">
        <v>95</v>
      </c>
      <c r="K3342">
        <v>0</v>
      </c>
    </row>
    <row r="3343" spans="9:11">
      <c r="I3343" t="s">
        <v>91</v>
      </c>
      <c r="J3343" t="s">
        <v>92</v>
      </c>
      <c r="K3343">
        <v>0</v>
      </c>
    </row>
    <row r="3344" spans="9:11">
      <c r="I3344" t="s">
        <v>94</v>
      </c>
      <c r="J3344" t="s">
        <v>95</v>
      </c>
      <c r="K3344">
        <v>0</v>
      </c>
    </row>
    <row r="3345" spans="9:11">
      <c r="I3345" t="s">
        <v>91</v>
      </c>
      <c r="J3345" t="s">
        <v>92</v>
      </c>
      <c r="K3345">
        <v>0</v>
      </c>
    </row>
    <row r="3346" spans="9:11">
      <c r="I3346" t="s">
        <v>94</v>
      </c>
      <c r="J3346" t="s">
        <v>95</v>
      </c>
      <c r="K3346">
        <v>0</v>
      </c>
    </row>
    <row r="3347" spans="9:11">
      <c r="I3347" t="s">
        <v>94</v>
      </c>
      <c r="J3347" t="s">
        <v>95</v>
      </c>
      <c r="K3347">
        <v>0</v>
      </c>
    </row>
    <row r="3348" spans="9:11">
      <c r="I3348" t="s">
        <v>91</v>
      </c>
      <c r="J3348" t="s">
        <v>92</v>
      </c>
      <c r="K3348">
        <v>0</v>
      </c>
    </row>
    <row r="3349" spans="9:11">
      <c r="I3349" t="s">
        <v>94</v>
      </c>
      <c r="J3349" t="s">
        <v>95</v>
      </c>
      <c r="K3349">
        <v>0</v>
      </c>
    </row>
    <row r="3350" spans="9:11">
      <c r="I3350" t="s">
        <v>91</v>
      </c>
      <c r="J3350" t="s">
        <v>92</v>
      </c>
      <c r="K3350">
        <v>0</v>
      </c>
    </row>
    <row r="3351" spans="9:11">
      <c r="I3351" t="s">
        <v>94</v>
      </c>
      <c r="J3351" t="s">
        <v>95</v>
      </c>
      <c r="K3351">
        <v>0</v>
      </c>
    </row>
    <row r="3352" spans="9:11">
      <c r="I3352" t="s">
        <v>91</v>
      </c>
      <c r="J3352" t="s">
        <v>92</v>
      </c>
      <c r="K3352">
        <v>0</v>
      </c>
    </row>
    <row r="3353" spans="9:11">
      <c r="I3353" t="s">
        <v>91</v>
      </c>
      <c r="J3353" t="s">
        <v>92</v>
      </c>
      <c r="K3353">
        <v>0</v>
      </c>
    </row>
    <row r="3354" spans="9:11">
      <c r="I3354" t="s">
        <v>94</v>
      </c>
      <c r="J3354" t="s">
        <v>95</v>
      </c>
      <c r="K3354">
        <v>0</v>
      </c>
    </row>
    <row r="3355" spans="9:11">
      <c r="I3355" t="s">
        <v>91</v>
      </c>
      <c r="J3355" t="s">
        <v>92</v>
      </c>
      <c r="K3355">
        <v>0</v>
      </c>
    </row>
    <row r="3356" spans="9:11">
      <c r="I3356" t="s">
        <v>91</v>
      </c>
      <c r="J3356" t="s">
        <v>92</v>
      </c>
      <c r="K3356">
        <v>0</v>
      </c>
    </row>
    <row r="3357" spans="9:11">
      <c r="I3357" t="s">
        <v>94</v>
      </c>
      <c r="J3357" t="s">
        <v>95</v>
      </c>
      <c r="K3357">
        <v>0</v>
      </c>
    </row>
    <row r="3358" spans="9:11">
      <c r="I3358" t="s">
        <v>94</v>
      </c>
      <c r="J3358" t="s">
        <v>95</v>
      </c>
      <c r="K3358">
        <v>0</v>
      </c>
    </row>
    <row r="3359" spans="9:11">
      <c r="I3359" t="s">
        <v>91</v>
      </c>
      <c r="J3359" t="s">
        <v>92</v>
      </c>
      <c r="K3359">
        <v>0</v>
      </c>
    </row>
    <row r="3360" spans="9:11">
      <c r="I3360" t="s">
        <v>94</v>
      </c>
      <c r="J3360" t="s">
        <v>95</v>
      </c>
      <c r="K3360">
        <v>0</v>
      </c>
    </row>
    <row r="3361" spans="9:11">
      <c r="I3361" t="s">
        <v>91</v>
      </c>
      <c r="J3361" t="s">
        <v>92</v>
      </c>
      <c r="K3361">
        <v>0</v>
      </c>
    </row>
    <row r="3362" spans="9:11">
      <c r="I3362" t="s">
        <v>94</v>
      </c>
      <c r="J3362" t="s">
        <v>95</v>
      </c>
      <c r="K3362">
        <v>0</v>
      </c>
    </row>
    <row r="3363" spans="9:11">
      <c r="I3363" t="s">
        <v>94</v>
      </c>
      <c r="J3363" t="s">
        <v>95</v>
      </c>
      <c r="K3363">
        <v>0</v>
      </c>
    </row>
    <row r="3364" spans="9:11">
      <c r="I3364" t="s">
        <v>91</v>
      </c>
      <c r="J3364" t="s">
        <v>92</v>
      </c>
      <c r="K3364">
        <v>0</v>
      </c>
    </row>
    <row r="3365" spans="9:11">
      <c r="I3365" t="s">
        <v>91</v>
      </c>
      <c r="J3365" t="s">
        <v>92</v>
      </c>
      <c r="K3365">
        <v>0</v>
      </c>
    </row>
    <row r="3366" spans="9:11">
      <c r="I3366" t="s">
        <v>94</v>
      </c>
      <c r="J3366" t="s">
        <v>95</v>
      </c>
      <c r="K3366">
        <v>0</v>
      </c>
    </row>
    <row r="3367" spans="9:11">
      <c r="I3367" t="s">
        <v>91</v>
      </c>
      <c r="J3367" t="s">
        <v>92</v>
      </c>
      <c r="K3367">
        <v>0</v>
      </c>
    </row>
    <row r="3368" spans="9:11">
      <c r="I3368" t="s">
        <v>94</v>
      </c>
      <c r="J3368" t="s">
        <v>95</v>
      </c>
      <c r="K3368">
        <v>0</v>
      </c>
    </row>
    <row r="3369" spans="9:11">
      <c r="I3369" t="s">
        <v>91</v>
      </c>
      <c r="J3369" t="s">
        <v>92</v>
      </c>
      <c r="K3369">
        <v>0</v>
      </c>
    </row>
    <row r="3370" spans="9:11">
      <c r="I3370" t="s">
        <v>91</v>
      </c>
      <c r="J3370" t="s">
        <v>92</v>
      </c>
      <c r="K3370">
        <v>0</v>
      </c>
    </row>
    <row r="3371" spans="9:11">
      <c r="I3371" t="s">
        <v>91</v>
      </c>
      <c r="J3371" t="s">
        <v>92</v>
      </c>
      <c r="K3371">
        <v>0</v>
      </c>
    </row>
    <row r="3372" spans="9:11">
      <c r="I3372" t="s">
        <v>91</v>
      </c>
      <c r="J3372" t="s">
        <v>92</v>
      </c>
      <c r="K3372">
        <v>0</v>
      </c>
    </row>
    <row r="3373" spans="9:11">
      <c r="I3373" t="s">
        <v>94</v>
      </c>
      <c r="J3373" t="s">
        <v>95</v>
      </c>
      <c r="K3373">
        <v>0</v>
      </c>
    </row>
    <row r="3374" spans="9:11">
      <c r="I3374" t="s">
        <v>91</v>
      </c>
      <c r="J3374" t="s">
        <v>92</v>
      </c>
      <c r="K3374">
        <v>0</v>
      </c>
    </row>
    <row r="3375" spans="9:11">
      <c r="I3375" t="s">
        <v>91</v>
      </c>
      <c r="J3375" t="s">
        <v>92</v>
      </c>
      <c r="K3375">
        <v>0</v>
      </c>
    </row>
    <row r="3376" spans="9:11">
      <c r="I3376" t="s">
        <v>94</v>
      </c>
      <c r="J3376" t="s">
        <v>95</v>
      </c>
      <c r="K3376">
        <v>0</v>
      </c>
    </row>
    <row r="3377" spans="9:11">
      <c r="I3377" t="s">
        <v>94</v>
      </c>
      <c r="J3377" t="s">
        <v>95</v>
      </c>
      <c r="K3377">
        <v>0</v>
      </c>
    </row>
    <row r="3378" spans="9:11">
      <c r="I3378" t="s">
        <v>94</v>
      </c>
      <c r="J3378" t="s">
        <v>95</v>
      </c>
      <c r="K3378">
        <v>0</v>
      </c>
    </row>
    <row r="3379" spans="9:11">
      <c r="I3379" t="s">
        <v>91</v>
      </c>
      <c r="J3379" t="s">
        <v>92</v>
      </c>
      <c r="K3379">
        <v>0</v>
      </c>
    </row>
    <row r="3380" spans="9:11">
      <c r="I3380" t="s">
        <v>91</v>
      </c>
      <c r="J3380" t="s">
        <v>92</v>
      </c>
      <c r="K3380">
        <v>0</v>
      </c>
    </row>
    <row r="3381" spans="9:11">
      <c r="I3381" t="s">
        <v>91</v>
      </c>
      <c r="J3381" t="s">
        <v>92</v>
      </c>
      <c r="K3381">
        <v>0</v>
      </c>
    </row>
    <row r="3382" spans="9:11">
      <c r="I3382" t="s">
        <v>91</v>
      </c>
      <c r="J3382" t="s">
        <v>92</v>
      </c>
      <c r="K3382">
        <v>0</v>
      </c>
    </row>
    <row r="3383" spans="9:11">
      <c r="I3383" t="s">
        <v>94</v>
      </c>
      <c r="J3383" t="s">
        <v>95</v>
      </c>
      <c r="K3383">
        <v>0</v>
      </c>
    </row>
    <row r="3384" spans="9:11">
      <c r="I3384" t="s">
        <v>91</v>
      </c>
      <c r="J3384" t="s">
        <v>92</v>
      </c>
      <c r="K3384">
        <v>0</v>
      </c>
    </row>
    <row r="3385" spans="9:11">
      <c r="I3385" t="s">
        <v>91</v>
      </c>
      <c r="J3385" t="s">
        <v>92</v>
      </c>
      <c r="K3385">
        <v>0</v>
      </c>
    </row>
    <row r="3386" spans="9:11">
      <c r="I3386" t="s">
        <v>91</v>
      </c>
      <c r="J3386" t="s">
        <v>92</v>
      </c>
      <c r="K3386">
        <v>0</v>
      </c>
    </row>
    <row r="3387" spans="9:11">
      <c r="I3387" t="s">
        <v>91</v>
      </c>
      <c r="J3387" t="s">
        <v>92</v>
      </c>
      <c r="K3387">
        <v>0</v>
      </c>
    </row>
    <row r="3388" spans="9:11">
      <c r="I3388" t="s">
        <v>91</v>
      </c>
      <c r="J3388" t="s">
        <v>92</v>
      </c>
      <c r="K3388">
        <v>0</v>
      </c>
    </row>
    <row r="3389" spans="9:11">
      <c r="I3389" t="s">
        <v>91</v>
      </c>
      <c r="J3389" t="s">
        <v>92</v>
      </c>
      <c r="K3389">
        <v>0</v>
      </c>
    </row>
    <row r="3390" spans="9:11">
      <c r="I3390" t="s">
        <v>94</v>
      </c>
      <c r="J3390" t="s">
        <v>95</v>
      </c>
      <c r="K3390">
        <v>0</v>
      </c>
    </row>
    <row r="3391" spans="9:11">
      <c r="I3391" t="s">
        <v>91</v>
      </c>
      <c r="J3391" t="s">
        <v>92</v>
      </c>
      <c r="K3391">
        <v>0</v>
      </c>
    </row>
    <row r="3392" spans="9:11">
      <c r="I3392" t="s">
        <v>91</v>
      </c>
      <c r="J3392" t="s">
        <v>92</v>
      </c>
      <c r="K3392">
        <v>0</v>
      </c>
    </row>
    <row r="3393" spans="9:11">
      <c r="I3393" t="s">
        <v>91</v>
      </c>
      <c r="J3393" t="s">
        <v>92</v>
      </c>
      <c r="K3393">
        <v>0</v>
      </c>
    </row>
    <row r="3394" spans="9:11">
      <c r="I3394" t="s">
        <v>94</v>
      </c>
      <c r="J3394" t="s">
        <v>95</v>
      </c>
      <c r="K3394">
        <v>0</v>
      </c>
    </row>
    <row r="3395" spans="9:11">
      <c r="I3395" t="s">
        <v>91</v>
      </c>
      <c r="J3395" t="s">
        <v>92</v>
      </c>
      <c r="K3395">
        <v>0</v>
      </c>
    </row>
    <row r="3396" spans="9:11">
      <c r="I3396" t="s">
        <v>94</v>
      </c>
      <c r="J3396" t="s">
        <v>95</v>
      </c>
      <c r="K3396">
        <v>0</v>
      </c>
    </row>
    <row r="3397" spans="9:11">
      <c r="I3397" t="s">
        <v>94</v>
      </c>
      <c r="J3397" t="s">
        <v>95</v>
      </c>
      <c r="K3397">
        <v>0</v>
      </c>
    </row>
    <row r="3398" spans="9:11">
      <c r="I3398" t="s">
        <v>94</v>
      </c>
      <c r="J3398" t="s">
        <v>95</v>
      </c>
      <c r="K3398">
        <v>0</v>
      </c>
    </row>
    <row r="3399" spans="9:11">
      <c r="I3399" t="s">
        <v>94</v>
      </c>
      <c r="J3399" t="s">
        <v>95</v>
      </c>
      <c r="K3399">
        <v>0</v>
      </c>
    </row>
    <row r="3400" spans="9:11">
      <c r="I3400" t="s">
        <v>91</v>
      </c>
      <c r="J3400" t="s">
        <v>92</v>
      </c>
      <c r="K3400">
        <v>0</v>
      </c>
    </row>
    <row r="3401" spans="9:11">
      <c r="I3401" t="s">
        <v>94</v>
      </c>
      <c r="J3401" t="s">
        <v>95</v>
      </c>
      <c r="K3401">
        <v>0</v>
      </c>
    </row>
    <row r="3402" spans="9:11">
      <c r="I3402" t="s">
        <v>94</v>
      </c>
      <c r="J3402" t="s">
        <v>95</v>
      </c>
      <c r="K3402">
        <v>0</v>
      </c>
    </row>
    <row r="3403" spans="9:11">
      <c r="I3403" t="s">
        <v>91</v>
      </c>
      <c r="J3403" t="s">
        <v>92</v>
      </c>
      <c r="K3403">
        <v>0</v>
      </c>
    </row>
    <row r="3404" spans="9:11">
      <c r="I3404" t="s">
        <v>91</v>
      </c>
      <c r="J3404" t="s">
        <v>92</v>
      </c>
      <c r="K3404">
        <v>0</v>
      </c>
    </row>
    <row r="3405" spans="9:11">
      <c r="I3405" t="s">
        <v>91</v>
      </c>
      <c r="J3405" t="s">
        <v>92</v>
      </c>
      <c r="K3405">
        <v>0</v>
      </c>
    </row>
    <row r="3406" spans="9:11">
      <c r="I3406" t="s">
        <v>94</v>
      </c>
      <c r="J3406" t="s">
        <v>95</v>
      </c>
      <c r="K3406">
        <v>0</v>
      </c>
    </row>
    <row r="3407" spans="9:11">
      <c r="I3407" t="s">
        <v>91</v>
      </c>
      <c r="J3407" t="s">
        <v>92</v>
      </c>
      <c r="K3407">
        <v>0</v>
      </c>
    </row>
    <row r="3408" spans="9:11">
      <c r="I3408" t="s">
        <v>91</v>
      </c>
      <c r="J3408" t="s">
        <v>92</v>
      </c>
      <c r="K3408">
        <v>0</v>
      </c>
    </row>
    <row r="3409" spans="9:11">
      <c r="I3409" t="s">
        <v>91</v>
      </c>
      <c r="J3409" t="s">
        <v>92</v>
      </c>
      <c r="K3409">
        <v>0</v>
      </c>
    </row>
    <row r="3410" spans="9:11">
      <c r="I3410" t="s">
        <v>94</v>
      </c>
      <c r="J3410" t="s">
        <v>95</v>
      </c>
      <c r="K3410">
        <v>0</v>
      </c>
    </row>
    <row r="3411" spans="9:11">
      <c r="I3411" t="s">
        <v>91</v>
      </c>
      <c r="J3411" t="s">
        <v>92</v>
      </c>
      <c r="K3411">
        <v>0</v>
      </c>
    </row>
    <row r="3412" spans="9:11">
      <c r="I3412" t="s">
        <v>91</v>
      </c>
      <c r="J3412" t="s">
        <v>92</v>
      </c>
      <c r="K3412">
        <v>0</v>
      </c>
    </row>
    <row r="3413" spans="9:11">
      <c r="I3413" t="s">
        <v>91</v>
      </c>
      <c r="J3413" t="s">
        <v>92</v>
      </c>
      <c r="K3413">
        <v>0</v>
      </c>
    </row>
    <row r="3414" spans="9:11">
      <c r="I3414" t="s">
        <v>94</v>
      </c>
      <c r="J3414" t="s">
        <v>95</v>
      </c>
      <c r="K3414">
        <v>0</v>
      </c>
    </row>
    <row r="3415" spans="9:11">
      <c r="I3415" t="s">
        <v>94</v>
      </c>
      <c r="J3415" t="s">
        <v>95</v>
      </c>
      <c r="K3415">
        <v>0</v>
      </c>
    </row>
    <row r="3416" spans="9:11">
      <c r="I3416" t="s">
        <v>91</v>
      </c>
      <c r="J3416" t="s">
        <v>92</v>
      </c>
      <c r="K3416">
        <v>0</v>
      </c>
    </row>
    <row r="3417" spans="9:11">
      <c r="I3417" t="s">
        <v>91</v>
      </c>
      <c r="J3417" t="s">
        <v>92</v>
      </c>
      <c r="K3417">
        <v>0</v>
      </c>
    </row>
    <row r="3418" spans="9:11">
      <c r="I3418" t="s">
        <v>91</v>
      </c>
      <c r="J3418" t="s">
        <v>92</v>
      </c>
      <c r="K3418">
        <v>0</v>
      </c>
    </row>
    <row r="3419" spans="9:11">
      <c r="I3419" t="s">
        <v>91</v>
      </c>
      <c r="J3419" t="s">
        <v>92</v>
      </c>
      <c r="K3419">
        <v>0</v>
      </c>
    </row>
    <row r="3420" spans="9:11">
      <c r="I3420" t="s">
        <v>91</v>
      </c>
      <c r="J3420" t="s">
        <v>92</v>
      </c>
      <c r="K3420">
        <v>0</v>
      </c>
    </row>
    <row r="3421" spans="9:11">
      <c r="I3421" t="s">
        <v>91</v>
      </c>
      <c r="J3421" t="s">
        <v>92</v>
      </c>
      <c r="K3421">
        <v>0</v>
      </c>
    </row>
    <row r="3422" spans="9:11">
      <c r="I3422" t="s">
        <v>91</v>
      </c>
      <c r="J3422" t="s">
        <v>92</v>
      </c>
      <c r="K3422">
        <v>0</v>
      </c>
    </row>
    <row r="3423" spans="9:11">
      <c r="I3423" t="s">
        <v>91</v>
      </c>
      <c r="J3423" t="s">
        <v>92</v>
      </c>
      <c r="K3423">
        <v>0</v>
      </c>
    </row>
    <row r="3424" spans="9:11">
      <c r="I3424" t="s">
        <v>94</v>
      </c>
      <c r="J3424" t="s">
        <v>95</v>
      </c>
      <c r="K3424">
        <v>0</v>
      </c>
    </row>
    <row r="3425" spans="9:11">
      <c r="I3425" t="s">
        <v>91</v>
      </c>
      <c r="J3425" t="s">
        <v>92</v>
      </c>
      <c r="K3425">
        <v>0</v>
      </c>
    </row>
    <row r="3426" spans="9:11">
      <c r="I3426" t="s">
        <v>94</v>
      </c>
      <c r="J3426" t="s">
        <v>95</v>
      </c>
      <c r="K3426">
        <v>0</v>
      </c>
    </row>
    <row r="3427" spans="9:11">
      <c r="I3427" t="s">
        <v>91</v>
      </c>
      <c r="J3427" t="s">
        <v>92</v>
      </c>
      <c r="K3427">
        <v>0</v>
      </c>
    </row>
    <row r="3428" spans="9:11">
      <c r="I3428" t="s">
        <v>91</v>
      </c>
      <c r="J3428" t="s">
        <v>92</v>
      </c>
      <c r="K3428">
        <v>0</v>
      </c>
    </row>
    <row r="3429" spans="9:11">
      <c r="I3429" t="s">
        <v>94</v>
      </c>
      <c r="J3429" t="s">
        <v>95</v>
      </c>
      <c r="K3429">
        <v>0</v>
      </c>
    </row>
    <row r="3430" spans="9:11">
      <c r="I3430" t="s">
        <v>94</v>
      </c>
      <c r="J3430" t="s">
        <v>95</v>
      </c>
      <c r="K3430">
        <v>0</v>
      </c>
    </row>
    <row r="3431" spans="9:11">
      <c r="I3431" t="s">
        <v>91</v>
      </c>
      <c r="J3431" t="s">
        <v>92</v>
      </c>
      <c r="K3431">
        <v>0</v>
      </c>
    </row>
    <row r="3432" spans="9:11">
      <c r="I3432" t="s">
        <v>94</v>
      </c>
      <c r="J3432" t="s">
        <v>95</v>
      </c>
      <c r="K3432">
        <v>0</v>
      </c>
    </row>
    <row r="3433" spans="9:11">
      <c r="I3433" t="s">
        <v>91</v>
      </c>
      <c r="J3433" t="s">
        <v>92</v>
      </c>
      <c r="K3433">
        <v>0</v>
      </c>
    </row>
    <row r="3434" spans="9:11">
      <c r="I3434" t="s">
        <v>94</v>
      </c>
      <c r="J3434" t="s">
        <v>95</v>
      </c>
      <c r="K3434">
        <v>0</v>
      </c>
    </row>
    <row r="3435" spans="9:11">
      <c r="I3435" t="s">
        <v>91</v>
      </c>
      <c r="J3435" t="s">
        <v>92</v>
      </c>
      <c r="K3435">
        <v>0</v>
      </c>
    </row>
    <row r="3436" spans="9:11">
      <c r="I3436" t="s">
        <v>91</v>
      </c>
      <c r="J3436" t="s">
        <v>92</v>
      </c>
      <c r="K3436">
        <v>0</v>
      </c>
    </row>
    <row r="3437" spans="9:11">
      <c r="I3437" t="s">
        <v>91</v>
      </c>
      <c r="J3437" t="s">
        <v>92</v>
      </c>
      <c r="K3437">
        <v>0</v>
      </c>
    </row>
    <row r="3438" spans="9:11">
      <c r="I3438" t="s">
        <v>91</v>
      </c>
      <c r="J3438" t="s">
        <v>92</v>
      </c>
      <c r="K3438">
        <v>0</v>
      </c>
    </row>
    <row r="3439" spans="9:11">
      <c r="I3439" t="s">
        <v>91</v>
      </c>
      <c r="J3439" t="s">
        <v>92</v>
      </c>
      <c r="K3439">
        <v>0</v>
      </c>
    </row>
    <row r="3440" spans="9:11">
      <c r="I3440" t="s">
        <v>94</v>
      </c>
      <c r="J3440" t="s">
        <v>95</v>
      </c>
      <c r="K3440">
        <v>0</v>
      </c>
    </row>
    <row r="3441" spans="9:11">
      <c r="I3441" t="s">
        <v>91</v>
      </c>
      <c r="J3441" t="s">
        <v>92</v>
      </c>
      <c r="K3441">
        <v>0</v>
      </c>
    </row>
    <row r="3442" spans="9:11">
      <c r="I3442" t="s">
        <v>91</v>
      </c>
      <c r="J3442" t="s">
        <v>92</v>
      </c>
      <c r="K3442">
        <v>0</v>
      </c>
    </row>
    <row r="3443" spans="9:11">
      <c r="I3443" t="s">
        <v>91</v>
      </c>
      <c r="J3443" t="s">
        <v>92</v>
      </c>
      <c r="K3443">
        <v>0</v>
      </c>
    </row>
    <row r="3444" spans="9:11">
      <c r="I3444" t="s">
        <v>91</v>
      </c>
      <c r="J3444" t="s">
        <v>92</v>
      </c>
      <c r="K3444">
        <v>0</v>
      </c>
    </row>
    <row r="3445" spans="9:11">
      <c r="I3445" t="s">
        <v>94</v>
      </c>
      <c r="J3445" t="s">
        <v>95</v>
      </c>
      <c r="K3445">
        <v>0</v>
      </c>
    </row>
    <row r="3446" spans="9:11">
      <c r="I3446" t="s">
        <v>91</v>
      </c>
      <c r="J3446" t="s">
        <v>92</v>
      </c>
      <c r="K3446">
        <v>0</v>
      </c>
    </row>
    <row r="3447" spans="9:11">
      <c r="I3447" t="s">
        <v>94</v>
      </c>
      <c r="J3447" t="s">
        <v>95</v>
      </c>
      <c r="K3447">
        <v>0</v>
      </c>
    </row>
    <row r="3448" spans="9:11">
      <c r="I3448" t="s">
        <v>94</v>
      </c>
      <c r="J3448" t="s">
        <v>95</v>
      </c>
      <c r="K3448">
        <v>0</v>
      </c>
    </row>
    <row r="3449" spans="9:11">
      <c r="I3449" t="s">
        <v>91</v>
      </c>
      <c r="J3449" t="s">
        <v>92</v>
      </c>
      <c r="K3449">
        <v>0</v>
      </c>
    </row>
    <row r="3450" spans="9:11">
      <c r="I3450" t="s">
        <v>94</v>
      </c>
      <c r="J3450" t="s">
        <v>95</v>
      </c>
      <c r="K3450">
        <v>0</v>
      </c>
    </row>
    <row r="3451" spans="9:11">
      <c r="I3451" t="s">
        <v>94</v>
      </c>
      <c r="J3451" t="s">
        <v>95</v>
      </c>
      <c r="K3451">
        <v>0</v>
      </c>
    </row>
    <row r="3452" spans="9:11">
      <c r="I3452" t="s">
        <v>91</v>
      </c>
      <c r="J3452" t="s">
        <v>92</v>
      </c>
      <c r="K3452">
        <v>0</v>
      </c>
    </row>
    <row r="3453" spans="9:11">
      <c r="I3453" t="s">
        <v>94</v>
      </c>
      <c r="J3453" t="s">
        <v>95</v>
      </c>
      <c r="K3453">
        <v>0</v>
      </c>
    </row>
    <row r="3454" spans="9:11">
      <c r="I3454" t="s">
        <v>91</v>
      </c>
      <c r="J3454" t="s">
        <v>92</v>
      </c>
      <c r="K3454">
        <v>0</v>
      </c>
    </row>
    <row r="3455" spans="9:11">
      <c r="I3455" t="s">
        <v>91</v>
      </c>
      <c r="J3455" t="s">
        <v>92</v>
      </c>
      <c r="K3455">
        <v>0</v>
      </c>
    </row>
    <row r="3456" spans="9:11">
      <c r="I3456" t="s">
        <v>94</v>
      </c>
      <c r="J3456" t="s">
        <v>95</v>
      </c>
      <c r="K3456">
        <v>0</v>
      </c>
    </row>
    <row r="3457" spans="9:11">
      <c r="I3457" t="s">
        <v>91</v>
      </c>
      <c r="J3457" t="s">
        <v>92</v>
      </c>
      <c r="K3457">
        <v>0</v>
      </c>
    </row>
    <row r="3458" spans="9:11">
      <c r="I3458" t="s">
        <v>91</v>
      </c>
      <c r="J3458" t="s">
        <v>92</v>
      </c>
      <c r="K3458">
        <v>0</v>
      </c>
    </row>
    <row r="3459" spans="9:11">
      <c r="I3459" t="s">
        <v>94</v>
      </c>
      <c r="J3459" t="s">
        <v>95</v>
      </c>
      <c r="K3459">
        <v>0</v>
      </c>
    </row>
    <row r="3460" spans="9:11">
      <c r="I3460" t="s">
        <v>94</v>
      </c>
      <c r="J3460" t="s">
        <v>95</v>
      </c>
      <c r="K3460">
        <v>0</v>
      </c>
    </row>
    <row r="3461" spans="9:11">
      <c r="I3461" t="s">
        <v>94</v>
      </c>
      <c r="J3461" t="s">
        <v>95</v>
      </c>
      <c r="K3461">
        <v>0</v>
      </c>
    </row>
    <row r="3462" spans="9:11">
      <c r="I3462" t="s">
        <v>91</v>
      </c>
      <c r="J3462" t="s">
        <v>92</v>
      </c>
      <c r="K3462">
        <v>0</v>
      </c>
    </row>
    <row r="3463" spans="9:11">
      <c r="I3463" t="s">
        <v>94</v>
      </c>
      <c r="J3463" t="s">
        <v>95</v>
      </c>
      <c r="K3463">
        <v>0</v>
      </c>
    </row>
    <row r="3464" spans="9:11">
      <c r="I3464" t="s">
        <v>91</v>
      </c>
      <c r="J3464" t="s">
        <v>92</v>
      </c>
      <c r="K3464">
        <v>0</v>
      </c>
    </row>
    <row r="3465" spans="9:11">
      <c r="I3465" t="s">
        <v>91</v>
      </c>
      <c r="J3465" t="s">
        <v>92</v>
      </c>
      <c r="K3465">
        <v>0</v>
      </c>
    </row>
    <row r="3466" spans="9:11">
      <c r="I3466" t="s">
        <v>94</v>
      </c>
      <c r="J3466" t="s">
        <v>95</v>
      </c>
      <c r="K3466">
        <v>0</v>
      </c>
    </row>
    <row r="3467" spans="9:11">
      <c r="I3467" t="s">
        <v>91</v>
      </c>
      <c r="J3467" t="s">
        <v>92</v>
      </c>
      <c r="K3467">
        <v>0</v>
      </c>
    </row>
    <row r="3468" spans="9:11">
      <c r="I3468" t="s">
        <v>91</v>
      </c>
      <c r="J3468" t="s">
        <v>92</v>
      </c>
      <c r="K3468">
        <v>0</v>
      </c>
    </row>
    <row r="3469" spans="9:11">
      <c r="I3469" t="s">
        <v>91</v>
      </c>
      <c r="J3469" t="s">
        <v>92</v>
      </c>
      <c r="K3469">
        <v>0</v>
      </c>
    </row>
    <row r="3470" spans="9:11">
      <c r="I3470" t="s">
        <v>94</v>
      </c>
      <c r="J3470" t="s">
        <v>95</v>
      </c>
      <c r="K3470">
        <v>0</v>
      </c>
    </row>
    <row r="3471" spans="9:11">
      <c r="I3471" t="s">
        <v>94</v>
      </c>
      <c r="J3471" t="s">
        <v>95</v>
      </c>
      <c r="K3471">
        <v>0</v>
      </c>
    </row>
    <row r="3472" spans="9:11">
      <c r="I3472" t="s">
        <v>94</v>
      </c>
      <c r="J3472" t="s">
        <v>95</v>
      </c>
      <c r="K3472">
        <v>0</v>
      </c>
    </row>
    <row r="3473" spans="9:11">
      <c r="I3473" t="s">
        <v>94</v>
      </c>
      <c r="J3473" t="s">
        <v>95</v>
      </c>
      <c r="K3473">
        <v>0</v>
      </c>
    </row>
    <row r="3474" spans="9:11">
      <c r="I3474" t="s">
        <v>94</v>
      </c>
      <c r="J3474" t="s">
        <v>95</v>
      </c>
      <c r="K3474">
        <v>0</v>
      </c>
    </row>
    <row r="3475" spans="9:11">
      <c r="I3475" t="s">
        <v>91</v>
      </c>
      <c r="J3475" t="s">
        <v>92</v>
      </c>
      <c r="K3475">
        <v>0</v>
      </c>
    </row>
    <row r="3476" spans="9:11">
      <c r="I3476" t="s">
        <v>91</v>
      </c>
      <c r="J3476" t="s">
        <v>92</v>
      </c>
      <c r="K3476">
        <v>0</v>
      </c>
    </row>
    <row r="3477" spans="9:11">
      <c r="I3477" t="s">
        <v>91</v>
      </c>
      <c r="J3477" t="s">
        <v>92</v>
      </c>
      <c r="K3477">
        <v>0</v>
      </c>
    </row>
    <row r="3478" spans="9:11">
      <c r="I3478" t="s">
        <v>91</v>
      </c>
      <c r="J3478" t="s">
        <v>92</v>
      </c>
      <c r="K3478">
        <v>0</v>
      </c>
    </row>
    <row r="3479" spans="9:11">
      <c r="I3479" t="s">
        <v>94</v>
      </c>
      <c r="J3479" t="s">
        <v>95</v>
      </c>
      <c r="K3479">
        <v>0</v>
      </c>
    </row>
    <row r="3480" spans="9:11">
      <c r="I3480" t="s">
        <v>94</v>
      </c>
      <c r="J3480" t="s">
        <v>95</v>
      </c>
      <c r="K3480">
        <v>0</v>
      </c>
    </row>
    <row r="3481" spans="9:11">
      <c r="I3481" t="s">
        <v>94</v>
      </c>
      <c r="J3481" t="s">
        <v>95</v>
      </c>
      <c r="K3481">
        <v>0</v>
      </c>
    </row>
    <row r="3482" spans="9:11">
      <c r="I3482" t="s">
        <v>91</v>
      </c>
      <c r="J3482" t="s">
        <v>92</v>
      </c>
      <c r="K3482">
        <v>0</v>
      </c>
    </row>
    <row r="3483" spans="9:11">
      <c r="I3483" t="s">
        <v>91</v>
      </c>
      <c r="J3483" t="s">
        <v>92</v>
      </c>
      <c r="K3483">
        <v>0</v>
      </c>
    </row>
    <row r="3484" spans="9:11">
      <c r="I3484" t="s">
        <v>94</v>
      </c>
      <c r="J3484" t="s">
        <v>95</v>
      </c>
      <c r="K3484">
        <v>0</v>
      </c>
    </row>
    <row r="3485" spans="9:11">
      <c r="I3485" t="s">
        <v>94</v>
      </c>
      <c r="J3485" t="s">
        <v>95</v>
      </c>
      <c r="K3485">
        <v>0</v>
      </c>
    </row>
    <row r="3486" spans="9:11">
      <c r="I3486" t="s">
        <v>91</v>
      </c>
      <c r="J3486" t="s">
        <v>92</v>
      </c>
      <c r="K3486">
        <v>0</v>
      </c>
    </row>
    <row r="3487" spans="9:11">
      <c r="I3487" t="s">
        <v>91</v>
      </c>
      <c r="J3487" t="s">
        <v>92</v>
      </c>
      <c r="K3487">
        <v>0</v>
      </c>
    </row>
    <row r="3488" spans="9:11">
      <c r="I3488" t="s">
        <v>91</v>
      </c>
      <c r="J3488" t="s">
        <v>92</v>
      </c>
      <c r="K3488">
        <v>0</v>
      </c>
    </row>
    <row r="3489" spans="9:11">
      <c r="I3489" t="s">
        <v>94</v>
      </c>
      <c r="J3489" t="s">
        <v>95</v>
      </c>
      <c r="K3489">
        <v>0</v>
      </c>
    </row>
    <row r="3490" spans="9:11">
      <c r="I3490" t="s">
        <v>94</v>
      </c>
      <c r="J3490" t="s">
        <v>95</v>
      </c>
      <c r="K3490">
        <v>0</v>
      </c>
    </row>
    <row r="3491" spans="9:11">
      <c r="I3491" t="s">
        <v>91</v>
      </c>
      <c r="J3491" t="s">
        <v>92</v>
      </c>
      <c r="K3491">
        <v>0</v>
      </c>
    </row>
    <row r="3492" spans="9:11">
      <c r="I3492" t="s">
        <v>94</v>
      </c>
      <c r="J3492" t="s">
        <v>95</v>
      </c>
      <c r="K3492">
        <v>0</v>
      </c>
    </row>
    <row r="3493" spans="9:11">
      <c r="I3493" t="s">
        <v>94</v>
      </c>
      <c r="J3493" t="s">
        <v>95</v>
      </c>
      <c r="K3493">
        <v>0</v>
      </c>
    </row>
    <row r="3494" spans="9:11">
      <c r="I3494" t="s">
        <v>91</v>
      </c>
      <c r="J3494" t="s">
        <v>92</v>
      </c>
      <c r="K3494">
        <v>0</v>
      </c>
    </row>
    <row r="3495" spans="9:11">
      <c r="I3495" t="s">
        <v>91</v>
      </c>
      <c r="J3495" t="s">
        <v>92</v>
      </c>
      <c r="K3495">
        <v>0</v>
      </c>
    </row>
    <row r="3496" spans="9:11">
      <c r="I3496" t="s">
        <v>94</v>
      </c>
      <c r="J3496" t="s">
        <v>95</v>
      </c>
      <c r="K3496">
        <v>0</v>
      </c>
    </row>
    <row r="3497" spans="9:11">
      <c r="I3497" t="s">
        <v>94</v>
      </c>
      <c r="J3497" t="s">
        <v>95</v>
      </c>
      <c r="K3497">
        <v>0</v>
      </c>
    </row>
    <row r="3498" spans="9:11">
      <c r="I3498" t="s">
        <v>94</v>
      </c>
      <c r="J3498" t="s">
        <v>95</v>
      </c>
      <c r="K3498">
        <v>0</v>
      </c>
    </row>
    <row r="3499" spans="9:11">
      <c r="I3499" t="s">
        <v>91</v>
      </c>
      <c r="J3499" t="s">
        <v>92</v>
      </c>
      <c r="K3499">
        <v>0</v>
      </c>
    </row>
    <row r="3500" spans="9:11">
      <c r="I3500" t="s">
        <v>94</v>
      </c>
      <c r="J3500" t="s">
        <v>95</v>
      </c>
      <c r="K3500">
        <v>0</v>
      </c>
    </row>
    <row r="3501" spans="9:11">
      <c r="I3501" t="s">
        <v>91</v>
      </c>
      <c r="J3501" t="s">
        <v>92</v>
      </c>
      <c r="K3501">
        <v>0</v>
      </c>
    </row>
    <row r="3502" spans="9:11">
      <c r="I3502" t="s">
        <v>91</v>
      </c>
      <c r="J3502" t="s">
        <v>92</v>
      </c>
      <c r="K3502">
        <v>0</v>
      </c>
    </row>
    <row r="3503" spans="9:11">
      <c r="I3503" t="s">
        <v>91</v>
      </c>
      <c r="J3503" t="s">
        <v>92</v>
      </c>
      <c r="K3503">
        <v>0</v>
      </c>
    </row>
    <row r="3504" spans="9:11">
      <c r="I3504" t="s">
        <v>91</v>
      </c>
      <c r="J3504" t="s">
        <v>92</v>
      </c>
      <c r="K3504">
        <v>0</v>
      </c>
    </row>
    <row r="3505" spans="9:11">
      <c r="I3505" t="s">
        <v>94</v>
      </c>
      <c r="J3505" t="s">
        <v>95</v>
      </c>
      <c r="K3505">
        <v>0</v>
      </c>
    </row>
    <row r="3506" spans="9:11">
      <c r="I3506" t="s">
        <v>94</v>
      </c>
      <c r="J3506" t="s">
        <v>95</v>
      </c>
      <c r="K3506">
        <v>0</v>
      </c>
    </row>
    <row r="3507" spans="9:11">
      <c r="I3507" t="s">
        <v>91</v>
      </c>
      <c r="J3507" t="s">
        <v>92</v>
      </c>
      <c r="K3507">
        <v>0</v>
      </c>
    </row>
    <row r="3508" spans="9:11">
      <c r="I3508" t="s">
        <v>94</v>
      </c>
      <c r="J3508" t="s">
        <v>95</v>
      </c>
      <c r="K3508">
        <v>0</v>
      </c>
    </row>
    <row r="3509" spans="9:11">
      <c r="I3509" t="s">
        <v>91</v>
      </c>
      <c r="J3509" t="s">
        <v>92</v>
      </c>
      <c r="K3509">
        <v>0</v>
      </c>
    </row>
    <row r="3510" spans="9:11">
      <c r="I3510" t="s">
        <v>91</v>
      </c>
      <c r="J3510" t="s">
        <v>92</v>
      </c>
      <c r="K3510">
        <v>0</v>
      </c>
    </row>
    <row r="3511" spans="9:11">
      <c r="I3511" t="s">
        <v>94</v>
      </c>
      <c r="J3511" t="s">
        <v>95</v>
      </c>
      <c r="K3511">
        <v>0</v>
      </c>
    </row>
    <row r="3512" spans="9:11">
      <c r="I3512" t="s">
        <v>94</v>
      </c>
      <c r="J3512" t="s">
        <v>95</v>
      </c>
      <c r="K3512">
        <v>0</v>
      </c>
    </row>
    <row r="3513" spans="9:11">
      <c r="I3513" t="s">
        <v>94</v>
      </c>
      <c r="J3513" t="s">
        <v>95</v>
      </c>
      <c r="K3513">
        <v>0</v>
      </c>
    </row>
    <row r="3514" spans="9:11">
      <c r="I3514" t="s">
        <v>91</v>
      </c>
      <c r="J3514" t="s">
        <v>92</v>
      </c>
      <c r="K3514">
        <v>1</v>
      </c>
    </row>
    <row r="3515" spans="9:11">
      <c r="I3515" t="s">
        <v>91</v>
      </c>
      <c r="J3515" t="s">
        <v>92</v>
      </c>
      <c r="K3515">
        <v>0</v>
      </c>
    </row>
    <row r="3516" spans="9:11">
      <c r="I3516" t="s">
        <v>91</v>
      </c>
      <c r="J3516" t="s">
        <v>92</v>
      </c>
      <c r="K3516">
        <v>0</v>
      </c>
    </row>
    <row r="3517" spans="9:11">
      <c r="I3517" t="s">
        <v>94</v>
      </c>
      <c r="J3517" t="s">
        <v>95</v>
      </c>
      <c r="K3517">
        <v>0</v>
      </c>
    </row>
    <row r="3518" spans="9:11">
      <c r="I3518" t="s">
        <v>94</v>
      </c>
      <c r="J3518" t="s">
        <v>95</v>
      </c>
      <c r="K3518">
        <v>0</v>
      </c>
    </row>
    <row r="3519" spans="9:11">
      <c r="I3519" t="s">
        <v>91</v>
      </c>
      <c r="J3519" t="s">
        <v>92</v>
      </c>
      <c r="K3519">
        <v>0</v>
      </c>
    </row>
    <row r="3520" spans="9:11">
      <c r="I3520" t="s">
        <v>91</v>
      </c>
      <c r="J3520" t="s">
        <v>92</v>
      </c>
      <c r="K3520">
        <v>0</v>
      </c>
    </row>
    <row r="3521" spans="9:11">
      <c r="I3521" t="s">
        <v>94</v>
      </c>
      <c r="J3521" t="s">
        <v>95</v>
      </c>
      <c r="K3521">
        <v>0</v>
      </c>
    </row>
    <row r="3522" spans="9:11">
      <c r="I3522" t="s">
        <v>91</v>
      </c>
      <c r="J3522" t="s">
        <v>92</v>
      </c>
      <c r="K3522">
        <v>0</v>
      </c>
    </row>
    <row r="3523" spans="9:11">
      <c r="I3523" t="s">
        <v>94</v>
      </c>
      <c r="J3523" t="s">
        <v>95</v>
      </c>
      <c r="K3523">
        <v>0</v>
      </c>
    </row>
    <row r="3524" spans="9:11">
      <c r="I3524" t="s">
        <v>91</v>
      </c>
      <c r="J3524" t="s">
        <v>92</v>
      </c>
      <c r="K3524">
        <v>0</v>
      </c>
    </row>
    <row r="3525" spans="9:11">
      <c r="I3525" t="s">
        <v>91</v>
      </c>
      <c r="J3525" t="s">
        <v>92</v>
      </c>
      <c r="K3525">
        <v>0</v>
      </c>
    </row>
    <row r="3526" spans="9:11">
      <c r="I3526" t="s">
        <v>94</v>
      </c>
      <c r="J3526" t="s">
        <v>95</v>
      </c>
      <c r="K3526">
        <v>0</v>
      </c>
    </row>
    <row r="3527" spans="9:11">
      <c r="I3527" t="s">
        <v>94</v>
      </c>
      <c r="J3527" t="s">
        <v>95</v>
      </c>
      <c r="K3527">
        <v>0</v>
      </c>
    </row>
    <row r="3528" spans="9:11">
      <c r="I3528" t="s">
        <v>94</v>
      </c>
      <c r="J3528" t="s">
        <v>95</v>
      </c>
      <c r="K3528">
        <v>0</v>
      </c>
    </row>
    <row r="3529" spans="9:11">
      <c r="I3529" t="s">
        <v>94</v>
      </c>
      <c r="J3529" t="s">
        <v>95</v>
      </c>
      <c r="K3529">
        <v>0</v>
      </c>
    </row>
    <row r="3530" spans="9:11">
      <c r="I3530" t="s">
        <v>91</v>
      </c>
      <c r="J3530" t="s">
        <v>92</v>
      </c>
      <c r="K3530">
        <v>0</v>
      </c>
    </row>
    <row r="3531" spans="9:11">
      <c r="I3531" t="s">
        <v>91</v>
      </c>
      <c r="J3531" t="s">
        <v>92</v>
      </c>
      <c r="K3531">
        <v>0</v>
      </c>
    </row>
    <row r="3532" spans="9:11">
      <c r="I3532" t="s">
        <v>91</v>
      </c>
      <c r="J3532" t="s">
        <v>92</v>
      </c>
      <c r="K3532">
        <v>0</v>
      </c>
    </row>
    <row r="3533" spans="9:11">
      <c r="I3533" t="s">
        <v>91</v>
      </c>
      <c r="J3533" t="s">
        <v>92</v>
      </c>
      <c r="K3533">
        <v>0</v>
      </c>
    </row>
    <row r="3534" spans="9:11">
      <c r="I3534" t="s">
        <v>94</v>
      </c>
      <c r="J3534" t="s">
        <v>95</v>
      </c>
      <c r="K3534">
        <v>0</v>
      </c>
    </row>
    <row r="3535" spans="9:11">
      <c r="I3535" t="s">
        <v>91</v>
      </c>
      <c r="J3535" t="s">
        <v>92</v>
      </c>
      <c r="K3535">
        <v>0</v>
      </c>
    </row>
    <row r="3536" spans="9:11">
      <c r="I3536" t="s">
        <v>94</v>
      </c>
      <c r="J3536" t="s">
        <v>95</v>
      </c>
      <c r="K3536">
        <v>0</v>
      </c>
    </row>
    <row r="3537" spans="9:11">
      <c r="I3537" t="s">
        <v>94</v>
      </c>
      <c r="J3537" t="s">
        <v>95</v>
      </c>
      <c r="K3537">
        <v>0</v>
      </c>
    </row>
    <row r="3538" spans="9:11">
      <c r="I3538" t="s">
        <v>91</v>
      </c>
      <c r="J3538" t="s">
        <v>92</v>
      </c>
      <c r="K3538">
        <v>0</v>
      </c>
    </row>
    <row r="3539" spans="9:11">
      <c r="I3539" t="s">
        <v>91</v>
      </c>
      <c r="J3539" t="s">
        <v>92</v>
      </c>
      <c r="K3539">
        <v>0</v>
      </c>
    </row>
    <row r="3540" spans="9:11">
      <c r="I3540" t="s">
        <v>91</v>
      </c>
      <c r="J3540" t="s">
        <v>92</v>
      </c>
      <c r="K3540">
        <v>0</v>
      </c>
    </row>
    <row r="3541" spans="9:11">
      <c r="I3541" t="s">
        <v>91</v>
      </c>
      <c r="J3541" t="s">
        <v>92</v>
      </c>
      <c r="K3541">
        <v>0</v>
      </c>
    </row>
    <row r="3542" spans="9:11">
      <c r="I3542" t="s">
        <v>91</v>
      </c>
      <c r="J3542" t="s">
        <v>92</v>
      </c>
      <c r="K3542">
        <v>0</v>
      </c>
    </row>
    <row r="3543" spans="9:11">
      <c r="I3543" t="s">
        <v>94</v>
      </c>
      <c r="J3543" t="s">
        <v>95</v>
      </c>
      <c r="K3543">
        <v>0</v>
      </c>
    </row>
    <row r="3544" spans="9:11">
      <c r="I3544" t="s">
        <v>91</v>
      </c>
      <c r="J3544" t="s">
        <v>92</v>
      </c>
      <c r="K3544">
        <v>0</v>
      </c>
    </row>
    <row r="3545" spans="9:11">
      <c r="I3545" t="s">
        <v>94</v>
      </c>
      <c r="J3545" t="s">
        <v>95</v>
      </c>
      <c r="K3545">
        <v>0</v>
      </c>
    </row>
    <row r="3546" spans="9:11">
      <c r="I3546" t="s">
        <v>91</v>
      </c>
      <c r="J3546" t="s">
        <v>92</v>
      </c>
      <c r="K3546">
        <v>0</v>
      </c>
    </row>
    <row r="3547" spans="9:11">
      <c r="I3547" t="s">
        <v>94</v>
      </c>
      <c r="J3547" t="s">
        <v>95</v>
      </c>
      <c r="K3547">
        <v>0</v>
      </c>
    </row>
    <row r="3548" spans="9:11">
      <c r="I3548" t="s">
        <v>91</v>
      </c>
      <c r="J3548" t="s">
        <v>92</v>
      </c>
      <c r="K3548">
        <v>0</v>
      </c>
    </row>
    <row r="3549" spans="9:11">
      <c r="I3549" t="s">
        <v>91</v>
      </c>
      <c r="J3549" t="s">
        <v>92</v>
      </c>
      <c r="K3549">
        <v>0</v>
      </c>
    </row>
    <row r="3550" spans="9:11">
      <c r="I3550" t="s">
        <v>94</v>
      </c>
      <c r="J3550" t="s">
        <v>95</v>
      </c>
      <c r="K3550">
        <v>0</v>
      </c>
    </row>
    <row r="3551" spans="9:11">
      <c r="I3551" t="s">
        <v>91</v>
      </c>
      <c r="J3551" t="s">
        <v>92</v>
      </c>
      <c r="K3551">
        <v>0</v>
      </c>
    </row>
    <row r="3552" spans="9:11">
      <c r="I3552" t="s">
        <v>91</v>
      </c>
      <c r="J3552" t="s">
        <v>92</v>
      </c>
      <c r="K3552">
        <v>0</v>
      </c>
    </row>
    <row r="3553" spans="9:11">
      <c r="I3553" t="s">
        <v>91</v>
      </c>
      <c r="J3553" t="s">
        <v>92</v>
      </c>
      <c r="K3553">
        <v>0</v>
      </c>
    </row>
    <row r="3554" spans="9:11">
      <c r="I3554" t="s">
        <v>94</v>
      </c>
      <c r="J3554" t="s">
        <v>95</v>
      </c>
      <c r="K3554">
        <v>0</v>
      </c>
    </row>
    <row r="3555" spans="9:11">
      <c r="I3555" t="s">
        <v>94</v>
      </c>
      <c r="J3555" t="s">
        <v>95</v>
      </c>
      <c r="K3555">
        <v>0</v>
      </c>
    </row>
    <row r="3556" spans="9:11">
      <c r="I3556" t="s">
        <v>94</v>
      </c>
      <c r="J3556" t="s">
        <v>95</v>
      </c>
      <c r="K3556">
        <v>0</v>
      </c>
    </row>
    <row r="3557" spans="9:11">
      <c r="I3557" t="s">
        <v>94</v>
      </c>
      <c r="J3557" t="s">
        <v>95</v>
      </c>
      <c r="K3557">
        <v>0</v>
      </c>
    </row>
    <row r="3558" spans="9:11">
      <c r="I3558" t="s">
        <v>91</v>
      </c>
      <c r="J3558" t="s">
        <v>92</v>
      </c>
      <c r="K3558">
        <v>0</v>
      </c>
    </row>
    <row r="3559" spans="9:11">
      <c r="I3559" t="s">
        <v>91</v>
      </c>
      <c r="J3559" t="s">
        <v>92</v>
      </c>
      <c r="K3559">
        <v>0</v>
      </c>
    </row>
    <row r="3560" spans="9:11">
      <c r="I3560" t="s">
        <v>94</v>
      </c>
      <c r="J3560" t="s">
        <v>95</v>
      </c>
      <c r="K3560">
        <v>0</v>
      </c>
    </row>
    <row r="3561" spans="9:11">
      <c r="I3561" t="s">
        <v>91</v>
      </c>
      <c r="J3561" t="s">
        <v>92</v>
      </c>
      <c r="K3561">
        <v>1</v>
      </c>
    </row>
    <row r="3562" spans="9:11">
      <c r="I3562" t="s">
        <v>91</v>
      </c>
      <c r="J3562" t="s">
        <v>92</v>
      </c>
      <c r="K3562">
        <v>0</v>
      </c>
    </row>
    <row r="3563" spans="9:11">
      <c r="I3563" t="s">
        <v>94</v>
      </c>
      <c r="J3563" t="s">
        <v>95</v>
      </c>
      <c r="K3563">
        <v>0</v>
      </c>
    </row>
    <row r="3564" spans="9:11">
      <c r="I3564" t="s">
        <v>91</v>
      </c>
      <c r="J3564" t="s">
        <v>92</v>
      </c>
      <c r="K3564">
        <v>0</v>
      </c>
    </row>
    <row r="3565" spans="9:11">
      <c r="I3565" t="s">
        <v>94</v>
      </c>
      <c r="J3565" t="s">
        <v>95</v>
      </c>
      <c r="K3565">
        <v>0</v>
      </c>
    </row>
    <row r="3566" spans="9:11">
      <c r="I3566" t="s">
        <v>91</v>
      </c>
      <c r="J3566" t="s">
        <v>92</v>
      </c>
      <c r="K3566">
        <v>0</v>
      </c>
    </row>
    <row r="3567" spans="9:11">
      <c r="I3567" t="s">
        <v>91</v>
      </c>
      <c r="J3567" t="s">
        <v>92</v>
      </c>
      <c r="K3567">
        <v>0</v>
      </c>
    </row>
    <row r="3568" spans="9:11">
      <c r="I3568" t="s">
        <v>94</v>
      </c>
      <c r="J3568" t="s">
        <v>95</v>
      </c>
      <c r="K3568">
        <v>0</v>
      </c>
    </row>
    <row r="3569" spans="9:11">
      <c r="I3569" t="s">
        <v>91</v>
      </c>
      <c r="J3569" t="s">
        <v>92</v>
      </c>
      <c r="K3569">
        <v>0</v>
      </c>
    </row>
    <row r="3570" spans="9:11">
      <c r="I3570" t="s">
        <v>91</v>
      </c>
      <c r="J3570" t="s">
        <v>92</v>
      </c>
      <c r="K3570">
        <v>0</v>
      </c>
    </row>
    <row r="3571" spans="9:11">
      <c r="I3571" t="s">
        <v>94</v>
      </c>
      <c r="J3571" t="s">
        <v>95</v>
      </c>
      <c r="K3571">
        <v>0</v>
      </c>
    </row>
    <row r="3572" spans="9:11">
      <c r="I3572" t="s">
        <v>94</v>
      </c>
      <c r="J3572" t="s">
        <v>95</v>
      </c>
      <c r="K3572">
        <v>0</v>
      </c>
    </row>
    <row r="3573" spans="9:11">
      <c r="I3573" t="s">
        <v>91</v>
      </c>
      <c r="J3573" t="s">
        <v>92</v>
      </c>
      <c r="K3573">
        <v>0</v>
      </c>
    </row>
    <row r="3574" spans="9:11">
      <c r="I3574" t="s">
        <v>91</v>
      </c>
      <c r="J3574" t="s">
        <v>92</v>
      </c>
      <c r="K3574">
        <v>0</v>
      </c>
    </row>
    <row r="3575" spans="9:11">
      <c r="I3575" t="s">
        <v>94</v>
      </c>
      <c r="J3575" t="s">
        <v>95</v>
      </c>
      <c r="K3575">
        <v>0</v>
      </c>
    </row>
    <row r="3576" spans="9:11">
      <c r="I3576" t="s">
        <v>94</v>
      </c>
      <c r="J3576" t="s">
        <v>95</v>
      </c>
      <c r="K3576">
        <v>0</v>
      </c>
    </row>
    <row r="3577" spans="9:11">
      <c r="I3577" t="s">
        <v>91</v>
      </c>
      <c r="J3577" t="s">
        <v>92</v>
      </c>
      <c r="K3577">
        <v>0</v>
      </c>
    </row>
    <row r="3578" spans="9:11">
      <c r="I3578" t="s">
        <v>94</v>
      </c>
      <c r="J3578" t="s">
        <v>95</v>
      </c>
      <c r="K3578">
        <v>0</v>
      </c>
    </row>
    <row r="3579" spans="9:11">
      <c r="I3579" t="s">
        <v>91</v>
      </c>
      <c r="J3579" t="s">
        <v>92</v>
      </c>
      <c r="K3579">
        <v>0</v>
      </c>
    </row>
    <row r="3580" spans="9:11">
      <c r="I3580" t="s">
        <v>94</v>
      </c>
      <c r="J3580" t="s">
        <v>95</v>
      </c>
      <c r="K3580">
        <v>0</v>
      </c>
    </row>
    <row r="3581" spans="9:11">
      <c r="I3581" t="s">
        <v>94</v>
      </c>
      <c r="J3581" t="s">
        <v>95</v>
      </c>
      <c r="K3581">
        <v>0</v>
      </c>
    </row>
    <row r="3582" spans="9:11">
      <c r="I3582" t="s">
        <v>91</v>
      </c>
      <c r="J3582" t="s">
        <v>92</v>
      </c>
      <c r="K3582">
        <v>0</v>
      </c>
    </row>
    <row r="3583" spans="9:11">
      <c r="I3583" t="s">
        <v>94</v>
      </c>
      <c r="J3583" t="s">
        <v>95</v>
      </c>
      <c r="K3583">
        <v>0</v>
      </c>
    </row>
    <row r="3584" spans="9:11">
      <c r="I3584" t="s">
        <v>91</v>
      </c>
      <c r="J3584" t="s">
        <v>92</v>
      </c>
      <c r="K3584">
        <v>0</v>
      </c>
    </row>
    <row r="3585" spans="9:11">
      <c r="I3585" t="s">
        <v>91</v>
      </c>
      <c r="J3585" t="s">
        <v>92</v>
      </c>
      <c r="K3585">
        <v>0</v>
      </c>
    </row>
    <row r="3586" spans="9:11">
      <c r="I3586" t="s">
        <v>94</v>
      </c>
      <c r="J3586" t="s">
        <v>95</v>
      </c>
      <c r="K3586">
        <v>0</v>
      </c>
    </row>
    <row r="3587" spans="9:11">
      <c r="I3587" t="s">
        <v>94</v>
      </c>
      <c r="J3587" t="s">
        <v>95</v>
      </c>
      <c r="K3587">
        <v>0</v>
      </c>
    </row>
    <row r="3588" spans="9:11">
      <c r="I3588" t="s">
        <v>91</v>
      </c>
      <c r="J3588" t="s">
        <v>92</v>
      </c>
      <c r="K3588">
        <v>0</v>
      </c>
    </row>
    <row r="3589" spans="9:11">
      <c r="I3589" t="s">
        <v>91</v>
      </c>
      <c r="J3589" t="s">
        <v>92</v>
      </c>
      <c r="K3589">
        <v>0</v>
      </c>
    </row>
    <row r="3590" spans="9:11">
      <c r="I3590" t="s">
        <v>91</v>
      </c>
      <c r="J3590" t="s">
        <v>92</v>
      </c>
      <c r="K3590">
        <v>0</v>
      </c>
    </row>
    <row r="3591" spans="9:11">
      <c r="I3591" t="s">
        <v>91</v>
      </c>
      <c r="J3591" t="s">
        <v>92</v>
      </c>
      <c r="K3591">
        <v>0</v>
      </c>
    </row>
    <row r="3592" spans="9:11">
      <c r="I3592" t="s">
        <v>91</v>
      </c>
      <c r="J3592" t="s">
        <v>92</v>
      </c>
      <c r="K3592">
        <v>0</v>
      </c>
    </row>
    <row r="3593" spans="9:11">
      <c r="I3593" t="s">
        <v>94</v>
      </c>
      <c r="J3593" t="s">
        <v>95</v>
      </c>
      <c r="K3593">
        <v>0</v>
      </c>
    </row>
    <row r="3594" spans="9:11">
      <c r="I3594" t="s">
        <v>91</v>
      </c>
      <c r="J3594" t="s">
        <v>92</v>
      </c>
      <c r="K3594">
        <v>0</v>
      </c>
    </row>
    <row r="3595" spans="9:11">
      <c r="I3595" t="s">
        <v>94</v>
      </c>
      <c r="J3595" t="s">
        <v>95</v>
      </c>
      <c r="K3595">
        <v>0</v>
      </c>
    </row>
    <row r="3596" spans="9:11">
      <c r="I3596" t="s">
        <v>91</v>
      </c>
      <c r="J3596" t="s">
        <v>92</v>
      </c>
      <c r="K3596">
        <v>0</v>
      </c>
    </row>
    <row r="3597" spans="9:11">
      <c r="I3597" t="s">
        <v>91</v>
      </c>
      <c r="J3597" t="s">
        <v>92</v>
      </c>
      <c r="K3597">
        <v>0</v>
      </c>
    </row>
    <row r="3598" spans="9:11">
      <c r="I3598" t="s">
        <v>91</v>
      </c>
      <c r="J3598" t="s">
        <v>92</v>
      </c>
      <c r="K3598">
        <v>0</v>
      </c>
    </row>
    <row r="3599" spans="9:11">
      <c r="I3599" t="s">
        <v>94</v>
      </c>
      <c r="J3599" t="s">
        <v>95</v>
      </c>
      <c r="K3599">
        <v>1</v>
      </c>
    </row>
    <row r="3600" spans="9:11">
      <c r="I3600" t="s">
        <v>94</v>
      </c>
      <c r="J3600" t="s">
        <v>95</v>
      </c>
      <c r="K3600">
        <v>0</v>
      </c>
    </row>
    <row r="3601" spans="9:11">
      <c r="I3601" t="s">
        <v>91</v>
      </c>
      <c r="J3601" t="s">
        <v>92</v>
      </c>
      <c r="K3601">
        <v>0</v>
      </c>
    </row>
    <row r="3602" spans="9:11">
      <c r="I3602" t="s">
        <v>94</v>
      </c>
      <c r="J3602" t="s">
        <v>95</v>
      </c>
      <c r="K3602">
        <v>0</v>
      </c>
    </row>
    <row r="3603" spans="9:11">
      <c r="I3603" t="s">
        <v>94</v>
      </c>
      <c r="J3603" t="s">
        <v>95</v>
      </c>
      <c r="K3603">
        <v>0</v>
      </c>
    </row>
    <row r="3604" spans="9:11">
      <c r="I3604" t="s">
        <v>94</v>
      </c>
      <c r="J3604" t="s">
        <v>95</v>
      </c>
      <c r="K3604">
        <v>0</v>
      </c>
    </row>
    <row r="3605" spans="9:11">
      <c r="I3605" t="s">
        <v>91</v>
      </c>
      <c r="J3605" t="s">
        <v>92</v>
      </c>
      <c r="K3605">
        <v>0</v>
      </c>
    </row>
    <row r="3606" spans="9:11">
      <c r="I3606" t="s">
        <v>94</v>
      </c>
      <c r="J3606" t="s">
        <v>95</v>
      </c>
      <c r="K3606">
        <v>0</v>
      </c>
    </row>
    <row r="3607" spans="9:11">
      <c r="I3607" t="s">
        <v>94</v>
      </c>
      <c r="J3607" t="s">
        <v>95</v>
      </c>
      <c r="K3607">
        <v>0</v>
      </c>
    </row>
    <row r="3608" spans="9:11">
      <c r="I3608" t="s">
        <v>91</v>
      </c>
      <c r="J3608" t="s">
        <v>92</v>
      </c>
      <c r="K3608">
        <v>0</v>
      </c>
    </row>
    <row r="3609" spans="9:11">
      <c r="I3609" t="s">
        <v>94</v>
      </c>
      <c r="J3609" t="s">
        <v>95</v>
      </c>
      <c r="K3609">
        <v>0</v>
      </c>
    </row>
    <row r="3610" spans="9:11">
      <c r="I3610" t="s">
        <v>91</v>
      </c>
      <c r="J3610" t="s">
        <v>92</v>
      </c>
      <c r="K3610">
        <v>0</v>
      </c>
    </row>
    <row r="3611" spans="9:11">
      <c r="I3611" t="s">
        <v>94</v>
      </c>
      <c r="J3611" t="s">
        <v>95</v>
      </c>
      <c r="K3611">
        <v>0</v>
      </c>
    </row>
    <row r="3612" spans="9:11">
      <c r="I3612" t="s">
        <v>91</v>
      </c>
      <c r="J3612" t="s">
        <v>92</v>
      </c>
      <c r="K3612">
        <v>0</v>
      </c>
    </row>
    <row r="3613" spans="9:11">
      <c r="I3613" t="s">
        <v>91</v>
      </c>
      <c r="J3613" t="s">
        <v>92</v>
      </c>
      <c r="K3613">
        <v>0</v>
      </c>
    </row>
    <row r="3614" spans="9:11">
      <c r="I3614" t="s">
        <v>94</v>
      </c>
      <c r="J3614" t="s">
        <v>95</v>
      </c>
      <c r="K3614">
        <v>0</v>
      </c>
    </row>
    <row r="3615" spans="9:11">
      <c r="I3615" t="s">
        <v>91</v>
      </c>
      <c r="J3615" t="s">
        <v>92</v>
      </c>
      <c r="K3615">
        <v>0</v>
      </c>
    </row>
    <row r="3616" spans="9:11">
      <c r="I3616" t="s">
        <v>94</v>
      </c>
      <c r="J3616" t="s">
        <v>95</v>
      </c>
      <c r="K3616">
        <v>0</v>
      </c>
    </row>
    <row r="3617" spans="9:11">
      <c r="I3617" t="s">
        <v>91</v>
      </c>
      <c r="J3617" t="s">
        <v>92</v>
      </c>
      <c r="K3617">
        <v>0</v>
      </c>
    </row>
    <row r="3618" spans="9:11">
      <c r="I3618" t="s">
        <v>94</v>
      </c>
      <c r="J3618" t="s">
        <v>95</v>
      </c>
      <c r="K3618">
        <v>0</v>
      </c>
    </row>
    <row r="3619" spans="9:11">
      <c r="I3619" t="s">
        <v>94</v>
      </c>
      <c r="J3619" t="s">
        <v>95</v>
      </c>
      <c r="K3619">
        <v>0</v>
      </c>
    </row>
    <row r="3620" spans="9:11">
      <c r="I3620" t="s">
        <v>91</v>
      </c>
      <c r="J3620" t="s">
        <v>92</v>
      </c>
      <c r="K3620">
        <v>0</v>
      </c>
    </row>
    <row r="3621" spans="9:11">
      <c r="I3621" t="s">
        <v>94</v>
      </c>
      <c r="J3621" t="s">
        <v>95</v>
      </c>
      <c r="K3621">
        <v>0</v>
      </c>
    </row>
    <row r="3622" spans="9:11">
      <c r="I3622" t="s">
        <v>94</v>
      </c>
      <c r="J3622" t="s">
        <v>95</v>
      </c>
      <c r="K3622">
        <v>0</v>
      </c>
    </row>
    <row r="3623" spans="9:11">
      <c r="I3623" t="s">
        <v>94</v>
      </c>
      <c r="J3623" t="s">
        <v>95</v>
      </c>
      <c r="K3623">
        <v>0</v>
      </c>
    </row>
    <row r="3624" spans="9:11">
      <c r="I3624" t="s">
        <v>91</v>
      </c>
      <c r="J3624" t="s">
        <v>92</v>
      </c>
      <c r="K3624">
        <v>0</v>
      </c>
    </row>
    <row r="3625" spans="9:11">
      <c r="I3625" t="s">
        <v>91</v>
      </c>
      <c r="J3625" t="s">
        <v>92</v>
      </c>
      <c r="K3625">
        <v>0</v>
      </c>
    </row>
    <row r="3626" spans="9:11">
      <c r="I3626" t="s">
        <v>91</v>
      </c>
      <c r="J3626" t="s">
        <v>92</v>
      </c>
      <c r="K3626">
        <v>0</v>
      </c>
    </row>
    <row r="3627" spans="9:11">
      <c r="I3627" t="s">
        <v>91</v>
      </c>
      <c r="J3627" t="s">
        <v>92</v>
      </c>
      <c r="K3627">
        <v>0</v>
      </c>
    </row>
    <row r="3628" spans="9:11">
      <c r="I3628" t="s">
        <v>91</v>
      </c>
      <c r="J3628" t="s">
        <v>92</v>
      </c>
      <c r="K3628">
        <v>0</v>
      </c>
    </row>
    <row r="3629" spans="9:11">
      <c r="I3629" t="s">
        <v>91</v>
      </c>
      <c r="J3629" t="s">
        <v>92</v>
      </c>
      <c r="K3629">
        <v>0</v>
      </c>
    </row>
    <row r="3630" spans="9:11">
      <c r="I3630" t="s">
        <v>94</v>
      </c>
      <c r="J3630" t="s">
        <v>95</v>
      </c>
      <c r="K3630">
        <v>0</v>
      </c>
    </row>
    <row r="3631" spans="9:11">
      <c r="I3631" t="s">
        <v>91</v>
      </c>
      <c r="J3631" t="s">
        <v>92</v>
      </c>
      <c r="K3631">
        <v>0</v>
      </c>
    </row>
    <row r="3632" spans="9:11">
      <c r="I3632" t="s">
        <v>91</v>
      </c>
      <c r="J3632" t="s">
        <v>92</v>
      </c>
      <c r="K3632">
        <v>0</v>
      </c>
    </row>
    <row r="3633" spans="9:11">
      <c r="I3633" t="s">
        <v>94</v>
      </c>
      <c r="J3633" t="s">
        <v>95</v>
      </c>
      <c r="K3633">
        <v>0</v>
      </c>
    </row>
    <row r="3634" spans="9:11">
      <c r="I3634" t="s">
        <v>91</v>
      </c>
      <c r="J3634" t="s">
        <v>92</v>
      </c>
      <c r="K3634">
        <v>0</v>
      </c>
    </row>
    <row r="3635" spans="9:11">
      <c r="I3635" t="s">
        <v>91</v>
      </c>
      <c r="J3635" t="s">
        <v>92</v>
      </c>
      <c r="K3635">
        <v>0</v>
      </c>
    </row>
    <row r="3636" spans="9:11">
      <c r="I3636" t="s">
        <v>91</v>
      </c>
      <c r="J3636" t="s">
        <v>92</v>
      </c>
      <c r="K3636">
        <v>0</v>
      </c>
    </row>
    <row r="3637" spans="9:11">
      <c r="I3637" t="s">
        <v>91</v>
      </c>
      <c r="J3637" t="s">
        <v>92</v>
      </c>
      <c r="K3637">
        <v>0</v>
      </c>
    </row>
    <row r="3638" spans="9:11">
      <c r="I3638" t="s">
        <v>91</v>
      </c>
      <c r="J3638" t="s">
        <v>92</v>
      </c>
      <c r="K3638">
        <v>0</v>
      </c>
    </row>
    <row r="3639" spans="9:11">
      <c r="I3639" t="s">
        <v>94</v>
      </c>
      <c r="J3639" t="s">
        <v>95</v>
      </c>
      <c r="K3639">
        <v>0</v>
      </c>
    </row>
    <row r="3640" spans="9:11">
      <c r="I3640" t="s">
        <v>94</v>
      </c>
      <c r="J3640" t="s">
        <v>95</v>
      </c>
      <c r="K3640">
        <v>0</v>
      </c>
    </row>
    <row r="3641" spans="9:11">
      <c r="I3641" t="s">
        <v>91</v>
      </c>
      <c r="J3641" t="s">
        <v>92</v>
      </c>
      <c r="K3641">
        <v>0</v>
      </c>
    </row>
    <row r="3642" spans="9:11">
      <c r="I3642" t="s">
        <v>94</v>
      </c>
      <c r="J3642" t="s">
        <v>95</v>
      </c>
      <c r="K3642">
        <v>0</v>
      </c>
    </row>
    <row r="3643" spans="9:11">
      <c r="I3643" t="s">
        <v>91</v>
      </c>
      <c r="J3643" t="s">
        <v>92</v>
      </c>
      <c r="K3643">
        <v>0</v>
      </c>
    </row>
    <row r="3644" spans="9:11">
      <c r="I3644" t="s">
        <v>91</v>
      </c>
      <c r="J3644" t="s">
        <v>92</v>
      </c>
      <c r="K3644">
        <v>0</v>
      </c>
    </row>
    <row r="3645" spans="9:11">
      <c r="I3645" t="s">
        <v>91</v>
      </c>
      <c r="J3645" t="s">
        <v>92</v>
      </c>
      <c r="K3645">
        <v>0</v>
      </c>
    </row>
    <row r="3646" spans="9:11">
      <c r="I3646" t="s">
        <v>94</v>
      </c>
      <c r="J3646" t="s">
        <v>95</v>
      </c>
      <c r="K3646">
        <v>0</v>
      </c>
    </row>
    <row r="3647" spans="9:11">
      <c r="I3647" t="s">
        <v>91</v>
      </c>
      <c r="J3647" t="s">
        <v>92</v>
      </c>
      <c r="K3647">
        <v>0</v>
      </c>
    </row>
    <row r="3648" spans="9:11">
      <c r="I3648" t="s">
        <v>94</v>
      </c>
      <c r="J3648" t="s">
        <v>95</v>
      </c>
      <c r="K3648">
        <v>0</v>
      </c>
    </row>
    <row r="3649" spans="9:11">
      <c r="I3649" t="s">
        <v>91</v>
      </c>
      <c r="J3649" t="s">
        <v>92</v>
      </c>
      <c r="K3649">
        <v>0</v>
      </c>
    </row>
    <row r="3650" spans="9:11">
      <c r="I3650" t="s">
        <v>91</v>
      </c>
      <c r="J3650" t="s">
        <v>92</v>
      </c>
      <c r="K3650">
        <v>0</v>
      </c>
    </row>
    <row r="3651" spans="9:11">
      <c r="I3651" t="s">
        <v>91</v>
      </c>
      <c r="J3651" t="s">
        <v>92</v>
      </c>
      <c r="K3651">
        <v>0</v>
      </c>
    </row>
    <row r="3652" spans="9:11">
      <c r="I3652" t="s">
        <v>91</v>
      </c>
      <c r="J3652" t="s">
        <v>92</v>
      </c>
      <c r="K3652">
        <v>0</v>
      </c>
    </row>
    <row r="3653" spans="9:11">
      <c r="I3653" t="s">
        <v>91</v>
      </c>
      <c r="J3653" t="s">
        <v>92</v>
      </c>
      <c r="K3653">
        <v>0</v>
      </c>
    </row>
    <row r="3654" spans="9:11">
      <c r="I3654" t="s">
        <v>94</v>
      </c>
      <c r="J3654" t="s">
        <v>95</v>
      </c>
      <c r="K3654">
        <v>0</v>
      </c>
    </row>
    <row r="3655" spans="9:11">
      <c r="I3655" t="s">
        <v>94</v>
      </c>
      <c r="J3655" t="s">
        <v>95</v>
      </c>
      <c r="K3655">
        <v>0</v>
      </c>
    </row>
    <row r="3656" spans="9:11">
      <c r="I3656" t="s">
        <v>91</v>
      </c>
      <c r="J3656" t="s">
        <v>92</v>
      </c>
      <c r="K3656">
        <v>0</v>
      </c>
    </row>
    <row r="3657" spans="9:11">
      <c r="I3657" t="s">
        <v>94</v>
      </c>
      <c r="J3657" t="s">
        <v>95</v>
      </c>
      <c r="K3657">
        <v>0</v>
      </c>
    </row>
    <row r="3658" spans="9:11">
      <c r="I3658" t="s">
        <v>91</v>
      </c>
      <c r="J3658" t="s">
        <v>92</v>
      </c>
      <c r="K3658">
        <v>0</v>
      </c>
    </row>
    <row r="3659" spans="9:11">
      <c r="I3659" t="s">
        <v>91</v>
      </c>
      <c r="J3659" t="s">
        <v>92</v>
      </c>
      <c r="K3659">
        <v>0</v>
      </c>
    </row>
    <row r="3660" spans="9:11">
      <c r="I3660" t="s">
        <v>91</v>
      </c>
      <c r="J3660" t="s">
        <v>92</v>
      </c>
      <c r="K3660">
        <v>0</v>
      </c>
    </row>
    <row r="3661" spans="9:11">
      <c r="I3661" t="s">
        <v>94</v>
      </c>
      <c r="J3661" t="s">
        <v>95</v>
      </c>
      <c r="K3661">
        <v>0</v>
      </c>
    </row>
    <row r="3662" spans="9:11">
      <c r="I3662" t="s">
        <v>91</v>
      </c>
      <c r="J3662" t="s">
        <v>92</v>
      </c>
      <c r="K3662">
        <v>0</v>
      </c>
    </row>
    <row r="3663" spans="9:11">
      <c r="I3663" t="s">
        <v>94</v>
      </c>
      <c r="J3663" t="s">
        <v>95</v>
      </c>
      <c r="K3663">
        <v>0</v>
      </c>
    </row>
    <row r="3664" spans="9:11">
      <c r="I3664" t="s">
        <v>94</v>
      </c>
      <c r="J3664" t="s">
        <v>95</v>
      </c>
      <c r="K3664">
        <v>0</v>
      </c>
    </row>
    <row r="3665" spans="9:11">
      <c r="I3665" t="s">
        <v>91</v>
      </c>
      <c r="J3665" t="s">
        <v>92</v>
      </c>
      <c r="K3665">
        <v>0</v>
      </c>
    </row>
    <row r="3666" spans="9:11">
      <c r="I3666" t="s">
        <v>91</v>
      </c>
      <c r="J3666" t="s">
        <v>92</v>
      </c>
      <c r="K3666">
        <v>0</v>
      </c>
    </row>
    <row r="3667" spans="9:11">
      <c r="I3667" t="s">
        <v>94</v>
      </c>
      <c r="J3667" t="s">
        <v>95</v>
      </c>
      <c r="K3667">
        <v>0</v>
      </c>
    </row>
    <row r="3668" spans="9:11">
      <c r="I3668" t="s">
        <v>94</v>
      </c>
      <c r="J3668" t="s">
        <v>95</v>
      </c>
      <c r="K3668">
        <v>0</v>
      </c>
    </row>
    <row r="3669" spans="9:11">
      <c r="I3669" t="s">
        <v>94</v>
      </c>
      <c r="J3669" t="s">
        <v>95</v>
      </c>
      <c r="K3669">
        <v>0</v>
      </c>
    </row>
    <row r="3670" spans="9:11">
      <c r="I3670" t="s">
        <v>91</v>
      </c>
      <c r="J3670" t="s">
        <v>92</v>
      </c>
      <c r="K3670">
        <v>0</v>
      </c>
    </row>
    <row r="3671" spans="9:11">
      <c r="I3671" t="s">
        <v>94</v>
      </c>
      <c r="J3671" t="s">
        <v>95</v>
      </c>
      <c r="K3671">
        <v>0</v>
      </c>
    </row>
    <row r="3672" spans="9:11">
      <c r="I3672" t="s">
        <v>91</v>
      </c>
      <c r="J3672" t="s">
        <v>92</v>
      </c>
      <c r="K3672">
        <v>0</v>
      </c>
    </row>
    <row r="3673" spans="9:11">
      <c r="I3673" t="s">
        <v>94</v>
      </c>
      <c r="J3673" t="s">
        <v>95</v>
      </c>
      <c r="K3673">
        <v>0</v>
      </c>
    </row>
    <row r="3674" spans="9:11">
      <c r="I3674" t="s">
        <v>94</v>
      </c>
      <c r="J3674" t="s">
        <v>95</v>
      </c>
      <c r="K3674">
        <v>0</v>
      </c>
    </row>
    <row r="3675" spans="9:11">
      <c r="I3675" t="s">
        <v>94</v>
      </c>
      <c r="J3675" t="s">
        <v>95</v>
      </c>
      <c r="K3675">
        <v>0</v>
      </c>
    </row>
    <row r="3676" spans="9:11">
      <c r="I3676" t="s">
        <v>94</v>
      </c>
      <c r="J3676" t="s">
        <v>95</v>
      </c>
      <c r="K3676">
        <v>0</v>
      </c>
    </row>
    <row r="3677" spans="9:11">
      <c r="I3677" t="s">
        <v>91</v>
      </c>
      <c r="J3677" t="s">
        <v>92</v>
      </c>
      <c r="K3677">
        <v>0</v>
      </c>
    </row>
    <row r="3678" spans="9:11">
      <c r="I3678" t="s">
        <v>91</v>
      </c>
      <c r="J3678" t="s">
        <v>92</v>
      </c>
      <c r="K3678">
        <v>0</v>
      </c>
    </row>
    <row r="3679" spans="9:11">
      <c r="I3679" t="s">
        <v>91</v>
      </c>
      <c r="J3679" t="s">
        <v>92</v>
      </c>
      <c r="K3679">
        <v>0</v>
      </c>
    </row>
    <row r="3680" spans="9:11">
      <c r="I3680" t="s">
        <v>91</v>
      </c>
      <c r="J3680" t="s">
        <v>92</v>
      </c>
      <c r="K3680">
        <v>0</v>
      </c>
    </row>
    <row r="3681" spans="9:11">
      <c r="I3681" t="s">
        <v>94</v>
      </c>
      <c r="J3681" t="s">
        <v>95</v>
      </c>
      <c r="K3681">
        <v>0</v>
      </c>
    </row>
    <row r="3682" spans="9:11">
      <c r="I3682" t="s">
        <v>94</v>
      </c>
      <c r="J3682" t="s">
        <v>95</v>
      </c>
      <c r="K3682">
        <v>0</v>
      </c>
    </row>
    <row r="3683" spans="9:11">
      <c r="I3683" t="s">
        <v>94</v>
      </c>
      <c r="J3683" t="s">
        <v>95</v>
      </c>
      <c r="K3683">
        <v>0</v>
      </c>
    </row>
    <row r="3684" spans="9:11">
      <c r="I3684" t="s">
        <v>91</v>
      </c>
      <c r="J3684" t="s">
        <v>92</v>
      </c>
      <c r="K3684">
        <v>0</v>
      </c>
    </row>
    <row r="3685" spans="9:11">
      <c r="I3685" t="s">
        <v>94</v>
      </c>
      <c r="J3685" t="s">
        <v>95</v>
      </c>
      <c r="K3685">
        <v>0</v>
      </c>
    </row>
    <row r="3686" spans="9:11">
      <c r="I3686" t="s">
        <v>94</v>
      </c>
      <c r="J3686" t="s">
        <v>95</v>
      </c>
      <c r="K3686">
        <v>1</v>
      </c>
    </row>
    <row r="3687" spans="9:11">
      <c r="I3687" t="s">
        <v>91</v>
      </c>
      <c r="J3687" t="s">
        <v>92</v>
      </c>
      <c r="K3687">
        <v>0</v>
      </c>
    </row>
    <row r="3688" spans="9:11">
      <c r="I3688" t="s">
        <v>91</v>
      </c>
      <c r="J3688" t="s">
        <v>92</v>
      </c>
      <c r="K3688">
        <v>0</v>
      </c>
    </row>
    <row r="3689" spans="9:11">
      <c r="I3689" t="s">
        <v>94</v>
      </c>
      <c r="J3689" t="s">
        <v>95</v>
      </c>
      <c r="K3689">
        <v>0</v>
      </c>
    </row>
    <row r="3690" spans="9:11">
      <c r="I3690" t="s">
        <v>94</v>
      </c>
      <c r="J3690" t="s">
        <v>95</v>
      </c>
      <c r="K3690">
        <v>0</v>
      </c>
    </row>
    <row r="3691" spans="9:11">
      <c r="I3691" t="s">
        <v>94</v>
      </c>
      <c r="J3691" t="s">
        <v>95</v>
      </c>
      <c r="K3691">
        <v>0</v>
      </c>
    </row>
    <row r="3692" spans="9:11">
      <c r="I3692" t="s">
        <v>91</v>
      </c>
      <c r="J3692" t="s">
        <v>92</v>
      </c>
      <c r="K3692">
        <v>0</v>
      </c>
    </row>
    <row r="3693" spans="9:11">
      <c r="I3693" t="s">
        <v>91</v>
      </c>
      <c r="J3693" t="s">
        <v>92</v>
      </c>
      <c r="K3693">
        <v>0</v>
      </c>
    </row>
    <row r="3694" spans="9:11">
      <c r="I3694" t="s">
        <v>94</v>
      </c>
      <c r="J3694" t="s">
        <v>95</v>
      </c>
      <c r="K3694">
        <v>1</v>
      </c>
    </row>
    <row r="3695" spans="9:11">
      <c r="I3695" t="s">
        <v>94</v>
      </c>
      <c r="J3695" t="s">
        <v>95</v>
      </c>
      <c r="K3695">
        <v>0</v>
      </c>
    </row>
    <row r="3696" spans="9:11">
      <c r="I3696" t="s">
        <v>91</v>
      </c>
      <c r="J3696" t="s">
        <v>92</v>
      </c>
      <c r="K3696">
        <v>0</v>
      </c>
    </row>
    <row r="3697" spans="9:11">
      <c r="I3697" t="s">
        <v>91</v>
      </c>
      <c r="J3697" t="s">
        <v>92</v>
      </c>
      <c r="K3697">
        <v>0</v>
      </c>
    </row>
    <row r="3698" spans="9:11">
      <c r="I3698" t="s">
        <v>94</v>
      </c>
      <c r="J3698" t="s">
        <v>95</v>
      </c>
      <c r="K3698">
        <v>0</v>
      </c>
    </row>
    <row r="3699" spans="9:11">
      <c r="I3699" t="s">
        <v>91</v>
      </c>
      <c r="J3699" t="s">
        <v>92</v>
      </c>
      <c r="K3699">
        <v>0</v>
      </c>
    </row>
    <row r="3700" spans="9:11">
      <c r="I3700" t="s">
        <v>94</v>
      </c>
      <c r="J3700" t="s">
        <v>95</v>
      </c>
      <c r="K3700">
        <v>0</v>
      </c>
    </row>
    <row r="3701" spans="9:11">
      <c r="I3701" t="s">
        <v>94</v>
      </c>
      <c r="J3701" t="s">
        <v>95</v>
      </c>
      <c r="K3701">
        <v>0</v>
      </c>
    </row>
    <row r="3702" spans="9:11">
      <c r="I3702" t="s">
        <v>94</v>
      </c>
      <c r="J3702" t="s">
        <v>95</v>
      </c>
      <c r="K3702">
        <v>0</v>
      </c>
    </row>
    <row r="3703" spans="9:11">
      <c r="I3703" t="s">
        <v>94</v>
      </c>
      <c r="J3703" t="s">
        <v>95</v>
      </c>
      <c r="K3703">
        <v>0</v>
      </c>
    </row>
    <row r="3704" spans="9:11">
      <c r="I3704" t="s">
        <v>94</v>
      </c>
      <c r="J3704" t="s">
        <v>95</v>
      </c>
      <c r="K3704">
        <v>0</v>
      </c>
    </row>
    <row r="3705" spans="9:11">
      <c r="I3705" t="s">
        <v>94</v>
      </c>
      <c r="J3705" t="s">
        <v>95</v>
      </c>
      <c r="K3705">
        <v>0</v>
      </c>
    </row>
    <row r="3706" spans="9:11">
      <c r="I3706" t="s">
        <v>94</v>
      </c>
      <c r="J3706" t="s">
        <v>95</v>
      </c>
      <c r="K3706">
        <v>0</v>
      </c>
    </row>
    <row r="3707" spans="9:11">
      <c r="I3707" t="s">
        <v>94</v>
      </c>
      <c r="J3707" t="s">
        <v>95</v>
      </c>
      <c r="K3707">
        <v>0</v>
      </c>
    </row>
    <row r="3708" spans="9:11">
      <c r="I3708" t="s">
        <v>91</v>
      </c>
      <c r="J3708" t="s">
        <v>92</v>
      </c>
      <c r="K3708">
        <v>0</v>
      </c>
    </row>
    <row r="3709" spans="9:11">
      <c r="I3709" t="s">
        <v>91</v>
      </c>
      <c r="J3709" t="s">
        <v>92</v>
      </c>
      <c r="K3709">
        <v>0</v>
      </c>
    </row>
    <row r="3710" spans="9:11">
      <c r="I3710" t="s">
        <v>94</v>
      </c>
      <c r="J3710" t="s">
        <v>95</v>
      </c>
      <c r="K3710">
        <v>0</v>
      </c>
    </row>
    <row r="3711" spans="9:11">
      <c r="I3711" t="s">
        <v>94</v>
      </c>
      <c r="J3711" t="s">
        <v>95</v>
      </c>
      <c r="K3711">
        <v>0</v>
      </c>
    </row>
    <row r="3712" spans="9:11">
      <c r="I3712" t="s">
        <v>91</v>
      </c>
      <c r="J3712" t="s">
        <v>92</v>
      </c>
      <c r="K3712">
        <v>0</v>
      </c>
    </row>
    <row r="3713" spans="9:11">
      <c r="I3713" t="s">
        <v>91</v>
      </c>
      <c r="J3713" t="s">
        <v>92</v>
      </c>
      <c r="K3713">
        <v>0</v>
      </c>
    </row>
    <row r="3714" spans="9:11">
      <c r="I3714" t="s">
        <v>94</v>
      </c>
      <c r="J3714" t="s">
        <v>95</v>
      </c>
      <c r="K3714">
        <v>0</v>
      </c>
    </row>
    <row r="3715" spans="9:11">
      <c r="I3715" t="s">
        <v>91</v>
      </c>
      <c r="J3715" t="s">
        <v>92</v>
      </c>
      <c r="K3715">
        <v>0</v>
      </c>
    </row>
    <row r="3716" spans="9:11">
      <c r="I3716" t="s">
        <v>94</v>
      </c>
      <c r="J3716" t="s">
        <v>95</v>
      </c>
      <c r="K3716">
        <v>0</v>
      </c>
    </row>
    <row r="3717" spans="9:11">
      <c r="I3717" t="s">
        <v>94</v>
      </c>
      <c r="J3717" t="s">
        <v>95</v>
      </c>
      <c r="K3717">
        <v>0</v>
      </c>
    </row>
    <row r="3718" spans="9:11">
      <c r="I3718" t="s">
        <v>91</v>
      </c>
      <c r="J3718" t="s">
        <v>92</v>
      </c>
      <c r="K3718">
        <v>0</v>
      </c>
    </row>
    <row r="3719" spans="9:11">
      <c r="I3719" t="s">
        <v>91</v>
      </c>
      <c r="J3719" t="s">
        <v>92</v>
      </c>
      <c r="K3719">
        <v>0</v>
      </c>
    </row>
    <row r="3720" spans="9:11">
      <c r="I3720" t="s">
        <v>91</v>
      </c>
      <c r="J3720" t="s">
        <v>92</v>
      </c>
      <c r="K3720">
        <v>0</v>
      </c>
    </row>
    <row r="3721" spans="9:11">
      <c r="I3721" t="s">
        <v>91</v>
      </c>
      <c r="J3721" t="s">
        <v>92</v>
      </c>
      <c r="K3721">
        <v>0</v>
      </c>
    </row>
    <row r="3722" spans="9:11">
      <c r="I3722" t="s">
        <v>94</v>
      </c>
      <c r="J3722" t="s">
        <v>95</v>
      </c>
      <c r="K3722">
        <v>0</v>
      </c>
    </row>
    <row r="3723" spans="9:11">
      <c r="I3723" t="s">
        <v>94</v>
      </c>
      <c r="J3723" t="s">
        <v>95</v>
      </c>
      <c r="K3723">
        <v>0</v>
      </c>
    </row>
    <row r="3724" spans="9:11">
      <c r="I3724" t="s">
        <v>94</v>
      </c>
      <c r="J3724" t="s">
        <v>95</v>
      </c>
      <c r="K3724">
        <v>0</v>
      </c>
    </row>
    <row r="3725" spans="9:11">
      <c r="I3725" t="s">
        <v>91</v>
      </c>
      <c r="J3725" t="s">
        <v>92</v>
      </c>
      <c r="K3725">
        <v>0</v>
      </c>
    </row>
    <row r="3726" spans="9:11">
      <c r="I3726" t="s">
        <v>94</v>
      </c>
      <c r="J3726" t="s">
        <v>95</v>
      </c>
      <c r="K3726">
        <v>0</v>
      </c>
    </row>
    <row r="3727" spans="9:11">
      <c r="I3727" t="s">
        <v>94</v>
      </c>
      <c r="J3727" t="s">
        <v>95</v>
      </c>
      <c r="K3727">
        <v>0</v>
      </c>
    </row>
    <row r="3728" spans="9:11">
      <c r="I3728" t="s">
        <v>94</v>
      </c>
      <c r="J3728" t="s">
        <v>95</v>
      </c>
      <c r="K3728">
        <v>0</v>
      </c>
    </row>
    <row r="3729" spans="9:11">
      <c r="I3729" t="s">
        <v>94</v>
      </c>
      <c r="J3729" t="s">
        <v>95</v>
      </c>
      <c r="K3729">
        <v>0</v>
      </c>
    </row>
    <row r="3730" spans="9:11">
      <c r="I3730" t="s">
        <v>94</v>
      </c>
      <c r="J3730" t="s">
        <v>95</v>
      </c>
      <c r="K3730">
        <v>0</v>
      </c>
    </row>
    <row r="3731" spans="9:11">
      <c r="I3731" t="s">
        <v>94</v>
      </c>
      <c r="J3731" t="s">
        <v>95</v>
      </c>
      <c r="K3731">
        <v>0</v>
      </c>
    </row>
    <row r="3732" spans="9:11">
      <c r="I3732" t="s">
        <v>94</v>
      </c>
      <c r="J3732" t="s">
        <v>95</v>
      </c>
      <c r="K3732">
        <v>0</v>
      </c>
    </row>
    <row r="3733" spans="9:11">
      <c r="I3733" t="s">
        <v>94</v>
      </c>
      <c r="J3733" t="s">
        <v>95</v>
      </c>
      <c r="K3733">
        <v>0</v>
      </c>
    </row>
    <row r="3734" spans="9:11">
      <c r="I3734" t="s">
        <v>94</v>
      </c>
      <c r="J3734" t="s">
        <v>95</v>
      </c>
      <c r="K3734">
        <v>0</v>
      </c>
    </row>
    <row r="3735" spans="9:11">
      <c r="I3735" t="s">
        <v>94</v>
      </c>
      <c r="J3735" t="s">
        <v>95</v>
      </c>
      <c r="K3735">
        <v>0</v>
      </c>
    </row>
    <row r="3736" spans="9:11">
      <c r="I3736" t="s">
        <v>94</v>
      </c>
      <c r="J3736" t="s">
        <v>95</v>
      </c>
      <c r="K3736">
        <v>0</v>
      </c>
    </row>
    <row r="3737" spans="9:11">
      <c r="I3737" t="s">
        <v>94</v>
      </c>
      <c r="J3737" t="s">
        <v>95</v>
      </c>
      <c r="K3737">
        <v>0</v>
      </c>
    </row>
    <row r="3738" spans="9:11">
      <c r="I3738" t="s">
        <v>94</v>
      </c>
      <c r="J3738" t="s">
        <v>95</v>
      </c>
      <c r="K3738">
        <v>0</v>
      </c>
    </row>
    <row r="3739" spans="9:11">
      <c r="I3739" t="s">
        <v>94</v>
      </c>
      <c r="J3739" t="s">
        <v>95</v>
      </c>
      <c r="K3739">
        <v>0</v>
      </c>
    </row>
    <row r="3740" spans="9:11">
      <c r="I3740" t="s">
        <v>94</v>
      </c>
      <c r="J3740" t="s">
        <v>95</v>
      </c>
      <c r="K3740">
        <v>0</v>
      </c>
    </row>
    <row r="3741" spans="9:11">
      <c r="I3741" t="s">
        <v>94</v>
      </c>
      <c r="J3741" t="s">
        <v>95</v>
      </c>
      <c r="K3741">
        <v>0</v>
      </c>
    </row>
    <row r="3742" spans="9:11">
      <c r="I3742" t="s">
        <v>94</v>
      </c>
      <c r="J3742" t="s">
        <v>95</v>
      </c>
      <c r="K3742">
        <v>0</v>
      </c>
    </row>
    <row r="3743" spans="9:11">
      <c r="I3743" t="s">
        <v>91</v>
      </c>
      <c r="J3743" t="s">
        <v>92</v>
      </c>
      <c r="K3743">
        <v>0</v>
      </c>
    </row>
    <row r="3744" spans="9:11">
      <c r="I3744" t="s">
        <v>91</v>
      </c>
      <c r="J3744" t="s">
        <v>92</v>
      </c>
      <c r="K3744">
        <v>0</v>
      </c>
    </row>
    <row r="3745" spans="9:11">
      <c r="I3745" t="s">
        <v>91</v>
      </c>
      <c r="J3745" t="s">
        <v>92</v>
      </c>
      <c r="K3745">
        <v>0</v>
      </c>
    </row>
    <row r="3746" spans="9:11">
      <c r="I3746" t="s">
        <v>91</v>
      </c>
      <c r="J3746" t="s">
        <v>92</v>
      </c>
      <c r="K3746">
        <v>0</v>
      </c>
    </row>
    <row r="3747" spans="9:11">
      <c r="I3747" t="s">
        <v>94</v>
      </c>
      <c r="J3747" t="s">
        <v>95</v>
      </c>
      <c r="K3747">
        <v>0</v>
      </c>
    </row>
    <row r="3748" spans="9:11">
      <c r="I3748" t="s">
        <v>91</v>
      </c>
      <c r="J3748" t="s">
        <v>92</v>
      </c>
      <c r="K3748">
        <v>0</v>
      </c>
    </row>
    <row r="3749" spans="9:11">
      <c r="I3749" t="s">
        <v>94</v>
      </c>
      <c r="J3749" t="s">
        <v>95</v>
      </c>
      <c r="K3749">
        <v>0</v>
      </c>
    </row>
    <row r="3750" spans="9:11">
      <c r="I3750" t="s">
        <v>94</v>
      </c>
      <c r="J3750" t="s">
        <v>95</v>
      </c>
      <c r="K3750">
        <v>0</v>
      </c>
    </row>
    <row r="3751" spans="9:11">
      <c r="I3751" t="s">
        <v>91</v>
      </c>
      <c r="J3751" t="s">
        <v>92</v>
      </c>
      <c r="K3751">
        <v>0</v>
      </c>
    </row>
    <row r="3752" spans="9:11">
      <c r="I3752" t="s">
        <v>91</v>
      </c>
      <c r="J3752" t="s">
        <v>92</v>
      </c>
      <c r="K3752">
        <v>0</v>
      </c>
    </row>
    <row r="3753" spans="9:11">
      <c r="I3753" t="s">
        <v>91</v>
      </c>
      <c r="J3753" t="s">
        <v>92</v>
      </c>
      <c r="K3753">
        <v>0</v>
      </c>
    </row>
    <row r="3754" spans="9:11">
      <c r="I3754" t="s">
        <v>91</v>
      </c>
      <c r="J3754" t="s">
        <v>92</v>
      </c>
      <c r="K3754">
        <v>0</v>
      </c>
    </row>
    <row r="3755" spans="9:11">
      <c r="I3755" t="s">
        <v>91</v>
      </c>
      <c r="J3755" t="s">
        <v>92</v>
      </c>
      <c r="K3755">
        <v>0</v>
      </c>
    </row>
    <row r="3756" spans="9:11">
      <c r="I3756" t="s">
        <v>91</v>
      </c>
      <c r="J3756" t="s">
        <v>92</v>
      </c>
      <c r="K3756">
        <v>0</v>
      </c>
    </row>
    <row r="3757" spans="9:11">
      <c r="I3757" t="s">
        <v>94</v>
      </c>
      <c r="J3757" t="s">
        <v>95</v>
      </c>
      <c r="K3757">
        <v>0</v>
      </c>
    </row>
    <row r="3758" spans="9:11">
      <c r="I3758" t="s">
        <v>94</v>
      </c>
      <c r="J3758" t="s">
        <v>95</v>
      </c>
      <c r="K3758">
        <v>0</v>
      </c>
    </row>
    <row r="3759" spans="9:11">
      <c r="I3759" t="s">
        <v>91</v>
      </c>
      <c r="J3759" t="s">
        <v>92</v>
      </c>
      <c r="K3759">
        <v>0</v>
      </c>
    </row>
    <row r="3760" spans="9:11">
      <c r="I3760" t="s">
        <v>94</v>
      </c>
      <c r="J3760" t="s">
        <v>95</v>
      </c>
      <c r="K3760">
        <v>0</v>
      </c>
    </row>
    <row r="3761" spans="9:11">
      <c r="I3761" t="s">
        <v>94</v>
      </c>
      <c r="J3761" t="s">
        <v>95</v>
      </c>
      <c r="K3761">
        <v>0</v>
      </c>
    </row>
    <row r="3762" spans="9:11">
      <c r="I3762" t="s">
        <v>94</v>
      </c>
      <c r="J3762" t="s">
        <v>95</v>
      </c>
      <c r="K3762">
        <v>0</v>
      </c>
    </row>
    <row r="3763" spans="9:11">
      <c r="I3763" t="s">
        <v>91</v>
      </c>
      <c r="J3763" t="s">
        <v>92</v>
      </c>
      <c r="K3763">
        <v>0</v>
      </c>
    </row>
    <row r="3764" spans="9:11">
      <c r="I3764" t="s">
        <v>91</v>
      </c>
      <c r="J3764" t="s">
        <v>92</v>
      </c>
      <c r="K3764">
        <v>0</v>
      </c>
    </row>
    <row r="3765" spans="9:11">
      <c r="I3765" t="s">
        <v>94</v>
      </c>
      <c r="J3765" t="s">
        <v>95</v>
      </c>
      <c r="K3765">
        <v>0</v>
      </c>
    </row>
    <row r="3766" spans="9:11">
      <c r="I3766" t="s">
        <v>94</v>
      </c>
      <c r="J3766" t="s">
        <v>95</v>
      </c>
      <c r="K3766">
        <v>0</v>
      </c>
    </row>
    <row r="3767" spans="9:11">
      <c r="I3767" t="s">
        <v>94</v>
      </c>
      <c r="J3767" t="s">
        <v>95</v>
      </c>
      <c r="K3767">
        <v>0</v>
      </c>
    </row>
    <row r="3768" spans="9:11">
      <c r="I3768" t="s">
        <v>94</v>
      </c>
      <c r="J3768" t="s">
        <v>95</v>
      </c>
      <c r="K3768">
        <v>0</v>
      </c>
    </row>
    <row r="3769" spans="9:11">
      <c r="I3769" t="s">
        <v>91</v>
      </c>
      <c r="J3769" t="s">
        <v>92</v>
      </c>
      <c r="K3769">
        <v>0</v>
      </c>
    </row>
    <row r="3770" spans="9:11">
      <c r="I3770" t="s">
        <v>94</v>
      </c>
      <c r="J3770" t="s">
        <v>95</v>
      </c>
      <c r="K3770">
        <v>0</v>
      </c>
    </row>
    <row r="3771" spans="9:11">
      <c r="I3771" t="s">
        <v>91</v>
      </c>
      <c r="J3771" t="s">
        <v>92</v>
      </c>
      <c r="K3771">
        <v>0</v>
      </c>
    </row>
    <row r="3772" spans="9:11">
      <c r="I3772" t="s">
        <v>91</v>
      </c>
      <c r="J3772" t="s">
        <v>92</v>
      </c>
      <c r="K3772">
        <v>0</v>
      </c>
    </row>
    <row r="3773" spans="9:11">
      <c r="I3773" t="s">
        <v>91</v>
      </c>
      <c r="J3773" t="s">
        <v>92</v>
      </c>
      <c r="K3773">
        <v>0</v>
      </c>
    </row>
    <row r="3774" spans="9:11">
      <c r="I3774" t="s">
        <v>91</v>
      </c>
      <c r="J3774" t="s">
        <v>92</v>
      </c>
      <c r="K3774">
        <v>0</v>
      </c>
    </row>
    <row r="3775" spans="9:11">
      <c r="I3775" t="s">
        <v>91</v>
      </c>
      <c r="J3775" t="s">
        <v>92</v>
      </c>
      <c r="K3775">
        <v>0</v>
      </c>
    </row>
    <row r="3776" spans="9:11">
      <c r="I3776" t="s">
        <v>94</v>
      </c>
      <c r="J3776" t="s">
        <v>95</v>
      </c>
      <c r="K3776">
        <v>0</v>
      </c>
    </row>
    <row r="3777" spans="9:11">
      <c r="I3777" t="s">
        <v>94</v>
      </c>
      <c r="J3777" t="s">
        <v>95</v>
      </c>
      <c r="K3777">
        <v>0</v>
      </c>
    </row>
    <row r="3778" spans="9:11">
      <c r="I3778" t="s">
        <v>91</v>
      </c>
      <c r="J3778" t="s">
        <v>92</v>
      </c>
      <c r="K3778">
        <v>0</v>
      </c>
    </row>
    <row r="3779" spans="9:11">
      <c r="I3779" t="s">
        <v>94</v>
      </c>
      <c r="J3779" t="s">
        <v>95</v>
      </c>
      <c r="K3779">
        <v>0</v>
      </c>
    </row>
    <row r="3780" spans="9:11">
      <c r="I3780" t="s">
        <v>91</v>
      </c>
      <c r="J3780" t="s">
        <v>92</v>
      </c>
      <c r="K3780">
        <v>0</v>
      </c>
    </row>
    <row r="3781" spans="9:11">
      <c r="I3781" t="s">
        <v>91</v>
      </c>
      <c r="J3781" t="s">
        <v>92</v>
      </c>
      <c r="K3781">
        <v>0</v>
      </c>
    </row>
    <row r="3782" spans="9:11">
      <c r="I3782" t="s">
        <v>94</v>
      </c>
      <c r="J3782" t="s">
        <v>95</v>
      </c>
      <c r="K3782">
        <v>0</v>
      </c>
    </row>
    <row r="3783" spans="9:11">
      <c r="I3783" t="s">
        <v>94</v>
      </c>
      <c r="J3783" t="s">
        <v>95</v>
      </c>
      <c r="K3783">
        <v>0</v>
      </c>
    </row>
    <row r="3784" spans="9:11">
      <c r="I3784" t="s">
        <v>91</v>
      </c>
      <c r="J3784" t="s">
        <v>92</v>
      </c>
      <c r="K3784">
        <v>0</v>
      </c>
    </row>
    <row r="3785" spans="9:11">
      <c r="I3785" t="s">
        <v>91</v>
      </c>
      <c r="J3785" t="s">
        <v>92</v>
      </c>
      <c r="K3785">
        <v>0</v>
      </c>
    </row>
    <row r="3786" spans="9:11">
      <c r="I3786" t="s">
        <v>94</v>
      </c>
      <c r="J3786" t="s">
        <v>95</v>
      </c>
      <c r="K3786">
        <v>0</v>
      </c>
    </row>
    <row r="3787" spans="9:11">
      <c r="I3787" t="s">
        <v>94</v>
      </c>
      <c r="J3787" t="s">
        <v>95</v>
      </c>
      <c r="K3787">
        <v>0</v>
      </c>
    </row>
    <row r="3788" spans="9:11">
      <c r="I3788" t="s">
        <v>94</v>
      </c>
      <c r="J3788" t="s">
        <v>95</v>
      </c>
      <c r="K3788">
        <v>0</v>
      </c>
    </row>
    <row r="3789" spans="9:11">
      <c r="I3789" t="s">
        <v>94</v>
      </c>
      <c r="J3789" t="s">
        <v>95</v>
      </c>
      <c r="K3789">
        <v>0</v>
      </c>
    </row>
    <row r="3790" spans="9:11">
      <c r="I3790" t="s">
        <v>94</v>
      </c>
      <c r="J3790" t="s">
        <v>95</v>
      </c>
      <c r="K3790">
        <v>0</v>
      </c>
    </row>
    <row r="3791" spans="9:11">
      <c r="I3791" t="s">
        <v>94</v>
      </c>
      <c r="J3791" t="s">
        <v>95</v>
      </c>
      <c r="K3791">
        <v>0</v>
      </c>
    </row>
    <row r="3792" spans="9:11">
      <c r="I3792" t="s">
        <v>94</v>
      </c>
      <c r="J3792" t="s">
        <v>95</v>
      </c>
      <c r="K3792">
        <v>1</v>
      </c>
    </row>
    <row r="3793" spans="9:11">
      <c r="I3793" t="s">
        <v>94</v>
      </c>
      <c r="J3793" t="s">
        <v>95</v>
      </c>
      <c r="K3793">
        <v>0</v>
      </c>
    </row>
    <row r="3794" spans="9:11">
      <c r="I3794" t="s">
        <v>94</v>
      </c>
      <c r="J3794" t="s">
        <v>95</v>
      </c>
      <c r="K3794">
        <v>0</v>
      </c>
    </row>
    <row r="3795" spans="9:11">
      <c r="I3795" t="s">
        <v>94</v>
      </c>
      <c r="J3795" t="s">
        <v>95</v>
      </c>
      <c r="K3795">
        <v>0</v>
      </c>
    </row>
    <row r="3796" spans="9:11">
      <c r="I3796" t="s">
        <v>91</v>
      </c>
      <c r="J3796" t="s">
        <v>92</v>
      </c>
      <c r="K3796">
        <v>0</v>
      </c>
    </row>
    <row r="3797" spans="9:11">
      <c r="I3797" t="s">
        <v>91</v>
      </c>
      <c r="J3797" t="s">
        <v>92</v>
      </c>
      <c r="K3797">
        <v>0</v>
      </c>
    </row>
    <row r="3798" spans="9:11">
      <c r="I3798" t="s">
        <v>94</v>
      </c>
      <c r="J3798" t="s">
        <v>95</v>
      </c>
      <c r="K3798">
        <v>0</v>
      </c>
    </row>
    <row r="3799" spans="9:11">
      <c r="I3799" t="s">
        <v>91</v>
      </c>
      <c r="J3799" t="s">
        <v>92</v>
      </c>
      <c r="K3799">
        <v>1</v>
      </c>
    </row>
    <row r="3800" spans="9:11">
      <c r="I3800" t="s">
        <v>94</v>
      </c>
      <c r="J3800" t="s">
        <v>95</v>
      </c>
      <c r="K3800">
        <v>0</v>
      </c>
    </row>
    <row r="3801" spans="9:11">
      <c r="I3801" t="s">
        <v>91</v>
      </c>
      <c r="J3801" t="s">
        <v>92</v>
      </c>
      <c r="K3801">
        <v>0</v>
      </c>
    </row>
    <row r="3802" spans="9:11">
      <c r="I3802" t="s">
        <v>94</v>
      </c>
      <c r="J3802" t="s">
        <v>95</v>
      </c>
      <c r="K3802">
        <v>0</v>
      </c>
    </row>
    <row r="3803" spans="9:11">
      <c r="I3803" t="s">
        <v>91</v>
      </c>
      <c r="J3803" t="s">
        <v>92</v>
      </c>
      <c r="K3803">
        <v>0</v>
      </c>
    </row>
    <row r="3804" spans="9:11">
      <c r="I3804" t="s">
        <v>91</v>
      </c>
      <c r="J3804" t="s">
        <v>92</v>
      </c>
      <c r="K3804">
        <v>0</v>
      </c>
    </row>
    <row r="3805" spans="9:11">
      <c r="I3805" t="s">
        <v>91</v>
      </c>
      <c r="J3805" t="s">
        <v>92</v>
      </c>
      <c r="K3805">
        <v>0</v>
      </c>
    </row>
    <row r="3806" spans="9:11">
      <c r="I3806" t="s">
        <v>94</v>
      </c>
      <c r="J3806" t="s">
        <v>95</v>
      </c>
      <c r="K3806">
        <v>0</v>
      </c>
    </row>
    <row r="3807" spans="9:11">
      <c r="I3807" t="s">
        <v>94</v>
      </c>
      <c r="J3807" t="s">
        <v>95</v>
      </c>
      <c r="K3807">
        <v>0</v>
      </c>
    </row>
    <row r="3808" spans="9:11">
      <c r="I3808" t="s">
        <v>91</v>
      </c>
      <c r="J3808" t="s">
        <v>92</v>
      </c>
      <c r="K3808">
        <v>1</v>
      </c>
    </row>
    <row r="3809" spans="9:11">
      <c r="I3809" t="s">
        <v>94</v>
      </c>
      <c r="J3809" t="s">
        <v>95</v>
      </c>
      <c r="K3809">
        <v>0</v>
      </c>
    </row>
    <row r="3810" spans="9:11">
      <c r="I3810" t="s">
        <v>91</v>
      </c>
      <c r="J3810" t="s">
        <v>92</v>
      </c>
      <c r="K3810">
        <v>0</v>
      </c>
    </row>
    <row r="3811" spans="9:11">
      <c r="I3811" t="s">
        <v>94</v>
      </c>
      <c r="J3811" t="s">
        <v>95</v>
      </c>
      <c r="K3811">
        <v>0</v>
      </c>
    </row>
    <row r="3812" spans="9:11">
      <c r="I3812" t="s">
        <v>91</v>
      </c>
      <c r="J3812" t="s">
        <v>92</v>
      </c>
      <c r="K3812">
        <v>0</v>
      </c>
    </row>
    <row r="3813" spans="9:11">
      <c r="I3813" t="s">
        <v>94</v>
      </c>
      <c r="J3813" t="s">
        <v>95</v>
      </c>
      <c r="K3813">
        <v>0</v>
      </c>
    </row>
    <row r="3814" spans="9:11">
      <c r="I3814" t="s">
        <v>94</v>
      </c>
      <c r="J3814" t="s">
        <v>95</v>
      </c>
      <c r="K3814">
        <v>0</v>
      </c>
    </row>
    <row r="3815" spans="9:11">
      <c r="I3815" t="s">
        <v>94</v>
      </c>
      <c r="J3815" t="s">
        <v>95</v>
      </c>
      <c r="K3815">
        <v>0</v>
      </c>
    </row>
    <row r="3816" spans="9:11">
      <c r="I3816" t="s">
        <v>94</v>
      </c>
      <c r="J3816" t="s">
        <v>95</v>
      </c>
      <c r="K3816">
        <v>0</v>
      </c>
    </row>
    <row r="3817" spans="9:11">
      <c r="I3817" t="s">
        <v>91</v>
      </c>
      <c r="J3817" t="s">
        <v>92</v>
      </c>
      <c r="K3817">
        <v>0</v>
      </c>
    </row>
    <row r="3818" spans="9:11">
      <c r="I3818" t="s">
        <v>94</v>
      </c>
      <c r="J3818" t="s">
        <v>95</v>
      </c>
      <c r="K3818">
        <v>0</v>
      </c>
    </row>
    <row r="3819" spans="9:11">
      <c r="I3819" t="s">
        <v>94</v>
      </c>
      <c r="J3819" t="s">
        <v>95</v>
      </c>
      <c r="K3819">
        <v>0</v>
      </c>
    </row>
    <row r="3820" spans="9:11">
      <c r="I3820" t="s">
        <v>91</v>
      </c>
      <c r="J3820" t="s">
        <v>92</v>
      </c>
      <c r="K3820">
        <v>0</v>
      </c>
    </row>
    <row r="3821" spans="9:11">
      <c r="I3821" t="s">
        <v>91</v>
      </c>
      <c r="J3821" t="s">
        <v>92</v>
      </c>
      <c r="K3821">
        <v>0</v>
      </c>
    </row>
    <row r="3822" spans="9:11">
      <c r="I3822" t="s">
        <v>91</v>
      </c>
      <c r="J3822" t="s">
        <v>92</v>
      </c>
      <c r="K3822">
        <v>0</v>
      </c>
    </row>
    <row r="3823" spans="9:11">
      <c r="I3823" t="s">
        <v>91</v>
      </c>
      <c r="J3823" t="s">
        <v>92</v>
      </c>
      <c r="K3823">
        <v>0</v>
      </c>
    </row>
    <row r="3824" spans="9:11">
      <c r="I3824" t="s">
        <v>94</v>
      </c>
      <c r="J3824" t="s">
        <v>95</v>
      </c>
      <c r="K3824">
        <v>0</v>
      </c>
    </row>
    <row r="3825" spans="9:11">
      <c r="I3825" t="s">
        <v>91</v>
      </c>
      <c r="J3825" t="s">
        <v>92</v>
      </c>
      <c r="K3825">
        <v>1</v>
      </c>
    </row>
    <row r="3826" spans="9:11">
      <c r="I3826" t="s">
        <v>94</v>
      </c>
      <c r="J3826" t="s">
        <v>95</v>
      </c>
      <c r="K3826">
        <v>0</v>
      </c>
    </row>
    <row r="3827" spans="9:11">
      <c r="I3827" t="s">
        <v>94</v>
      </c>
      <c r="J3827" t="s">
        <v>95</v>
      </c>
      <c r="K3827">
        <v>0</v>
      </c>
    </row>
    <row r="3828" spans="9:11">
      <c r="I3828" t="s">
        <v>94</v>
      </c>
      <c r="J3828" t="s">
        <v>95</v>
      </c>
      <c r="K3828">
        <v>0</v>
      </c>
    </row>
    <row r="3829" spans="9:11">
      <c r="I3829" t="s">
        <v>91</v>
      </c>
      <c r="J3829" t="s">
        <v>92</v>
      </c>
      <c r="K3829">
        <v>0</v>
      </c>
    </row>
    <row r="3830" spans="9:11">
      <c r="I3830" t="s">
        <v>94</v>
      </c>
      <c r="J3830" t="s">
        <v>95</v>
      </c>
      <c r="K3830">
        <v>0</v>
      </c>
    </row>
    <row r="3831" spans="9:11">
      <c r="I3831" t="s">
        <v>94</v>
      </c>
      <c r="J3831" t="s">
        <v>95</v>
      </c>
      <c r="K3831">
        <v>0</v>
      </c>
    </row>
    <row r="3832" spans="9:11">
      <c r="I3832" t="s">
        <v>94</v>
      </c>
      <c r="J3832" t="s">
        <v>95</v>
      </c>
      <c r="K3832">
        <v>0</v>
      </c>
    </row>
    <row r="3833" spans="9:11">
      <c r="I3833" t="s">
        <v>91</v>
      </c>
      <c r="J3833" t="s">
        <v>92</v>
      </c>
      <c r="K3833">
        <v>0</v>
      </c>
    </row>
    <row r="3834" spans="9:11">
      <c r="I3834" t="s">
        <v>94</v>
      </c>
      <c r="J3834" t="s">
        <v>95</v>
      </c>
      <c r="K3834">
        <v>0</v>
      </c>
    </row>
    <row r="3835" spans="9:11">
      <c r="I3835" t="s">
        <v>91</v>
      </c>
      <c r="J3835" t="s">
        <v>92</v>
      </c>
      <c r="K3835">
        <v>0</v>
      </c>
    </row>
    <row r="3836" spans="9:11">
      <c r="I3836" t="s">
        <v>91</v>
      </c>
      <c r="J3836" t="s">
        <v>92</v>
      </c>
      <c r="K3836">
        <v>0</v>
      </c>
    </row>
    <row r="3837" spans="9:11">
      <c r="I3837" t="s">
        <v>94</v>
      </c>
      <c r="J3837" t="s">
        <v>95</v>
      </c>
      <c r="K3837">
        <v>0</v>
      </c>
    </row>
    <row r="3838" spans="9:11">
      <c r="I3838" t="s">
        <v>91</v>
      </c>
      <c r="J3838" t="s">
        <v>92</v>
      </c>
      <c r="K3838">
        <v>0</v>
      </c>
    </row>
    <row r="3839" spans="9:11">
      <c r="I3839" t="s">
        <v>94</v>
      </c>
      <c r="J3839" t="s">
        <v>95</v>
      </c>
      <c r="K3839">
        <v>0</v>
      </c>
    </row>
    <row r="3840" spans="9:11">
      <c r="I3840" t="s">
        <v>94</v>
      </c>
      <c r="J3840" t="s">
        <v>95</v>
      </c>
      <c r="K3840">
        <v>0</v>
      </c>
    </row>
    <row r="3841" spans="9:11">
      <c r="I3841" t="s">
        <v>94</v>
      </c>
      <c r="J3841" t="s">
        <v>95</v>
      </c>
      <c r="K3841">
        <v>0</v>
      </c>
    </row>
    <row r="3842" spans="9:11">
      <c r="I3842" t="s">
        <v>94</v>
      </c>
      <c r="J3842" t="s">
        <v>95</v>
      </c>
      <c r="K3842">
        <v>0</v>
      </c>
    </row>
    <row r="3843" spans="9:11">
      <c r="I3843" t="s">
        <v>94</v>
      </c>
      <c r="J3843" t="s">
        <v>95</v>
      </c>
      <c r="K3843">
        <v>0</v>
      </c>
    </row>
    <row r="3844" spans="9:11">
      <c r="I3844" t="s">
        <v>91</v>
      </c>
      <c r="J3844" t="s">
        <v>92</v>
      </c>
      <c r="K3844">
        <v>1</v>
      </c>
    </row>
    <row r="3845" spans="9:11">
      <c r="I3845" t="s">
        <v>94</v>
      </c>
      <c r="J3845" t="s">
        <v>95</v>
      </c>
      <c r="K3845">
        <v>0</v>
      </c>
    </row>
    <row r="3846" spans="9:11">
      <c r="I3846" t="s">
        <v>91</v>
      </c>
      <c r="J3846" t="s">
        <v>92</v>
      </c>
      <c r="K3846">
        <v>0</v>
      </c>
    </row>
    <row r="3847" spans="9:11">
      <c r="I3847" t="s">
        <v>91</v>
      </c>
      <c r="J3847" t="s">
        <v>92</v>
      </c>
      <c r="K3847">
        <v>0</v>
      </c>
    </row>
    <row r="3848" spans="9:11">
      <c r="I3848" t="s">
        <v>91</v>
      </c>
      <c r="J3848" t="s">
        <v>92</v>
      </c>
      <c r="K3848">
        <v>0</v>
      </c>
    </row>
    <row r="3849" spans="9:11">
      <c r="I3849" t="s">
        <v>94</v>
      </c>
      <c r="J3849" t="s">
        <v>95</v>
      </c>
      <c r="K3849">
        <v>1</v>
      </c>
    </row>
    <row r="3850" spans="9:11">
      <c r="I3850" t="s">
        <v>94</v>
      </c>
      <c r="J3850" t="s">
        <v>95</v>
      </c>
      <c r="K3850">
        <v>0</v>
      </c>
    </row>
    <row r="3851" spans="9:11">
      <c r="I3851" t="s">
        <v>91</v>
      </c>
      <c r="J3851" t="s">
        <v>92</v>
      </c>
      <c r="K3851">
        <v>0</v>
      </c>
    </row>
    <row r="3852" spans="9:11">
      <c r="I3852" t="s">
        <v>94</v>
      </c>
      <c r="J3852" t="s">
        <v>95</v>
      </c>
      <c r="K3852">
        <v>0</v>
      </c>
    </row>
    <row r="3853" spans="9:11">
      <c r="I3853" t="s">
        <v>91</v>
      </c>
      <c r="J3853" t="s">
        <v>92</v>
      </c>
      <c r="K3853">
        <v>0</v>
      </c>
    </row>
    <row r="3854" spans="9:11">
      <c r="I3854" t="s">
        <v>94</v>
      </c>
      <c r="J3854" t="s">
        <v>95</v>
      </c>
      <c r="K3854">
        <v>0</v>
      </c>
    </row>
    <row r="3855" spans="9:11">
      <c r="I3855" t="s">
        <v>94</v>
      </c>
      <c r="J3855" t="s">
        <v>95</v>
      </c>
      <c r="K3855">
        <v>0</v>
      </c>
    </row>
    <row r="3856" spans="9:11">
      <c r="I3856" t="s">
        <v>94</v>
      </c>
      <c r="J3856" t="s">
        <v>95</v>
      </c>
      <c r="K3856">
        <v>0</v>
      </c>
    </row>
    <row r="3857" spans="9:11">
      <c r="I3857" t="s">
        <v>94</v>
      </c>
      <c r="J3857" t="s">
        <v>95</v>
      </c>
      <c r="K3857">
        <v>0</v>
      </c>
    </row>
    <row r="3858" spans="9:11">
      <c r="I3858" t="s">
        <v>91</v>
      </c>
      <c r="J3858" t="s">
        <v>92</v>
      </c>
      <c r="K3858">
        <v>0</v>
      </c>
    </row>
    <row r="3859" spans="9:11">
      <c r="I3859" t="s">
        <v>94</v>
      </c>
      <c r="J3859" t="s">
        <v>95</v>
      </c>
      <c r="K3859">
        <v>0</v>
      </c>
    </row>
    <row r="3860" spans="9:11">
      <c r="I3860" t="s">
        <v>94</v>
      </c>
      <c r="J3860" t="s">
        <v>95</v>
      </c>
      <c r="K3860">
        <v>0</v>
      </c>
    </row>
    <row r="3861" spans="9:11">
      <c r="I3861" t="s">
        <v>94</v>
      </c>
      <c r="J3861" t="s">
        <v>95</v>
      </c>
      <c r="K3861">
        <v>0</v>
      </c>
    </row>
    <row r="3862" spans="9:11">
      <c r="I3862" t="s">
        <v>94</v>
      </c>
      <c r="J3862" t="s">
        <v>95</v>
      </c>
      <c r="K3862">
        <v>0</v>
      </c>
    </row>
    <row r="3863" spans="9:11">
      <c r="I3863" t="s">
        <v>91</v>
      </c>
      <c r="J3863" t="s">
        <v>92</v>
      </c>
      <c r="K3863">
        <v>0</v>
      </c>
    </row>
    <row r="3864" spans="9:11">
      <c r="I3864" t="s">
        <v>91</v>
      </c>
      <c r="J3864" t="s">
        <v>92</v>
      </c>
      <c r="K3864">
        <v>0</v>
      </c>
    </row>
    <row r="3865" spans="9:11">
      <c r="I3865" t="s">
        <v>91</v>
      </c>
      <c r="J3865" t="s">
        <v>92</v>
      </c>
      <c r="K3865">
        <v>0</v>
      </c>
    </row>
    <row r="3866" spans="9:11">
      <c r="I3866" t="s">
        <v>91</v>
      </c>
      <c r="J3866" t="s">
        <v>92</v>
      </c>
      <c r="K3866">
        <v>0</v>
      </c>
    </row>
    <row r="3867" spans="9:11">
      <c r="I3867" t="s">
        <v>91</v>
      </c>
      <c r="J3867" t="s">
        <v>92</v>
      </c>
      <c r="K3867">
        <v>0</v>
      </c>
    </row>
    <row r="3868" spans="9:11">
      <c r="I3868" t="s">
        <v>91</v>
      </c>
      <c r="J3868" t="s">
        <v>92</v>
      </c>
      <c r="K3868">
        <v>0</v>
      </c>
    </row>
    <row r="3869" spans="9:11">
      <c r="I3869" t="s">
        <v>91</v>
      </c>
      <c r="J3869" t="s">
        <v>92</v>
      </c>
      <c r="K3869">
        <v>0</v>
      </c>
    </row>
    <row r="3870" spans="9:11">
      <c r="I3870" t="s">
        <v>94</v>
      </c>
      <c r="J3870" t="s">
        <v>95</v>
      </c>
      <c r="K3870">
        <v>0</v>
      </c>
    </row>
    <row r="3871" spans="9:11">
      <c r="I3871" t="s">
        <v>91</v>
      </c>
      <c r="J3871" t="s">
        <v>92</v>
      </c>
      <c r="K3871">
        <v>0</v>
      </c>
    </row>
    <row r="3872" spans="9:11">
      <c r="I3872" t="s">
        <v>94</v>
      </c>
      <c r="J3872" t="s">
        <v>95</v>
      </c>
      <c r="K3872">
        <v>0</v>
      </c>
    </row>
    <row r="3873" spans="9:11">
      <c r="I3873" t="s">
        <v>91</v>
      </c>
      <c r="J3873" t="s">
        <v>92</v>
      </c>
      <c r="K3873">
        <v>0</v>
      </c>
    </row>
    <row r="3874" spans="9:11">
      <c r="I3874" t="s">
        <v>94</v>
      </c>
      <c r="J3874" t="s">
        <v>95</v>
      </c>
      <c r="K3874">
        <v>0</v>
      </c>
    </row>
    <row r="3875" spans="9:11">
      <c r="I3875" t="s">
        <v>91</v>
      </c>
      <c r="J3875" t="s">
        <v>92</v>
      </c>
      <c r="K3875">
        <v>0</v>
      </c>
    </row>
    <row r="3876" spans="9:11">
      <c r="I3876" t="s">
        <v>91</v>
      </c>
      <c r="J3876" t="s">
        <v>92</v>
      </c>
      <c r="K3876">
        <v>0</v>
      </c>
    </row>
    <row r="3877" spans="9:11">
      <c r="I3877" t="s">
        <v>91</v>
      </c>
      <c r="J3877" t="s">
        <v>92</v>
      </c>
      <c r="K3877">
        <v>0</v>
      </c>
    </row>
    <row r="3878" spans="9:11">
      <c r="I3878" t="s">
        <v>91</v>
      </c>
      <c r="J3878" t="s">
        <v>92</v>
      </c>
      <c r="K3878">
        <v>0</v>
      </c>
    </row>
    <row r="3879" spans="9:11">
      <c r="I3879" t="s">
        <v>94</v>
      </c>
      <c r="J3879" t="s">
        <v>95</v>
      </c>
      <c r="K3879">
        <v>0</v>
      </c>
    </row>
    <row r="3880" spans="9:11">
      <c r="I3880" t="s">
        <v>94</v>
      </c>
      <c r="J3880" t="s">
        <v>95</v>
      </c>
      <c r="K3880">
        <v>0</v>
      </c>
    </row>
    <row r="3881" spans="9:11">
      <c r="I3881" t="s">
        <v>94</v>
      </c>
      <c r="J3881" t="s">
        <v>95</v>
      </c>
      <c r="K3881">
        <v>0</v>
      </c>
    </row>
    <row r="3882" spans="9:11">
      <c r="I3882" t="s">
        <v>91</v>
      </c>
      <c r="J3882" t="s">
        <v>92</v>
      </c>
      <c r="K3882">
        <v>0</v>
      </c>
    </row>
    <row r="3883" spans="9:11">
      <c r="I3883" t="s">
        <v>94</v>
      </c>
      <c r="J3883" t="s">
        <v>95</v>
      </c>
      <c r="K3883">
        <v>1</v>
      </c>
    </row>
    <row r="3884" spans="9:11">
      <c r="I3884" t="s">
        <v>94</v>
      </c>
      <c r="J3884" t="s">
        <v>95</v>
      </c>
      <c r="K3884">
        <v>0</v>
      </c>
    </row>
    <row r="3885" spans="9:11">
      <c r="I3885" t="s">
        <v>91</v>
      </c>
      <c r="J3885" t="s">
        <v>92</v>
      </c>
      <c r="K3885">
        <v>1</v>
      </c>
    </row>
    <row r="3886" spans="9:11">
      <c r="I3886" t="s">
        <v>94</v>
      </c>
      <c r="J3886" t="s">
        <v>95</v>
      </c>
      <c r="K3886">
        <v>0</v>
      </c>
    </row>
    <row r="3887" spans="9:11">
      <c r="I3887" t="s">
        <v>94</v>
      </c>
      <c r="J3887" t="s">
        <v>95</v>
      </c>
      <c r="K3887">
        <v>0</v>
      </c>
    </row>
    <row r="3888" spans="9:11">
      <c r="I3888" t="s">
        <v>94</v>
      </c>
      <c r="J3888" t="s">
        <v>95</v>
      </c>
      <c r="K3888">
        <v>0</v>
      </c>
    </row>
    <row r="3889" spans="9:11">
      <c r="I3889" t="s">
        <v>94</v>
      </c>
      <c r="J3889" t="s">
        <v>95</v>
      </c>
      <c r="K3889">
        <v>0</v>
      </c>
    </row>
    <row r="3890" spans="9:11">
      <c r="I3890" t="s">
        <v>91</v>
      </c>
      <c r="J3890" t="s">
        <v>92</v>
      </c>
      <c r="K3890">
        <v>0</v>
      </c>
    </row>
    <row r="3891" spans="9:11">
      <c r="I3891" t="s">
        <v>91</v>
      </c>
      <c r="J3891" t="s">
        <v>92</v>
      </c>
      <c r="K3891">
        <v>0</v>
      </c>
    </row>
    <row r="3892" spans="9:11">
      <c r="I3892" t="s">
        <v>91</v>
      </c>
      <c r="J3892" t="s">
        <v>92</v>
      </c>
      <c r="K3892">
        <v>0</v>
      </c>
    </row>
    <row r="3893" spans="9:11">
      <c r="I3893" t="s">
        <v>94</v>
      </c>
      <c r="J3893" t="s">
        <v>95</v>
      </c>
      <c r="K3893">
        <v>0</v>
      </c>
    </row>
    <row r="3894" spans="9:11">
      <c r="I3894" t="s">
        <v>94</v>
      </c>
      <c r="J3894" t="s">
        <v>95</v>
      </c>
      <c r="K3894">
        <v>0</v>
      </c>
    </row>
    <row r="3895" spans="9:11">
      <c r="I3895" t="s">
        <v>94</v>
      </c>
      <c r="J3895" t="s">
        <v>95</v>
      </c>
      <c r="K3895">
        <v>0</v>
      </c>
    </row>
    <row r="3896" spans="9:11">
      <c r="I3896" t="s">
        <v>91</v>
      </c>
      <c r="J3896" t="s">
        <v>92</v>
      </c>
      <c r="K3896">
        <v>0</v>
      </c>
    </row>
    <row r="3897" spans="9:11">
      <c r="I3897" t="s">
        <v>91</v>
      </c>
      <c r="J3897" t="s">
        <v>92</v>
      </c>
      <c r="K3897">
        <v>0</v>
      </c>
    </row>
    <row r="3898" spans="9:11">
      <c r="I3898" t="s">
        <v>94</v>
      </c>
      <c r="J3898" t="s">
        <v>95</v>
      </c>
      <c r="K3898">
        <v>0</v>
      </c>
    </row>
    <row r="3899" spans="9:11">
      <c r="I3899" t="s">
        <v>91</v>
      </c>
      <c r="J3899" t="s">
        <v>92</v>
      </c>
      <c r="K3899">
        <v>0</v>
      </c>
    </row>
    <row r="3900" spans="9:11">
      <c r="I3900" t="s">
        <v>94</v>
      </c>
      <c r="J3900" t="s">
        <v>95</v>
      </c>
      <c r="K3900">
        <v>0</v>
      </c>
    </row>
    <row r="3901" spans="9:11">
      <c r="I3901" t="s">
        <v>91</v>
      </c>
      <c r="J3901" t="s">
        <v>92</v>
      </c>
      <c r="K3901">
        <v>0</v>
      </c>
    </row>
    <row r="3902" spans="9:11">
      <c r="I3902" t="s">
        <v>91</v>
      </c>
      <c r="J3902" t="s">
        <v>92</v>
      </c>
      <c r="K3902">
        <v>0</v>
      </c>
    </row>
    <row r="3903" spans="9:11">
      <c r="I3903" t="s">
        <v>91</v>
      </c>
      <c r="J3903" t="s">
        <v>92</v>
      </c>
      <c r="K3903">
        <v>0</v>
      </c>
    </row>
    <row r="3904" spans="9:11">
      <c r="I3904" t="s">
        <v>91</v>
      </c>
      <c r="J3904" t="s">
        <v>92</v>
      </c>
      <c r="K3904">
        <v>0</v>
      </c>
    </row>
    <row r="3905" spans="9:11">
      <c r="I3905" t="s">
        <v>91</v>
      </c>
      <c r="J3905" t="s">
        <v>92</v>
      </c>
      <c r="K3905">
        <v>0</v>
      </c>
    </row>
    <row r="3906" spans="9:11">
      <c r="I3906" t="s">
        <v>91</v>
      </c>
      <c r="J3906" t="s">
        <v>92</v>
      </c>
      <c r="K3906">
        <v>0</v>
      </c>
    </row>
    <row r="3907" spans="9:11">
      <c r="I3907" t="s">
        <v>94</v>
      </c>
      <c r="J3907" t="s">
        <v>95</v>
      </c>
      <c r="K3907">
        <v>0</v>
      </c>
    </row>
    <row r="3908" spans="9:11">
      <c r="I3908" t="s">
        <v>94</v>
      </c>
      <c r="J3908" t="s">
        <v>95</v>
      </c>
      <c r="K3908">
        <v>0</v>
      </c>
    </row>
    <row r="3909" spans="9:11">
      <c r="I3909" t="s">
        <v>91</v>
      </c>
      <c r="J3909" t="s">
        <v>92</v>
      </c>
      <c r="K3909">
        <v>0</v>
      </c>
    </row>
    <row r="3910" spans="9:11">
      <c r="I3910" t="s">
        <v>94</v>
      </c>
      <c r="J3910" t="s">
        <v>95</v>
      </c>
      <c r="K3910">
        <v>0</v>
      </c>
    </row>
    <row r="3911" spans="9:11">
      <c r="I3911" t="s">
        <v>94</v>
      </c>
      <c r="J3911" t="s">
        <v>95</v>
      </c>
      <c r="K3911">
        <v>0</v>
      </c>
    </row>
    <row r="3912" spans="9:11">
      <c r="I3912" t="s">
        <v>91</v>
      </c>
      <c r="J3912" t="s">
        <v>92</v>
      </c>
      <c r="K3912">
        <v>0</v>
      </c>
    </row>
    <row r="3913" spans="9:11">
      <c r="I3913" t="s">
        <v>94</v>
      </c>
      <c r="J3913" t="s">
        <v>95</v>
      </c>
      <c r="K3913">
        <v>0</v>
      </c>
    </row>
    <row r="3914" spans="9:11">
      <c r="I3914" t="s">
        <v>91</v>
      </c>
      <c r="J3914" t="s">
        <v>92</v>
      </c>
      <c r="K3914">
        <v>0</v>
      </c>
    </row>
    <row r="3915" spans="9:11">
      <c r="I3915" t="s">
        <v>91</v>
      </c>
      <c r="J3915" t="s">
        <v>92</v>
      </c>
      <c r="K3915">
        <v>0</v>
      </c>
    </row>
    <row r="3916" spans="9:11">
      <c r="I3916" t="s">
        <v>91</v>
      </c>
      <c r="J3916" t="s">
        <v>92</v>
      </c>
      <c r="K3916">
        <v>0</v>
      </c>
    </row>
    <row r="3917" spans="9:11">
      <c r="I3917" t="s">
        <v>91</v>
      </c>
      <c r="J3917" t="s">
        <v>92</v>
      </c>
      <c r="K3917">
        <v>0</v>
      </c>
    </row>
    <row r="3918" spans="9:11">
      <c r="I3918" t="s">
        <v>94</v>
      </c>
      <c r="J3918" t="s">
        <v>95</v>
      </c>
      <c r="K3918">
        <v>0</v>
      </c>
    </row>
    <row r="3919" spans="9:11">
      <c r="I3919" t="s">
        <v>91</v>
      </c>
      <c r="J3919" t="s">
        <v>92</v>
      </c>
      <c r="K3919">
        <v>0</v>
      </c>
    </row>
    <row r="3920" spans="9:11">
      <c r="I3920" t="s">
        <v>94</v>
      </c>
      <c r="J3920" t="s">
        <v>95</v>
      </c>
      <c r="K3920">
        <v>0</v>
      </c>
    </row>
    <row r="3921" spans="9:11">
      <c r="I3921" t="s">
        <v>91</v>
      </c>
      <c r="J3921" t="s">
        <v>92</v>
      </c>
      <c r="K3921">
        <v>0</v>
      </c>
    </row>
    <row r="3922" spans="9:11">
      <c r="I3922" t="s">
        <v>94</v>
      </c>
      <c r="J3922" t="s">
        <v>95</v>
      </c>
      <c r="K3922">
        <v>0</v>
      </c>
    </row>
    <row r="3923" spans="9:11">
      <c r="I3923" t="s">
        <v>94</v>
      </c>
      <c r="J3923" t="s">
        <v>95</v>
      </c>
      <c r="K3923">
        <v>0</v>
      </c>
    </row>
    <row r="3924" spans="9:11">
      <c r="I3924" t="s">
        <v>91</v>
      </c>
      <c r="J3924" t="s">
        <v>92</v>
      </c>
      <c r="K3924">
        <v>0</v>
      </c>
    </row>
    <row r="3925" spans="9:11">
      <c r="I3925" t="s">
        <v>94</v>
      </c>
      <c r="J3925" t="s">
        <v>95</v>
      </c>
      <c r="K3925">
        <v>0</v>
      </c>
    </row>
    <row r="3926" spans="9:11">
      <c r="I3926" t="s">
        <v>94</v>
      </c>
      <c r="J3926" t="s">
        <v>95</v>
      </c>
      <c r="K3926">
        <v>0</v>
      </c>
    </row>
    <row r="3927" spans="9:11">
      <c r="I3927" t="s">
        <v>94</v>
      </c>
      <c r="J3927" t="s">
        <v>95</v>
      </c>
      <c r="K3927">
        <v>0</v>
      </c>
    </row>
    <row r="3928" spans="9:11">
      <c r="I3928" t="s">
        <v>94</v>
      </c>
      <c r="J3928" t="s">
        <v>95</v>
      </c>
      <c r="K3928">
        <v>0</v>
      </c>
    </row>
    <row r="3929" spans="9:11">
      <c r="I3929" t="s">
        <v>91</v>
      </c>
      <c r="J3929" t="s">
        <v>92</v>
      </c>
      <c r="K3929">
        <v>0</v>
      </c>
    </row>
    <row r="3930" spans="9:11">
      <c r="I3930" t="s">
        <v>91</v>
      </c>
      <c r="J3930" t="s">
        <v>92</v>
      </c>
      <c r="K3930">
        <v>0</v>
      </c>
    </row>
    <row r="3931" spans="9:11">
      <c r="I3931" t="s">
        <v>94</v>
      </c>
      <c r="J3931" t="s">
        <v>95</v>
      </c>
      <c r="K3931">
        <v>0</v>
      </c>
    </row>
    <row r="3932" spans="9:11">
      <c r="I3932" t="s">
        <v>94</v>
      </c>
      <c r="J3932" t="s">
        <v>95</v>
      </c>
      <c r="K3932">
        <v>0</v>
      </c>
    </row>
    <row r="3933" spans="9:11">
      <c r="I3933" t="s">
        <v>94</v>
      </c>
      <c r="J3933" t="s">
        <v>95</v>
      </c>
      <c r="K3933">
        <v>1</v>
      </c>
    </row>
    <row r="3934" spans="9:11">
      <c r="I3934" t="s">
        <v>94</v>
      </c>
      <c r="J3934" t="s">
        <v>95</v>
      </c>
      <c r="K3934">
        <v>0</v>
      </c>
    </row>
    <row r="3935" spans="9:11">
      <c r="I3935" t="s">
        <v>91</v>
      </c>
      <c r="J3935" t="s">
        <v>92</v>
      </c>
      <c r="K3935">
        <v>0</v>
      </c>
    </row>
    <row r="3936" spans="9:11">
      <c r="I3936" t="s">
        <v>94</v>
      </c>
      <c r="J3936" t="s">
        <v>95</v>
      </c>
      <c r="K3936">
        <v>0</v>
      </c>
    </row>
    <row r="3937" spans="9:11">
      <c r="I3937" t="s">
        <v>91</v>
      </c>
      <c r="J3937" t="s">
        <v>92</v>
      </c>
      <c r="K3937">
        <v>1</v>
      </c>
    </row>
    <row r="3938" spans="9:11">
      <c r="I3938" t="s">
        <v>94</v>
      </c>
      <c r="J3938" t="s">
        <v>95</v>
      </c>
      <c r="K3938">
        <v>0</v>
      </c>
    </row>
    <row r="3939" spans="9:11">
      <c r="I3939" t="s">
        <v>91</v>
      </c>
      <c r="J3939" t="s">
        <v>92</v>
      </c>
      <c r="K3939">
        <v>0</v>
      </c>
    </row>
    <row r="3940" spans="9:11">
      <c r="I3940" t="s">
        <v>91</v>
      </c>
      <c r="J3940" t="s">
        <v>92</v>
      </c>
      <c r="K3940">
        <v>0</v>
      </c>
    </row>
    <row r="3941" spans="9:11">
      <c r="I3941" t="s">
        <v>91</v>
      </c>
      <c r="J3941" t="s">
        <v>92</v>
      </c>
      <c r="K3941">
        <v>0</v>
      </c>
    </row>
    <row r="3942" spans="9:11">
      <c r="I3942" t="s">
        <v>91</v>
      </c>
      <c r="J3942" t="s">
        <v>92</v>
      </c>
      <c r="K3942">
        <v>0</v>
      </c>
    </row>
    <row r="3943" spans="9:11">
      <c r="I3943" t="s">
        <v>94</v>
      </c>
      <c r="J3943" t="s">
        <v>95</v>
      </c>
      <c r="K3943">
        <v>0</v>
      </c>
    </row>
    <row r="3944" spans="9:11">
      <c r="I3944" t="s">
        <v>91</v>
      </c>
      <c r="J3944" t="s">
        <v>92</v>
      </c>
      <c r="K3944">
        <v>0</v>
      </c>
    </row>
    <row r="3945" spans="9:11">
      <c r="I3945" t="s">
        <v>91</v>
      </c>
      <c r="J3945" t="s">
        <v>92</v>
      </c>
      <c r="K3945">
        <v>0</v>
      </c>
    </row>
    <row r="3946" spans="9:11">
      <c r="I3946" t="s">
        <v>91</v>
      </c>
      <c r="J3946" t="s">
        <v>92</v>
      </c>
      <c r="K3946">
        <v>0</v>
      </c>
    </row>
    <row r="3947" spans="9:11">
      <c r="I3947" t="s">
        <v>91</v>
      </c>
      <c r="J3947" t="s">
        <v>92</v>
      </c>
      <c r="K3947">
        <v>0</v>
      </c>
    </row>
    <row r="3948" spans="9:11">
      <c r="I3948" t="s">
        <v>91</v>
      </c>
      <c r="J3948" t="s">
        <v>92</v>
      </c>
      <c r="K3948">
        <v>0</v>
      </c>
    </row>
    <row r="3949" spans="9:11">
      <c r="I3949" t="s">
        <v>91</v>
      </c>
      <c r="J3949" t="s">
        <v>92</v>
      </c>
      <c r="K3949">
        <v>0</v>
      </c>
    </row>
    <row r="3950" spans="9:11">
      <c r="I3950" t="s">
        <v>94</v>
      </c>
      <c r="J3950" t="s">
        <v>95</v>
      </c>
      <c r="K3950">
        <v>0</v>
      </c>
    </row>
    <row r="3951" spans="9:11">
      <c r="I3951" t="s">
        <v>94</v>
      </c>
      <c r="J3951" t="s">
        <v>95</v>
      </c>
      <c r="K3951">
        <v>0</v>
      </c>
    </row>
    <row r="3952" spans="9:11">
      <c r="I3952" t="s">
        <v>94</v>
      </c>
      <c r="J3952" t="s">
        <v>95</v>
      </c>
      <c r="K3952">
        <v>0</v>
      </c>
    </row>
    <row r="3953" spans="9:11">
      <c r="I3953" t="s">
        <v>91</v>
      </c>
      <c r="J3953" t="s">
        <v>92</v>
      </c>
      <c r="K3953">
        <v>0</v>
      </c>
    </row>
    <row r="3954" spans="9:11">
      <c r="I3954" t="s">
        <v>94</v>
      </c>
      <c r="J3954" t="s">
        <v>95</v>
      </c>
      <c r="K3954">
        <v>0</v>
      </c>
    </row>
    <row r="3955" spans="9:11">
      <c r="I3955" t="s">
        <v>91</v>
      </c>
      <c r="J3955" t="s">
        <v>92</v>
      </c>
      <c r="K3955">
        <v>0</v>
      </c>
    </row>
    <row r="3956" spans="9:11">
      <c r="I3956" t="s">
        <v>94</v>
      </c>
      <c r="J3956" t="s">
        <v>95</v>
      </c>
      <c r="K3956">
        <v>0</v>
      </c>
    </row>
    <row r="3957" spans="9:11">
      <c r="I3957" t="s">
        <v>91</v>
      </c>
      <c r="J3957" t="s">
        <v>92</v>
      </c>
      <c r="K3957">
        <v>0</v>
      </c>
    </row>
    <row r="3958" spans="9:11">
      <c r="I3958" t="s">
        <v>94</v>
      </c>
      <c r="J3958" t="s">
        <v>95</v>
      </c>
      <c r="K3958">
        <v>0</v>
      </c>
    </row>
    <row r="3959" spans="9:11">
      <c r="I3959" t="s">
        <v>94</v>
      </c>
      <c r="J3959" t="s">
        <v>95</v>
      </c>
      <c r="K3959">
        <v>0</v>
      </c>
    </row>
    <row r="3960" spans="9:11">
      <c r="I3960" t="s">
        <v>91</v>
      </c>
      <c r="J3960" t="s">
        <v>92</v>
      </c>
      <c r="K3960">
        <v>0</v>
      </c>
    </row>
    <row r="3961" spans="9:11">
      <c r="I3961" t="s">
        <v>94</v>
      </c>
      <c r="J3961" t="s">
        <v>95</v>
      </c>
      <c r="K3961">
        <v>0</v>
      </c>
    </row>
    <row r="3962" spans="9:11">
      <c r="I3962" t="s">
        <v>94</v>
      </c>
      <c r="J3962" t="s">
        <v>95</v>
      </c>
      <c r="K3962">
        <v>0</v>
      </c>
    </row>
    <row r="3963" spans="9:11">
      <c r="I3963" t="s">
        <v>94</v>
      </c>
      <c r="J3963" t="s">
        <v>95</v>
      </c>
      <c r="K3963">
        <v>0</v>
      </c>
    </row>
    <row r="3964" spans="9:11">
      <c r="I3964" t="s">
        <v>91</v>
      </c>
      <c r="J3964" t="s">
        <v>92</v>
      </c>
      <c r="K3964">
        <v>0</v>
      </c>
    </row>
    <row r="3965" spans="9:11">
      <c r="I3965" t="s">
        <v>91</v>
      </c>
      <c r="J3965" t="s">
        <v>92</v>
      </c>
      <c r="K3965">
        <v>0</v>
      </c>
    </row>
    <row r="3966" spans="9:11">
      <c r="I3966" t="s">
        <v>91</v>
      </c>
      <c r="J3966" t="s">
        <v>92</v>
      </c>
      <c r="K3966">
        <v>0</v>
      </c>
    </row>
    <row r="3967" spans="9:11">
      <c r="I3967" t="s">
        <v>91</v>
      </c>
      <c r="J3967" t="s">
        <v>92</v>
      </c>
      <c r="K3967">
        <v>0</v>
      </c>
    </row>
    <row r="3968" spans="9:11">
      <c r="I3968" t="s">
        <v>94</v>
      </c>
      <c r="J3968" t="s">
        <v>95</v>
      </c>
      <c r="K3968">
        <v>0</v>
      </c>
    </row>
    <row r="3969" spans="9:11">
      <c r="I3969" t="s">
        <v>91</v>
      </c>
      <c r="J3969" t="s">
        <v>92</v>
      </c>
      <c r="K3969">
        <v>0</v>
      </c>
    </row>
    <row r="3970" spans="9:11">
      <c r="I3970" t="s">
        <v>94</v>
      </c>
      <c r="J3970" t="s">
        <v>95</v>
      </c>
      <c r="K3970">
        <v>0</v>
      </c>
    </row>
    <row r="3971" spans="9:11">
      <c r="I3971" t="s">
        <v>94</v>
      </c>
      <c r="J3971" t="s">
        <v>95</v>
      </c>
      <c r="K3971">
        <v>0</v>
      </c>
    </row>
    <row r="3972" spans="9:11">
      <c r="I3972" t="s">
        <v>91</v>
      </c>
      <c r="J3972" t="s">
        <v>92</v>
      </c>
      <c r="K3972">
        <v>0</v>
      </c>
    </row>
    <row r="3973" spans="9:11">
      <c r="I3973" t="s">
        <v>91</v>
      </c>
      <c r="J3973" t="s">
        <v>92</v>
      </c>
      <c r="K3973">
        <v>0</v>
      </c>
    </row>
    <row r="3974" spans="9:11">
      <c r="I3974" t="s">
        <v>94</v>
      </c>
      <c r="J3974" t="s">
        <v>95</v>
      </c>
      <c r="K3974">
        <v>0</v>
      </c>
    </row>
    <row r="3975" spans="9:11">
      <c r="I3975" t="s">
        <v>91</v>
      </c>
      <c r="J3975" t="s">
        <v>92</v>
      </c>
      <c r="K3975">
        <v>0</v>
      </c>
    </row>
    <row r="3976" spans="9:11">
      <c r="I3976" t="s">
        <v>91</v>
      </c>
      <c r="J3976" t="s">
        <v>92</v>
      </c>
      <c r="K3976">
        <v>0</v>
      </c>
    </row>
    <row r="3977" spans="9:11">
      <c r="I3977" t="s">
        <v>94</v>
      </c>
      <c r="J3977" t="s">
        <v>95</v>
      </c>
      <c r="K3977">
        <v>0</v>
      </c>
    </row>
    <row r="3978" spans="9:11">
      <c r="I3978" t="s">
        <v>94</v>
      </c>
      <c r="J3978" t="s">
        <v>95</v>
      </c>
      <c r="K3978">
        <v>0</v>
      </c>
    </row>
    <row r="3979" spans="9:11">
      <c r="I3979" t="s">
        <v>91</v>
      </c>
      <c r="J3979" t="s">
        <v>92</v>
      </c>
      <c r="K3979">
        <v>0</v>
      </c>
    </row>
    <row r="3980" spans="9:11">
      <c r="I3980" t="s">
        <v>94</v>
      </c>
      <c r="J3980" t="s">
        <v>95</v>
      </c>
      <c r="K3980">
        <v>0</v>
      </c>
    </row>
    <row r="3981" spans="9:11">
      <c r="I3981" t="s">
        <v>94</v>
      </c>
      <c r="J3981" t="s">
        <v>95</v>
      </c>
      <c r="K3981">
        <v>0</v>
      </c>
    </row>
    <row r="3982" spans="9:11">
      <c r="I3982" t="s">
        <v>94</v>
      </c>
      <c r="J3982" t="s">
        <v>95</v>
      </c>
      <c r="K3982">
        <v>0</v>
      </c>
    </row>
    <row r="3983" spans="9:11">
      <c r="I3983" t="s">
        <v>91</v>
      </c>
      <c r="J3983" t="s">
        <v>92</v>
      </c>
      <c r="K3983">
        <v>0</v>
      </c>
    </row>
    <row r="3984" spans="9:11">
      <c r="I3984" t="s">
        <v>91</v>
      </c>
      <c r="J3984" t="s">
        <v>92</v>
      </c>
      <c r="K3984">
        <v>0</v>
      </c>
    </row>
    <row r="3985" spans="9:11">
      <c r="I3985" t="s">
        <v>94</v>
      </c>
      <c r="J3985" t="s">
        <v>95</v>
      </c>
      <c r="K3985">
        <v>0</v>
      </c>
    </row>
    <row r="3986" spans="9:11">
      <c r="I3986" t="s">
        <v>91</v>
      </c>
      <c r="J3986" t="s">
        <v>92</v>
      </c>
      <c r="K3986">
        <v>0</v>
      </c>
    </row>
    <row r="3987" spans="9:11">
      <c r="I3987" t="s">
        <v>91</v>
      </c>
      <c r="J3987" t="s">
        <v>92</v>
      </c>
      <c r="K3987">
        <v>0</v>
      </c>
    </row>
    <row r="3988" spans="9:11">
      <c r="I3988" t="s">
        <v>91</v>
      </c>
      <c r="J3988" t="s">
        <v>92</v>
      </c>
      <c r="K3988">
        <v>0</v>
      </c>
    </row>
    <row r="3989" spans="9:11">
      <c r="I3989" t="s">
        <v>91</v>
      </c>
      <c r="J3989" t="s">
        <v>92</v>
      </c>
      <c r="K3989">
        <v>0</v>
      </c>
    </row>
    <row r="3990" spans="9:11">
      <c r="I3990" t="s">
        <v>94</v>
      </c>
      <c r="J3990" t="s">
        <v>95</v>
      </c>
      <c r="K3990">
        <v>0</v>
      </c>
    </row>
    <row r="3991" spans="9:11">
      <c r="I3991" t="s">
        <v>91</v>
      </c>
      <c r="J3991" t="s">
        <v>92</v>
      </c>
      <c r="K3991">
        <v>0</v>
      </c>
    </row>
    <row r="3992" spans="9:11">
      <c r="I3992" t="s">
        <v>91</v>
      </c>
      <c r="J3992" t="s">
        <v>92</v>
      </c>
      <c r="K3992">
        <v>0</v>
      </c>
    </row>
    <row r="3993" spans="9:11">
      <c r="I3993" t="s">
        <v>91</v>
      </c>
      <c r="J3993" t="s">
        <v>92</v>
      </c>
      <c r="K3993">
        <v>0</v>
      </c>
    </row>
    <row r="3994" spans="9:11">
      <c r="I3994" t="s">
        <v>94</v>
      </c>
      <c r="J3994" t="s">
        <v>95</v>
      </c>
      <c r="K3994">
        <v>0</v>
      </c>
    </row>
    <row r="3995" spans="9:11">
      <c r="I3995" t="s">
        <v>91</v>
      </c>
      <c r="J3995" t="s">
        <v>92</v>
      </c>
      <c r="K3995">
        <v>0</v>
      </c>
    </row>
    <row r="3996" spans="9:11">
      <c r="I3996" t="s">
        <v>94</v>
      </c>
      <c r="J3996" t="s">
        <v>95</v>
      </c>
      <c r="K3996">
        <v>0</v>
      </c>
    </row>
    <row r="3997" spans="9:11">
      <c r="I3997" t="s">
        <v>94</v>
      </c>
      <c r="J3997" t="s">
        <v>95</v>
      </c>
      <c r="K3997">
        <v>0</v>
      </c>
    </row>
    <row r="3998" spans="9:11">
      <c r="I3998" t="s">
        <v>94</v>
      </c>
      <c r="J3998" t="s">
        <v>95</v>
      </c>
      <c r="K3998">
        <v>0</v>
      </c>
    </row>
    <row r="3999" spans="9:11">
      <c r="I3999" t="s">
        <v>91</v>
      </c>
      <c r="J3999" t="s">
        <v>92</v>
      </c>
      <c r="K3999">
        <v>0</v>
      </c>
    </row>
    <row r="4000" spans="9:11">
      <c r="I4000" t="s">
        <v>91</v>
      </c>
      <c r="J4000" t="s">
        <v>92</v>
      </c>
      <c r="K4000">
        <v>0</v>
      </c>
    </row>
    <row r="4001" spans="9:11">
      <c r="I4001" t="s">
        <v>94</v>
      </c>
      <c r="J4001" t="s">
        <v>95</v>
      </c>
      <c r="K4001">
        <v>0</v>
      </c>
    </row>
    <row r="4002" spans="9:11">
      <c r="I4002" t="s">
        <v>94</v>
      </c>
      <c r="J4002" t="s">
        <v>95</v>
      </c>
      <c r="K4002">
        <v>0</v>
      </c>
    </row>
    <row r="4003" spans="9:11">
      <c r="I4003" t="s">
        <v>91</v>
      </c>
      <c r="J4003" t="s">
        <v>92</v>
      </c>
      <c r="K4003">
        <v>0</v>
      </c>
    </row>
    <row r="4004" spans="9:11">
      <c r="I4004" t="s">
        <v>94</v>
      </c>
      <c r="J4004" t="s">
        <v>95</v>
      </c>
      <c r="K4004">
        <v>0</v>
      </c>
    </row>
    <row r="4005" spans="9:11">
      <c r="I4005" t="s">
        <v>91</v>
      </c>
      <c r="J4005" t="s">
        <v>92</v>
      </c>
      <c r="K4005">
        <v>0</v>
      </c>
    </row>
    <row r="4006" spans="9:11">
      <c r="I4006" t="s">
        <v>94</v>
      </c>
      <c r="J4006" t="s">
        <v>95</v>
      </c>
      <c r="K4006">
        <v>0</v>
      </c>
    </row>
    <row r="4007" spans="9:11">
      <c r="I4007" t="s">
        <v>91</v>
      </c>
      <c r="J4007" t="s">
        <v>92</v>
      </c>
      <c r="K4007">
        <v>0</v>
      </c>
    </row>
    <row r="4008" spans="9:11">
      <c r="I4008" t="s">
        <v>94</v>
      </c>
      <c r="J4008" t="s">
        <v>95</v>
      </c>
      <c r="K4008">
        <v>0</v>
      </c>
    </row>
    <row r="4009" spans="9:11">
      <c r="I4009" t="s">
        <v>91</v>
      </c>
      <c r="J4009" t="s">
        <v>92</v>
      </c>
      <c r="K4009">
        <v>0</v>
      </c>
    </row>
    <row r="4010" spans="9:11">
      <c r="I4010" t="s">
        <v>94</v>
      </c>
      <c r="J4010" t="s">
        <v>95</v>
      </c>
      <c r="K4010">
        <v>0</v>
      </c>
    </row>
    <row r="4011" spans="9:11">
      <c r="I4011" t="s">
        <v>94</v>
      </c>
      <c r="J4011" t="s">
        <v>95</v>
      </c>
      <c r="K4011">
        <v>0</v>
      </c>
    </row>
    <row r="4012" spans="9:11">
      <c r="I4012" t="s">
        <v>94</v>
      </c>
      <c r="J4012" t="s">
        <v>95</v>
      </c>
      <c r="K4012">
        <v>0</v>
      </c>
    </row>
    <row r="4013" spans="9:11">
      <c r="I4013" t="s">
        <v>94</v>
      </c>
      <c r="J4013" t="s">
        <v>95</v>
      </c>
      <c r="K4013">
        <v>0</v>
      </c>
    </row>
    <row r="4014" spans="9:11">
      <c r="I4014" t="s">
        <v>94</v>
      </c>
      <c r="J4014" t="s">
        <v>95</v>
      </c>
      <c r="K4014">
        <v>0</v>
      </c>
    </row>
    <row r="4015" spans="9:11">
      <c r="I4015" t="s">
        <v>91</v>
      </c>
      <c r="J4015" t="s">
        <v>92</v>
      </c>
      <c r="K4015">
        <v>0</v>
      </c>
    </row>
    <row r="4016" spans="9:11">
      <c r="I4016" t="s">
        <v>94</v>
      </c>
      <c r="J4016" t="s">
        <v>95</v>
      </c>
      <c r="K4016">
        <v>0</v>
      </c>
    </row>
    <row r="4017" spans="9:11">
      <c r="I4017" t="s">
        <v>94</v>
      </c>
      <c r="J4017" t="s">
        <v>95</v>
      </c>
      <c r="K4017">
        <v>0</v>
      </c>
    </row>
    <row r="4018" spans="9:11">
      <c r="I4018" t="s">
        <v>91</v>
      </c>
      <c r="J4018" t="s">
        <v>92</v>
      </c>
      <c r="K4018">
        <v>0</v>
      </c>
    </row>
    <row r="4019" spans="9:11">
      <c r="I4019" t="s">
        <v>94</v>
      </c>
      <c r="J4019" t="s">
        <v>95</v>
      </c>
      <c r="K4019">
        <v>0</v>
      </c>
    </row>
    <row r="4020" spans="9:11">
      <c r="I4020" t="s">
        <v>94</v>
      </c>
      <c r="J4020" t="s">
        <v>95</v>
      </c>
      <c r="K4020">
        <v>0</v>
      </c>
    </row>
    <row r="4021" spans="9:11">
      <c r="I4021" t="s">
        <v>94</v>
      </c>
      <c r="J4021" t="s">
        <v>95</v>
      </c>
      <c r="K4021">
        <v>0</v>
      </c>
    </row>
    <row r="4022" spans="9:11">
      <c r="I4022" t="s">
        <v>91</v>
      </c>
      <c r="J4022" t="s">
        <v>92</v>
      </c>
      <c r="K4022">
        <v>0</v>
      </c>
    </row>
    <row r="4023" spans="9:11">
      <c r="I4023" t="s">
        <v>91</v>
      </c>
      <c r="J4023" t="s">
        <v>92</v>
      </c>
      <c r="K4023">
        <v>0</v>
      </c>
    </row>
    <row r="4024" spans="9:11">
      <c r="I4024" t="s">
        <v>91</v>
      </c>
      <c r="J4024" t="s">
        <v>92</v>
      </c>
      <c r="K4024">
        <v>0</v>
      </c>
    </row>
    <row r="4025" spans="9:11">
      <c r="I4025" t="s">
        <v>94</v>
      </c>
      <c r="J4025" t="s">
        <v>95</v>
      </c>
      <c r="K4025">
        <v>0</v>
      </c>
    </row>
    <row r="4026" spans="9:11">
      <c r="I4026" t="s">
        <v>91</v>
      </c>
      <c r="J4026" t="s">
        <v>92</v>
      </c>
      <c r="K4026">
        <v>0</v>
      </c>
    </row>
    <row r="4027" spans="9:11">
      <c r="I4027" t="s">
        <v>94</v>
      </c>
      <c r="J4027" t="s">
        <v>95</v>
      </c>
      <c r="K4027">
        <v>0</v>
      </c>
    </row>
    <row r="4028" spans="9:11">
      <c r="I4028" t="s">
        <v>91</v>
      </c>
      <c r="J4028" t="s">
        <v>92</v>
      </c>
      <c r="K4028">
        <v>0</v>
      </c>
    </row>
    <row r="4029" spans="9:11">
      <c r="I4029" t="s">
        <v>91</v>
      </c>
      <c r="J4029" t="s">
        <v>92</v>
      </c>
      <c r="K4029">
        <v>0</v>
      </c>
    </row>
    <row r="4030" spans="9:11">
      <c r="I4030" t="s">
        <v>91</v>
      </c>
      <c r="J4030" t="s">
        <v>92</v>
      </c>
      <c r="K4030">
        <v>0</v>
      </c>
    </row>
    <row r="4031" spans="9:11">
      <c r="I4031" t="s">
        <v>91</v>
      </c>
      <c r="J4031" t="s">
        <v>92</v>
      </c>
      <c r="K4031">
        <v>0</v>
      </c>
    </row>
    <row r="4032" spans="9:11">
      <c r="I4032" t="s">
        <v>94</v>
      </c>
      <c r="J4032" t="s">
        <v>95</v>
      </c>
      <c r="K4032">
        <v>0</v>
      </c>
    </row>
    <row r="4033" spans="9:11">
      <c r="I4033" t="s">
        <v>94</v>
      </c>
      <c r="J4033" t="s">
        <v>95</v>
      </c>
      <c r="K4033">
        <v>0</v>
      </c>
    </row>
    <row r="4034" spans="9:11">
      <c r="I4034" t="s">
        <v>91</v>
      </c>
      <c r="J4034" t="s">
        <v>92</v>
      </c>
      <c r="K4034">
        <v>0</v>
      </c>
    </row>
    <row r="4035" spans="9:11">
      <c r="I4035" t="s">
        <v>94</v>
      </c>
      <c r="J4035" t="s">
        <v>95</v>
      </c>
      <c r="K4035">
        <v>0</v>
      </c>
    </row>
    <row r="4036" spans="9:11">
      <c r="I4036" t="s">
        <v>91</v>
      </c>
      <c r="J4036" t="s">
        <v>92</v>
      </c>
      <c r="K4036">
        <v>0</v>
      </c>
    </row>
    <row r="4037" spans="9:11">
      <c r="I4037" t="s">
        <v>94</v>
      </c>
      <c r="J4037" t="s">
        <v>95</v>
      </c>
      <c r="K4037">
        <v>0</v>
      </c>
    </row>
    <row r="4038" spans="9:11">
      <c r="I4038" t="s">
        <v>91</v>
      </c>
      <c r="J4038" t="s">
        <v>92</v>
      </c>
      <c r="K4038">
        <v>0</v>
      </c>
    </row>
    <row r="4039" spans="9:11">
      <c r="I4039" t="s">
        <v>91</v>
      </c>
      <c r="J4039" t="s">
        <v>92</v>
      </c>
      <c r="K4039">
        <v>0</v>
      </c>
    </row>
    <row r="4040" spans="9:11">
      <c r="I4040" t="s">
        <v>91</v>
      </c>
      <c r="J4040" t="s">
        <v>92</v>
      </c>
      <c r="K4040">
        <v>0</v>
      </c>
    </row>
    <row r="4041" spans="9:11">
      <c r="I4041" t="s">
        <v>91</v>
      </c>
      <c r="J4041" t="s">
        <v>92</v>
      </c>
      <c r="K4041">
        <v>0</v>
      </c>
    </row>
    <row r="4042" spans="9:11">
      <c r="I4042" t="s">
        <v>91</v>
      </c>
      <c r="J4042" t="s">
        <v>92</v>
      </c>
      <c r="K4042">
        <v>0</v>
      </c>
    </row>
    <row r="4043" spans="9:11">
      <c r="I4043" t="s">
        <v>91</v>
      </c>
      <c r="J4043" t="s">
        <v>92</v>
      </c>
      <c r="K4043">
        <v>0</v>
      </c>
    </row>
    <row r="4044" spans="9:11">
      <c r="I4044" t="s">
        <v>91</v>
      </c>
      <c r="J4044" t="s">
        <v>92</v>
      </c>
      <c r="K4044">
        <v>0</v>
      </c>
    </row>
    <row r="4045" spans="9:11">
      <c r="I4045" t="s">
        <v>94</v>
      </c>
      <c r="J4045" t="s">
        <v>95</v>
      </c>
      <c r="K4045">
        <v>0</v>
      </c>
    </row>
    <row r="4046" spans="9:11">
      <c r="I4046" t="s">
        <v>91</v>
      </c>
      <c r="J4046" t="s">
        <v>92</v>
      </c>
      <c r="K4046">
        <v>0</v>
      </c>
    </row>
    <row r="4047" spans="9:11">
      <c r="I4047" t="s">
        <v>91</v>
      </c>
      <c r="J4047" t="s">
        <v>92</v>
      </c>
      <c r="K4047">
        <v>0</v>
      </c>
    </row>
    <row r="4048" spans="9:11">
      <c r="I4048" t="s">
        <v>91</v>
      </c>
      <c r="J4048" t="s">
        <v>92</v>
      </c>
      <c r="K4048">
        <v>0</v>
      </c>
    </row>
    <row r="4049" spans="9:11">
      <c r="I4049" t="s">
        <v>91</v>
      </c>
      <c r="J4049" t="s">
        <v>92</v>
      </c>
      <c r="K4049">
        <v>1</v>
      </c>
    </row>
    <row r="4050" spans="9:11">
      <c r="I4050" t="s">
        <v>91</v>
      </c>
      <c r="J4050" t="s">
        <v>92</v>
      </c>
      <c r="K4050">
        <v>0</v>
      </c>
    </row>
    <row r="4051" spans="9:11">
      <c r="I4051" t="s">
        <v>91</v>
      </c>
      <c r="J4051" t="s">
        <v>92</v>
      </c>
      <c r="K4051">
        <v>0</v>
      </c>
    </row>
    <row r="4052" spans="9:11">
      <c r="I4052" t="s">
        <v>91</v>
      </c>
      <c r="J4052" t="s">
        <v>92</v>
      </c>
      <c r="K4052">
        <v>0</v>
      </c>
    </row>
    <row r="4053" spans="9:11">
      <c r="I4053" t="s">
        <v>91</v>
      </c>
      <c r="J4053" t="s">
        <v>92</v>
      </c>
      <c r="K4053">
        <v>0</v>
      </c>
    </row>
    <row r="4054" spans="9:11">
      <c r="I4054" t="s">
        <v>94</v>
      </c>
      <c r="J4054" t="s">
        <v>95</v>
      </c>
      <c r="K4054">
        <v>0</v>
      </c>
    </row>
    <row r="4055" spans="9:11">
      <c r="I4055" t="s">
        <v>91</v>
      </c>
      <c r="J4055" t="s">
        <v>92</v>
      </c>
      <c r="K4055">
        <v>0</v>
      </c>
    </row>
    <row r="4056" spans="9:11">
      <c r="I4056" t="s">
        <v>91</v>
      </c>
      <c r="J4056" t="s">
        <v>92</v>
      </c>
      <c r="K4056">
        <v>0</v>
      </c>
    </row>
    <row r="4057" spans="9:11">
      <c r="I4057" t="s">
        <v>91</v>
      </c>
      <c r="J4057" t="s">
        <v>92</v>
      </c>
      <c r="K4057">
        <v>0</v>
      </c>
    </row>
    <row r="4058" spans="9:11">
      <c r="I4058" t="s">
        <v>94</v>
      </c>
      <c r="J4058" t="s">
        <v>95</v>
      </c>
      <c r="K4058">
        <v>0</v>
      </c>
    </row>
    <row r="4059" spans="9:11">
      <c r="I4059" t="s">
        <v>94</v>
      </c>
      <c r="J4059" t="s">
        <v>95</v>
      </c>
      <c r="K4059">
        <v>0</v>
      </c>
    </row>
    <row r="4060" spans="9:11">
      <c r="I4060" t="s">
        <v>91</v>
      </c>
      <c r="J4060" t="s">
        <v>92</v>
      </c>
      <c r="K4060">
        <v>0</v>
      </c>
    </row>
    <row r="4061" spans="9:11">
      <c r="I4061" t="s">
        <v>94</v>
      </c>
      <c r="J4061" t="s">
        <v>95</v>
      </c>
      <c r="K4061">
        <v>0</v>
      </c>
    </row>
    <row r="4062" spans="9:11">
      <c r="I4062" t="s">
        <v>91</v>
      </c>
      <c r="J4062" t="s">
        <v>92</v>
      </c>
      <c r="K4062">
        <v>0</v>
      </c>
    </row>
    <row r="4063" spans="9:11">
      <c r="I4063" t="s">
        <v>94</v>
      </c>
      <c r="J4063" t="s">
        <v>95</v>
      </c>
      <c r="K4063">
        <v>0</v>
      </c>
    </row>
    <row r="4064" spans="9:11">
      <c r="I4064" t="s">
        <v>94</v>
      </c>
      <c r="J4064" t="s">
        <v>95</v>
      </c>
      <c r="K4064">
        <v>0</v>
      </c>
    </row>
    <row r="4065" spans="9:11">
      <c r="I4065" t="s">
        <v>94</v>
      </c>
      <c r="J4065" t="s">
        <v>95</v>
      </c>
      <c r="K4065">
        <v>0</v>
      </c>
    </row>
    <row r="4066" spans="9:11">
      <c r="I4066" t="s">
        <v>91</v>
      </c>
      <c r="J4066" t="s">
        <v>92</v>
      </c>
      <c r="K4066">
        <v>0</v>
      </c>
    </row>
    <row r="4067" spans="9:11">
      <c r="I4067" t="s">
        <v>91</v>
      </c>
      <c r="J4067" t="s">
        <v>92</v>
      </c>
      <c r="K4067">
        <v>0</v>
      </c>
    </row>
    <row r="4068" spans="9:11">
      <c r="I4068" t="s">
        <v>94</v>
      </c>
      <c r="J4068" t="s">
        <v>95</v>
      </c>
      <c r="K4068">
        <v>0</v>
      </c>
    </row>
    <row r="4069" spans="9:11">
      <c r="I4069" t="s">
        <v>91</v>
      </c>
      <c r="J4069" t="s">
        <v>92</v>
      </c>
      <c r="K4069">
        <v>0</v>
      </c>
    </row>
    <row r="4070" spans="9:11">
      <c r="I4070" t="s">
        <v>94</v>
      </c>
      <c r="J4070" t="s">
        <v>95</v>
      </c>
      <c r="K4070">
        <v>0</v>
      </c>
    </row>
    <row r="4071" spans="9:11">
      <c r="I4071" t="s">
        <v>94</v>
      </c>
      <c r="J4071" t="s">
        <v>95</v>
      </c>
      <c r="K4071">
        <v>0</v>
      </c>
    </row>
    <row r="4072" spans="9:11">
      <c r="I4072" t="s">
        <v>94</v>
      </c>
      <c r="J4072" t="s">
        <v>95</v>
      </c>
      <c r="K4072">
        <v>0</v>
      </c>
    </row>
    <row r="4073" spans="9:11">
      <c r="I4073" t="s">
        <v>91</v>
      </c>
      <c r="J4073" t="s">
        <v>92</v>
      </c>
      <c r="K4073">
        <v>0</v>
      </c>
    </row>
    <row r="4074" spans="9:11">
      <c r="I4074" t="s">
        <v>94</v>
      </c>
      <c r="J4074" t="s">
        <v>95</v>
      </c>
      <c r="K4074">
        <v>0</v>
      </c>
    </row>
    <row r="4075" spans="9:11">
      <c r="I4075" t="s">
        <v>94</v>
      </c>
      <c r="J4075" t="s">
        <v>95</v>
      </c>
      <c r="K4075">
        <v>0</v>
      </c>
    </row>
    <row r="4076" spans="9:11">
      <c r="I4076" t="s">
        <v>94</v>
      </c>
      <c r="J4076" t="s">
        <v>95</v>
      </c>
      <c r="K4076">
        <v>0</v>
      </c>
    </row>
    <row r="4077" spans="9:11">
      <c r="I4077" t="s">
        <v>94</v>
      </c>
      <c r="J4077" t="s">
        <v>95</v>
      </c>
      <c r="K4077">
        <v>0</v>
      </c>
    </row>
    <row r="4078" spans="9:11">
      <c r="I4078" t="s">
        <v>91</v>
      </c>
      <c r="J4078" t="s">
        <v>92</v>
      </c>
      <c r="K4078">
        <v>0</v>
      </c>
    </row>
    <row r="4079" spans="9:11">
      <c r="I4079" t="s">
        <v>91</v>
      </c>
      <c r="J4079" t="s">
        <v>92</v>
      </c>
      <c r="K4079">
        <v>0</v>
      </c>
    </row>
    <row r="4080" spans="9:11">
      <c r="I4080" t="s">
        <v>94</v>
      </c>
      <c r="J4080" t="s">
        <v>95</v>
      </c>
      <c r="K4080">
        <v>0</v>
      </c>
    </row>
    <row r="4081" spans="9:11">
      <c r="I4081" t="s">
        <v>94</v>
      </c>
      <c r="J4081" t="s">
        <v>95</v>
      </c>
      <c r="K4081">
        <v>0</v>
      </c>
    </row>
    <row r="4082" spans="9:11">
      <c r="I4082" t="s">
        <v>91</v>
      </c>
      <c r="J4082" t="s">
        <v>92</v>
      </c>
      <c r="K4082">
        <v>0</v>
      </c>
    </row>
    <row r="4083" spans="9:11">
      <c r="I4083" t="s">
        <v>94</v>
      </c>
      <c r="J4083" t="s">
        <v>95</v>
      </c>
      <c r="K4083">
        <v>0</v>
      </c>
    </row>
    <row r="4084" spans="9:11">
      <c r="I4084" t="s">
        <v>91</v>
      </c>
      <c r="J4084" t="s">
        <v>92</v>
      </c>
      <c r="K4084">
        <v>0</v>
      </c>
    </row>
    <row r="4085" spans="9:11">
      <c r="I4085" t="s">
        <v>94</v>
      </c>
      <c r="J4085" t="s">
        <v>95</v>
      </c>
      <c r="K4085">
        <v>0</v>
      </c>
    </row>
    <row r="4086" spans="9:11">
      <c r="I4086" t="s">
        <v>94</v>
      </c>
      <c r="J4086" t="s">
        <v>95</v>
      </c>
      <c r="K4086">
        <v>0</v>
      </c>
    </row>
    <row r="4087" spans="9:11">
      <c r="I4087" t="s">
        <v>91</v>
      </c>
      <c r="J4087" t="s">
        <v>92</v>
      </c>
      <c r="K4087">
        <v>0</v>
      </c>
    </row>
    <row r="4088" spans="9:11">
      <c r="I4088" t="s">
        <v>91</v>
      </c>
      <c r="J4088" t="s">
        <v>92</v>
      </c>
      <c r="K4088">
        <v>0</v>
      </c>
    </row>
    <row r="4089" spans="9:11">
      <c r="I4089" t="s">
        <v>91</v>
      </c>
      <c r="J4089" t="s">
        <v>92</v>
      </c>
      <c r="K4089">
        <v>0</v>
      </c>
    </row>
    <row r="4090" spans="9:11">
      <c r="I4090" t="s">
        <v>91</v>
      </c>
      <c r="J4090" t="s">
        <v>92</v>
      </c>
      <c r="K4090">
        <v>0</v>
      </c>
    </row>
    <row r="4091" spans="9:11">
      <c r="I4091" t="s">
        <v>94</v>
      </c>
      <c r="J4091" t="s">
        <v>95</v>
      </c>
      <c r="K4091">
        <v>0</v>
      </c>
    </row>
    <row r="4092" spans="9:11">
      <c r="I4092" t="s">
        <v>91</v>
      </c>
      <c r="J4092" t="s">
        <v>92</v>
      </c>
      <c r="K4092">
        <v>0</v>
      </c>
    </row>
    <row r="4093" spans="9:11">
      <c r="I4093" t="s">
        <v>91</v>
      </c>
      <c r="J4093" t="s">
        <v>92</v>
      </c>
      <c r="K4093">
        <v>0</v>
      </c>
    </row>
    <row r="4094" spans="9:11">
      <c r="I4094" t="s">
        <v>91</v>
      </c>
      <c r="J4094" t="s">
        <v>92</v>
      </c>
      <c r="K4094">
        <v>0</v>
      </c>
    </row>
    <row r="4095" spans="9:11">
      <c r="I4095" t="s">
        <v>91</v>
      </c>
      <c r="J4095" t="s">
        <v>92</v>
      </c>
      <c r="K4095">
        <v>0</v>
      </c>
    </row>
    <row r="4096" spans="9:11">
      <c r="I4096" t="s">
        <v>94</v>
      </c>
      <c r="J4096" t="s">
        <v>95</v>
      </c>
      <c r="K4096">
        <v>0</v>
      </c>
    </row>
    <row r="4097" spans="9:11">
      <c r="I4097" t="s">
        <v>94</v>
      </c>
      <c r="J4097" t="s">
        <v>95</v>
      </c>
      <c r="K4097">
        <v>0</v>
      </c>
    </row>
    <row r="4098" spans="9:11">
      <c r="I4098" t="s">
        <v>94</v>
      </c>
      <c r="J4098" t="s">
        <v>95</v>
      </c>
      <c r="K4098">
        <v>0</v>
      </c>
    </row>
    <row r="4099" spans="9:11">
      <c r="I4099" t="s">
        <v>91</v>
      </c>
      <c r="J4099" t="s">
        <v>92</v>
      </c>
      <c r="K4099">
        <v>0</v>
      </c>
    </row>
    <row r="4100" spans="9:11">
      <c r="I4100" t="s">
        <v>91</v>
      </c>
      <c r="J4100" t="s">
        <v>92</v>
      </c>
      <c r="K4100">
        <v>0</v>
      </c>
    </row>
    <row r="4101" spans="9:11">
      <c r="I4101" t="s">
        <v>94</v>
      </c>
      <c r="J4101" t="s">
        <v>95</v>
      </c>
      <c r="K4101">
        <v>0</v>
      </c>
    </row>
    <row r="4102" spans="9:11">
      <c r="I4102" t="s">
        <v>94</v>
      </c>
      <c r="J4102" t="s">
        <v>95</v>
      </c>
      <c r="K4102">
        <v>0</v>
      </c>
    </row>
    <row r="4103" spans="9:11">
      <c r="I4103" t="s">
        <v>94</v>
      </c>
      <c r="J4103" t="s">
        <v>95</v>
      </c>
      <c r="K4103">
        <v>0</v>
      </c>
    </row>
    <row r="4104" spans="9:11">
      <c r="I4104" t="s">
        <v>94</v>
      </c>
      <c r="J4104" t="s">
        <v>95</v>
      </c>
      <c r="K4104">
        <v>1</v>
      </c>
    </row>
    <row r="4105" spans="9:11">
      <c r="I4105" t="s">
        <v>91</v>
      </c>
      <c r="J4105" t="s">
        <v>92</v>
      </c>
      <c r="K4105">
        <v>0</v>
      </c>
    </row>
    <row r="4106" spans="9:11">
      <c r="I4106" t="s">
        <v>94</v>
      </c>
      <c r="J4106" t="s">
        <v>95</v>
      </c>
      <c r="K4106">
        <v>0</v>
      </c>
    </row>
    <row r="4107" spans="9:11">
      <c r="I4107" t="s">
        <v>94</v>
      </c>
      <c r="J4107" t="s">
        <v>95</v>
      </c>
      <c r="K4107">
        <v>0</v>
      </c>
    </row>
    <row r="4108" spans="9:11">
      <c r="I4108" t="s">
        <v>91</v>
      </c>
      <c r="J4108" t="s">
        <v>92</v>
      </c>
      <c r="K4108">
        <v>0</v>
      </c>
    </row>
    <row r="4109" spans="9:11">
      <c r="I4109" t="s">
        <v>94</v>
      </c>
      <c r="J4109" t="s">
        <v>95</v>
      </c>
      <c r="K4109">
        <v>0</v>
      </c>
    </row>
    <row r="4110" spans="9:11">
      <c r="I4110" t="s">
        <v>91</v>
      </c>
      <c r="J4110" t="s">
        <v>92</v>
      </c>
      <c r="K4110">
        <v>0</v>
      </c>
    </row>
    <row r="4111" spans="9:11">
      <c r="I4111" t="s">
        <v>91</v>
      </c>
      <c r="J4111" t="s">
        <v>92</v>
      </c>
      <c r="K4111">
        <v>0</v>
      </c>
    </row>
    <row r="4112" spans="9:11">
      <c r="I4112" t="s">
        <v>94</v>
      </c>
      <c r="J4112" t="s">
        <v>95</v>
      </c>
      <c r="K4112">
        <v>0</v>
      </c>
    </row>
    <row r="4113" spans="9:11">
      <c r="I4113" t="s">
        <v>94</v>
      </c>
      <c r="J4113" t="s">
        <v>95</v>
      </c>
      <c r="K4113">
        <v>0</v>
      </c>
    </row>
    <row r="4114" spans="9:11">
      <c r="I4114" t="s">
        <v>94</v>
      </c>
      <c r="J4114" t="s">
        <v>95</v>
      </c>
      <c r="K4114">
        <v>0</v>
      </c>
    </row>
    <row r="4115" spans="9:11">
      <c r="I4115" t="s">
        <v>94</v>
      </c>
      <c r="J4115" t="s">
        <v>95</v>
      </c>
      <c r="K4115">
        <v>0</v>
      </c>
    </row>
    <row r="4116" spans="9:11">
      <c r="I4116" t="s">
        <v>91</v>
      </c>
      <c r="J4116" t="s">
        <v>92</v>
      </c>
      <c r="K4116">
        <v>0</v>
      </c>
    </row>
    <row r="4117" spans="9:11">
      <c r="I4117" t="s">
        <v>91</v>
      </c>
      <c r="J4117" t="s">
        <v>92</v>
      </c>
      <c r="K4117">
        <v>0</v>
      </c>
    </row>
    <row r="4118" spans="9:11">
      <c r="I4118" t="s">
        <v>94</v>
      </c>
      <c r="J4118" t="s">
        <v>95</v>
      </c>
      <c r="K4118">
        <v>0</v>
      </c>
    </row>
    <row r="4119" spans="9:11">
      <c r="I4119" t="s">
        <v>91</v>
      </c>
      <c r="J4119" t="s">
        <v>92</v>
      </c>
      <c r="K4119">
        <v>0</v>
      </c>
    </row>
    <row r="4120" spans="9:11">
      <c r="I4120" t="s">
        <v>94</v>
      </c>
      <c r="J4120" t="s">
        <v>95</v>
      </c>
      <c r="K4120">
        <v>0</v>
      </c>
    </row>
    <row r="4121" spans="9:11">
      <c r="I4121" t="s">
        <v>94</v>
      </c>
      <c r="J4121" t="s">
        <v>95</v>
      </c>
      <c r="K4121">
        <v>0</v>
      </c>
    </row>
    <row r="4122" spans="9:11">
      <c r="I4122" t="s">
        <v>94</v>
      </c>
      <c r="J4122" t="s">
        <v>95</v>
      </c>
      <c r="K4122">
        <v>0</v>
      </c>
    </row>
    <row r="4123" spans="9:11">
      <c r="I4123" t="s">
        <v>94</v>
      </c>
      <c r="J4123" t="s">
        <v>95</v>
      </c>
      <c r="K4123">
        <v>0</v>
      </c>
    </row>
    <row r="4124" spans="9:11">
      <c r="I4124" t="s">
        <v>91</v>
      </c>
      <c r="J4124" t="s">
        <v>92</v>
      </c>
      <c r="K4124">
        <v>0</v>
      </c>
    </row>
    <row r="4125" spans="9:11">
      <c r="I4125" t="s">
        <v>91</v>
      </c>
      <c r="J4125" t="s">
        <v>92</v>
      </c>
      <c r="K4125">
        <v>0</v>
      </c>
    </row>
    <row r="4126" spans="9:11">
      <c r="I4126" t="s">
        <v>91</v>
      </c>
      <c r="J4126" t="s">
        <v>92</v>
      </c>
      <c r="K4126">
        <v>0</v>
      </c>
    </row>
    <row r="4127" spans="9:11">
      <c r="I4127" t="s">
        <v>94</v>
      </c>
      <c r="J4127" t="s">
        <v>95</v>
      </c>
      <c r="K4127">
        <v>0</v>
      </c>
    </row>
    <row r="4128" spans="9:11">
      <c r="I4128" t="s">
        <v>91</v>
      </c>
      <c r="J4128" t="s">
        <v>92</v>
      </c>
      <c r="K4128">
        <v>0</v>
      </c>
    </row>
    <row r="4129" spans="9:11">
      <c r="I4129" t="s">
        <v>91</v>
      </c>
      <c r="J4129" t="s">
        <v>92</v>
      </c>
      <c r="K4129">
        <v>0</v>
      </c>
    </row>
    <row r="4130" spans="9:11">
      <c r="I4130" t="s">
        <v>94</v>
      </c>
      <c r="J4130" t="s">
        <v>95</v>
      </c>
      <c r="K4130">
        <v>0</v>
      </c>
    </row>
    <row r="4131" spans="9:11">
      <c r="I4131" t="s">
        <v>91</v>
      </c>
      <c r="J4131" t="s">
        <v>92</v>
      </c>
      <c r="K4131">
        <v>0</v>
      </c>
    </row>
    <row r="4132" spans="9:11">
      <c r="I4132" t="s">
        <v>94</v>
      </c>
      <c r="J4132" t="s">
        <v>95</v>
      </c>
      <c r="K4132">
        <v>0</v>
      </c>
    </row>
    <row r="4133" spans="9:11">
      <c r="I4133" t="s">
        <v>91</v>
      </c>
      <c r="J4133" t="s">
        <v>92</v>
      </c>
      <c r="K4133">
        <v>0</v>
      </c>
    </row>
    <row r="4134" spans="9:11">
      <c r="I4134" t="s">
        <v>94</v>
      </c>
      <c r="J4134" t="s">
        <v>95</v>
      </c>
      <c r="K4134">
        <v>0</v>
      </c>
    </row>
    <row r="4135" spans="9:11">
      <c r="I4135" t="s">
        <v>91</v>
      </c>
      <c r="J4135" t="s">
        <v>92</v>
      </c>
      <c r="K4135">
        <v>0</v>
      </c>
    </row>
    <row r="4136" spans="9:11">
      <c r="I4136" t="s">
        <v>94</v>
      </c>
      <c r="J4136" t="s">
        <v>95</v>
      </c>
      <c r="K4136">
        <v>1</v>
      </c>
    </row>
    <row r="4137" spans="9:11">
      <c r="I4137" t="s">
        <v>91</v>
      </c>
      <c r="J4137" t="s">
        <v>92</v>
      </c>
      <c r="K4137">
        <v>0</v>
      </c>
    </row>
    <row r="4138" spans="9:11">
      <c r="I4138" t="s">
        <v>94</v>
      </c>
      <c r="J4138" t="s">
        <v>95</v>
      </c>
      <c r="K4138">
        <v>0</v>
      </c>
    </row>
    <row r="4139" spans="9:11">
      <c r="I4139" t="s">
        <v>91</v>
      </c>
      <c r="J4139" t="s">
        <v>92</v>
      </c>
      <c r="K4139">
        <v>0</v>
      </c>
    </row>
    <row r="4140" spans="9:11">
      <c r="I4140" t="s">
        <v>91</v>
      </c>
      <c r="J4140" t="s">
        <v>92</v>
      </c>
      <c r="K4140">
        <v>0</v>
      </c>
    </row>
    <row r="4141" spans="9:11">
      <c r="I4141" t="s">
        <v>94</v>
      </c>
      <c r="J4141" t="s">
        <v>95</v>
      </c>
      <c r="K4141">
        <v>0</v>
      </c>
    </row>
    <row r="4142" spans="9:11">
      <c r="I4142" t="s">
        <v>91</v>
      </c>
      <c r="J4142" t="s">
        <v>92</v>
      </c>
      <c r="K4142">
        <v>0</v>
      </c>
    </row>
    <row r="4143" spans="9:11">
      <c r="I4143" t="s">
        <v>94</v>
      </c>
      <c r="J4143" t="s">
        <v>95</v>
      </c>
      <c r="K4143">
        <v>0</v>
      </c>
    </row>
    <row r="4144" spans="9:11">
      <c r="I4144" t="s">
        <v>91</v>
      </c>
      <c r="J4144" t="s">
        <v>92</v>
      </c>
      <c r="K4144">
        <v>0</v>
      </c>
    </row>
    <row r="4145" spans="9:11">
      <c r="I4145" t="s">
        <v>91</v>
      </c>
      <c r="J4145" t="s">
        <v>92</v>
      </c>
      <c r="K4145">
        <v>0</v>
      </c>
    </row>
    <row r="4146" spans="9:11">
      <c r="I4146" t="s">
        <v>91</v>
      </c>
      <c r="J4146" t="s">
        <v>92</v>
      </c>
      <c r="K4146">
        <v>0</v>
      </c>
    </row>
    <row r="4147" spans="9:11">
      <c r="I4147" t="s">
        <v>91</v>
      </c>
      <c r="J4147" t="s">
        <v>92</v>
      </c>
      <c r="K4147">
        <v>0</v>
      </c>
    </row>
    <row r="4148" spans="9:11">
      <c r="I4148" t="s">
        <v>91</v>
      </c>
      <c r="J4148" t="s">
        <v>92</v>
      </c>
      <c r="K4148">
        <v>0</v>
      </c>
    </row>
    <row r="4149" spans="9:11">
      <c r="I4149" t="s">
        <v>94</v>
      </c>
      <c r="J4149" t="s">
        <v>95</v>
      </c>
      <c r="K4149">
        <v>0</v>
      </c>
    </row>
    <row r="4150" spans="9:11">
      <c r="I4150" t="s">
        <v>94</v>
      </c>
      <c r="J4150" t="s">
        <v>95</v>
      </c>
      <c r="K4150">
        <v>0</v>
      </c>
    </row>
    <row r="4151" spans="9:11">
      <c r="I4151" t="s">
        <v>91</v>
      </c>
      <c r="J4151" t="s">
        <v>92</v>
      </c>
      <c r="K4151">
        <v>0</v>
      </c>
    </row>
    <row r="4152" spans="9:11">
      <c r="I4152" t="s">
        <v>94</v>
      </c>
      <c r="J4152" t="s">
        <v>95</v>
      </c>
      <c r="K4152">
        <v>0</v>
      </c>
    </row>
    <row r="4153" spans="9:11">
      <c r="I4153" t="s">
        <v>91</v>
      </c>
      <c r="J4153" t="s">
        <v>92</v>
      </c>
      <c r="K4153">
        <v>0</v>
      </c>
    </row>
    <row r="4154" spans="9:11">
      <c r="I4154" t="s">
        <v>94</v>
      </c>
      <c r="J4154" t="s">
        <v>95</v>
      </c>
      <c r="K4154">
        <v>0</v>
      </c>
    </row>
    <row r="4155" spans="9:11">
      <c r="I4155" t="s">
        <v>91</v>
      </c>
      <c r="J4155" t="s">
        <v>92</v>
      </c>
      <c r="K4155">
        <v>0</v>
      </c>
    </row>
    <row r="4156" spans="9:11">
      <c r="I4156" t="s">
        <v>91</v>
      </c>
      <c r="J4156" t="s">
        <v>92</v>
      </c>
      <c r="K4156">
        <v>1</v>
      </c>
    </row>
    <row r="4157" spans="9:11">
      <c r="I4157" t="s">
        <v>94</v>
      </c>
      <c r="J4157" t="s">
        <v>95</v>
      </c>
      <c r="K4157">
        <v>0</v>
      </c>
    </row>
    <row r="4158" spans="9:11">
      <c r="I4158" t="s">
        <v>94</v>
      </c>
      <c r="J4158" t="s">
        <v>95</v>
      </c>
      <c r="K4158">
        <v>0</v>
      </c>
    </row>
    <row r="4159" spans="9:11">
      <c r="I4159" t="s">
        <v>91</v>
      </c>
      <c r="J4159" t="s">
        <v>92</v>
      </c>
      <c r="K4159">
        <v>0</v>
      </c>
    </row>
    <row r="4160" spans="9:11">
      <c r="I4160" t="s">
        <v>94</v>
      </c>
      <c r="J4160" t="s">
        <v>95</v>
      </c>
      <c r="K4160">
        <v>0</v>
      </c>
    </row>
    <row r="4161" spans="9:11">
      <c r="I4161" t="s">
        <v>91</v>
      </c>
      <c r="J4161" t="s">
        <v>92</v>
      </c>
      <c r="K4161">
        <v>0</v>
      </c>
    </row>
    <row r="4162" spans="9:11">
      <c r="I4162" t="s">
        <v>91</v>
      </c>
      <c r="J4162" t="s">
        <v>92</v>
      </c>
      <c r="K4162">
        <v>0</v>
      </c>
    </row>
    <row r="4163" spans="9:11">
      <c r="I4163" t="s">
        <v>91</v>
      </c>
      <c r="J4163" t="s">
        <v>92</v>
      </c>
      <c r="K4163">
        <v>0</v>
      </c>
    </row>
    <row r="4164" spans="9:11">
      <c r="I4164" t="s">
        <v>94</v>
      </c>
      <c r="J4164" t="s">
        <v>95</v>
      </c>
      <c r="K4164">
        <v>0</v>
      </c>
    </row>
    <row r="4165" spans="9:11">
      <c r="I4165" t="s">
        <v>94</v>
      </c>
      <c r="J4165" t="s">
        <v>95</v>
      </c>
      <c r="K4165">
        <v>0</v>
      </c>
    </row>
    <row r="4166" spans="9:11">
      <c r="I4166" t="s">
        <v>94</v>
      </c>
      <c r="J4166" t="s">
        <v>95</v>
      </c>
      <c r="K4166">
        <v>0</v>
      </c>
    </row>
    <row r="4167" spans="9:11">
      <c r="I4167" t="s">
        <v>94</v>
      </c>
      <c r="J4167" t="s">
        <v>95</v>
      </c>
      <c r="K4167">
        <v>0</v>
      </c>
    </row>
    <row r="4168" spans="9:11">
      <c r="I4168" t="s">
        <v>91</v>
      </c>
      <c r="J4168" t="s">
        <v>92</v>
      </c>
      <c r="K4168">
        <v>0</v>
      </c>
    </row>
    <row r="4169" spans="9:11">
      <c r="I4169" t="s">
        <v>91</v>
      </c>
      <c r="J4169" t="s">
        <v>92</v>
      </c>
      <c r="K4169">
        <v>0</v>
      </c>
    </row>
    <row r="4170" spans="9:11">
      <c r="I4170" t="s">
        <v>94</v>
      </c>
      <c r="J4170" t="s">
        <v>95</v>
      </c>
      <c r="K4170">
        <v>0</v>
      </c>
    </row>
    <row r="4171" spans="9:11">
      <c r="I4171" t="s">
        <v>94</v>
      </c>
      <c r="J4171" t="s">
        <v>95</v>
      </c>
      <c r="K4171">
        <v>0</v>
      </c>
    </row>
    <row r="4172" spans="9:11">
      <c r="I4172" t="s">
        <v>94</v>
      </c>
      <c r="J4172" t="s">
        <v>95</v>
      </c>
      <c r="K4172">
        <v>0</v>
      </c>
    </row>
    <row r="4173" spans="9:11">
      <c r="I4173" t="s">
        <v>94</v>
      </c>
      <c r="J4173" t="s">
        <v>95</v>
      </c>
      <c r="K4173">
        <v>0</v>
      </c>
    </row>
    <row r="4174" spans="9:11">
      <c r="I4174" t="s">
        <v>94</v>
      </c>
      <c r="J4174" t="s">
        <v>95</v>
      </c>
      <c r="K4174">
        <v>0</v>
      </c>
    </row>
    <row r="4175" spans="9:11">
      <c r="I4175" t="s">
        <v>94</v>
      </c>
      <c r="J4175" t="s">
        <v>95</v>
      </c>
      <c r="K4175">
        <v>0</v>
      </c>
    </row>
    <row r="4176" spans="9:11">
      <c r="I4176" t="s">
        <v>94</v>
      </c>
      <c r="J4176" t="s">
        <v>95</v>
      </c>
      <c r="K4176">
        <v>0</v>
      </c>
    </row>
    <row r="4177" spans="9:11">
      <c r="I4177" t="s">
        <v>94</v>
      </c>
      <c r="J4177" t="s">
        <v>95</v>
      </c>
      <c r="K4177">
        <v>0</v>
      </c>
    </row>
    <row r="4178" spans="9:11">
      <c r="I4178" t="s">
        <v>94</v>
      </c>
      <c r="J4178" t="s">
        <v>95</v>
      </c>
      <c r="K4178">
        <v>0</v>
      </c>
    </row>
    <row r="4179" spans="9:11">
      <c r="I4179" t="s">
        <v>94</v>
      </c>
      <c r="J4179" t="s">
        <v>95</v>
      </c>
      <c r="K4179">
        <v>0</v>
      </c>
    </row>
    <row r="4180" spans="9:11">
      <c r="I4180" t="s">
        <v>91</v>
      </c>
      <c r="J4180" t="s">
        <v>92</v>
      </c>
      <c r="K4180">
        <v>0</v>
      </c>
    </row>
    <row r="4181" spans="9:11">
      <c r="I4181" t="s">
        <v>94</v>
      </c>
      <c r="J4181" t="s">
        <v>95</v>
      </c>
      <c r="K4181">
        <v>0</v>
      </c>
    </row>
    <row r="4182" spans="9:11">
      <c r="I4182" t="s">
        <v>94</v>
      </c>
      <c r="J4182" t="s">
        <v>95</v>
      </c>
      <c r="K4182">
        <v>0</v>
      </c>
    </row>
    <row r="4183" spans="9:11">
      <c r="I4183" t="s">
        <v>91</v>
      </c>
      <c r="J4183" t="s">
        <v>92</v>
      </c>
      <c r="K4183">
        <v>0</v>
      </c>
    </row>
    <row r="4184" spans="9:11">
      <c r="I4184" t="s">
        <v>94</v>
      </c>
      <c r="J4184" t="s">
        <v>95</v>
      </c>
      <c r="K4184">
        <v>0</v>
      </c>
    </row>
    <row r="4185" spans="9:11">
      <c r="I4185" t="s">
        <v>91</v>
      </c>
      <c r="J4185" t="s">
        <v>92</v>
      </c>
      <c r="K4185">
        <v>0</v>
      </c>
    </row>
    <row r="4186" spans="9:11">
      <c r="I4186" t="s">
        <v>94</v>
      </c>
      <c r="J4186" t="s">
        <v>95</v>
      </c>
      <c r="K4186">
        <v>0</v>
      </c>
    </row>
    <row r="4187" spans="9:11">
      <c r="I4187" t="s">
        <v>91</v>
      </c>
      <c r="J4187" t="s">
        <v>92</v>
      </c>
      <c r="K4187">
        <v>0</v>
      </c>
    </row>
    <row r="4188" spans="9:11">
      <c r="I4188" t="s">
        <v>91</v>
      </c>
      <c r="J4188" t="s">
        <v>92</v>
      </c>
      <c r="K4188">
        <v>0</v>
      </c>
    </row>
    <row r="4189" spans="9:11">
      <c r="I4189" t="s">
        <v>94</v>
      </c>
      <c r="J4189" t="s">
        <v>95</v>
      </c>
      <c r="K4189">
        <v>0</v>
      </c>
    </row>
    <row r="4190" spans="9:11">
      <c r="I4190" t="s">
        <v>91</v>
      </c>
      <c r="J4190" t="s">
        <v>92</v>
      </c>
      <c r="K4190">
        <v>0</v>
      </c>
    </row>
    <row r="4191" spans="9:11">
      <c r="I4191" t="s">
        <v>91</v>
      </c>
      <c r="J4191" t="s">
        <v>92</v>
      </c>
      <c r="K4191">
        <v>0</v>
      </c>
    </row>
    <row r="4192" spans="9:11">
      <c r="I4192" t="s">
        <v>91</v>
      </c>
      <c r="J4192" t="s">
        <v>92</v>
      </c>
      <c r="K4192">
        <v>0</v>
      </c>
    </row>
    <row r="4193" spans="9:11">
      <c r="I4193" t="s">
        <v>94</v>
      </c>
      <c r="J4193" t="s">
        <v>95</v>
      </c>
      <c r="K4193">
        <v>0</v>
      </c>
    </row>
    <row r="4194" spans="9:11">
      <c r="I4194" t="s">
        <v>94</v>
      </c>
      <c r="J4194" t="s">
        <v>95</v>
      </c>
      <c r="K4194">
        <v>0</v>
      </c>
    </row>
    <row r="4195" spans="9:11">
      <c r="I4195" t="s">
        <v>91</v>
      </c>
      <c r="J4195" t="s">
        <v>92</v>
      </c>
      <c r="K4195">
        <v>0</v>
      </c>
    </row>
    <row r="4196" spans="9:11">
      <c r="I4196" t="s">
        <v>91</v>
      </c>
      <c r="J4196" t="s">
        <v>92</v>
      </c>
      <c r="K4196">
        <v>0</v>
      </c>
    </row>
    <row r="4197" spans="9:11">
      <c r="I4197" t="s">
        <v>91</v>
      </c>
      <c r="J4197" t="s">
        <v>92</v>
      </c>
      <c r="K4197">
        <v>0</v>
      </c>
    </row>
    <row r="4198" spans="9:11">
      <c r="I4198" t="s">
        <v>94</v>
      </c>
      <c r="J4198" t="s">
        <v>95</v>
      </c>
      <c r="K4198">
        <v>0</v>
      </c>
    </row>
    <row r="4199" spans="9:11">
      <c r="I4199" t="s">
        <v>94</v>
      </c>
      <c r="J4199" t="s">
        <v>95</v>
      </c>
      <c r="K4199">
        <v>1</v>
      </c>
    </row>
    <row r="4200" spans="9:11">
      <c r="I4200" t="s">
        <v>94</v>
      </c>
      <c r="J4200" t="s">
        <v>95</v>
      </c>
      <c r="K4200">
        <v>0</v>
      </c>
    </row>
    <row r="4201" spans="9:11">
      <c r="I4201" t="s">
        <v>91</v>
      </c>
      <c r="J4201" t="s">
        <v>92</v>
      </c>
      <c r="K4201">
        <v>0</v>
      </c>
    </row>
    <row r="4202" spans="9:11">
      <c r="I4202" t="s">
        <v>91</v>
      </c>
      <c r="J4202" t="s">
        <v>92</v>
      </c>
      <c r="K4202">
        <v>0</v>
      </c>
    </row>
    <row r="4203" spans="9:11">
      <c r="I4203" t="s">
        <v>94</v>
      </c>
      <c r="J4203" t="s">
        <v>95</v>
      </c>
      <c r="K4203">
        <v>0</v>
      </c>
    </row>
    <row r="4204" spans="9:11">
      <c r="I4204" t="s">
        <v>94</v>
      </c>
      <c r="J4204" t="s">
        <v>95</v>
      </c>
      <c r="K4204">
        <v>0</v>
      </c>
    </row>
    <row r="4205" spans="9:11">
      <c r="I4205" t="s">
        <v>91</v>
      </c>
      <c r="J4205" t="s">
        <v>92</v>
      </c>
      <c r="K4205">
        <v>0</v>
      </c>
    </row>
    <row r="4206" spans="9:11">
      <c r="I4206" t="s">
        <v>94</v>
      </c>
      <c r="J4206" t="s">
        <v>95</v>
      </c>
      <c r="K4206">
        <v>0</v>
      </c>
    </row>
    <row r="4207" spans="9:11">
      <c r="I4207" t="s">
        <v>91</v>
      </c>
      <c r="J4207" t="s">
        <v>92</v>
      </c>
      <c r="K4207">
        <v>0</v>
      </c>
    </row>
    <row r="4208" spans="9:11">
      <c r="I4208" t="s">
        <v>94</v>
      </c>
      <c r="J4208" t="s">
        <v>95</v>
      </c>
      <c r="K4208">
        <v>0</v>
      </c>
    </row>
    <row r="4209" spans="9:11">
      <c r="I4209" t="s">
        <v>94</v>
      </c>
      <c r="J4209" t="s">
        <v>95</v>
      </c>
      <c r="K4209">
        <v>0</v>
      </c>
    </row>
    <row r="4210" spans="9:11">
      <c r="I4210" t="s">
        <v>91</v>
      </c>
      <c r="J4210" t="s">
        <v>92</v>
      </c>
      <c r="K4210">
        <v>0</v>
      </c>
    </row>
    <row r="4211" spans="9:11">
      <c r="I4211" t="s">
        <v>94</v>
      </c>
      <c r="J4211" t="s">
        <v>95</v>
      </c>
      <c r="K4211">
        <v>0</v>
      </c>
    </row>
    <row r="4212" spans="9:11">
      <c r="I4212" t="s">
        <v>91</v>
      </c>
      <c r="J4212" t="s">
        <v>92</v>
      </c>
      <c r="K4212">
        <v>1</v>
      </c>
    </row>
    <row r="4213" spans="9:11">
      <c r="I4213" t="s">
        <v>91</v>
      </c>
      <c r="J4213" t="s">
        <v>92</v>
      </c>
      <c r="K4213">
        <v>0</v>
      </c>
    </row>
    <row r="4214" spans="9:11">
      <c r="I4214" t="s">
        <v>94</v>
      </c>
      <c r="J4214" t="s">
        <v>95</v>
      </c>
      <c r="K4214">
        <v>0</v>
      </c>
    </row>
    <row r="4215" spans="9:11">
      <c r="I4215" t="s">
        <v>91</v>
      </c>
      <c r="J4215" t="s">
        <v>92</v>
      </c>
      <c r="K4215">
        <v>0</v>
      </c>
    </row>
    <row r="4216" spans="9:11">
      <c r="I4216" t="s">
        <v>91</v>
      </c>
      <c r="J4216" t="s">
        <v>92</v>
      </c>
      <c r="K4216">
        <v>0</v>
      </c>
    </row>
    <row r="4217" spans="9:11">
      <c r="I4217" t="s">
        <v>91</v>
      </c>
      <c r="J4217" t="s">
        <v>92</v>
      </c>
      <c r="K4217">
        <v>0</v>
      </c>
    </row>
    <row r="4218" spans="9:11">
      <c r="I4218" t="s">
        <v>94</v>
      </c>
      <c r="J4218" t="s">
        <v>95</v>
      </c>
      <c r="K4218">
        <v>0</v>
      </c>
    </row>
    <row r="4219" spans="9:11">
      <c r="I4219" t="s">
        <v>94</v>
      </c>
      <c r="J4219" t="s">
        <v>95</v>
      </c>
      <c r="K4219">
        <v>0</v>
      </c>
    </row>
    <row r="4220" spans="9:11">
      <c r="I4220" t="s">
        <v>91</v>
      </c>
      <c r="J4220" t="s">
        <v>92</v>
      </c>
      <c r="K4220">
        <v>0</v>
      </c>
    </row>
    <row r="4221" spans="9:11">
      <c r="I4221" t="s">
        <v>94</v>
      </c>
      <c r="J4221" t="s">
        <v>95</v>
      </c>
      <c r="K4221">
        <v>0</v>
      </c>
    </row>
    <row r="4222" spans="9:11">
      <c r="I4222" t="s">
        <v>94</v>
      </c>
      <c r="J4222" t="s">
        <v>95</v>
      </c>
      <c r="K4222">
        <v>0</v>
      </c>
    </row>
    <row r="4223" spans="9:11">
      <c r="I4223" t="s">
        <v>94</v>
      </c>
      <c r="J4223" t="s">
        <v>95</v>
      </c>
      <c r="K4223">
        <v>0</v>
      </c>
    </row>
    <row r="4224" spans="9:11">
      <c r="I4224" t="s">
        <v>91</v>
      </c>
      <c r="J4224" t="s">
        <v>92</v>
      </c>
      <c r="K4224">
        <v>0</v>
      </c>
    </row>
    <row r="4225" spans="9:11">
      <c r="I4225" t="s">
        <v>94</v>
      </c>
      <c r="J4225" t="s">
        <v>95</v>
      </c>
      <c r="K4225">
        <v>0</v>
      </c>
    </row>
    <row r="4226" spans="9:11">
      <c r="I4226" t="s">
        <v>91</v>
      </c>
      <c r="J4226" t="s">
        <v>92</v>
      </c>
      <c r="K4226">
        <v>0</v>
      </c>
    </row>
    <row r="4227" spans="9:11">
      <c r="I4227" t="s">
        <v>91</v>
      </c>
      <c r="J4227" t="s">
        <v>92</v>
      </c>
      <c r="K4227">
        <v>0</v>
      </c>
    </row>
    <row r="4228" spans="9:11">
      <c r="I4228" t="s">
        <v>94</v>
      </c>
      <c r="J4228" t="s">
        <v>95</v>
      </c>
      <c r="K4228">
        <v>0</v>
      </c>
    </row>
    <row r="4229" spans="9:11">
      <c r="I4229" t="s">
        <v>91</v>
      </c>
      <c r="J4229" t="s">
        <v>92</v>
      </c>
      <c r="K4229">
        <v>0</v>
      </c>
    </row>
    <row r="4230" spans="9:11">
      <c r="I4230" t="s">
        <v>94</v>
      </c>
      <c r="J4230" t="s">
        <v>95</v>
      </c>
      <c r="K4230">
        <v>0</v>
      </c>
    </row>
    <row r="4231" spans="9:11">
      <c r="I4231" t="s">
        <v>91</v>
      </c>
      <c r="J4231" t="s">
        <v>92</v>
      </c>
      <c r="K4231">
        <v>0</v>
      </c>
    </row>
    <row r="4232" spans="9:11">
      <c r="I4232" t="s">
        <v>91</v>
      </c>
      <c r="J4232" t="s">
        <v>92</v>
      </c>
      <c r="K4232">
        <v>0</v>
      </c>
    </row>
    <row r="4233" spans="9:11">
      <c r="I4233" t="s">
        <v>91</v>
      </c>
      <c r="J4233" t="s">
        <v>92</v>
      </c>
      <c r="K4233">
        <v>0</v>
      </c>
    </row>
    <row r="4234" spans="9:11">
      <c r="I4234" t="s">
        <v>94</v>
      </c>
      <c r="J4234" t="s">
        <v>95</v>
      </c>
      <c r="K4234">
        <v>0</v>
      </c>
    </row>
    <row r="4235" spans="9:11">
      <c r="I4235" t="s">
        <v>91</v>
      </c>
      <c r="J4235" t="s">
        <v>92</v>
      </c>
      <c r="K4235">
        <v>0</v>
      </c>
    </row>
    <row r="4236" spans="9:11">
      <c r="I4236" t="s">
        <v>94</v>
      </c>
      <c r="J4236" t="s">
        <v>95</v>
      </c>
      <c r="K4236">
        <v>0</v>
      </c>
    </row>
    <row r="4237" spans="9:11">
      <c r="I4237" t="s">
        <v>94</v>
      </c>
      <c r="J4237" t="s">
        <v>95</v>
      </c>
      <c r="K4237">
        <v>0</v>
      </c>
    </row>
    <row r="4238" spans="9:11">
      <c r="I4238" t="s">
        <v>91</v>
      </c>
      <c r="J4238" t="s">
        <v>92</v>
      </c>
      <c r="K4238">
        <v>0</v>
      </c>
    </row>
    <row r="4239" spans="9:11">
      <c r="I4239" t="s">
        <v>94</v>
      </c>
      <c r="J4239" t="s">
        <v>95</v>
      </c>
      <c r="K4239">
        <v>0</v>
      </c>
    </row>
    <row r="4240" spans="9:11">
      <c r="I4240" t="s">
        <v>94</v>
      </c>
      <c r="J4240" t="s">
        <v>95</v>
      </c>
      <c r="K4240">
        <v>0</v>
      </c>
    </row>
    <row r="4241" spans="9:11">
      <c r="I4241" t="s">
        <v>94</v>
      </c>
      <c r="J4241" t="s">
        <v>95</v>
      </c>
      <c r="K4241">
        <v>0</v>
      </c>
    </row>
    <row r="4242" spans="9:11">
      <c r="I4242" t="s">
        <v>94</v>
      </c>
      <c r="J4242" t="s">
        <v>95</v>
      </c>
      <c r="K4242">
        <v>0</v>
      </c>
    </row>
    <row r="4243" spans="9:11">
      <c r="I4243" t="s">
        <v>94</v>
      </c>
      <c r="J4243" t="s">
        <v>95</v>
      </c>
      <c r="K4243">
        <v>0</v>
      </c>
    </row>
    <row r="4244" spans="9:11">
      <c r="I4244" t="s">
        <v>91</v>
      </c>
      <c r="J4244" t="s">
        <v>92</v>
      </c>
      <c r="K4244">
        <v>0</v>
      </c>
    </row>
    <row r="4245" spans="9:11">
      <c r="I4245" t="s">
        <v>91</v>
      </c>
      <c r="J4245" t="s">
        <v>92</v>
      </c>
      <c r="K4245">
        <v>0</v>
      </c>
    </row>
    <row r="4246" spans="9:11">
      <c r="I4246" t="s">
        <v>94</v>
      </c>
      <c r="J4246" t="s">
        <v>95</v>
      </c>
      <c r="K4246">
        <v>0</v>
      </c>
    </row>
    <row r="4247" spans="9:11">
      <c r="I4247" t="s">
        <v>94</v>
      </c>
      <c r="J4247" t="s">
        <v>95</v>
      </c>
      <c r="K4247">
        <v>0</v>
      </c>
    </row>
    <row r="4248" spans="9:11">
      <c r="I4248" t="s">
        <v>94</v>
      </c>
      <c r="J4248" t="s">
        <v>95</v>
      </c>
      <c r="K4248">
        <v>0</v>
      </c>
    </row>
    <row r="4249" spans="9:11">
      <c r="I4249" t="s">
        <v>94</v>
      </c>
      <c r="J4249" t="s">
        <v>95</v>
      </c>
      <c r="K4249">
        <v>0</v>
      </c>
    </row>
    <row r="4250" spans="9:11">
      <c r="I4250" t="s">
        <v>94</v>
      </c>
      <c r="J4250" t="s">
        <v>95</v>
      </c>
      <c r="K4250">
        <v>0</v>
      </c>
    </row>
    <row r="4251" spans="9:11">
      <c r="I4251" t="s">
        <v>94</v>
      </c>
      <c r="J4251" t="s">
        <v>95</v>
      </c>
      <c r="K4251">
        <v>0</v>
      </c>
    </row>
    <row r="4252" spans="9:11">
      <c r="I4252" t="s">
        <v>94</v>
      </c>
      <c r="J4252" t="s">
        <v>95</v>
      </c>
      <c r="K4252">
        <v>0</v>
      </c>
    </row>
    <row r="4253" spans="9:11">
      <c r="I4253" t="s">
        <v>91</v>
      </c>
      <c r="J4253" t="s">
        <v>92</v>
      </c>
      <c r="K4253">
        <v>0</v>
      </c>
    </row>
    <row r="4254" spans="9:11">
      <c r="I4254" t="s">
        <v>91</v>
      </c>
      <c r="J4254" t="s">
        <v>92</v>
      </c>
      <c r="K4254">
        <v>0</v>
      </c>
    </row>
    <row r="4255" spans="9:11">
      <c r="I4255" t="s">
        <v>94</v>
      </c>
      <c r="J4255" t="s">
        <v>95</v>
      </c>
      <c r="K4255">
        <v>0</v>
      </c>
    </row>
    <row r="4256" spans="9:11">
      <c r="I4256" t="s">
        <v>91</v>
      </c>
      <c r="J4256" t="s">
        <v>92</v>
      </c>
      <c r="K4256">
        <v>0</v>
      </c>
    </row>
    <row r="4257" spans="9:11">
      <c r="I4257" t="s">
        <v>91</v>
      </c>
      <c r="J4257" t="s">
        <v>92</v>
      </c>
      <c r="K4257">
        <v>0</v>
      </c>
    </row>
    <row r="4258" spans="9:11">
      <c r="I4258" t="s">
        <v>94</v>
      </c>
      <c r="J4258" t="s">
        <v>95</v>
      </c>
      <c r="K4258">
        <v>0</v>
      </c>
    </row>
    <row r="4259" spans="9:11">
      <c r="I4259" t="s">
        <v>91</v>
      </c>
      <c r="J4259" t="s">
        <v>92</v>
      </c>
      <c r="K4259">
        <v>0</v>
      </c>
    </row>
    <row r="4260" spans="9:11">
      <c r="I4260" t="s">
        <v>91</v>
      </c>
      <c r="J4260" t="s">
        <v>92</v>
      </c>
      <c r="K4260">
        <v>0</v>
      </c>
    </row>
    <row r="4261" spans="9:11">
      <c r="I4261" t="s">
        <v>91</v>
      </c>
      <c r="J4261" t="s">
        <v>92</v>
      </c>
      <c r="K4261">
        <v>0</v>
      </c>
    </row>
    <row r="4262" spans="9:11">
      <c r="I4262" t="s">
        <v>94</v>
      </c>
      <c r="J4262" t="s">
        <v>95</v>
      </c>
      <c r="K4262">
        <v>0</v>
      </c>
    </row>
    <row r="4263" spans="9:11">
      <c r="I4263" t="s">
        <v>94</v>
      </c>
      <c r="J4263" t="s">
        <v>95</v>
      </c>
      <c r="K4263">
        <v>0</v>
      </c>
    </row>
    <row r="4264" spans="9:11">
      <c r="I4264" t="s">
        <v>94</v>
      </c>
      <c r="J4264" t="s">
        <v>95</v>
      </c>
      <c r="K4264">
        <v>0</v>
      </c>
    </row>
    <row r="4265" spans="9:11">
      <c r="I4265" t="s">
        <v>94</v>
      </c>
      <c r="J4265" t="s">
        <v>95</v>
      </c>
      <c r="K4265">
        <v>0</v>
      </c>
    </row>
    <row r="4266" spans="9:11">
      <c r="I4266" t="s">
        <v>94</v>
      </c>
      <c r="J4266" t="s">
        <v>95</v>
      </c>
      <c r="K4266">
        <v>0</v>
      </c>
    </row>
    <row r="4267" spans="9:11">
      <c r="I4267" t="s">
        <v>94</v>
      </c>
      <c r="J4267" t="s">
        <v>95</v>
      </c>
      <c r="K4267">
        <v>1</v>
      </c>
    </row>
    <row r="4268" spans="9:11">
      <c r="I4268" t="s">
        <v>91</v>
      </c>
      <c r="J4268" t="s">
        <v>92</v>
      </c>
      <c r="K4268">
        <v>0</v>
      </c>
    </row>
    <row r="4269" spans="9:11">
      <c r="I4269" t="s">
        <v>91</v>
      </c>
      <c r="J4269" t="s">
        <v>92</v>
      </c>
      <c r="K4269">
        <v>0</v>
      </c>
    </row>
    <row r="4270" spans="9:11">
      <c r="I4270" t="s">
        <v>91</v>
      </c>
      <c r="J4270" t="s">
        <v>92</v>
      </c>
      <c r="K4270">
        <v>0</v>
      </c>
    </row>
    <row r="4271" spans="9:11">
      <c r="I4271" t="s">
        <v>91</v>
      </c>
      <c r="J4271" t="s">
        <v>92</v>
      </c>
      <c r="K4271">
        <v>0</v>
      </c>
    </row>
    <row r="4272" spans="9:11">
      <c r="I4272" t="s">
        <v>94</v>
      </c>
      <c r="J4272" t="s">
        <v>95</v>
      </c>
      <c r="K4272">
        <v>0</v>
      </c>
    </row>
    <row r="4273" spans="9:11">
      <c r="I4273" t="s">
        <v>94</v>
      </c>
      <c r="J4273" t="s">
        <v>95</v>
      </c>
      <c r="K4273">
        <v>0</v>
      </c>
    </row>
    <row r="4274" spans="9:11">
      <c r="I4274" t="s">
        <v>94</v>
      </c>
      <c r="J4274" t="s">
        <v>95</v>
      </c>
      <c r="K4274">
        <v>0</v>
      </c>
    </row>
    <row r="4275" spans="9:11">
      <c r="I4275" t="s">
        <v>94</v>
      </c>
      <c r="J4275" t="s">
        <v>95</v>
      </c>
      <c r="K4275">
        <v>0</v>
      </c>
    </row>
    <row r="4276" spans="9:11">
      <c r="I4276" t="s">
        <v>94</v>
      </c>
      <c r="J4276" t="s">
        <v>95</v>
      </c>
      <c r="K4276">
        <v>0</v>
      </c>
    </row>
    <row r="4277" spans="9:11">
      <c r="I4277" t="s">
        <v>94</v>
      </c>
      <c r="J4277" t="s">
        <v>95</v>
      </c>
      <c r="K4277">
        <v>0</v>
      </c>
    </row>
    <row r="4278" spans="9:11">
      <c r="I4278" t="s">
        <v>91</v>
      </c>
      <c r="J4278" t="s">
        <v>92</v>
      </c>
      <c r="K4278">
        <v>1</v>
      </c>
    </row>
    <row r="4279" spans="9:11">
      <c r="I4279" t="s">
        <v>94</v>
      </c>
      <c r="J4279" t="s">
        <v>95</v>
      </c>
      <c r="K4279">
        <v>0</v>
      </c>
    </row>
    <row r="4280" spans="9:11">
      <c r="I4280" t="s">
        <v>91</v>
      </c>
      <c r="J4280" t="s">
        <v>92</v>
      </c>
      <c r="K4280">
        <v>0</v>
      </c>
    </row>
    <row r="4281" spans="9:11">
      <c r="I4281" t="s">
        <v>94</v>
      </c>
      <c r="J4281" t="s">
        <v>95</v>
      </c>
      <c r="K4281">
        <v>0</v>
      </c>
    </row>
    <row r="4282" spans="9:11">
      <c r="I4282" t="s">
        <v>94</v>
      </c>
      <c r="J4282" t="s">
        <v>95</v>
      </c>
      <c r="K4282">
        <v>0</v>
      </c>
    </row>
    <row r="4283" spans="9:11">
      <c r="I4283" t="s">
        <v>91</v>
      </c>
      <c r="J4283" t="s">
        <v>92</v>
      </c>
      <c r="K4283">
        <v>0</v>
      </c>
    </row>
    <row r="4284" spans="9:11">
      <c r="I4284" t="s">
        <v>94</v>
      </c>
      <c r="J4284" t="s">
        <v>95</v>
      </c>
      <c r="K4284">
        <v>0</v>
      </c>
    </row>
    <row r="4285" spans="9:11">
      <c r="I4285" t="s">
        <v>94</v>
      </c>
      <c r="J4285" t="s">
        <v>95</v>
      </c>
      <c r="K4285">
        <v>0</v>
      </c>
    </row>
    <row r="4286" spans="9:11">
      <c r="I4286" t="s">
        <v>94</v>
      </c>
      <c r="J4286" t="s">
        <v>95</v>
      </c>
      <c r="K4286">
        <v>1</v>
      </c>
    </row>
    <row r="4287" spans="9:11">
      <c r="I4287" t="s">
        <v>94</v>
      </c>
      <c r="J4287" t="s">
        <v>95</v>
      </c>
      <c r="K4287">
        <v>0</v>
      </c>
    </row>
    <row r="4288" spans="9:11">
      <c r="I4288" t="s">
        <v>94</v>
      </c>
      <c r="J4288" t="s">
        <v>95</v>
      </c>
      <c r="K4288">
        <v>0</v>
      </c>
    </row>
    <row r="4289" spans="9:11">
      <c r="I4289" t="s">
        <v>94</v>
      </c>
      <c r="J4289" t="s">
        <v>95</v>
      </c>
      <c r="K4289">
        <v>0</v>
      </c>
    </row>
    <row r="4290" spans="9:11">
      <c r="I4290" t="s">
        <v>91</v>
      </c>
      <c r="J4290" t="s">
        <v>92</v>
      </c>
      <c r="K4290">
        <v>0</v>
      </c>
    </row>
    <row r="4291" spans="9:11">
      <c r="I4291" t="s">
        <v>94</v>
      </c>
      <c r="J4291" t="s">
        <v>95</v>
      </c>
      <c r="K4291">
        <v>0</v>
      </c>
    </row>
    <row r="4292" spans="9:11">
      <c r="I4292" t="s">
        <v>94</v>
      </c>
      <c r="J4292" t="s">
        <v>95</v>
      </c>
      <c r="K4292">
        <v>0</v>
      </c>
    </row>
    <row r="4293" spans="9:11">
      <c r="I4293" t="s">
        <v>91</v>
      </c>
      <c r="J4293" t="s">
        <v>92</v>
      </c>
      <c r="K4293">
        <v>0</v>
      </c>
    </row>
    <row r="4294" spans="9:11">
      <c r="I4294" t="s">
        <v>94</v>
      </c>
      <c r="J4294" t="s">
        <v>95</v>
      </c>
      <c r="K4294">
        <v>0</v>
      </c>
    </row>
    <row r="4295" spans="9:11">
      <c r="I4295" t="s">
        <v>91</v>
      </c>
      <c r="J4295" t="s">
        <v>92</v>
      </c>
      <c r="K4295">
        <v>0</v>
      </c>
    </row>
    <row r="4296" spans="9:11">
      <c r="I4296" t="s">
        <v>94</v>
      </c>
      <c r="J4296" t="s">
        <v>95</v>
      </c>
      <c r="K4296">
        <v>0</v>
      </c>
    </row>
    <row r="4297" spans="9:11">
      <c r="I4297" t="s">
        <v>91</v>
      </c>
      <c r="J4297" t="s">
        <v>92</v>
      </c>
      <c r="K4297">
        <v>0</v>
      </c>
    </row>
    <row r="4298" spans="9:11">
      <c r="I4298" t="s">
        <v>91</v>
      </c>
      <c r="J4298" t="s">
        <v>92</v>
      </c>
      <c r="K4298">
        <v>0</v>
      </c>
    </row>
    <row r="4299" spans="9:11">
      <c r="I4299" t="s">
        <v>94</v>
      </c>
      <c r="J4299" t="s">
        <v>95</v>
      </c>
      <c r="K4299">
        <v>0</v>
      </c>
    </row>
    <row r="4300" spans="9:11">
      <c r="I4300" t="s">
        <v>91</v>
      </c>
      <c r="J4300" t="s">
        <v>92</v>
      </c>
      <c r="K4300">
        <v>0</v>
      </c>
    </row>
    <row r="4301" spans="9:11">
      <c r="I4301" t="s">
        <v>94</v>
      </c>
      <c r="J4301" t="s">
        <v>95</v>
      </c>
      <c r="K4301">
        <v>0</v>
      </c>
    </row>
    <row r="4302" spans="9:11">
      <c r="I4302" t="s">
        <v>94</v>
      </c>
      <c r="J4302" t="s">
        <v>95</v>
      </c>
      <c r="K4302">
        <v>0</v>
      </c>
    </row>
    <row r="4303" spans="9:11">
      <c r="I4303" t="s">
        <v>94</v>
      </c>
      <c r="J4303" t="s">
        <v>95</v>
      </c>
      <c r="K4303">
        <v>0</v>
      </c>
    </row>
    <row r="4304" spans="9:11">
      <c r="I4304" t="s">
        <v>94</v>
      </c>
      <c r="J4304" t="s">
        <v>95</v>
      </c>
      <c r="K4304">
        <v>0</v>
      </c>
    </row>
    <row r="4305" spans="9:11">
      <c r="I4305" t="s">
        <v>94</v>
      </c>
      <c r="J4305" t="s">
        <v>95</v>
      </c>
      <c r="K4305">
        <v>0</v>
      </c>
    </row>
    <row r="4306" spans="9:11">
      <c r="I4306" t="s">
        <v>94</v>
      </c>
      <c r="J4306" t="s">
        <v>95</v>
      </c>
      <c r="K4306">
        <v>0</v>
      </c>
    </row>
    <row r="4307" spans="9:11">
      <c r="I4307" t="s">
        <v>94</v>
      </c>
      <c r="J4307" t="s">
        <v>95</v>
      </c>
      <c r="K4307">
        <v>0</v>
      </c>
    </row>
    <row r="4308" spans="9:11">
      <c r="I4308" t="s">
        <v>94</v>
      </c>
      <c r="J4308" t="s">
        <v>95</v>
      </c>
      <c r="K4308">
        <v>0</v>
      </c>
    </row>
    <row r="4309" spans="9:11">
      <c r="I4309" t="s">
        <v>94</v>
      </c>
      <c r="J4309" t="s">
        <v>95</v>
      </c>
      <c r="K4309">
        <v>0</v>
      </c>
    </row>
    <row r="4310" spans="9:11">
      <c r="I4310" t="s">
        <v>94</v>
      </c>
      <c r="J4310" t="s">
        <v>95</v>
      </c>
      <c r="K4310">
        <v>0</v>
      </c>
    </row>
    <row r="4311" spans="9:11">
      <c r="I4311" t="s">
        <v>91</v>
      </c>
      <c r="J4311" t="s">
        <v>92</v>
      </c>
      <c r="K4311">
        <v>0</v>
      </c>
    </row>
    <row r="4312" spans="9:11">
      <c r="I4312" t="s">
        <v>94</v>
      </c>
      <c r="J4312" t="s">
        <v>95</v>
      </c>
      <c r="K4312">
        <v>0</v>
      </c>
    </row>
    <row r="4313" spans="9:11">
      <c r="I4313" t="s">
        <v>94</v>
      </c>
      <c r="J4313" t="s">
        <v>95</v>
      </c>
      <c r="K4313">
        <v>0</v>
      </c>
    </row>
    <row r="4314" spans="9:11">
      <c r="I4314" t="s">
        <v>91</v>
      </c>
      <c r="J4314" t="s">
        <v>92</v>
      </c>
      <c r="K4314">
        <v>0</v>
      </c>
    </row>
    <row r="4315" spans="9:11">
      <c r="I4315" t="s">
        <v>91</v>
      </c>
      <c r="J4315" t="s">
        <v>92</v>
      </c>
      <c r="K4315">
        <v>0</v>
      </c>
    </row>
    <row r="4316" spans="9:11">
      <c r="I4316" t="s">
        <v>94</v>
      </c>
      <c r="J4316" t="s">
        <v>95</v>
      </c>
      <c r="K4316">
        <v>0</v>
      </c>
    </row>
    <row r="4317" spans="9:11">
      <c r="I4317" t="s">
        <v>91</v>
      </c>
      <c r="J4317" t="s">
        <v>92</v>
      </c>
      <c r="K4317">
        <v>0</v>
      </c>
    </row>
    <row r="4318" spans="9:11">
      <c r="I4318" t="s">
        <v>94</v>
      </c>
      <c r="J4318" t="s">
        <v>95</v>
      </c>
      <c r="K4318">
        <v>0</v>
      </c>
    </row>
    <row r="4319" spans="9:11">
      <c r="I4319" t="s">
        <v>91</v>
      </c>
      <c r="J4319" t="s">
        <v>92</v>
      </c>
      <c r="K4319">
        <v>0</v>
      </c>
    </row>
    <row r="4320" spans="9:11">
      <c r="I4320" t="s">
        <v>91</v>
      </c>
      <c r="J4320" t="s">
        <v>92</v>
      </c>
      <c r="K4320">
        <v>0</v>
      </c>
    </row>
    <row r="4321" spans="9:11">
      <c r="I4321" t="s">
        <v>94</v>
      </c>
      <c r="J4321" t="s">
        <v>95</v>
      </c>
      <c r="K4321">
        <v>0</v>
      </c>
    </row>
    <row r="4322" spans="9:11">
      <c r="I4322" t="s">
        <v>91</v>
      </c>
      <c r="J4322" t="s">
        <v>92</v>
      </c>
      <c r="K4322">
        <v>0</v>
      </c>
    </row>
    <row r="4323" spans="9:11">
      <c r="I4323" t="s">
        <v>91</v>
      </c>
      <c r="J4323" t="s">
        <v>92</v>
      </c>
      <c r="K4323">
        <v>0</v>
      </c>
    </row>
    <row r="4324" spans="9:11">
      <c r="I4324" t="s">
        <v>91</v>
      </c>
      <c r="J4324" t="s">
        <v>92</v>
      </c>
      <c r="K4324">
        <v>0</v>
      </c>
    </row>
    <row r="4325" spans="9:11">
      <c r="I4325" t="s">
        <v>91</v>
      </c>
      <c r="J4325" t="s">
        <v>92</v>
      </c>
      <c r="K4325">
        <v>0</v>
      </c>
    </row>
    <row r="4326" spans="9:11">
      <c r="I4326" t="s">
        <v>94</v>
      </c>
      <c r="J4326" t="s">
        <v>95</v>
      </c>
      <c r="K4326">
        <v>0</v>
      </c>
    </row>
    <row r="4327" spans="9:11">
      <c r="I4327" t="s">
        <v>91</v>
      </c>
      <c r="J4327" t="s">
        <v>92</v>
      </c>
      <c r="K4327">
        <v>0</v>
      </c>
    </row>
    <row r="4328" spans="9:11">
      <c r="I4328" t="s">
        <v>91</v>
      </c>
      <c r="J4328" t="s">
        <v>92</v>
      </c>
      <c r="K4328">
        <v>1</v>
      </c>
    </row>
    <row r="4329" spans="9:11">
      <c r="I4329" t="s">
        <v>91</v>
      </c>
      <c r="J4329" t="s">
        <v>92</v>
      </c>
      <c r="K4329">
        <v>0</v>
      </c>
    </row>
    <row r="4330" spans="9:11">
      <c r="I4330" t="s">
        <v>91</v>
      </c>
      <c r="J4330" t="s">
        <v>92</v>
      </c>
      <c r="K4330">
        <v>0</v>
      </c>
    </row>
    <row r="4331" spans="9:11">
      <c r="I4331" t="s">
        <v>91</v>
      </c>
      <c r="J4331" t="s">
        <v>92</v>
      </c>
      <c r="K4331">
        <v>0</v>
      </c>
    </row>
    <row r="4332" spans="9:11">
      <c r="I4332" t="s">
        <v>94</v>
      </c>
      <c r="J4332" t="s">
        <v>95</v>
      </c>
      <c r="K4332">
        <v>0</v>
      </c>
    </row>
    <row r="4333" spans="9:11">
      <c r="I4333" t="s">
        <v>91</v>
      </c>
      <c r="J4333" t="s">
        <v>92</v>
      </c>
      <c r="K4333">
        <v>0</v>
      </c>
    </row>
    <row r="4334" spans="9:11">
      <c r="I4334" t="s">
        <v>91</v>
      </c>
      <c r="J4334" t="s">
        <v>92</v>
      </c>
      <c r="K4334">
        <v>0</v>
      </c>
    </row>
    <row r="4335" spans="9:11">
      <c r="I4335" t="s">
        <v>94</v>
      </c>
      <c r="J4335" t="s">
        <v>95</v>
      </c>
      <c r="K4335">
        <v>0</v>
      </c>
    </row>
    <row r="4336" spans="9:11">
      <c r="I4336" t="s">
        <v>94</v>
      </c>
      <c r="J4336" t="s">
        <v>95</v>
      </c>
      <c r="K4336">
        <v>0</v>
      </c>
    </row>
    <row r="4337" spans="9:11">
      <c r="I4337" t="s">
        <v>94</v>
      </c>
      <c r="J4337" t="s">
        <v>95</v>
      </c>
      <c r="K4337">
        <v>1</v>
      </c>
    </row>
    <row r="4338" spans="9:11">
      <c r="I4338" t="s">
        <v>94</v>
      </c>
      <c r="J4338" t="s">
        <v>95</v>
      </c>
      <c r="K4338">
        <v>0</v>
      </c>
    </row>
    <row r="4339" spans="9:11">
      <c r="I4339" t="s">
        <v>94</v>
      </c>
      <c r="J4339" t="s">
        <v>95</v>
      </c>
      <c r="K4339">
        <v>0</v>
      </c>
    </row>
    <row r="4340" spans="9:11">
      <c r="I4340" t="s">
        <v>91</v>
      </c>
      <c r="J4340" t="s">
        <v>92</v>
      </c>
      <c r="K4340">
        <v>1</v>
      </c>
    </row>
    <row r="4341" spans="9:11">
      <c r="I4341" t="s">
        <v>94</v>
      </c>
      <c r="J4341" t="s">
        <v>95</v>
      </c>
      <c r="K4341">
        <v>0</v>
      </c>
    </row>
    <row r="4342" spans="9:11">
      <c r="I4342" t="s">
        <v>94</v>
      </c>
      <c r="J4342" t="s">
        <v>95</v>
      </c>
      <c r="K4342">
        <v>0</v>
      </c>
    </row>
    <row r="4343" spans="9:11">
      <c r="I4343" t="s">
        <v>91</v>
      </c>
      <c r="J4343" t="s">
        <v>92</v>
      </c>
      <c r="K4343">
        <v>0</v>
      </c>
    </row>
    <row r="4344" spans="9:11">
      <c r="I4344" t="s">
        <v>94</v>
      </c>
      <c r="J4344" t="s">
        <v>95</v>
      </c>
      <c r="K4344">
        <v>0</v>
      </c>
    </row>
    <row r="4345" spans="9:11">
      <c r="I4345" t="s">
        <v>91</v>
      </c>
      <c r="J4345" t="s">
        <v>92</v>
      </c>
      <c r="K4345">
        <v>0</v>
      </c>
    </row>
    <row r="4346" spans="9:11">
      <c r="I4346" t="s">
        <v>94</v>
      </c>
      <c r="J4346" t="s">
        <v>95</v>
      </c>
      <c r="K4346">
        <v>0</v>
      </c>
    </row>
    <row r="4347" spans="9:11">
      <c r="I4347" t="s">
        <v>94</v>
      </c>
      <c r="J4347" t="s">
        <v>95</v>
      </c>
      <c r="K4347">
        <v>0</v>
      </c>
    </row>
    <row r="4348" spans="9:11">
      <c r="I4348" t="s">
        <v>91</v>
      </c>
      <c r="J4348" t="s">
        <v>92</v>
      </c>
      <c r="K4348">
        <v>0</v>
      </c>
    </row>
    <row r="4349" spans="9:11">
      <c r="I4349" t="s">
        <v>91</v>
      </c>
      <c r="J4349" t="s">
        <v>92</v>
      </c>
      <c r="K4349">
        <v>0</v>
      </c>
    </row>
    <row r="4350" spans="9:11">
      <c r="I4350" t="s">
        <v>91</v>
      </c>
      <c r="J4350" t="s">
        <v>92</v>
      </c>
      <c r="K4350">
        <v>0</v>
      </c>
    </row>
    <row r="4351" spans="9:11">
      <c r="I4351" t="s">
        <v>91</v>
      </c>
      <c r="J4351" t="s">
        <v>92</v>
      </c>
      <c r="K4351">
        <v>0</v>
      </c>
    </row>
    <row r="4352" spans="9:11">
      <c r="I4352" t="s">
        <v>94</v>
      </c>
      <c r="J4352" t="s">
        <v>95</v>
      </c>
      <c r="K4352">
        <v>0</v>
      </c>
    </row>
    <row r="4353" spans="9:11">
      <c r="I4353" t="s">
        <v>94</v>
      </c>
      <c r="J4353" t="s">
        <v>95</v>
      </c>
      <c r="K4353">
        <v>1</v>
      </c>
    </row>
    <row r="4354" spans="9:11">
      <c r="I4354" t="s">
        <v>94</v>
      </c>
      <c r="J4354" t="s">
        <v>95</v>
      </c>
      <c r="K4354">
        <v>0</v>
      </c>
    </row>
    <row r="4355" spans="9:11">
      <c r="I4355" t="s">
        <v>91</v>
      </c>
      <c r="J4355" t="s">
        <v>92</v>
      </c>
      <c r="K4355">
        <v>0</v>
      </c>
    </row>
    <row r="4356" spans="9:11">
      <c r="I4356" t="s">
        <v>94</v>
      </c>
      <c r="J4356" t="s">
        <v>95</v>
      </c>
      <c r="K4356">
        <v>0</v>
      </c>
    </row>
    <row r="4357" spans="9:11">
      <c r="I4357" t="s">
        <v>91</v>
      </c>
      <c r="J4357" t="s">
        <v>92</v>
      </c>
      <c r="K4357">
        <v>0</v>
      </c>
    </row>
    <row r="4358" spans="9:11">
      <c r="I4358" t="s">
        <v>91</v>
      </c>
      <c r="J4358" t="s">
        <v>92</v>
      </c>
      <c r="K4358">
        <v>0</v>
      </c>
    </row>
    <row r="4359" spans="9:11">
      <c r="I4359" t="s">
        <v>94</v>
      </c>
      <c r="J4359" t="s">
        <v>95</v>
      </c>
      <c r="K4359">
        <v>0</v>
      </c>
    </row>
    <row r="4360" spans="9:11">
      <c r="I4360" t="s">
        <v>91</v>
      </c>
      <c r="J4360" t="s">
        <v>92</v>
      </c>
      <c r="K4360">
        <v>0</v>
      </c>
    </row>
    <row r="4361" spans="9:11">
      <c r="I4361" t="s">
        <v>94</v>
      </c>
      <c r="J4361" t="s">
        <v>95</v>
      </c>
      <c r="K4361">
        <v>0</v>
      </c>
    </row>
    <row r="4362" spans="9:11">
      <c r="I4362" t="s">
        <v>91</v>
      </c>
      <c r="J4362" t="s">
        <v>92</v>
      </c>
      <c r="K4362">
        <v>0</v>
      </c>
    </row>
    <row r="4363" spans="9:11">
      <c r="I4363" t="s">
        <v>94</v>
      </c>
      <c r="J4363" t="s">
        <v>95</v>
      </c>
      <c r="K4363">
        <v>0</v>
      </c>
    </row>
    <row r="4364" spans="9:11">
      <c r="I4364" t="s">
        <v>94</v>
      </c>
      <c r="J4364" t="s">
        <v>95</v>
      </c>
      <c r="K4364">
        <v>0</v>
      </c>
    </row>
    <row r="4365" spans="9:11">
      <c r="I4365" t="s">
        <v>91</v>
      </c>
      <c r="J4365" t="s">
        <v>92</v>
      </c>
      <c r="K4365">
        <v>0</v>
      </c>
    </row>
    <row r="4366" spans="9:11">
      <c r="I4366" t="s">
        <v>91</v>
      </c>
      <c r="J4366" t="s">
        <v>92</v>
      </c>
      <c r="K4366">
        <v>0</v>
      </c>
    </row>
    <row r="4367" spans="9:11">
      <c r="I4367" t="s">
        <v>91</v>
      </c>
      <c r="J4367" t="s">
        <v>92</v>
      </c>
      <c r="K4367">
        <v>0</v>
      </c>
    </row>
    <row r="4368" spans="9:11">
      <c r="I4368" t="s">
        <v>91</v>
      </c>
      <c r="J4368" t="s">
        <v>92</v>
      </c>
      <c r="K4368">
        <v>0</v>
      </c>
    </row>
    <row r="4369" spans="9:11">
      <c r="I4369" t="s">
        <v>94</v>
      </c>
      <c r="J4369" t="s">
        <v>95</v>
      </c>
      <c r="K4369">
        <v>0</v>
      </c>
    </row>
    <row r="4370" spans="9:11">
      <c r="I4370" t="s">
        <v>94</v>
      </c>
      <c r="J4370" t="s">
        <v>95</v>
      </c>
      <c r="K4370">
        <v>0</v>
      </c>
    </row>
    <row r="4371" spans="9:11">
      <c r="I4371" t="s">
        <v>94</v>
      </c>
      <c r="J4371" t="s">
        <v>95</v>
      </c>
      <c r="K4371">
        <v>0</v>
      </c>
    </row>
    <row r="4372" spans="9:11">
      <c r="I4372" t="s">
        <v>94</v>
      </c>
      <c r="J4372" t="s">
        <v>95</v>
      </c>
      <c r="K4372">
        <v>0</v>
      </c>
    </row>
    <row r="4373" spans="9:11">
      <c r="I4373" t="s">
        <v>91</v>
      </c>
      <c r="J4373" t="s">
        <v>92</v>
      </c>
      <c r="K4373">
        <v>0</v>
      </c>
    </row>
    <row r="4374" spans="9:11">
      <c r="I4374" t="s">
        <v>94</v>
      </c>
      <c r="J4374" t="s">
        <v>95</v>
      </c>
      <c r="K4374">
        <v>0</v>
      </c>
    </row>
    <row r="4375" spans="9:11">
      <c r="I4375" t="s">
        <v>94</v>
      </c>
      <c r="J4375" t="s">
        <v>95</v>
      </c>
      <c r="K4375">
        <v>0</v>
      </c>
    </row>
    <row r="4376" spans="9:11">
      <c r="I4376" t="s">
        <v>94</v>
      </c>
      <c r="J4376" t="s">
        <v>95</v>
      </c>
      <c r="K4376">
        <v>0</v>
      </c>
    </row>
    <row r="4377" spans="9:11">
      <c r="I4377" t="s">
        <v>94</v>
      </c>
      <c r="J4377" t="s">
        <v>95</v>
      </c>
      <c r="K4377">
        <v>0</v>
      </c>
    </row>
    <row r="4378" spans="9:11">
      <c r="I4378" t="s">
        <v>91</v>
      </c>
      <c r="J4378" t="s">
        <v>92</v>
      </c>
      <c r="K4378">
        <v>0</v>
      </c>
    </row>
    <row r="4379" spans="9:11">
      <c r="I4379" t="s">
        <v>91</v>
      </c>
      <c r="J4379" t="s">
        <v>92</v>
      </c>
      <c r="K4379">
        <v>0</v>
      </c>
    </row>
    <row r="4380" spans="9:11">
      <c r="I4380" t="s">
        <v>94</v>
      </c>
      <c r="J4380" t="s">
        <v>95</v>
      </c>
      <c r="K4380">
        <v>0</v>
      </c>
    </row>
    <row r="4381" spans="9:11">
      <c r="I4381" t="s">
        <v>94</v>
      </c>
      <c r="J4381" t="s">
        <v>95</v>
      </c>
      <c r="K4381">
        <v>0</v>
      </c>
    </row>
    <row r="4382" spans="9:11">
      <c r="I4382" t="s">
        <v>94</v>
      </c>
      <c r="J4382" t="s">
        <v>95</v>
      </c>
      <c r="K4382">
        <v>0</v>
      </c>
    </row>
    <row r="4383" spans="9:11">
      <c r="I4383" t="s">
        <v>91</v>
      </c>
      <c r="J4383" t="s">
        <v>92</v>
      </c>
      <c r="K4383">
        <v>0</v>
      </c>
    </row>
    <row r="4384" spans="9:11">
      <c r="I4384" t="s">
        <v>91</v>
      </c>
      <c r="J4384" t="s">
        <v>92</v>
      </c>
      <c r="K4384">
        <v>0</v>
      </c>
    </row>
    <row r="4385" spans="9:11">
      <c r="I4385" t="s">
        <v>94</v>
      </c>
      <c r="J4385" t="s">
        <v>95</v>
      </c>
      <c r="K4385">
        <v>0</v>
      </c>
    </row>
    <row r="4386" spans="9:11">
      <c r="I4386" t="s">
        <v>91</v>
      </c>
      <c r="J4386" t="s">
        <v>92</v>
      </c>
      <c r="K4386">
        <v>0</v>
      </c>
    </row>
    <row r="4387" spans="9:11">
      <c r="I4387" t="s">
        <v>94</v>
      </c>
      <c r="J4387" t="s">
        <v>95</v>
      </c>
      <c r="K4387">
        <v>0</v>
      </c>
    </row>
    <row r="4388" spans="9:11">
      <c r="I4388" t="s">
        <v>91</v>
      </c>
      <c r="J4388" t="s">
        <v>92</v>
      </c>
      <c r="K4388">
        <v>0</v>
      </c>
    </row>
    <row r="4389" spans="9:11">
      <c r="I4389" t="s">
        <v>94</v>
      </c>
      <c r="J4389" t="s">
        <v>95</v>
      </c>
      <c r="K4389">
        <v>0</v>
      </c>
    </row>
    <row r="4390" spans="9:11">
      <c r="I4390" t="s">
        <v>94</v>
      </c>
      <c r="J4390" t="s">
        <v>95</v>
      </c>
      <c r="K4390">
        <v>1</v>
      </c>
    </row>
    <row r="4391" spans="9:11">
      <c r="I4391" t="s">
        <v>91</v>
      </c>
      <c r="J4391" t="s">
        <v>92</v>
      </c>
      <c r="K4391">
        <v>0</v>
      </c>
    </row>
    <row r="4392" spans="9:11">
      <c r="I4392" t="s">
        <v>94</v>
      </c>
      <c r="J4392" t="s">
        <v>95</v>
      </c>
      <c r="K4392">
        <v>1</v>
      </c>
    </row>
    <row r="4393" spans="9:11">
      <c r="I4393" t="s">
        <v>94</v>
      </c>
      <c r="J4393" t="s">
        <v>95</v>
      </c>
      <c r="K4393">
        <v>0</v>
      </c>
    </row>
    <row r="4394" spans="9:11">
      <c r="I4394" t="s">
        <v>94</v>
      </c>
      <c r="J4394" t="s">
        <v>95</v>
      </c>
      <c r="K4394">
        <v>0</v>
      </c>
    </row>
    <row r="4395" spans="9:11">
      <c r="I4395" t="s">
        <v>94</v>
      </c>
      <c r="J4395" t="s">
        <v>95</v>
      </c>
      <c r="K4395">
        <v>1</v>
      </c>
    </row>
    <row r="4396" spans="9:11">
      <c r="I4396" t="s">
        <v>91</v>
      </c>
      <c r="J4396" t="s">
        <v>92</v>
      </c>
      <c r="K4396">
        <v>0</v>
      </c>
    </row>
    <row r="4397" spans="9:11">
      <c r="I4397" t="s">
        <v>91</v>
      </c>
      <c r="J4397" t="s">
        <v>92</v>
      </c>
      <c r="K4397">
        <v>0</v>
      </c>
    </row>
    <row r="4398" spans="9:11">
      <c r="I4398" t="s">
        <v>94</v>
      </c>
      <c r="J4398" t="s">
        <v>95</v>
      </c>
      <c r="K4398">
        <v>0</v>
      </c>
    </row>
    <row r="4399" spans="9:11">
      <c r="I4399" t="s">
        <v>94</v>
      </c>
      <c r="J4399" t="s">
        <v>95</v>
      </c>
      <c r="K4399">
        <v>0</v>
      </c>
    </row>
    <row r="4400" spans="9:11">
      <c r="I4400" t="s">
        <v>91</v>
      </c>
      <c r="J4400" t="s">
        <v>92</v>
      </c>
      <c r="K4400">
        <v>0</v>
      </c>
    </row>
    <row r="4401" spans="9:11">
      <c r="I4401" t="s">
        <v>91</v>
      </c>
      <c r="J4401" t="s">
        <v>92</v>
      </c>
      <c r="K4401">
        <v>0</v>
      </c>
    </row>
    <row r="4402" spans="9:11">
      <c r="I4402" t="s">
        <v>94</v>
      </c>
      <c r="J4402" t="s">
        <v>95</v>
      </c>
      <c r="K4402">
        <v>0</v>
      </c>
    </row>
    <row r="4403" spans="9:11">
      <c r="I4403" t="s">
        <v>94</v>
      </c>
      <c r="J4403" t="s">
        <v>95</v>
      </c>
      <c r="K4403">
        <v>0</v>
      </c>
    </row>
    <row r="4404" spans="9:11">
      <c r="I4404" t="s">
        <v>94</v>
      </c>
      <c r="J4404" t="s">
        <v>95</v>
      </c>
      <c r="K4404">
        <v>0</v>
      </c>
    </row>
    <row r="4405" spans="9:11">
      <c r="I4405" t="s">
        <v>94</v>
      </c>
      <c r="J4405" t="s">
        <v>95</v>
      </c>
      <c r="K4405">
        <v>0</v>
      </c>
    </row>
    <row r="4406" spans="9:11">
      <c r="I4406" t="s">
        <v>91</v>
      </c>
      <c r="J4406" t="s">
        <v>92</v>
      </c>
      <c r="K4406">
        <v>0</v>
      </c>
    </row>
    <row r="4407" spans="9:11">
      <c r="I4407" t="s">
        <v>91</v>
      </c>
      <c r="J4407" t="s">
        <v>92</v>
      </c>
      <c r="K4407">
        <v>0</v>
      </c>
    </row>
    <row r="4408" spans="9:11">
      <c r="I4408" t="s">
        <v>94</v>
      </c>
      <c r="J4408" t="s">
        <v>95</v>
      </c>
      <c r="K4408">
        <v>1</v>
      </c>
    </row>
    <row r="4409" spans="9:11">
      <c r="I4409" t="s">
        <v>91</v>
      </c>
      <c r="J4409" t="s">
        <v>92</v>
      </c>
      <c r="K4409">
        <v>0</v>
      </c>
    </row>
    <row r="4410" spans="9:11">
      <c r="I4410" t="s">
        <v>91</v>
      </c>
      <c r="J4410" t="s">
        <v>92</v>
      </c>
      <c r="K4410">
        <v>0</v>
      </c>
    </row>
    <row r="4411" spans="9:11">
      <c r="I4411" t="s">
        <v>91</v>
      </c>
      <c r="J4411" t="s">
        <v>92</v>
      </c>
      <c r="K4411">
        <v>0</v>
      </c>
    </row>
    <row r="4412" spans="9:11">
      <c r="I4412" t="s">
        <v>94</v>
      </c>
      <c r="J4412" t="s">
        <v>95</v>
      </c>
      <c r="K4412">
        <v>0</v>
      </c>
    </row>
    <row r="4413" spans="9:11">
      <c r="I4413" t="s">
        <v>94</v>
      </c>
      <c r="J4413" t="s">
        <v>95</v>
      </c>
      <c r="K4413">
        <v>0</v>
      </c>
    </row>
    <row r="4414" spans="9:11">
      <c r="I4414" t="s">
        <v>94</v>
      </c>
      <c r="J4414" t="s">
        <v>95</v>
      </c>
      <c r="K4414">
        <v>0</v>
      </c>
    </row>
    <row r="4415" spans="9:11">
      <c r="I4415" t="s">
        <v>91</v>
      </c>
      <c r="J4415" t="s">
        <v>92</v>
      </c>
      <c r="K4415">
        <v>0</v>
      </c>
    </row>
    <row r="4416" spans="9:11">
      <c r="I4416" t="s">
        <v>94</v>
      </c>
      <c r="J4416" t="s">
        <v>95</v>
      </c>
      <c r="K4416">
        <v>0</v>
      </c>
    </row>
    <row r="4417" spans="9:11">
      <c r="I4417" t="s">
        <v>94</v>
      </c>
      <c r="J4417" t="s">
        <v>95</v>
      </c>
      <c r="K4417">
        <v>0</v>
      </c>
    </row>
    <row r="4418" spans="9:11">
      <c r="I4418" t="s">
        <v>91</v>
      </c>
      <c r="J4418" t="s">
        <v>92</v>
      </c>
      <c r="K4418">
        <v>0</v>
      </c>
    </row>
    <row r="4419" spans="9:11">
      <c r="I4419" t="s">
        <v>94</v>
      </c>
      <c r="J4419" t="s">
        <v>95</v>
      </c>
      <c r="K4419">
        <v>0</v>
      </c>
    </row>
    <row r="4420" spans="9:11">
      <c r="I4420" t="s">
        <v>94</v>
      </c>
      <c r="J4420" t="s">
        <v>95</v>
      </c>
      <c r="K4420">
        <v>0</v>
      </c>
    </row>
    <row r="4421" spans="9:11">
      <c r="I4421" t="s">
        <v>94</v>
      </c>
      <c r="J4421" t="s">
        <v>95</v>
      </c>
      <c r="K4421">
        <v>0</v>
      </c>
    </row>
    <row r="4422" spans="9:11">
      <c r="I4422" t="s">
        <v>94</v>
      </c>
      <c r="J4422" t="s">
        <v>95</v>
      </c>
      <c r="K4422">
        <v>0</v>
      </c>
    </row>
    <row r="4423" spans="9:11">
      <c r="I4423" t="s">
        <v>94</v>
      </c>
      <c r="J4423" t="s">
        <v>95</v>
      </c>
      <c r="K4423">
        <v>0</v>
      </c>
    </row>
    <row r="4424" spans="9:11">
      <c r="I4424" t="s">
        <v>91</v>
      </c>
      <c r="J4424" t="s">
        <v>92</v>
      </c>
      <c r="K4424">
        <v>0</v>
      </c>
    </row>
    <row r="4425" spans="9:11">
      <c r="I4425" t="s">
        <v>94</v>
      </c>
      <c r="J4425" t="s">
        <v>95</v>
      </c>
      <c r="K4425">
        <v>0</v>
      </c>
    </row>
    <row r="4426" spans="9:11">
      <c r="I4426" t="s">
        <v>91</v>
      </c>
      <c r="J4426" t="s">
        <v>92</v>
      </c>
      <c r="K4426">
        <v>0</v>
      </c>
    </row>
    <row r="4427" spans="9:11">
      <c r="I4427" t="s">
        <v>94</v>
      </c>
      <c r="J4427" t="s">
        <v>95</v>
      </c>
      <c r="K4427">
        <v>0</v>
      </c>
    </row>
    <row r="4428" spans="9:11">
      <c r="I4428" t="s">
        <v>94</v>
      </c>
      <c r="J4428" t="s">
        <v>95</v>
      </c>
      <c r="K4428">
        <v>0</v>
      </c>
    </row>
    <row r="4429" spans="9:11">
      <c r="I4429" t="s">
        <v>91</v>
      </c>
      <c r="J4429" t="s">
        <v>92</v>
      </c>
      <c r="K4429">
        <v>0</v>
      </c>
    </row>
    <row r="4430" spans="9:11">
      <c r="I4430" t="s">
        <v>94</v>
      </c>
      <c r="J4430" t="s">
        <v>95</v>
      </c>
      <c r="K4430">
        <v>0</v>
      </c>
    </row>
    <row r="4431" spans="9:11">
      <c r="I4431" t="s">
        <v>91</v>
      </c>
      <c r="J4431" t="s">
        <v>92</v>
      </c>
      <c r="K4431">
        <v>0</v>
      </c>
    </row>
    <row r="4432" spans="9:11">
      <c r="I4432" t="s">
        <v>94</v>
      </c>
      <c r="J4432" t="s">
        <v>95</v>
      </c>
      <c r="K4432">
        <v>0</v>
      </c>
    </row>
    <row r="4433" spans="9:11">
      <c r="I4433" t="s">
        <v>94</v>
      </c>
      <c r="J4433" t="s">
        <v>95</v>
      </c>
      <c r="K4433">
        <v>0</v>
      </c>
    </row>
    <row r="4434" spans="9:11">
      <c r="I4434" t="s">
        <v>91</v>
      </c>
      <c r="J4434" t="s">
        <v>92</v>
      </c>
      <c r="K4434">
        <v>0</v>
      </c>
    </row>
    <row r="4435" spans="9:11">
      <c r="I4435" t="s">
        <v>94</v>
      </c>
      <c r="J4435" t="s">
        <v>95</v>
      </c>
      <c r="K4435">
        <v>0</v>
      </c>
    </row>
    <row r="4436" spans="9:11">
      <c r="I4436" t="s">
        <v>94</v>
      </c>
      <c r="J4436" t="s">
        <v>95</v>
      </c>
      <c r="K4436">
        <v>0</v>
      </c>
    </row>
    <row r="4437" spans="9:11">
      <c r="I4437" t="s">
        <v>91</v>
      </c>
      <c r="J4437" t="s">
        <v>92</v>
      </c>
      <c r="K4437">
        <v>0</v>
      </c>
    </row>
    <row r="4438" spans="9:11">
      <c r="I4438" t="s">
        <v>91</v>
      </c>
      <c r="J4438" t="s">
        <v>92</v>
      </c>
      <c r="K4438">
        <v>0</v>
      </c>
    </row>
    <row r="4439" spans="9:11">
      <c r="I4439" t="s">
        <v>91</v>
      </c>
      <c r="J4439" t="s">
        <v>92</v>
      </c>
      <c r="K4439">
        <v>0</v>
      </c>
    </row>
    <row r="4440" spans="9:11">
      <c r="I4440" t="s">
        <v>94</v>
      </c>
      <c r="J4440" t="s">
        <v>95</v>
      </c>
      <c r="K4440">
        <v>0</v>
      </c>
    </row>
    <row r="4441" spans="9:11">
      <c r="I4441" t="s">
        <v>91</v>
      </c>
      <c r="J4441" t="s">
        <v>92</v>
      </c>
      <c r="K4441">
        <v>0</v>
      </c>
    </row>
    <row r="4442" spans="9:11">
      <c r="I4442" t="s">
        <v>94</v>
      </c>
      <c r="J4442" t="s">
        <v>95</v>
      </c>
      <c r="K4442">
        <v>0</v>
      </c>
    </row>
    <row r="4443" spans="9:11">
      <c r="I4443" t="s">
        <v>91</v>
      </c>
      <c r="J4443" t="s">
        <v>92</v>
      </c>
      <c r="K4443">
        <v>0</v>
      </c>
    </row>
    <row r="4444" spans="9:11">
      <c r="I4444" t="s">
        <v>94</v>
      </c>
      <c r="J4444" t="s">
        <v>95</v>
      </c>
      <c r="K4444">
        <v>0</v>
      </c>
    </row>
    <row r="4445" spans="9:11">
      <c r="I4445" t="s">
        <v>91</v>
      </c>
      <c r="J4445" t="s">
        <v>92</v>
      </c>
      <c r="K4445">
        <v>0</v>
      </c>
    </row>
    <row r="4446" spans="9:11">
      <c r="I4446" t="s">
        <v>94</v>
      </c>
      <c r="J4446" t="s">
        <v>95</v>
      </c>
      <c r="K4446">
        <v>0</v>
      </c>
    </row>
    <row r="4447" spans="9:11">
      <c r="I4447" t="s">
        <v>91</v>
      </c>
      <c r="J4447" t="s">
        <v>92</v>
      </c>
      <c r="K4447">
        <v>0</v>
      </c>
    </row>
    <row r="4448" spans="9:11">
      <c r="I4448" t="s">
        <v>94</v>
      </c>
      <c r="J4448" t="s">
        <v>95</v>
      </c>
      <c r="K4448">
        <v>0</v>
      </c>
    </row>
    <row r="4449" spans="9:11">
      <c r="I4449" t="s">
        <v>91</v>
      </c>
      <c r="J4449" t="s">
        <v>92</v>
      </c>
      <c r="K4449">
        <v>0</v>
      </c>
    </row>
    <row r="4450" spans="9:11">
      <c r="I4450" t="s">
        <v>91</v>
      </c>
      <c r="J4450" t="s">
        <v>92</v>
      </c>
      <c r="K4450">
        <v>0</v>
      </c>
    </row>
    <row r="4451" spans="9:11">
      <c r="I4451" t="s">
        <v>91</v>
      </c>
      <c r="J4451" t="s">
        <v>92</v>
      </c>
      <c r="K4451">
        <v>0</v>
      </c>
    </row>
    <row r="4452" spans="9:11">
      <c r="I4452" t="s">
        <v>94</v>
      </c>
      <c r="J4452" t="s">
        <v>95</v>
      </c>
      <c r="K4452">
        <v>0</v>
      </c>
    </row>
    <row r="4453" spans="9:11">
      <c r="I4453" t="s">
        <v>94</v>
      </c>
      <c r="J4453" t="s">
        <v>95</v>
      </c>
      <c r="K4453">
        <v>0</v>
      </c>
    </row>
    <row r="4454" spans="9:11">
      <c r="I4454" t="s">
        <v>94</v>
      </c>
      <c r="J4454" t="s">
        <v>95</v>
      </c>
      <c r="K4454">
        <v>0</v>
      </c>
    </row>
    <row r="4455" spans="9:11">
      <c r="I4455" t="s">
        <v>91</v>
      </c>
      <c r="J4455" t="s">
        <v>92</v>
      </c>
      <c r="K4455">
        <v>0</v>
      </c>
    </row>
    <row r="4456" spans="9:11">
      <c r="I4456" t="s">
        <v>94</v>
      </c>
      <c r="J4456" t="s">
        <v>95</v>
      </c>
      <c r="K4456">
        <v>0</v>
      </c>
    </row>
    <row r="4457" spans="9:11">
      <c r="I4457" t="s">
        <v>94</v>
      </c>
      <c r="J4457" t="s">
        <v>95</v>
      </c>
      <c r="K4457">
        <v>0</v>
      </c>
    </row>
    <row r="4458" spans="9:11">
      <c r="I4458" t="s">
        <v>94</v>
      </c>
      <c r="J4458" t="s">
        <v>95</v>
      </c>
      <c r="K4458">
        <v>0</v>
      </c>
    </row>
    <row r="4459" spans="9:11">
      <c r="I4459" t="s">
        <v>91</v>
      </c>
      <c r="J4459" t="s">
        <v>92</v>
      </c>
      <c r="K4459">
        <v>0</v>
      </c>
    </row>
    <row r="4460" spans="9:11">
      <c r="I4460" t="s">
        <v>94</v>
      </c>
      <c r="J4460" t="s">
        <v>95</v>
      </c>
      <c r="K4460">
        <v>0</v>
      </c>
    </row>
    <row r="4461" spans="9:11">
      <c r="I4461" t="s">
        <v>91</v>
      </c>
      <c r="J4461" t="s">
        <v>92</v>
      </c>
      <c r="K4461">
        <v>0</v>
      </c>
    </row>
    <row r="4462" spans="9:11">
      <c r="I4462" t="s">
        <v>94</v>
      </c>
      <c r="J4462" t="s">
        <v>95</v>
      </c>
      <c r="K4462">
        <v>0</v>
      </c>
    </row>
    <row r="4463" spans="9:11">
      <c r="I4463" t="s">
        <v>91</v>
      </c>
      <c r="J4463" t="s">
        <v>92</v>
      </c>
      <c r="K4463">
        <v>0</v>
      </c>
    </row>
    <row r="4464" spans="9:11">
      <c r="I4464" t="s">
        <v>91</v>
      </c>
      <c r="J4464" t="s">
        <v>92</v>
      </c>
      <c r="K4464">
        <v>0</v>
      </c>
    </row>
    <row r="4465" spans="9:11">
      <c r="I4465" t="s">
        <v>91</v>
      </c>
      <c r="J4465" t="s">
        <v>92</v>
      </c>
      <c r="K4465">
        <v>0</v>
      </c>
    </row>
    <row r="4466" spans="9:11">
      <c r="I4466" t="s">
        <v>91</v>
      </c>
      <c r="J4466" t="s">
        <v>92</v>
      </c>
      <c r="K4466">
        <v>0</v>
      </c>
    </row>
    <row r="4467" spans="9:11">
      <c r="I4467" t="s">
        <v>91</v>
      </c>
      <c r="J4467" t="s">
        <v>92</v>
      </c>
      <c r="K4467">
        <v>1</v>
      </c>
    </row>
    <row r="4468" spans="9:11">
      <c r="I4468" t="s">
        <v>94</v>
      </c>
      <c r="J4468" t="s">
        <v>95</v>
      </c>
      <c r="K4468">
        <v>0</v>
      </c>
    </row>
    <row r="4469" spans="9:11">
      <c r="I4469" t="s">
        <v>94</v>
      </c>
      <c r="J4469" t="s">
        <v>95</v>
      </c>
      <c r="K4469">
        <v>0</v>
      </c>
    </row>
    <row r="4470" spans="9:11">
      <c r="I4470" t="s">
        <v>91</v>
      </c>
      <c r="J4470" t="s">
        <v>92</v>
      </c>
      <c r="K4470">
        <v>0</v>
      </c>
    </row>
    <row r="4471" spans="9:11">
      <c r="I4471" t="s">
        <v>94</v>
      </c>
      <c r="J4471" t="s">
        <v>95</v>
      </c>
      <c r="K4471">
        <v>0</v>
      </c>
    </row>
    <row r="4472" spans="9:11">
      <c r="I4472" t="s">
        <v>94</v>
      </c>
      <c r="J4472" t="s">
        <v>95</v>
      </c>
      <c r="K4472">
        <v>0</v>
      </c>
    </row>
    <row r="4473" spans="9:11">
      <c r="I4473" t="s">
        <v>94</v>
      </c>
      <c r="J4473" t="s">
        <v>95</v>
      </c>
      <c r="K4473">
        <v>0</v>
      </c>
    </row>
    <row r="4474" spans="9:11">
      <c r="I4474" t="s">
        <v>91</v>
      </c>
      <c r="J4474" t="s">
        <v>92</v>
      </c>
      <c r="K4474">
        <v>0</v>
      </c>
    </row>
    <row r="4475" spans="9:11">
      <c r="I4475" t="s">
        <v>94</v>
      </c>
      <c r="J4475" t="s">
        <v>95</v>
      </c>
      <c r="K4475">
        <v>0</v>
      </c>
    </row>
    <row r="4476" spans="9:11">
      <c r="I4476" t="s">
        <v>94</v>
      </c>
      <c r="J4476" t="s">
        <v>95</v>
      </c>
      <c r="K4476">
        <v>0</v>
      </c>
    </row>
    <row r="4477" spans="9:11">
      <c r="I4477" t="s">
        <v>94</v>
      </c>
      <c r="J4477" t="s">
        <v>95</v>
      </c>
      <c r="K4477">
        <v>0</v>
      </c>
    </row>
    <row r="4478" spans="9:11">
      <c r="I4478" t="s">
        <v>94</v>
      </c>
      <c r="J4478" t="s">
        <v>95</v>
      </c>
      <c r="K4478">
        <v>0</v>
      </c>
    </row>
    <row r="4479" spans="9:11">
      <c r="I4479" t="s">
        <v>94</v>
      </c>
      <c r="J4479" t="s">
        <v>95</v>
      </c>
      <c r="K4479">
        <v>0</v>
      </c>
    </row>
    <row r="4480" spans="9:11">
      <c r="I4480" t="s">
        <v>91</v>
      </c>
      <c r="J4480" t="s">
        <v>92</v>
      </c>
      <c r="K4480">
        <v>0</v>
      </c>
    </row>
    <row r="4481" spans="9:11">
      <c r="I4481" t="s">
        <v>91</v>
      </c>
      <c r="J4481" t="s">
        <v>92</v>
      </c>
      <c r="K4481">
        <v>0</v>
      </c>
    </row>
    <row r="4482" spans="9:11">
      <c r="I4482" t="s">
        <v>91</v>
      </c>
      <c r="J4482" t="s">
        <v>92</v>
      </c>
      <c r="K4482">
        <v>0</v>
      </c>
    </row>
    <row r="4483" spans="9:11">
      <c r="I4483" t="s">
        <v>91</v>
      </c>
      <c r="J4483" t="s">
        <v>92</v>
      </c>
      <c r="K4483">
        <v>0</v>
      </c>
    </row>
    <row r="4484" spans="9:11">
      <c r="I4484" t="s">
        <v>94</v>
      </c>
      <c r="J4484" t="s">
        <v>95</v>
      </c>
      <c r="K4484">
        <v>0</v>
      </c>
    </row>
    <row r="4485" spans="9:11">
      <c r="I4485" t="s">
        <v>91</v>
      </c>
      <c r="J4485" t="s">
        <v>92</v>
      </c>
      <c r="K4485">
        <v>0</v>
      </c>
    </row>
    <row r="4486" spans="9:11">
      <c r="I4486" t="s">
        <v>91</v>
      </c>
      <c r="J4486" t="s">
        <v>92</v>
      </c>
      <c r="K4486">
        <v>0</v>
      </c>
    </row>
    <row r="4487" spans="9:11">
      <c r="I4487" t="s">
        <v>91</v>
      </c>
      <c r="J4487" t="s">
        <v>92</v>
      </c>
      <c r="K4487">
        <v>0</v>
      </c>
    </row>
    <row r="4488" spans="9:11">
      <c r="I4488" t="s">
        <v>94</v>
      </c>
      <c r="J4488" t="s">
        <v>95</v>
      </c>
      <c r="K4488">
        <v>0</v>
      </c>
    </row>
    <row r="4489" spans="9:11">
      <c r="I4489" t="s">
        <v>94</v>
      </c>
      <c r="J4489" t="s">
        <v>95</v>
      </c>
      <c r="K4489">
        <v>0</v>
      </c>
    </row>
    <row r="4490" spans="9:11">
      <c r="I4490" t="s">
        <v>94</v>
      </c>
      <c r="J4490" t="s">
        <v>95</v>
      </c>
      <c r="K4490">
        <v>0</v>
      </c>
    </row>
    <row r="4491" spans="9:11">
      <c r="I4491" t="s">
        <v>94</v>
      </c>
      <c r="J4491" t="s">
        <v>95</v>
      </c>
      <c r="K4491">
        <v>0</v>
      </c>
    </row>
    <row r="4492" spans="9:11">
      <c r="I4492" t="s">
        <v>94</v>
      </c>
      <c r="J4492" t="s">
        <v>95</v>
      </c>
      <c r="K4492">
        <v>0</v>
      </c>
    </row>
    <row r="4493" spans="9:11">
      <c r="I4493" t="s">
        <v>94</v>
      </c>
      <c r="J4493" t="s">
        <v>95</v>
      </c>
      <c r="K4493">
        <v>0</v>
      </c>
    </row>
    <row r="4494" spans="9:11">
      <c r="I4494" t="s">
        <v>94</v>
      </c>
      <c r="J4494" t="s">
        <v>95</v>
      </c>
      <c r="K4494">
        <v>0</v>
      </c>
    </row>
    <row r="4495" spans="9:11">
      <c r="I4495" t="s">
        <v>94</v>
      </c>
      <c r="J4495" t="s">
        <v>95</v>
      </c>
      <c r="K4495">
        <v>0</v>
      </c>
    </row>
    <row r="4496" spans="9:11">
      <c r="I4496" t="s">
        <v>94</v>
      </c>
      <c r="J4496" t="s">
        <v>95</v>
      </c>
      <c r="K4496">
        <v>0</v>
      </c>
    </row>
    <row r="4497" spans="9:11">
      <c r="I4497" t="s">
        <v>91</v>
      </c>
      <c r="J4497" t="s">
        <v>92</v>
      </c>
      <c r="K4497">
        <v>0</v>
      </c>
    </row>
    <row r="4498" spans="9:11">
      <c r="I4498" t="s">
        <v>94</v>
      </c>
      <c r="J4498" t="s">
        <v>95</v>
      </c>
      <c r="K4498">
        <v>0</v>
      </c>
    </row>
    <row r="4499" spans="9:11">
      <c r="I4499" t="s">
        <v>91</v>
      </c>
      <c r="J4499" t="s">
        <v>92</v>
      </c>
      <c r="K4499">
        <v>0</v>
      </c>
    </row>
    <row r="4500" spans="9:11">
      <c r="I4500" t="s">
        <v>94</v>
      </c>
      <c r="J4500" t="s">
        <v>95</v>
      </c>
      <c r="K4500">
        <v>0</v>
      </c>
    </row>
    <row r="4501" spans="9:11">
      <c r="I4501" t="s">
        <v>94</v>
      </c>
      <c r="J4501" t="s">
        <v>95</v>
      </c>
      <c r="K4501">
        <v>0</v>
      </c>
    </row>
    <row r="4502" spans="9:11">
      <c r="I4502" t="s">
        <v>91</v>
      </c>
      <c r="J4502" t="s">
        <v>92</v>
      </c>
      <c r="K4502">
        <v>0</v>
      </c>
    </row>
    <row r="4503" spans="9:11">
      <c r="I4503" t="s">
        <v>94</v>
      </c>
      <c r="J4503" t="s">
        <v>95</v>
      </c>
      <c r="K4503">
        <v>0</v>
      </c>
    </row>
    <row r="4504" spans="9:11">
      <c r="I4504" t="s">
        <v>94</v>
      </c>
      <c r="J4504" t="s">
        <v>95</v>
      </c>
      <c r="K4504">
        <v>0</v>
      </c>
    </row>
    <row r="4505" spans="9:11">
      <c r="I4505" t="s">
        <v>94</v>
      </c>
      <c r="J4505" t="s">
        <v>95</v>
      </c>
      <c r="K4505">
        <v>1</v>
      </c>
    </row>
    <row r="4506" spans="9:11">
      <c r="I4506" t="s">
        <v>91</v>
      </c>
      <c r="J4506" t="s">
        <v>92</v>
      </c>
      <c r="K4506">
        <v>0</v>
      </c>
    </row>
    <row r="4507" spans="9:11">
      <c r="I4507" t="s">
        <v>94</v>
      </c>
      <c r="J4507" t="s">
        <v>95</v>
      </c>
      <c r="K4507">
        <v>0</v>
      </c>
    </row>
    <row r="4508" spans="9:11">
      <c r="I4508" t="s">
        <v>94</v>
      </c>
      <c r="J4508" t="s">
        <v>95</v>
      </c>
      <c r="K4508">
        <v>0</v>
      </c>
    </row>
    <row r="4509" spans="9:11">
      <c r="I4509" t="s">
        <v>91</v>
      </c>
      <c r="J4509" t="s">
        <v>92</v>
      </c>
      <c r="K4509">
        <v>0</v>
      </c>
    </row>
    <row r="4510" spans="9:11">
      <c r="I4510" t="s">
        <v>94</v>
      </c>
      <c r="J4510" t="s">
        <v>95</v>
      </c>
      <c r="K4510">
        <v>0</v>
      </c>
    </row>
    <row r="4511" spans="9:11">
      <c r="I4511" t="s">
        <v>91</v>
      </c>
      <c r="J4511" t="s">
        <v>92</v>
      </c>
      <c r="K4511">
        <v>0</v>
      </c>
    </row>
    <row r="4512" spans="9:11">
      <c r="I4512" t="s">
        <v>94</v>
      </c>
      <c r="J4512" t="s">
        <v>95</v>
      </c>
      <c r="K4512">
        <v>0</v>
      </c>
    </row>
    <row r="4513" spans="9:11">
      <c r="I4513" t="s">
        <v>91</v>
      </c>
      <c r="J4513" t="s">
        <v>92</v>
      </c>
      <c r="K4513">
        <v>0</v>
      </c>
    </row>
    <row r="4514" spans="9:11">
      <c r="I4514" t="s">
        <v>94</v>
      </c>
      <c r="J4514" t="s">
        <v>95</v>
      </c>
      <c r="K4514">
        <v>0</v>
      </c>
    </row>
    <row r="4515" spans="9:11">
      <c r="I4515" t="s">
        <v>94</v>
      </c>
      <c r="J4515" t="s">
        <v>95</v>
      </c>
      <c r="K4515">
        <v>0</v>
      </c>
    </row>
    <row r="4516" spans="9:11">
      <c r="I4516" t="s">
        <v>94</v>
      </c>
      <c r="J4516" t="s">
        <v>95</v>
      </c>
      <c r="K4516">
        <v>0</v>
      </c>
    </row>
    <row r="4517" spans="9:11">
      <c r="I4517" t="s">
        <v>94</v>
      </c>
      <c r="J4517" t="s">
        <v>95</v>
      </c>
      <c r="K4517">
        <v>0</v>
      </c>
    </row>
    <row r="4518" spans="9:11">
      <c r="I4518" t="s">
        <v>91</v>
      </c>
      <c r="J4518" t="s">
        <v>92</v>
      </c>
      <c r="K4518">
        <v>0</v>
      </c>
    </row>
    <row r="4519" spans="9:11">
      <c r="I4519" t="s">
        <v>91</v>
      </c>
      <c r="J4519" t="s">
        <v>92</v>
      </c>
      <c r="K4519">
        <v>0</v>
      </c>
    </row>
    <row r="4520" spans="9:11">
      <c r="I4520" t="s">
        <v>91</v>
      </c>
      <c r="J4520" t="s">
        <v>92</v>
      </c>
      <c r="K4520">
        <v>0</v>
      </c>
    </row>
    <row r="4521" spans="9:11">
      <c r="I4521" t="s">
        <v>91</v>
      </c>
      <c r="J4521" t="s">
        <v>92</v>
      </c>
      <c r="K4521">
        <v>1</v>
      </c>
    </row>
    <row r="4522" spans="9:11">
      <c r="I4522" t="s">
        <v>91</v>
      </c>
      <c r="J4522" t="s">
        <v>92</v>
      </c>
      <c r="K4522">
        <v>0</v>
      </c>
    </row>
    <row r="4523" spans="9:11">
      <c r="I4523" t="s">
        <v>94</v>
      </c>
      <c r="J4523" t="s">
        <v>95</v>
      </c>
      <c r="K4523">
        <v>0</v>
      </c>
    </row>
    <row r="4524" spans="9:11">
      <c r="I4524" t="s">
        <v>94</v>
      </c>
      <c r="J4524" t="s">
        <v>95</v>
      </c>
      <c r="K4524">
        <v>0</v>
      </c>
    </row>
    <row r="4525" spans="9:11">
      <c r="I4525" t="s">
        <v>91</v>
      </c>
      <c r="J4525" t="s">
        <v>92</v>
      </c>
      <c r="K4525">
        <v>1</v>
      </c>
    </row>
    <row r="4526" spans="9:11">
      <c r="I4526" t="s">
        <v>91</v>
      </c>
      <c r="J4526" t="s">
        <v>92</v>
      </c>
      <c r="K4526">
        <v>0</v>
      </c>
    </row>
    <row r="4527" spans="9:11">
      <c r="I4527" t="s">
        <v>91</v>
      </c>
      <c r="J4527" t="s">
        <v>92</v>
      </c>
      <c r="K4527">
        <v>0</v>
      </c>
    </row>
    <row r="4528" spans="9:11">
      <c r="I4528" t="s">
        <v>91</v>
      </c>
      <c r="J4528" t="s">
        <v>92</v>
      </c>
      <c r="K4528">
        <v>0</v>
      </c>
    </row>
    <row r="4529" spans="9:11">
      <c r="I4529" t="s">
        <v>91</v>
      </c>
      <c r="J4529" t="s">
        <v>92</v>
      </c>
      <c r="K4529">
        <v>0</v>
      </c>
    </row>
    <row r="4530" spans="9:11">
      <c r="I4530" t="s">
        <v>94</v>
      </c>
      <c r="J4530" t="s">
        <v>95</v>
      </c>
      <c r="K4530">
        <v>0</v>
      </c>
    </row>
    <row r="4531" spans="9:11">
      <c r="I4531" t="s">
        <v>91</v>
      </c>
      <c r="J4531" t="s">
        <v>92</v>
      </c>
      <c r="K4531">
        <v>0</v>
      </c>
    </row>
    <row r="4532" spans="9:11">
      <c r="I4532" t="s">
        <v>94</v>
      </c>
      <c r="J4532" t="s">
        <v>95</v>
      </c>
      <c r="K4532">
        <v>0</v>
      </c>
    </row>
    <row r="4533" spans="9:11">
      <c r="I4533" t="s">
        <v>91</v>
      </c>
      <c r="J4533" t="s">
        <v>92</v>
      </c>
      <c r="K4533">
        <v>0</v>
      </c>
    </row>
    <row r="4534" spans="9:11">
      <c r="I4534" t="s">
        <v>94</v>
      </c>
      <c r="J4534" t="s">
        <v>95</v>
      </c>
      <c r="K4534">
        <v>0</v>
      </c>
    </row>
    <row r="4535" spans="9:11">
      <c r="I4535" t="s">
        <v>91</v>
      </c>
      <c r="J4535" t="s">
        <v>92</v>
      </c>
      <c r="K4535">
        <v>1</v>
      </c>
    </row>
    <row r="4536" spans="9:11">
      <c r="I4536" t="s">
        <v>91</v>
      </c>
      <c r="J4536" t="s">
        <v>92</v>
      </c>
      <c r="K4536">
        <v>0</v>
      </c>
    </row>
    <row r="4537" spans="9:11">
      <c r="I4537" t="s">
        <v>94</v>
      </c>
      <c r="J4537" t="s">
        <v>95</v>
      </c>
      <c r="K4537">
        <v>0</v>
      </c>
    </row>
    <row r="4538" spans="9:11">
      <c r="I4538" t="s">
        <v>94</v>
      </c>
      <c r="J4538" t="s">
        <v>95</v>
      </c>
      <c r="K4538">
        <v>0</v>
      </c>
    </row>
    <row r="4539" spans="9:11">
      <c r="I4539" t="s">
        <v>91</v>
      </c>
      <c r="J4539" t="s">
        <v>92</v>
      </c>
      <c r="K4539">
        <v>0</v>
      </c>
    </row>
    <row r="4540" spans="9:11">
      <c r="I4540" t="s">
        <v>94</v>
      </c>
      <c r="J4540" t="s">
        <v>95</v>
      </c>
      <c r="K4540">
        <v>0</v>
      </c>
    </row>
    <row r="4541" spans="9:11">
      <c r="I4541" t="s">
        <v>91</v>
      </c>
      <c r="J4541" t="s">
        <v>92</v>
      </c>
      <c r="K4541">
        <v>0</v>
      </c>
    </row>
    <row r="4542" spans="9:11">
      <c r="I4542" t="s">
        <v>94</v>
      </c>
      <c r="J4542" t="s">
        <v>95</v>
      </c>
      <c r="K4542">
        <v>0</v>
      </c>
    </row>
    <row r="4543" spans="9:11">
      <c r="I4543" t="s">
        <v>94</v>
      </c>
      <c r="J4543" t="s">
        <v>95</v>
      </c>
      <c r="K4543">
        <v>0</v>
      </c>
    </row>
    <row r="4544" spans="9:11">
      <c r="I4544" t="s">
        <v>91</v>
      </c>
      <c r="J4544" t="s">
        <v>92</v>
      </c>
      <c r="K4544">
        <v>0</v>
      </c>
    </row>
    <row r="4545" spans="9:11">
      <c r="I4545" t="s">
        <v>91</v>
      </c>
      <c r="J4545" t="s">
        <v>92</v>
      </c>
      <c r="K4545">
        <v>0</v>
      </c>
    </row>
    <row r="4546" spans="9:11">
      <c r="I4546" t="s">
        <v>94</v>
      </c>
      <c r="J4546" t="s">
        <v>95</v>
      </c>
      <c r="K4546">
        <v>0</v>
      </c>
    </row>
    <row r="4547" spans="9:11">
      <c r="I4547" t="s">
        <v>94</v>
      </c>
      <c r="J4547" t="s">
        <v>95</v>
      </c>
      <c r="K4547">
        <v>0</v>
      </c>
    </row>
    <row r="4548" spans="9:11">
      <c r="I4548" t="s">
        <v>94</v>
      </c>
      <c r="J4548" t="s">
        <v>95</v>
      </c>
      <c r="K4548">
        <v>0</v>
      </c>
    </row>
    <row r="4549" spans="9:11">
      <c r="I4549" t="s">
        <v>94</v>
      </c>
      <c r="J4549" t="s">
        <v>95</v>
      </c>
      <c r="K4549">
        <v>0</v>
      </c>
    </row>
    <row r="4550" spans="9:11">
      <c r="I4550" t="s">
        <v>91</v>
      </c>
      <c r="J4550" t="s">
        <v>92</v>
      </c>
      <c r="K4550">
        <v>0</v>
      </c>
    </row>
    <row r="4551" spans="9:11">
      <c r="I4551" t="s">
        <v>91</v>
      </c>
      <c r="J4551" t="s">
        <v>92</v>
      </c>
      <c r="K4551">
        <v>0</v>
      </c>
    </row>
    <row r="4552" spans="9:11">
      <c r="I4552" t="s">
        <v>91</v>
      </c>
      <c r="J4552" t="s">
        <v>92</v>
      </c>
      <c r="K4552">
        <v>0</v>
      </c>
    </row>
    <row r="4553" spans="9:11">
      <c r="I4553" t="s">
        <v>91</v>
      </c>
      <c r="J4553" t="s">
        <v>92</v>
      </c>
      <c r="K4553">
        <v>0</v>
      </c>
    </row>
    <row r="4554" spans="9:11">
      <c r="I4554" t="s">
        <v>91</v>
      </c>
      <c r="J4554" t="s">
        <v>92</v>
      </c>
      <c r="K4554">
        <v>0</v>
      </c>
    </row>
    <row r="4555" spans="9:11">
      <c r="I4555" t="s">
        <v>94</v>
      </c>
      <c r="J4555" t="s">
        <v>95</v>
      </c>
      <c r="K4555">
        <v>1</v>
      </c>
    </row>
    <row r="4556" spans="9:11">
      <c r="I4556" t="s">
        <v>91</v>
      </c>
      <c r="J4556" t="s">
        <v>92</v>
      </c>
      <c r="K4556">
        <v>0</v>
      </c>
    </row>
    <row r="4557" spans="9:11">
      <c r="I4557" t="s">
        <v>94</v>
      </c>
      <c r="J4557" t="s">
        <v>95</v>
      </c>
      <c r="K4557">
        <v>0</v>
      </c>
    </row>
    <row r="4558" spans="9:11">
      <c r="I4558" t="s">
        <v>94</v>
      </c>
      <c r="J4558" t="s">
        <v>95</v>
      </c>
      <c r="K4558">
        <v>0</v>
      </c>
    </row>
    <row r="4559" spans="9:11">
      <c r="I4559" t="s">
        <v>94</v>
      </c>
      <c r="J4559" t="s">
        <v>95</v>
      </c>
      <c r="K4559">
        <v>0</v>
      </c>
    </row>
    <row r="4560" spans="9:11">
      <c r="I4560" t="s">
        <v>91</v>
      </c>
      <c r="J4560" t="s">
        <v>92</v>
      </c>
      <c r="K4560">
        <v>0</v>
      </c>
    </row>
    <row r="4561" spans="9:11">
      <c r="I4561" t="s">
        <v>91</v>
      </c>
      <c r="J4561" t="s">
        <v>92</v>
      </c>
      <c r="K4561">
        <v>0</v>
      </c>
    </row>
    <row r="4562" spans="9:11">
      <c r="I4562" t="s">
        <v>91</v>
      </c>
      <c r="J4562" t="s">
        <v>92</v>
      </c>
      <c r="K4562">
        <v>0</v>
      </c>
    </row>
    <row r="4563" spans="9:11">
      <c r="I4563" t="s">
        <v>94</v>
      </c>
      <c r="J4563" t="s">
        <v>95</v>
      </c>
      <c r="K4563">
        <v>0</v>
      </c>
    </row>
    <row r="4564" spans="9:11">
      <c r="I4564" t="s">
        <v>94</v>
      </c>
      <c r="J4564" t="s">
        <v>95</v>
      </c>
      <c r="K4564">
        <v>0</v>
      </c>
    </row>
    <row r="4565" spans="9:11">
      <c r="I4565" t="s">
        <v>91</v>
      </c>
      <c r="J4565" t="s">
        <v>92</v>
      </c>
      <c r="K4565">
        <v>0</v>
      </c>
    </row>
    <row r="4566" spans="9:11">
      <c r="I4566" t="s">
        <v>91</v>
      </c>
      <c r="J4566" t="s">
        <v>92</v>
      </c>
      <c r="K4566">
        <v>0</v>
      </c>
    </row>
    <row r="4567" spans="9:11">
      <c r="I4567" t="s">
        <v>91</v>
      </c>
      <c r="J4567" t="s">
        <v>92</v>
      </c>
      <c r="K4567">
        <v>0</v>
      </c>
    </row>
    <row r="4568" spans="9:11">
      <c r="I4568" t="s">
        <v>94</v>
      </c>
      <c r="J4568" t="s">
        <v>95</v>
      </c>
      <c r="K4568">
        <v>0</v>
      </c>
    </row>
    <row r="4569" spans="9:11">
      <c r="I4569" t="s">
        <v>91</v>
      </c>
      <c r="J4569" t="s">
        <v>92</v>
      </c>
      <c r="K4569">
        <v>0</v>
      </c>
    </row>
    <row r="4570" spans="9:11">
      <c r="I4570" t="s">
        <v>94</v>
      </c>
      <c r="J4570" t="s">
        <v>95</v>
      </c>
      <c r="K4570">
        <v>0</v>
      </c>
    </row>
    <row r="4571" spans="9:11">
      <c r="I4571" t="s">
        <v>91</v>
      </c>
      <c r="J4571" t="s">
        <v>92</v>
      </c>
      <c r="K4571">
        <v>0</v>
      </c>
    </row>
    <row r="4572" spans="9:11">
      <c r="I4572" t="s">
        <v>91</v>
      </c>
      <c r="J4572" t="s">
        <v>92</v>
      </c>
      <c r="K4572">
        <v>0</v>
      </c>
    </row>
    <row r="4573" spans="9:11">
      <c r="I4573" t="s">
        <v>94</v>
      </c>
      <c r="J4573" t="s">
        <v>95</v>
      </c>
      <c r="K4573">
        <v>0</v>
      </c>
    </row>
    <row r="4574" spans="9:11">
      <c r="I4574" t="s">
        <v>94</v>
      </c>
      <c r="J4574" t="s">
        <v>95</v>
      </c>
      <c r="K4574">
        <v>0</v>
      </c>
    </row>
    <row r="4575" spans="9:11">
      <c r="I4575" t="s">
        <v>94</v>
      </c>
      <c r="J4575" t="s">
        <v>95</v>
      </c>
      <c r="K4575">
        <v>0</v>
      </c>
    </row>
    <row r="4576" spans="9:11">
      <c r="I4576" t="s">
        <v>94</v>
      </c>
      <c r="J4576" t="s">
        <v>95</v>
      </c>
      <c r="K4576">
        <v>0</v>
      </c>
    </row>
    <row r="4577" spans="9:11">
      <c r="I4577" t="s">
        <v>94</v>
      </c>
      <c r="J4577" t="s">
        <v>95</v>
      </c>
      <c r="K4577">
        <v>0</v>
      </c>
    </row>
    <row r="4578" spans="9:11">
      <c r="I4578" t="s">
        <v>91</v>
      </c>
      <c r="J4578" t="s">
        <v>92</v>
      </c>
      <c r="K4578">
        <v>0</v>
      </c>
    </row>
    <row r="4579" spans="9:11">
      <c r="I4579" t="s">
        <v>91</v>
      </c>
      <c r="J4579" t="s">
        <v>92</v>
      </c>
      <c r="K4579">
        <v>0</v>
      </c>
    </row>
    <row r="4580" spans="9:11">
      <c r="I4580" t="s">
        <v>94</v>
      </c>
      <c r="J4580" t="s">
        <v>95</v>
      </c>
      <c r="K4580">
        <v>0</v>
      </c>
    </row>
    <row r="4581" spans="9:11">
      <c r="I4581" t="s">
        <v>94</v>
      </c>
      <c r="J4581" t="s">
        <v>95</v>
      </c>
      <c r="K4581">
        <v>0</v>
      </c>
    </row>
    <row r="4582" spans="9:11">
      <c r="I4582" t="s">
        <v>94</v>
      </c>
      <c r="J4582" t="s">
        <v>95</v>
      </c>
      <c r="K4582">
        <v>0</v>
      </c>
    </row>
    <row r="4583" spans="9:11">
      <c r="I4583" t="s">
        <v>91</v>
      </c>
      <c r="J4583" t="s">
        <v>92</v>
      </c>
      <c r="K4583">
        <v>0</v>
      </c>
    </row>
    <row r="4584" spans="9:11">
      <c r="I4584" t="s">
        <v>91</v>
      </c>
      <c r="J4584" t="s">
        <v>92</v>
      </c>
      <c r="K4584">
        <v>0</v>
      </c>
    </row>
    <row r="4585" spans="9:11">
      <c r="I4585" t="s">
        <v>91</v>
      </c>
      <c r="J4585" t="s">
        <v>92</v>
      </c>
      <c r="K4585">
        <v>0</v>
      </c>
    </row>
    <row r="4586" spans="9:11">
      <c r="I4586" t="s">
        <v>91</v>
      </c>
      <c r="J4586" t="s">
        <v>92</v>
      </c>
      <c r="K4586">
        <v>0</v>
      </c>
    </row>
    <row r="4587" spans="9:11">
      <c r="I4587" t="s">
        <v>94</v>
      </c>
      <c r="J4587" t="s">
        <v>95</v>
      </c>
      <c r="K4587">
        <v>0</v>
      </c>
    </row>
    <row r="4588" spans="9:11">
      <c r="I4588" t="s">
        <v>91</v>
      </c>
      <c r="J4588" t="s">
        <v>92</v>
      </c>
      <c r="K4588">
        <v>0</v>
      </c>
    </row>
    <row r="4589" spans="9:11">
      <c r="I4589" t="s">
        <v>94</v>
      </c>
      <c r="J4589" t="s">
        <v>95</v>
      </c>
      <c r="K4589">
        <v>0</v>
      </c>
    </row>
    <row r="4590" spans="9:11">
      <c r="I4590" t="s">
        <v>94</v>
      </c>
      <c r="J4590" t="s">
        <v>95</v>
      </c>
      <c r="K4590">
        <v>0</v>
      </c>
    </row>
    <row r="4591" spans="9:11">
      <c r="I4591" t="s">
        <v>91</v>
      </c>
      <c r="J4591" t="s">
        <v>92</v>
      </c>
      <c r="K4591">
        <v>0</v>
      </c>
    </row>
    <row r="4592" spans="9:11">
      <c r="I4592" t="s">
        <v>91</v>
      </c>
      <c r="J4592" t="s">
        <v>92</v>
      </c>
      <c r="K4592">
        <v>0</v>
      </c>
    </row>
    <row r="4593" spans="9:11">
      <c r="I4593" t="s">
        <v>91</v>
      </c>
      <c r="J4593" t="s">
        <v>92</v>
      </c>
      <c r="K4593">
        <v>0</v>
      </c>
    </row>
    <row r="4594" spans="9:11">
      <c r="I4594" t="s">
        <v>91</v>
      </c>
      <c r="J4594" t="s">
        <v>92</v>
      </c>
      <c r="K4594">
        <v>0</v>
      </c>
    </row>
    <row r="4595" spans="9:11">
      <c r="I4595" t="s">
        <v>91</v>
      </c>
      <c r="J4595" t="s">
        <v>92</v>
      </c>
      <c r="K4595">
        <v>1</v>
      </c>
    </row>
    <row r="4596" spans="9:11">
      <c r="I4596" t="s">
        <v>94</v>
      </c>
      <c r="J4596" t="s">
        <v>95</v>
      </c>
      <c r="K4596">
        <v>1</v>
      </c>
    </row>
    <row r="4597" spans="9:11">
      <c r="I4597" t="s">
        <v>91</v>
      </c>
      <c r="J4597" t="s">
        <v>92</v>
      </c>
      <c r="K4597">
        <v>0</v>
      </c>
    </row>
    <row r="4598" spans="9:11">
      <c r="I4598" t="s">
        <v>91</v>
      </c>
      <c r="J4598" t="s">
        <v>92</v>
      </c>
      <c r="K4598">
        <v>0</v>
      </c>
    </row>
    <row r="4599" spans="9:11">
      <c r="I4599" t="s">
        <v>94</v>
      </c>
      <c r="J4599" t="s">
        <v>95</v>
      </c>
      <c r="K4599">
        <v>0</v>
      </c>
    </row>
    <row r="4600" spans="9:11">
      <c r="I4600" t="s">
        <v>94</v>
      </c>
      <c r="J4600" t="s">
        <v>95</v>
      </c>
      <c r="K4600">
        <v>0</v>
      </c>
    </row>
    <row r="4601" spans="9:11">
      <c r="I4601" t="s">
        <v>91</v>
      </c>
      <c r="J4601" t="s">
        <v>92</v>
      </c>
      <c r="K4601">
        <v>0</v>
      </c>
    </row>
    <row r="4602" spans="9:11">
      <c r="I4602" t="s">
        <v>94</v>
      </c>
      <c r="J4602" t="s">
        <v>95</v>
      </c>
      <c r="K4602">
        <v>0</v>
      </c>
    </row>
    <row r="4603" spans="9:11">
      <c r="I4603" t="s">
        <v>91</v>
      </c>
      <c r="J4603" t="s">
        <v>92</v>
      </c>
      <c r="K4603">
        <v>0</v>
      </c>
    </row>
    <row r="4604" spans="9:11">
      <c r="I4604" t="s">
        <v>94</v>
      </c>
      <c r="J4604" t="s">
        <v>95</v>
      </c>
      <c r="K4604">
        <v>0</v>
      </c>
    </row>
    <row r="4605" spans="9:11">
      <c r="I4605" t="s">
        <v>94</v>
      </c>
      <c r="J4605" t="s">
        <v>95</v>
      </c>
      <c r="K4605">
        <v>0</v>
      </c>
    </row>
    <row r="4606" spans="9:11">
      <c r="I4606" t="s">
        <v>91</v>
      </c>
      <c r="J4606" t="s">
        <v>92</v>
      </c>
      <c r="K4606">
        <v>0</v>
      </c>
    </row>
    <row r="4607" spans="9:11">
      <c r="I4607" t="s">
        <v>94</v>
      </c>
      <c r="J4607" t="s">
        <v>95</v>
      </c>
      <c r="K4607">
        <v>0</v>
      </c>
    </row>
    <row r="4608" spans="9:11">
      <c r="I4608" t="s">
        <v>94</v>
      </c>
      <c r="J4608" t="s">
        <v>95</v>
      </c>
      <c r="K4608">
        <v>0</v>
      </c>
    </row>
    <row r="4609" spans="9:11">
      <c r="I4609" t="s">
        <v>94</v>
      </c>
      <c r="J4609" t="s">
        <v>95</v>
      </c>
      <c r="K4609">
        <v>0</v>
      </c>
    </row>
    <row r="4610" spans="9:11">
      <c r="I4610" t="s">
        <v>94</v>
      </c>
      <c r="J4610" t="s">
        <v>95</v>
      </c>
      <c r="K4610">
        <v>0</v>
      </c>
    </row>
    <row r="4611" spans="9:11">
      <c r="I4611" t="s">
        <v>91</v>
      </c>
      <c r="J4611" t="s">
        <v>92</v>
      </c>
      <c r="K4611">
        <v>0</v>
      </c>
    </row>
    <row r="4612" spans="9:11">
      <c r="I4612" t="s">
        <v>94</v>
      </c>
      <c r="J4612" t="s">
        <v>95</v>
      </c>
      <c r="K4612">
        <v>0</v>
      </c>
    </row>
    <row r="4613" spans="9:11">
      <c r="I4613" t="s">
        <v>94</v>
      </c>
      <c r="J4613" t="s">
        <v>95</v>
      </c>
      <c r="K4613">
        <v>0</v>
      </c>
    </row>
    <row r="4614" spans="9:11">
      <c r="I4614" t="s">
        <v>91</v>
      </c>
      <c r="J4614" t="s">
        <v>92</v>
      </c>
      <c r="K4614">
        <v>0</v>
      </c>
    </row>
    <row r="4615" spans="9:11">
      <c r="I4615" t="s">
        <v>91</v>
      </c>
      <c r="J4615" t="s">
        <v>92</v>
      </c>
      <c r="K4615">
        <v>0</v>
      </c>
    </row>
    <row r="4616" spans="9:11">
      <c r="I4616" t="s">
        <v>91</v>
      </c>
      <c r="J4616" t="s">
        <v>92</v>
      </c>
      <c r="K4616">
        <v>0</v>
      </c>
    </row>
    <row r="4617" spans="9:11">
      <c r="I4617" t="s">
        <v>94</v>
      </c>
      <c r="J4617" t="s">
        <v>95</v>
      </c>
      <c r="K4617">
        <v>0</v>
      </c>
    </row>
    <row r="4618" spans="9:11">
      <c r="I4618" t="s">
        <v>91</v>
      </c>
      <c r="J4618" t="s">
        <v>92</v>
      </c>
      <c r="K4618">
        <v>0</v>
      </c>
    </row>
    <row r="4619" spans="9:11">
      <c r="I4619" t="s">
        <v>94</v>
      </c>
      <c r="J4619" t="s">
        <v>95</v>
      </c>
      <c r="K4619">
        <v>0</v>
      </c>
    </row>
    <row r="4620" spans="9:11">
      <c r="I4620" t="s">
        <v>94</v>
      </c>
      <c r="J4620" t="s">
        <v>95</v>
      </c>
      <c r="K4620">
        <v>1</v>
      </c>
    </row>
    <row r="4621" spans="9:11">
      <c r="I4621" t="s">
        <v>94</v>
      </c>
      <c r="J4621" t="s">
        <v>95</v>
      </c>
      <c r="K4621">
        <v>0</v>
      </c>
    </row>
    <row r="4622" spans="9:11">
      <c r="I4622" t="s">
        <v>91</v>
      </c>
      <c r="J4622" t="s">
        <v>92</v>
      </c>
      <c r="K4622">
        <v>0</v>
      </c>
    </row>
    <row r="4623" spans="9:11">
      <c r="I4623" t="s">
        <v>94</v>
      </c>
      <c r="J4623" t="s">
        <v>95</v>
      </c>
      <c r="K4623">
        <v>0</v>
      </c>
    </row>
    <row r="4624" spans="9:11">
      <c r="I4624" t="s">
        <v>94</v>
      </c>
      <c r="J4624" t="s">
        <v>95</v>
      </c>
      <c r="K4624">
        <v>0</v>
      </c>
    </row>
    <row r="4625" spans="9:11">
      <c r="I4625" t="s">
        <v>94</v>
      </c>
      <c r="J4625" t="s">
        <v>95</v>
      </c>
      <c r="K4625">
        <v>0</v>
      </c>
    </row>
    <row r="4626" spans="9:11">
      <c r="I4626" t="s">
        <v>94</v>
      </c>
      <c r="J4626" t="s">
        <v>95</v>
      </c>
      <c r="K4626">
        <v>0</v>
      </c>
    </row>
    <row r="4627" spans="9:11">
      <c r="I4627" t="s">
        <v>91</v>
      </c>
      <c r="J4627" t="s">
        <v>92</v>
      </c>
      <c r="K4627">
        <v>0</v>
      </c>
    </row>
    <row r="4628" spans="9:11">
      <c r="I4628" t="s">
        <v>94</v>
      </c>
      <c r="J4628" t="s">
        <v>95</v>
      </c>
      <c r="K4628">
        <v>0</v>
      </c>
    </row>
    <row r="4629" spans="9:11">
      <c r="I4629" t="s">
        <v>91</v>
      </c>
      <c r="J4629" t="s">
        <v>92</v>
      </c>
      <c r="K4629">
        <v>0</v>
      </c>
    </row>
    <row r="4630" spans="9:11">
      <c r="I4630" t="s">
        <v>91</v>
      </c>
      <c r="J4630" t="s">
        <v>92</v>
      </c>
      <c r="K4630">
        <v>0</v>
      </c>
    </row>
    <row r="4631" spans="9:11">
      <c r="I4631" t="s">
        <v>94</v>
      </c>
      <c r="J4631" t="s">
        <v>95</v>
      </c>
      <c r="K4631">
        <v>0</v>
      </c>
    </row>
    <row r="4632" spans="9:11">
      <c r="I4632" t="s">
        <v>91</v>
      </c>
      <c r="J4632" t="s">
        <v>92</v>
      </c>
      <c r="K4632">
        <v>0</v>
      </c>
    </row>
    <row r="4633" spans="9:11">
      <c r="I4633" t="s">
        <v>91</v>
      </c>
      <c r="J4633" t="s">
        <v>92</v>
      </c>
      <c r="K4633">
        <v>0</v>
      </c>
    </row>
    <row r="4634" spans="9:11">
      <c r="I4634" t="s">
        <v>94</v>
      </c>
      <c r="J4634" t="s">
        <v>95</v>
      </c>
      <c r="K4634">
        <v>0</v>
      </c>
    </row>
    <row r="4635" spans="9:11">
      <c r="I4635" t="s">
        <v>91</v>
      </c>
      <c r="J4635" t="s">
        <v>92</v>
      </c>
      <c r="K4635">
        <v>0</v>
      </c>
    </row>
    <row r="4636" spans="9:11">
      <c r="I4636" t="s">
        <v>94</v>
      </c>
      <c r="J4636" t="s">
        <v>95</v>
      </c>
      <c r="K4636">
        <v>0</v>
      </c>
    </row>
    <row r="4637" spans="9:11">
      <c r="I4637" t="s">
        <v>91</v>
      </c>
      <c r="J4637" t="s">
        <v>92</v>
      </c>
      <c r="K4637">
        <v>0</v>
      </c>
    </row>
    <row r="4638" spans="9:11">
      <c r="I4638" t="s">
        <v>94</v>
      </c>
      <c r="J4638" t="s">
        <v>95</v>
      </c>
      <c r="K4638">
        <v>0</v>
      </c>
    </row>
    <row r="4639" spans="9:11">
      <c r="I4639" t="s">
        <v>91</v>
      </c>
      <c r="J4639" t="s">
        <v>92</v>
      </c>
      <c r="K4639">
        <v>0</v>
      </c>
    </row>
    <row r="4640" spans="9:11">
      <c r="I4640" t="s">
        <v>94</v>
      </c>
      <c r="J4640" t="s">
        <v>95</v>
      </c>
      <c r="K4640">
        <v>0</v>
      </c>
    </row>
    <row r="4641" spans="9:11">
      <c r="I4641" t="s">
        <v>91</v>
      </c>
      <c r="J4641" t="s">
        <v>92</v>
      </c>
      <c r="K4641">
        <v>0</v>
      </c>
    </row>
    <row r="4642" spans="9:11">
      <c r="I4642" t="s">
        <v>91</v>
      </c>
      <c r="J4642" t="s">
        <v>92</v>
      </c>
      <c r="K4642">
        <v>0</v>
      </c>
    </row>
    <row r="4643" spans="9:11">
      <c r="I4643" t="s">
        <v>91</v>
      </c>
      <c r="J4643" t="s">
        <v>92</v>
      </c>
      <c r="K4643">
        <v>0</v>
      </c>
    </row>
    <row r="4644" spans="9:11">
      <c r="I4644" t="s">
        <v>94</v>
      </c>
      <c r="J4644" t="s">
        <v>95</v>
      </c>
      <c r="K4644">
        <v>0</v>
      </c>
    </row>
    <row r="4645" spans="9:11">
      <c r="I4645" t="s">
        <v>94</v>
      </c>
      <c r="J4645" t="s">
        <v>95</v>
      </c>
      <c r="K4645">
        <v>0</v>
      </c>
    </row>
    <row r="4646" spans="9:11">
      <c r="I4646" t="s">
        <v>94</v>
      </c>
      <c r="J4646" t="s">
        <v>95</v>
      </c>
      <c r="K4646">
        <v>0</v>
      </c>
    </row>
    <row r="4647" spans="9:11">
      <c r="I4647" t="s">
        <v>91</v>
      </c>
      <c r="J4647" t="s">
        <v>92</v>
      </c>
      <c r="K4647">
        <v>0</v>
      </c>
    </row>
    <row r="4648" spans="9:11">
      <c r="I4648" t="s">
        <v>94</v>
      </c>
      <c r="J4648" t="s">
        <v>95</v>
      </c>
      <c r="K4648">
        <v>0</v>
      </c>
    </row>
    <row r="4649" spans="9:11">
      <c r="I4649" t="s">
        <v>94</v>
      </c>
      <c r="J4649" t="s">
        <v>95</v>
      </c>
      <c r="K4649">
        <v>0</v>
      </c>
    </row>
    <row r="4650" spans="9:11">
      <c r="I4650" t="s">
        <v>91</v>
      </c>
      <c r="J4650" t="s">
        <v>92</v>
      </c>
      <c r="K4650">
        <v>1</v>
      </c>
    </row>
    <row r="4651" spans="9:11">
      <c r="I4651" t="s">
        <v>94</v>
      </c>
      <c r="J4651" t="s">
        <v>95</v>
      </c>
      <c r="K4651">
        <v>0</v>
      </c>
    </row>
    <row r="4652" spans="9:11">
      <c r="I4652" t="s">
        <v>94</v>
      </c>
      <c r="J4652" t="s">
        <v>95</v>
      </c>
      <c r="K4652">
        <v>0</v>
      </c>
    </row>
    <row r="4653" spans="9:11">
      <c r="I4653" t="s">
        <v>94</v>
      </c>
      <c r="J4653" t="s">
        <v>95</v>
      </c>
      <c r="K4653">
        <v>0</v>
      </c>
    </row>
    <row r="4654" spans="9:11">
      <c r="I4654" t="s">
        <v>91</v>
      </c>
      <c r="J4654" t="s">
        <v>92</v>
      </c>
      <c r="K4654">
        <v>0</v>
      </c>
    </row>
    <row r="4655" spans="9:11">
      <c r="I4655" t="s">
        <v>91</v>
      </c>
      <c r="J4655" t="s">
        <v>92</v>
      </c>
      <c r="K4655">
        <v>0</v>
      </c>
    </row>
    <row r="4656" spans="9:11">
      <c r="I4656" t="s">
        <v>91</v>
      </c>
      <c r="J4656" t="s">
        <v>92</v>
      </c>
      <c r="K4656">
        <v>0</v>
      </c>
    </row>
    <row r="4657" spans="9:11">
      <c r="I4657" t="s">
        <v>91</v>
      </c>
      <c r="J4657" t="s">
        <v>92</v>
      </c>
      <c r="K4657">
        <v>0</v>
      </c>
    </row>
    <row r="4658" spans="9:11">
      <c r="I4658" t="s">
        <v>91</v>
      </c>
      <c r="J4658" t="s">
        <v>92</v>
      </c>
      <c r="K4658">
        <v>0</v>
      </c>
    </row>
    <row r="4659" spans="9:11">
      <c r="I4659" t="s">
        <v>94</v>
      </c>
      <c r="J4659" t="s">
        <v>95</v>
      </c>
      <c r="K4659">
        <v>0</v>
      </c>
    </row>
    <row r="4660" spans="9:11">
      <c r="I4660" t="s">
        <v>91</v>
      </c>
      <c r="J4660" t="s">
        <v>92</v>
      </c>
      <c r="K4660">
        <v>0</v>
      </c>
    </row>
    <row r="4661" spans="9:11">
      <c r="I4661" t="s">
        <v>91</v>
      </c>
      <c r="J4661" t="s">
        <v>92</v>
      </c>
      <c r="K4661">
        <v>0</v>
      </c>
    </row>
    <row r="4662" spans="9:11">
      <c r="I4662" t="s">
        <v>91</v>
      </c>
      <c r="J4662" t="s">
        <v>92</v>
      </c>
      <c r="K4662">
        <v>0</v>
      </c>
    </row>
    <row r="4663" spans="9:11">
      <c r="I4663" t="s">
        <v>91</v>
      </c>
      <c r="J4663" t="s">
        <v>92</v>
      </c>
      <c r="K4663">
        <v>0</v>
      </c>
    </row>
    <row r="4664" spans="9:11">
      <c r="I4664" t="s">
        <v>94</v>
      </c>
      <c r="J4664" t="s">
        <v>95</v>
      </c>
      <c r="K4664">
        <v>0</v>
      </c>
    </row>
    <row r="4665" spans="9:11">
      <c r="I4665" t="s">
        <v>91</v>
      </c>
      <c r="J4665" t="s">
        <v>92</v>
      </c>
      <c r="K4665">
        <v>0</v>
      </c>
    </row>
    <row r="4666" spans="9:11">
      <c r="I4666" t="s">
        <v>94</v>
      </c>
      <c r="J4666" t="s">
        <v>95</v>
      </c>
      <c r="K4666">
        <v>0</v>
      </c>
    </row>
    <row r="4667" spans="9:11">
      <c r="I4667" t="s">
        <v>91</v>
      </c>
      <c r="J4667" t="s">
        <v>92</v>
      </c>
      <c r="K4667">
        <v>0</v>
      </c>
    </row>
    <row r="4668" spans="9:11">
      <c r="I4668" t="s">
        <v>91</v>
      </c>
      <c r="J4668" t="s">
        <v>92</v>
      </c>
      <c r="K4668">
        <v>0</v>
      </c>
    </row>
    <row r="4669" spans="9:11">
      <c r="I4669" t="s">
        <v>94</v>
      </c>
      <c r="J4669" t="s">
        <v>95</v>
      </c>
      <c r="K4669">
        <v>0</v>
      </c>
    </row>
    <row r="4670" spans="9:11">
      <c r="I4670" t="s">
        <v>94</v>
      </c>
      <c r="J4670" t="s">
        <v>95</v>
      </c>
      <c r="K4670">
        <v>0</v>
      </c>
    </row>
    <row r="4671" spans="9:11">
      <c r="I4671" t="s">
        <v>91</v>
      </c>
      <c r="J4671" t="s">
        <v>92</v>
      </c>
      <c r="K4671">
        <v>0</v>
      </c>
    </row>
    <row r="4672" spans="9:11">
      <c r="I4672" t="s">
        <v>94</v>
      </c>
      <c r="J4672" t="s">
        <v>95</v>
      </c>
      <c r="K4672">
        <v>0</v>
      </c>
    </row>
    <row r="4673" spans="9:11">
      <c r="I4673" t="s">
        <v>91</v>
      </c>
      <c r="J4673" t="s">
        <v>92</v>
      </c>
      <c r="K4673">
        <v>0</v>
      </c>
    </row>
    <row r="4674" spans="9:11">
      <c r="I4674" t="s">
        <v>91</v>
      </c>
      <c r="J4674" t="s">
        <v>92</v>
      </c>
      <c r="K4674">
        <v>0</v>
      </c>
    </row>
    <row r="4675" spans="9:11">
      <c r="I4675" t="s">
        <v>94</v>
      </c>
      <c r="J4675" t="s">
        <v>95</v>
      </c>
      <c r="K4675">
        <v>0</v>
      </c>
    </row>
    <row r="4676" spans="9:11">
      <c r="I4676" t="s">
        <v>91</v>
      </c>
      <c r="J4676" t="s">
        <v>92</v>
      </c>
      <c r="K4676">
        <v>0</v>
      </c>
    </row>
    <row r="4677" spans="9:11">
      <c r="I4677" t="s">
        <v>94</v>
      </c>
      <c r="J4677" t="s">
        <v>95</v>
      </c>
      <c r="K4677">
        <v>0</v>
      </c>
    </row>
    <row r="4678" spans="9:11">
      <c r="I4678" t="s">
        <v>91</v>
      </c>
      <c r="J4678" t="s">
        <v>92</v>
      </c>
      <c r="K4678">
        <v>0</v>
      </c>
    </row>
    <row r="4679" spans="9:11">
      <c r="I4679" t="s">
        <v>91</v>
      </c>
      <c r="J4679" t="s">
        <v>92</v>
      </c>
      <c r="K4679">
        <v>0</v>
      </c>
    </row>
    <row r="4680" spans="9:11">
      <c r="I4680" t="s">
        <v>94</v>
      </c>
      <c r="J4680" t="s">
        <v>95</v>
      </c>
      <c r="K4680">
        <v>0</v>
      </c>
    </row>
    <row r="4681" spans="9:11">
      <c r="I4681" t="s">
        <v>91</v>
      </c>
      <c r="J4681" t="s">
        <v>92</v>
      </c>
      <c r="K4681">
        <v>0</v>
      </c>
    </row>
    <row r="4682" spans="9:11">
      <c r="I4682" t="s">
        <v>91</v>
      </c>
      <c r="J4682" t="s">
        <v>92</v>
      </c>
      <c r="K4682">
        <v>0</v>
      </c>
    </row>
    <row r="4683" spans="9:11">
      <c r="I4683" t="s">
        <v>91</v>
      </c>
      <c r="J4683" t="s">
        <v>92</v>
      </c>
      <c r="K4683">
        <v>0</v>
      </c>
    </row>
    <row r="4684" spans="9:11">
      <c r="I4684" t="s">
        <v>91</v>
      </c>
      <c r="J4684" t="s">
        <v>92</v>
      </c>
      <c r="K4684">
        <v>0</v>
      </c>
    </row>
    <row r="4685" spans="9:11">
      <c r="I4685" t="s">
        <v>94</v>
      </c>
      <c r="J4685" t="s">
        <v>95</v>
      </c>
      <c r="K4685">
        <v>0</v>
      </c>
    </row>
    <row r="4686" spans="9:11">
      <c r="I4686" t="s">
        <v>91</v>
      </c>
      <c r="J4686" t="s">
        <v>92</v>
      </c>
      <c r="K4686">
        <v>0</v>
      </c>
    </row>
    <row r="4687" spans="9:11">
      <c r="I4687" t="s">
        <v>94</v>
      </c>
      <c r="J4687" t="s">
        <v>95</v>
      </c>
      <c r="K4687">
        <v>0</v>
      </c>
    </row>
    <row r="4688" spans="9:11">
      <c r="I4688" t="s">
        <v>94</v>
      </c>
      <c r="J4688" t="s">
        <v>95</v>
      </c>
      <c r="K4688">
        <v>0</v>
      </c>
    </row>
    <row r="4689" spans="9:11">
      <c r="I4689" t="s">
        <v>94</v>
      </c>
      <c r="J4689" t="s">
        <v>95</v>
      </c>
      <c r="K4689">
        <v>0</v>
      </c>
    </row>
    <row r="4690" spans="9:11">
      <c r="I4690" t="s">
        <v>94</v>
      </c>
      <c r="J4690" t="s">
        <v>95</v>
      </c>
      <c r="K4690">
        <v>0</v>
      </c>
    </row>
    <row r="4691" spans="9:11">
      <c r="I4691" t="s">
        <v>91</v>
      </c>
      <c r="J4691" t="s">
        <v>92</v>
      </c>
      <c r="K4691">
        <v>0</v>
      </c>
    </row>
    <row r="4692" spans="9:11">
      <c r="I4692" t="s">
        <v>94</v>
      </c>
      <c r="J4692" t="s">
        <v>95</v>
      </c>
      <c r="K4692">
        <v>0</v>
      </c>
    </row>
    <row r="4693" spans="9:11">
      <c r="I4693" t="s">
        <v>94</v>
      </c>
      <c r="J4693" t="s">
        <v>95</v>
      </c>
      <c r="K4693">
        <v>0</v>
      </c>
    </row>
    <row r="4694" spans="9:11">
      <c r="I4694" t="s">
        <v>94</v>
      </c>
      <c r="J4694" t="s">
        <v>95</v>
      </c>
      <c r="K4694">
        <v>0</v>
      </c>
    </row>
    <row r="4695" spans="9:11">
      <c r="I4695" t="s">
        <v>91</v>
      </c>
      <c r="J4695" t="s">
        <v>92</v>
      </c>
      <c r="K4695">
        <v>0</v>
      </c>
    </row>
    <row r="4696" spans="9:11">
      <c r="I4696" t="s">
        <v>91</v>
      </c>
      <c r="J4696" t="s">
        <v>92</v>
      </c>
      <c r="K4696">
        <v>0</v>
      </c>
    </row>
    <row r="4697" spans="9:11">
      <c r="I4697" t="s">
        <v>94</v>
      </c>
      <c r="J4697" t="s">
        <v>95</v>
      </c>
      <c r="K4697">
        <v>0</v>
      </c>
    </row>
    <row r="4698" spans="9:11">
      <c r="I4698" t="s">
        <v>91</v>
      </c>
      <c r="J4698" t="s">
        <v>92</v>
      </c>
      <c r="K4698">
        <v>0</v>
      </c>
    </row>
    <row r="4699" spans="9:11">
      <c r="I4699" t="s">
        <v>94</v>
      </c>
      <c r="J4699" t="s">
        <v>95</v>
      </c>
      <c r="K4699">
        <v>0</v>
      </c>
    </row>
    <row r="4700" spans="9:11">
      <c r="I4700" t="s">
        <v>94</v>
      </c>
      <c r="J4700" t="s">
        <v>95</v>
      </c>
      <c r="K4700">
        <v>0</v>
      </c>
    </row>
    <row r="4701" spans="9:11">
      <c r="I4701" t="s">
        <v>94</v>
      </c>
      <c r="J4701" t="s">
        <v>95</v>
      </c>
      <c r="K4701">
        <v>0</v>
      </c>
    </row>
    <row r="4702" spans="9:11">
      <c r="I4702" t="s">
        <v>91</v>
      </c>
      <c r="J4702" t="s">
        <v>92</v>
      </c>
      <c r="K4702">
        <v>0</v>
      </c>
    </row>
    <row r="4703" spans="9:11">
      <c r="I4703" t="s">
        <v>91</v>
      </c>
      <c r="J4703" t="s">
        <v>92</v>
      </c>
      <c r="K4703">
        <v>0</v>
      </c>
    </row>
    <row r="4704" spans="9:11">
      <c r="I4704" t="s">
        <v>94</v>
      </c>
      <c r="J4704" t="s">
        <v>95</v>
      </c>
      <c r="K4704">
        <v>0</v>
      </c>
    </row>
    <row r="4705" spans="9:11">
      <c r="I4705" t="s">
        <v>91</v>
      </c>
      <c r="J4705" t="s">
        <v>92</v>
      </c>
      <c r="K4705">
        <v>0</v>
      </c>
    </row>
    <row r="4706" spans="9:11">
      <c r="I4706" t="s">
        <v>94</v>
      </c>
      <c r="J4706" t="s">
        <v>95</v>
      </c>
      <c r="K4706">
        <v>0</v>
      </c>
    </row>
    <row r="4707" spans="9:11">
      <c r="I4707" t="s">
        <v>91</v>
      </c>
      <c r="J4707" t="s">
        <v>92</v>
      </c>
      <c r="K4707">
        <v>0</v>
      </c>
    </row>
    <row r="4708" spans="9:11">
      <c r="I4708" t="s">
        <v>91</v>
      </c>
      <c r="J4708" t="s">
        <v>92</v>
      </c>
      <c r="K4708">
        <v>0</v>
      </c>
    </row>
    <row r="4709" spans="9:11">
      <c r="I4709" t="s">
        <v>94</v>
      </c>
      <c r="J4709" t="s">
        <v>95</v>
      </c>
      <c r="K4709">
        <v>0</v>
      </c>
    </row>
    <row r="4710" spans="9:11">
      <c r="I4710" t="s">
        <v>91</v>
      </c>
      <c r="J4710" t="s">
        <v>92</v>
      </c>
      <c r="K4710">
        <v>0</v>
      </c>
    </row>
    <row r="4711" spans="9:11">
      <c r="I4711" t="s">
        <v>94</v>
      </c>
      <c r="J4711" t="s">
        <v>95</v>
      </c>
      <c r="K4711">
        <v>0</v>
      </c>
    </row>
    <row r="4712" spans="9:11">
      <c r="I4712" t="s">
        <v>91</v>
      </c>
      <c r="J4712" t="s">
        <v>92</v>
      </c>
      <c r="K4712">
        <v>0</v>
      </c>
    </row>
    <row r="4713" spans="9:11">
      <c r="I4713" t="s">
        <v>94</v>
      </c>
      <c r="J4713" t="s">
        <v>95</v>
      </c>
      <c r="K4713">
        <v>0</v>
      </c>
    </row>
    <row r="4714" spans="9:11">
      <c r="I4714" t="s">
        <v>94</v>
      </c>
      <c r="J4714" t="s">
        <v>95</v>
      </c>
      <c r="K4714">
        <v>0</v>
      </c>
    </row>
    <row r="4715" spans="9:11">
      <c r="I4715" t="s">
        <v>91</v>
      </c>
      <c r="J4715" t="s">
        <v>92</v>
      </c>
      <c r="K4715">
        <v>0</v>
      </c>
    </row>
    <row r="4716" spans="9:11">
      <c r="I4716" t="s">
        <v>91</v>
      </c>
      <c r="J4716" t="s">
        <v>92</v>
      </c>
      <c r="K4716">
        <v>1</v>
      </c>
    </row>
    <row r="4717" spans="9:11">
      <c r="I4717" t="s">
        <v>91</v>
      </c>
      <c r="J4717" t="s">
        <v>92</v>
      </c>
      <c r="K4717">
        <v>0</v>
      </c>
    </row>
    <row r="4718" spans="9:11">
      <c r="I4718" t="s">
        <v>94</v>
      </c>
      <c r="J4718" t="s">
        <v>95</v>
      </c>
      <c r="K4718">
        <v>0</v>
      </c>
    </row>
    <row r="4719" spans="9:11">
      <c r="I4719" t="s">
        <v>94</v>
      </c>
      <c r="J4719" t="s">
        <v>95</v>
      </c>
      <c r="K4719">
        <v>0</v>
      </c>
    </row>
    <row r="4720" spans="9:11">
      <c r="I4720" t="s">
        <v>94</v>
      </c>
      <c r="J4720" t="s">
        <v>95</v>
      </c>
      <c r="K4720">
        <v>0</v>
      </c>
    </row>
    <row r="4721" spans="9:11">
      <c r="I4721" t="s">
        <v>94</v>
      </c>
      <c r="J4721" t="s">
        <v>95</v>
      </c>
      <c r="K4721">
        <v>0</v>
      </c>
    </row>
    <row r="4722" spans="9:11">
      <c r="I4722" t="s">
        <v>94</v>
      </c>
      <c r="J4722" t="s">
        <v>95</v>
      </c>
      <c r="K4722">
        <v>0</v>
      </c>
    </row>
    <row r="4723" spans="9:11">
      <c r="I4723" t="s">
        <v>94</v>
      </c>
      <c r="J4723" t="s">
        <v>95</v>
      </c>
      <c r="K4723">
        <v>1</v>
      </c>
    </row>
    <row r="4724" spans="9:11">
      <c r="I4724" t="s">
        <v>94</v>
      </c>
      <c r="J4724" t="s">
        <v>95</v>
      </c>
      <c r="K4724">
        <v>0</v>
      </c>
    </row>
    <row r="4725" spans="9:11">
      <c r="I4725" t="s">
        <v>91</v>
      </c>
      <c r="J4725" t="s">
        <v>92</v>
      </c>
      <c r="K4725">
        <v>0</v>
      </c>
    </row>
    <row r="4726" spans="9:11">
      <c r="I4726" t="s">
        <v>94</v>
      </c>
      <c r="J4726" t="s">
        <v>95</v>
      </c>
      <c r="K4726">
        <v>0</v>
      </c>
    </row>
    <row r="4727" spans="9:11">
      <c r="I4727" t="s">
        <v>94</v>
      </c>
      <c r="J4727" t="s">
        <v>95</v>
      </c>
      <c r="K4727">
        <v>0</v>
      </c>
    </row>
    <row r="4728" spans="9:11">
      <c r="I4728" t="s">
        <v>94</v>
      </c>
      <c r="J4728" t="s">
        <v>95</v>
      </c>
      <c r="K4728">
        <v>0</v>
      </c>
    </row>
    <row r="4729" spans="9:11">
      <c r="I4729" t="s">
        <v>91</v>
      </c>
      <c r="J4729" t="s">
        <v>92</v>
      </c>
      <c r="K4729">
        <v>0</v>
      </c>
    </row>
    <row r="4730" spans="9:11">
      <c r="I4730" t="s">
        <v>91</v>
      </c>
      <c r="J4730" t="s">
        <v>92</v>
      </c>
      <c r="K4730">
        <v>0</v>
      </c>
    </row>
    <row r="4731" spans="9:11">
      <c r="I4731" t="s">
        <v>94</v>
      </c>
      <c r="J4731" t="s">
        <v>95</v>
      </c>
      <c r="K4731">
        <v>0</v>
      </c>
    </row>
    <row r="4732" spans="9:11">
      <c r="I4732" t="s">
        <v>94</v>
      </c>
      <c r="J4732" t="s">
        <v>95</v>
      </c>
      <c r="K4732">
        <v>0</v>
      </c>
    </row>
    <row r="4733" spans="9:11">
      <c r="I4733" t="s">
        <v>94</v>
      </c>
      <c r="J4733" t="s">
        <v>95</v>
      </c>
      <c r="K4733">
        <v>0</v>
      </c>
    </row>
    <row r="4734" spans="9:11">
      <c r="I4734" t="s">
        <v>91</v>
      </c>
      <c r="J4734" t="s">
        <v>92</v>
      </c>
      <c r="K4734">
        <v>0</v>
      </c>
    </row>
    <row r="4735" spans="9:11">
      <c r="I4735" t="s">
        <v>91</v>
      </c>
      <c r="J4735" t="s">
        <v>92</v>
      </c>
      <c r="K4735">
        <v>0</v>
      </c>
    </row>
    <row r="4736" spans="9:11">
      <c r="I4736" t="s">
        <v>91</v>
      </c>
      <c r="J4736" t="s">
        <v>92</v>
      </c>
      <c r="K4736">
        <v>0</v>
      </c>
    </row>
    <row r="4737" spans="9:11">
      <c r="I4737" t="s">
        <v>94</v>
      </c>
      <c r="J4737" t="s">
        <v>95</v>
      </c>
      <c r="K4737">
        <v>0</v>
      </c>
    </row>
    <row r="4738" spans="9:11">
      <c r="I4738" t="s">
        <v>94</v>
      </c>
      <c r="J4738" t="s">
        <v>95</v>
      </c>
      <c r="K4738">
        <v>0</v>
      </c>
    </row>
    <row r="4739" spans="9:11">
      <c r="I4739" t="s">
        <v>91</v>
      </c>
      <c r="J4739" t="s">
        <v>92</v>
      </c>
      <c r="K4739">
        <v>0</v>
      </c>
    </row>
    <row r="4740" spans="9:11">
      <c r="I4740" t="s">
        <v>94</v>
      </c>
      <c r="J4740" t="s">
        <v>95</v>
      </c>
      <c r="K4740">
        <v>0</v>
      </c>
    </row>
    <row r="4741" spans="9:11">
      <c r="I4741" t="s">
        <v>94</v>
      </c>
      <c r="J4741" t="s">
        <v>95</v>
      </c>
      <c r="K4741">
        <v>0</v>
      </c>
    </row>
    <row r="4742" spans="9:11">
      <c r="I4742" t="s">
        <v>91</v>
      </c>
      <c r="J4742" t="s">
        <v>92</v>
      </c>
      <c r="K4742">
        <v>0</v>
      </c>
    </row>
    <row r="4743" spans="9:11">
      <c r="I4743" t="s">
        <v>91</v>
      </c>
      <c r="J4743" t="s">
        <v>92</v>
      </c>
      <c r="K4743">
        <v>0</v>
      </c>
    </row>
    <row r="4744" spans="9:11">
      <c r="I4744" t="s">
        <v>94</v>
      </c>
      <c r="J4744" t="s">
        <v>95</v>
      </c>
      <c r="K4744">
        <v>0</v>
      </c>
    </row>
    <row r="4745" spans="9:11">
      <c r="I4745" t="s">
        <v>91</v>
      </c>
      <c r="J4745" t="s">
        <v>92</v>
      </c>
      <c r="K4745">
        <v>0</v>
      </c>
    </row>
    <row r="4746" spans="9:11">
      <c r="I4746" t="s">
        <v>91</v>
      </c>
      <c r="J4746" t="s">
        <v>92</v>
      </c>
      <c r="K4746">
        <v>0</v>
      </c>
    </row>
    <row r="4747" spans="9:11">
      <c r="I4747" t="s">
        <v>94</v>
      </c>
      <c r="J4747" t="s">
        <v>95</v>
      </c>
      <c r="K4747">
        <v>0</v>
      </c>
    </row>
    <row r="4748" spans="9:11">
      <c r="I4748" t="s">
        <v>94</v>
      </c>
      <c r="J4748" t="s">
        <v>95</v>
      </c>
      <c r="K4748">
        <v>0</v>
      </c>
    </row>
    <row r="4749" spans="9:11">
      <c r="I4749" t="s">
        <v>91</v>
      </c>
      <c r="J4749" t="s">
        <v>92</v>
      </c>
      <c r="K4749">
        <v>0</v>
      </c>
    </row>
    <row r="4750" spans="9:11">
      <c r="I4750" t="s">
        <v>94</v>
      </c>
      <c r="J4750" t="s">
        <v>95</v>
      </c>
      <c r="K4750">
        <v>0</v>
      </c>
    </row>
    <row r="4751" spans="9:11">
      <c r="I4751" t="s">
        <v>94</v>
      </c>
      <c r="J4751" t="s">
        <v>95</v>
      </c>
      <c r="K4751">
        <v>0</v>
      </c>
    </row>
    <row r="4752" spans="9:11">
      <c r="I4752" t="s">
        <v>91</v>
      </c>
      <c r="J4752" t="s">
        <v>92</v>
      </c>
      <c r="K4752">
        <v>0</v>
      </c>
    </row>
    <row r="4753" spans="9:11">
      <c r="I4753" t="s">
        <v>94</v>
      </c>
      <c r="J4753" t="s">
        <v>95</v>
      </c>
      <c r="K4753">
        <v>0</v>
      </c>
    </row>
    <row r="4754" spans="9:11">
      <c r="I4754" t="s">
        <v>94</v>
      </c>
      <c r="J4754" t="s">
        <v>95</v>
      </c>
      <c r="K4754">
        <v>0</v>
      </c>
    </row>
    <row r="4755" spans="9:11">
      <c r="I4755" t="s">
        <v>94</v>
      </c>
      <c r="J4755" t="s">
        <v>95</v>
      </c>
      <c r="K4755">
        <v>0</v>
      </c>
    </row>
    <row r="4756" spans="9:11">
      <c r="I4756" t="s">
        <v>94</v>
      </c>
      <c r="J4756" t="s">
        <v>95</v>
      </c>
      <c r="K4756">
        <v>0</v>
      </c>
    </row>
    <row r="4757" spans="9:11">
      <c r="I4757" t="s">
        <v>94</v>
      </c>
      <c r="J4757" t="s">
        <v>95</v>
      </c>
      <c r="K4757">
        <v>0</v>
      </c>
    </row>
    <row r="4758" spans="9:11">
      <c r="I4758" t="s">
        <v>91</v>
      </c>
      <c r="J4758" t="s">
        <v>92</v>
      </c>
      <c r="K4758">
        <v>0</v>
      </c>
    </row>
    <row r="4759" spans="9:11">
      <c r="I4759" t="s">
        <v>94</v>
      </c>
      <c r="J4759" t="s">
        <v>95</v>
      </c>
      <c r="K4759">
        <v>0</v>
      </c>
    </row>
    <row r="4760" spans="9:11">
      <c r="I4760" t="s">
        <v>91</v>
      </c>
      <c r="J4760" t="s">
        <v>92</v>
      </c>
      <c r="K4760">
        <v>0</v>
      </c>
    </row>
    <row r="4761" spans="9:11">
      <c r="I4761" t="s">
        <v>94</v>
      </c>
      <c r="J4761" t="s">
        <v>95</v>
      </c>
      <c r="K4761">
        <v>0</v>
      </c>
    </row>
    <row r="4762" spans="9:11">
      <c r="I4762" t="s">
        <v>91</v>
      </c>
      <c r="J4762" t="s">
        <v>92</v>
      </c>
      <c r="K4762">
        <v>0</v>
      </c>
    </row>
    <row r="4763" spans="9:11">
      <c r="I4763" t="s">
        <v>91</v>
      </c>
      <c r="J4763" t="s">
        <v>92</v>
      </c>
      <c r="K4763">
        <v>0</v>
      </c>
    </row>
    <row r="4764" spans="9:11">
      <c r="I4764" t="s">
        <v>91</v>
      </c>
      <c r="J4764" t="s">
        <v>92</v>
      </c>
      <c r="K4764">
        <v>0</v>
      </c>
    </row>
    <row r="4765" spans="9:11">
      <c r="I4765" t="s">
        <v>91</v>
      </c>
      <c r="J4765" t="s">
        <v>92</v>
      </c>
      <c r="K4765">
        <v>0</v>
      </c>
    </row>
    <row r="4766" spans="9:11">
      <c r="I4766" t="s">
        <v>94</v>
      </c>
      <c r="J4766" t="s">
        <v>95</v>
      </c>
      <c r="K4766">
        <v>0</v>
      </c>
    </row>
    <row r="4767" spans="9:11">
      <c r="I4767" t="s">
        <v>94</v>
      </c>
      <c r="J4767" t="s">
        <v>95</v>
      </c>
      <c r="K4767">
        <v>0</v>
      </c>
    </row>
    <row r="4768" spans="9:11">
      <c r="I4768" t="s">
        <v>94</v>
      </c>
      <c r="J4768" t="s">
        <v>95</v>
      </c>
      <c r="K4768">
        <v>0</v>
      </c>
    </row>
    <row r="4769" spans="9:11">
      <c r="I4769" t="s">
        <v>91</v>
      </c>
      <c r="J4769" t="s">
        <v>92</v>
      </c>
      <c r="K4769">
        <v>0</v>
      </c>
    </row>
    <row r="4770" spans="9:11">
      <c r="I4770" t="s">
        <v>94</v>
      </c>
      <c r="J4770" t="s">
        <v>95</v>
      </c>
      <c r="K4770">
        <v>0</v>
      </c>
    </row>
    <row r="4771" spans="9:11">
      <c r="I4771" t="s">
        <v>94</v>
      </c>
      <c r="J4771" t="s">
        <v>95</v>
      </c>
      <c r="K4771">
        <v>0</v>
      </c>
    </row>
    <row r="4772" spans="9:11">
      <c r="I4772" t="s">
        <v>94</v>
      </c>
      <c r="J4772" t="s">
        <v>95</v>
      </c>
      <c r="K4772">
        <v>0</v>
      </c>
    </row>
    <row r="4773" spans="9:11">
      <c r="I4773" t="s">
        <v>94</v>
      </c>
      <c r="J4773" t="s">
        <v>95</v>
      </c>
      <c r="K4773">
        <v>0</v>
      </c>
    </row>
    <row r="4774" spans="9:11">
      <c r="I4774" t="s">
        <v>94</v>
      </c>
      <c r="J4774" t="s">
        <v>95</v>
      </c>
      <c r="K4774">
        <v>0</v>
      </c>
    </row>
    <row r="4775" spans="9:11">
      <c r="I4775" t="s">
        <v>91</v>
      </c>
      <c r="J4775" t="s">
        <v>92</v>
      </c>
      <c r="K4775">
        <v>0</v>
      </c>
    </row>
    <row r="4776" spans="9:11">
      <c r="I4776" t="s">
        <v>91</v>
      </c>
      <c r="J4776" t="s">
        <v>92</v>
      </c>
      <c r="K4776">
        <v>0</v>
      </c>
    </row>
    <row r="4777" spans="9:11">
      <c r="I4777" t="s">
        <v>91</v>
      </c>
      <c r="J4777" t="s">
        <v>92</v>
      </c>
      <c r="K4777">
        <v>0</v>
      </c>
    </row>
    <row r="4778" spans="9:11">
      <c r="I4778" t="s">
        <v>91</v>
      </c>
      <c r="J4778" t="s">
        <v>92</v>
      </c>
      <c r="K4778">
        <v>0</v>
      </c>
    </row>
    <row r="4779" spans="9:11">
      <c r="I4779" t="s">
        <v>94</v>
      </c>
      <c r="J4779" t="s">
        <v>95</v>
      </c>
      <c r="K4779">
        <v>0</v>
      </c>
    </row>
    <row r="4780" spans="9:11">
      <c r="I4780" t="s">
        <v>94</v>
      </c>
      <c r="J4780" t="s">
        <v>95</v>
      </c>
      <c r="K4780">
        <v>0</v>
      </c>
    </row>
    <row r="4781" spans="9:11">
      <c r="I4781" t="s">
        <v>94</v>
      </c>
      <c r="J4781" t="s">
        <v>95</v>
      </c>
      <c r="K4781">
        <v>1</v>
      </c>
    </row>
    <row r="4782" spans="9:11">
      <c r="I4782" t="s">
        <v>91</v>
      </c>
      <c r="J4782" t="s">
        <v>92</v>
      </c>
      <c r="K4782">
        <v>0</v>
      </c>
    </row>
    <row r="4783" spans="9:11">
      <c r="I4783" t="s">
        <v>94</v>
      </c>
      <c r="J4783" t="s">
        <v>95</v>
      </c>
      <c r="K4783">
        <v>0</v>
      </c>
    </row>
    <row r="4784" spans="9:11">
      <c r="I4784" t="s">
        <v>91</v>
      </c>
      <c r="J4784" t="s">
        <v>92</v>
      </c>
      <c r="K4784">
        <v>0</v>
      </c>
    </row>
    <row r="4785" spans="9:11">
      <c r="I4785" t="s">
        <v>94</v>
      </c>
      <c r="J4785" t="s">
        <v>95</v>
      </c>
      <c r="K4785">
        <v>0</v>
      </c>
    </row>
    <row r="4786" spans="9:11">
      <c r="I4786" t="s">
        <v>91</v>
      </c>
      <c r="J4786" t="s">
        <v>92</v>
      </c>
      <c r="K4786">
        <v>0</v>
      </c>
    </row>
    <row r="4787" spans="9:11">
      <c r="I4787" t="s">
        <v>94</v>
      </c>
      <c r="J4787" t="s">
        <v>95</v>
      </c>
      <c r="K4787">
        <v>0</v>
      </c>
    </row>
    <row r="4788" spans="9:11">
      <c r="I4788" t="s">
        <v>91</v>
      </c>
      <c r="J4788" t="s">
        <v>92</v>
      </c>
      <c r="K4788">
        <v>0</v>
      </c>
    </row>
    <row r="4789" spans="9:11">
      <c r="I4789" t="s">
        <v>94</v>
      </c>
      <c r="J4789" t="s">
        <v>95</v>
      </c>
      <c r="K4789">
        <v>0</v>
      </c>
    </row>
    <row r="4790" spans="9:11">
      <c r="I4790" t="s">
        <v>94</v>
      </c>
      <c r="J4790" t="s">
        <v>95</v>
      </c>
      <c r="K4790">
        <v>0</v>
      </c>
    </row>
    <row r="4791" spans="9:11">
      <c r="I4791" t="s">
        <v>91</v>
      </c>
      <c r="J4791" t="s">
        <v>92</v>
      </c>
      <c r="K4791">
        <v>0</v>
      </c>
    </row>
    <row r="4792" spans="9:11">
      <c r="I4792" t="s">
        <v>94</v>
      </c>
      <c r="J4792" t="s">
        <v>95</v>
      </c>
      <c r="K4792">
        <v>0</v>
      </c>
    </row>
    <row r="4793" spans="9:11">
      <c r="I4793" t="s">
        <v>91</v>
      </c>
      <c r="J4793" t="s">
        <v>92</v>
      </c>
      <c r="K4793">
        <v>0</v>
      </c>
    </row>
    <row r="4794" spans="9:11">
      <c r="I4794" t="s">
        <v>91</v>
      </c>
      <c r="J4794" t="s">
        <v>92</v>
      </c>
      <c r="K4794">
        <v>0</v>
      </c>
    </row>
    <row r="4795" spans="9:11">
      <c r="I4795" t="s">
        <v>91</v>
      </c>
      <c r="J4795" t="s">
        <v>92</v>
      </c>
      <c r="K4795">
        <v>0</v>
      </c>
    </row>
    <row r="4796" spans="9:11">
      <c r="I4796" t="s">
        <v>94</v>
      </c>
      <c r="J4796" t="s">
        <v>95</v>
      </c>
      <c r="K4796">
        <v>0</v>
      </c>
    </row>
    <row r="4797" spans="9:11">
      <c r="I4797" t="s">
        <v>91</v>
      </c>
      <c r="J4797" t="s">
        <v>92</v>
      </c>
      <c r="K4797">
        <v>0</v>
      </c>
    </row>
    <row r="4798" spans="9:11">
      <c r="I4798" t="s">
        <v>94</v>
      </c>
      <c r="J4798" t="s">
        <v>95</v>
      </c>
      <c r="K4798">
        <v>0</v>
      </c>
    </row>
    <row r="4799" spans="9:11">
      <c r="I4799" t="s">
        <v>94</v>
      </c>
      <c r="J4799" t="s">
        <v>95</v>
      </c>
      <c r="K4799">
        <v>0</v>
      </c>
    </row>
    <row r="4800" spans="9:11">
      <c r="I4800" t="s">
        <v>91</v>
      </c>
      <c r="J4800" t="s">
        <v>92</v>
      </c>
      <c r="K4800">
        <v>0</v>
      </c>
    </row>
    <row r="4801" spans="9:11">
      <c r="I4801" t="s">
        <v>94</v>
      </c>
      <c r="J4801" t="s">
        <v>95</v>
      </c>
      <c r="K4801">
        <v>0</v>
      </c>
    </row>
    <row r="4802" spans="9:11">
      <c r="I4802" t="s">
        <v>94</v>
      </c>
      <c r="J4802" t="s">
        <v>95</v>
      </c>
      <c r="K4802">
        <v>0</v>
      </c>
    </row>
    <row r="4803" spans="9:11">
      <c r="I4803" t="s">
        <v>94</v>
      </c>
      <c r="J4803" t="s">
        <v>95</v>
      </c>
      <c r="K4803">
        <v>0</v>
      </c>
    </row>
    <row r="4804" spans="9:11">
      <c r="I4804" t="s">
        <v>91</v>
      </c>
      <c r="J4804" t="s">
        <v>92</v>
      </c>
      <c r="K4804">
        <v>0</v>
      </c>
    </row>
    <row r="4805" spans="9:11">
      <c r="I4805" t="s">
        <v>91</v>
      </c>
      <c r="J4805" t="s">
        <v>92</v>
      </c>
      <c r="K4805">
        <v>0</v>
      </c>
    </row>
    <row r="4806" spans="9:11">
      <c r="I4806" t="s">
        <v>91</v>
      </c>
      <c r="J4806" t="s">
        <v>92</v>
      </c>
      <c r="K4806">
        <v>0</v>
      </c>
    </row>
    <row r="4807" spans="9:11">
      <c r="I4807" t="s">
        <v>94</v>
      </c>
      <c r="J4807" t="s">
        <v>95</v>
      </c>
      <c r="K4807">
        <v>0</v>
      </c>
    </row>
    <row r="4808" spans="9:11">
      <c r="I4808" t="s">
        <v>91</v>
      </c>
      <c r="J4808" t="s">
        <v>92</v>
      </c>
      <c r="K4808">
        <v>0</v>
      </c>
    </row>
    <row r="4809" spans="9:11">
      <c r="I4809" t="s">
        <v>94</v>
      </c>
      <c r="J4809" t="s">
        <v>95</v>
      </c>
      <c r="K4809">
        <v>0</v>
      </c>
    </row>
    <row r="4810" spans="9:11">
      <c r="I4810" t="s">
        <v>94</v>
      </c>
      <c r="J4810" t="s">
        <v>95</v>
      </c>
      <c r="K4810">
        <v>0</v>
      </c>
    </row>
    <row r="4811" spans="9:11">
      <c r="I4811" t="s">
        <v>94</v>
      </c>
      <c r="J4811" t="s">
        <v>95</v>
      </c>
      <c r="K4811">
        <v>0</v>
      </c>
    </row>
    <row r="4812" spans="9:11">
      <c r="I4812" t="s">
        <v>94</v>
      </c>
      <c r="J4812" t="s">
        <v>95</v>
      </c>
      <c r="K4812">
        <v>0</v>
      </c>
    </row>
    <row r="4813" spans="9:11">
      <c r="I4813" t="s">
        <v>94</v>
      </c>
      <c r="J4813" t="s">
        <v>95</v>
      </c>
      <c r="K4813">
        <v>1</v>
      </c>
    </row>
    <row r="4814" spans="9:11">
      <c r="I4814" t="s">
        <v>91</v>
      </c>
      <c r="J4814" t="s">
        <v>92</v>
      </c>
      <c r="K4814">
        <v>0</v>
      </c>
    </row>
    <row r="4815" spans="9:11">
      <c r="I4815" t="s">
        <v>94</v>
      </c>
      <c r="J4815" t="s">
        <v>95</v>
      </c>
      <c r="K4815">
        <v>0</v>
      </c>
    </row>
    <row r="4816" spans="9:11">
      <c r="I4816" t="s">
        <v>91</v>
      </c>
      <c r="J4816" t="s">
        <v>92</v>
      </c>
      <c r="K4816">
        <v>0</v>
      </c>
    </row>
    <row r="4817" spans="9:11">
      <c r="I4817" t="s">
        <v>91</v>
      </c>
      <c r="J4817" t="s">
        <v>92</v>
      </c>
      <c r="K4817">
        <v>0</v>
      </c>
    </row>
    <row r="4818" spans="9:11">
      <c r="I4818" t="s">
        <v>94</v>
      </c>
      <c r="J4818" t="s">
        <v>95</v>
      </c>
      <c r="K4818">
        <v>0</v>
      </c>
    </row>
    <row r="4819" spans="9:11">
      <c r="I4819" t="s">
        <v>94</v>
      </c>
      <c r="J4819" t="s">
        <v>95</v>
      </c>
      <c r="K4819">
        <v>0</v>
      </c>
    </row>
    <row r="4820" spans="9:11">
      <c r="I4820" t="s">
        <v>94</v>
      </c>
      <c r="J4820" t="s">
        <v>95</v>
      </c>
      <c r="K4820">
        <v>0</v>
      </c>
    </row>
    <row r="4821" spans="9:11">
      <c r="I4821" t="s">
        <v>91</v>
      </c>
      <c r="J4821" t="s">
        <v>92</v>
      </c>
      <c r="K4821">
        <v>0</v>
      </c>
    </row>
    <row r="4822" spans="9:11">
      <c r="I4822" t="s">
        <v>91</v>
      </c>
      <c r="J4822" t="s">
        <v>92</v>
      </c>
      <c r="K4822">
        <v>0</v>
      </c>
    </row>
    <row r="4823" spans="9:11">
      <c r="I4823" t="s">
        <v>91</v>
      </c>
      <c r="J4823" t="s">
        <v>92</v>
      </c>
      <c r="K4823">
        <v>0</v>
      </c>
    </row>
    <row r="4824" spans="9:11">
      <c r="I4824" t="s">
        <v>94</v>
      </c>
      <c r="J4824" t="s">
        <v>95</v>
      </c>
      <c r="K4824">
        <v>0</v>
      </c>
    </row>
    <row r="4825" spans="9:11">
      <c r="I4825" t="s">
        <v>94</v>
      </c>
      <c r="J4825" t="s">
        <v>95</v>
      </c>
      <c r="K4825">
        <v>0</v>
      </c>
    </row>
    <row r="4826" spans="9:11">
      <c r="I4826" t="s">
        <v>91</v>
      </c>
      <c r="J4826" t="s">
        <v>92</v>
      </c>
      <c r="K4826">
        <v>0</v>
      </c>
    </row>
    <row r="4827" spans="9:11">
      <c r="I4827" t="s">
        <v>94</v>
      </c>
      <c r="J4827" t="s">
        <v>95</v>
      </c>
      <c r="K4827">
        <v>0</v>
      </c>
    </row>
    <row r="4828" spans="9:11">
      <c r="I4828" t="s">
        <v>91</v>
      </c>
      <c r="J4828" t="s">
        <v>92</v>
      </c>
      <c r="K4828">
        <v>0</v>
      </c>
    </row>
    <row r="4829" spans="9:11">
      <c r="I4829" t="s">
        <v>94</v>
      </c>
      <c r="J4829" t="s">
        <v>95</v>
      </c>
      <c r="K4829">
        <v>0</v>
      </c>
    </row>
    <row r="4830" spans="9:11">
      <c r="I4830" t="s">
        <v>94</v>
      </c>
      <c r="J4830" t="s">
        <v>95</v>
      </c>
      <c r="K4830">
        <v>0</v>
      </c>
    </row>
    <row r="4831" spans="9:11">
      <c r="I4831" t="s">
        <v>91</v>
      </c>
      <c r="J4831" t="s">
        <v>92</v>
      </c>
      <c r="K4831">
        <v>0</v>
      </c>
    </row>
    <row r="4832" spans="9:11">
      <c r="I4832" t="s">
        <v>91</v>
      </c>
      <c r="J4832" t="s">
        <v>92</v>
      </c>
      <c r="K4832">
        <v>0</v>
      </c>
    </row>
    <row r="4833" spans="9:11">
      <c r="I4833" t="s">
        <v>91</v>
      </c>
      <c r="J4833" t="s">
        <v>92</v>
      </c>
      <c r="K4833">
        <v>0</v>
      </c>
    </row>
    <row r="4834" spans="9:11">
      <c r="I4834" t="s">
        <v>91</v>
      </c>
      <c r="J4834" t="s">
        <v>92</v>
      </c>
      <c r="K4834">
        <v>0</v>
      </c>
    </row>
    <row r="4835" spans="9:11">
      <c r="I4835" t="s">
        <v>94</v>
      </c>
      <c r="J4835" t="s">
        <v>95</v>
      </c>
      <c r="K4835">
        <v>0</v>
      </c>
    </row>
    <row r="4836" spans="9:11">
      <c r="I4836" t="s">
        <v>94</v>
      </c>
      <c r="J4836" t="s">
        <v>95</v>
      </c>
      <c r="K4836">
        <v>0</v>
      </c>
    </row>
    <row r="4837" spans="9:11">
      <c r="I4837" t="s">
        <v>94</v>
      </c>
      <c r="J4837" t="s">
        <v>95</v>
      </c>
      <c r="K4837">
        <v>0</v>
      </c>
    </row>
    <row r="4838" spans="9:11">
      <c r="I4838" t="s">
        <v>94</v>
      </c>
      <c r="J4838" t="s">
        <v>95</v>
      </c>
      <c r="K4838">
        <v>0</v>
      </c>
    </row>
    <row r="4839" spans="9:11">
      <c r="I4839" t="s">
        <v>94</v>
      </c>
      <c r="J4839" t="s">
        <v>95</v>
      </c>
      <c r="K4839">
        <v>0</v>
      </c>
    </row>
    <row r="4840" spans="9:11">
      <c r="I4840" t="s">
        <v>94</v>
      </c>
      <c r="J4840" t="s">
        <v>95</v>
      </c>
      <c r="K4840">
        <v>0</v>
      </c>
    </row>
    <row r="4841" spans="9:11">
      <c r="I4841" t="s">
        <v>94</v>
      </c>
      <c r="J4841" t="s">
        <v>95</v>
      </c>
      <c r="K4841">
        <v>0</v>
      </c>
    </row>
    <row r="4842" spans="9:11">
      <c r="I4842" t="s">
        <v>94</v>
      </c>
      <c r="J4842" t="s">
        <v>95</v>
      </c>
      <c r="K4842">
        <v>0</v>
      </c>
    </row>
    <row r="4843" spans="9:11">
      <c r="I4843" t="s">
        <v>91</v>
      </c>
      <c r="J4843" t="s">
        <v>92</v>
      </c>
      <c r="K4843">
        <v>0</v>
      </c>
    </row>
    <row r="4844" spans="9:11">
      <c r="I4844" t="s">
        <v>91</v>
      </c>
      <c r="J4844" t="s">
        <v>92</v>
      </c>
      <c r="K4844">
        <v>0</v>
      </c>
    </row>
    <row r="4845" spans="9:11">
      <c r="I4845" t="s">
        <v>94</v>
      </c>
      <c r="J4845" t="s">
        <v>95</v>
      </c>
      <c r="K4845">
        <v>0</v>
      </c>
    </row>
    <row r="4846" spans="9:11">
      <c r="I4846" t="s">
        <v>91</v>
      </c>
      <c r="J4846" t="s">
        <v>92</v>
      </c>
      <c r="K4846">
        <v>0</v>
      </c>
    </row>
    <row r="4847" spans="9:11">
      <c r="I4847" t="s">
        <v>94</v>
      </c>
      <c r="J4847" t="s">
        <v>95</v>
      </c>
      <c r="K4847">
        <v>0</v>
      </c>
    </row>
    <row r="4848" spans="9:11">
      <c r="I4848" t="s">
        <v>91</v>
      </c>
      <c r="J4848" t="s">
        <v>92</v>
      </c>
      <c r="K4848">
        <v>0</v>
      </c>
    </row>
    <row r="4849" spans="9:11">
      <c r="I4849" t="s">
        <v>91</v>
      </c>
      <c r="J4849" t="s">
        <v>92</v>
      </c>
      <c r="K4849">
        <v>0</v>
      </c>
    </row>
    <row r="4850" spans="9:11">
      <c r="I4850" t="s">
        <v>91</v>
      </c>
      <c r="J4850" t="s">
        <v>92</v>
      </c>
      <c r="K4850">
        <v>0</v>
      </c>
    </row>
    <row r="4851" spans="9:11">
      <c r="I4851" t="s">
        <v>91</v>
      </c>
      <c r="J4851" t="s">
        <v>92</v>
      </c>
      <c r="K4851">
        <v>0</v>
      </c>
    </row>
    <row r="4852" spans="9:11">
      <c r="I4852" t="s">
        <v>91</v>
      </c>
      <c r="J4852" t="s">
        <v>92</v>
      </c>
      <c r="K4852">
        <v>0</v>
      </c>
    </row>
    <row r="4853" spans="9:11">
      <c r="I4853" t="s">
        <v>91</v>
      </c>
      <c r="J4853" t="s">
        <v>92</v>
      </c>
      <c r="K4853">
        <v>0</v>
      </c>
    </row>
    <row r="4854" spans="9:11">
      <c r="I4854" t="s">
        <v>91</v>
      </c>
      <c r="J4854" t="s">
        <v>92</v>
      </c>
      <c r="K4854">
        <v>0</v>
      </c>
    </row>
    <row r="4855" spans="9:11">
      <c r="I4855" t="s">
        <v>91</v>
      </c>
      <c r="J4855" t="s">
        <v>92</v>
      </c>
      <c r="K4855">
        <v>0</v>
      </c>
    </row>
    <row r="4856" spans="9:11">
      <c r="I4856" t="s">
        <v>91</v>
      </c>
      <c r="J4856" t="s">
        <v>92</v>
      </c>
      <c r="K4856">
        <v>0</v>
      </c>
    </row>
    <row r="4857" spans="9:11">
      <c r="I4857" t="s">
        <v>91</v>
      </c>
      <c r="J4857" t="s">
        <v>92</v>
      </c>
      <c r="K4857">
        <v>1</v>
      </c>
    </row>
    <row r="4858" spans="9:11">
      <c r="I4858" t="s">
        <v>94</v>
      </c>
      <c r="J4858" t="s">
        <v>95</v>
      </c>
      <c r="K4858">
        <v>0</v>
      </c>
    </row>
    <row r="4859" spans="9:11">
      <c r="I4859" t="s">
        <v>91</v>
      </c>
      <c r="J4859" t="s">
        <v>92</v>
      </c>
      <c r="K4859">
        <v>0</v>
      </c>
    </row>
    <row r="4860" spans="9:11">
      <c r="I4860" t="s">
        <v>91</v>
      </c>
      <c r="J4860" t="s">
        <v>92</v>
      </c>
      <c r="K4860">
        <v>0</v>
      </c>
    </row>
    <row r="4861" spans="9:11">
      <c r="I4861" t="s">
        <v>94</v>
      </c>
      <c r="J4861" t="s">
        <v>95</v>
      </c>
      <c r="K4861">
        <v>0</v>
      </c>
    </row>
    <row r="4862" spans="9:11">
      <c r="I4862" t="s">
        <v>94</v>
      </c>
      <c r="J4862" t="s">
        <v>95</v>
      </c>
      <c r="K4862">
        <v>0</v>
      </c>
    </row>
    <row r="4863" spans="9:11">
      <c r="I4863" t="s">
        <v>91</v>
      </c>
      <c r="J4863" t="s">
        <v>92</v>
      </c>
      <c r="K4863">
        <v>0</v>
      </c>
    </row>
    <row r="4864" spans="9:11">
      <c r="I4864" t="s">
        <v>94</v>
      </c>
      <c r="J4864" t="s">
        <v>95</v>
      </c>
      <c r="K4864">
        <v>0</v>
      </c>
    </row>
    <row r="4865" spans="9:11">
      <c r="I4865" t="s">
        <v>94</v>
      </c>
      <c r="J4865" t="s">
        <v>95</v>
      </c>
      <c r="K4865">
        <v>0</v>
      </c>
    </row>
    <row r="4866" spans="9:11">
      <c r="I4866" t="s">
        <v>91</v>
      </c>
      <c r="J4866" t="s">
        <v>92</v>
      </c>
      <c r="K4866">
        <v>0</v>
      </c>
    </row>
    <row r="4867" spans="9:11">
      <c r="I4867" t="s">
        <v>91</v>
      </c>
      <c r="J4867" t="s">
        <v>92</v>
      </c>
      <c r="K4867">
        <v>0</v>
      </c>
    </row>
    <row r="4868" spans="9:11">
      <c r="I4868" t="s">
        <v>94</v>
      </c>
      <c r="J4868" t="s">
        <v>95</v>
      </c>
      <c r="K4868">
        <v>0</v>
      </c>
    </row>
    <row r="4869" spans="9:11">
      <c r="I4869" t="s">
        <v>91</v>
      </c>
      <c r="J4869" t="s">
        <v>92</v>
      </c>
      <c r="K4869">
        <v>0</v>
      </c>
    </row>
    <row r="4870" spans="9:11">
      <c r="I4870" t="s">
        <v>94</v>
      </c>
      <c r="J4870" t="s">
        <v>95</v>
      </c>
      <c r="K4870">
        <v>0</v>
      </c>
    </row>
    <row r="4871" spans="9:11">
      <c r="I4871" t="s">
        <v>91</v>
      </c>
      <c r="J4871" t="s">
        <v>92</v>
      </c>
      <c r="K4871">
        <v>0</v>
      </c>
    </row>
    <row r="4872" spans="9:11">
      <c r="I4872" t="s">
        <v>94</v>
      </c>
      <c r="J4872" t="s">
        <v>95</v>
      </c>
      <c r="K4872">
        <v>0</v>
      </c>
    </row>
    <row r="4873" spans="9:11">
      <c r="I4873" t="s">
        <v>91</v>
      </c>
      <c r="J4873" t="s">
        <v>92</v>
      </c>
      <c r="K4873">
        <v>0</v>
      </c>
    </row>
    <row r="4874" spans="9:11">
      <c r="I4874" t="s">
        <v>94</v>
      </c>
      <c r="J4874" t="s">
        <v>95</v>
      </c>
      <c r="K4874">
        <v>0</v>
      </c>
    </row>
    <row r="4875" spans="9:11">
      <c r="I4875" t="s">
        <v>94</v>
      </c>
      <c r="J4875" t="s">
        <v>95</v>
      </c>
      <c r="K4875">
        <v>0</v>
      </c>
    </row>
    <row r="4876" spans="9:11">
      <c r="I4876" t="s">
        <v>91</v>
      </c>
      <c r="J4876" t="s">
        <v>92</v>
      </c>
      <c r="K4876">
        <v>0</v>
      </c>
    </row>
    <row r="4877" spans="9:11">
      <c r="I4877" t="s">
        <v>94</v>
      </c>
      <c r="J4877" t="s">
        <v>95</v>
      </c>
      <c r="K4877">
        <v>0</v>
      </c>
    </row>
    <row r="4878" spans="9:11">
      <c r="I4878" t="s">
        <v>91</v>
      </c>
      <c r="J4878" t="s">
        <v>92</v>
      </c>
      <c r="K4878">
        <v>0</v>
      </c>
    </row>
    <row r="4879" spans="9:11">
      <c r="I4879" t="s">
        <v>91</v>
      </c>
      <c r="J4879" t="s">
        <v>92</v>
      </c>
      <c r="K4879">
        <v>0</v>
      </c>
    </row>
    <row r="4880" spans="9:11">
      <c r="I4880" t="s">
        <v>91</v>
      </c>
      <c r="J4880" t="s">
        <v>92</v>
      </c>
      <c r="K4880">
        <v>0</v>
      </c>
    </row>
    <row r="4881" spans="9:11">
      <c r="I4881" t="s">
        <v>94</v>
      </c>
      <c r="J4881" t="s">
        <v>95</v>
      </c>
      <c r="K4881">
        <v>0</v>
      </c>
    </row>
    <row r="4882" spans="9:11">
      <c r="I4882" t="s">
        <v>91</v>
      </c>
      <c r="J4882" t="s">
        <v>92</v>
      </c>
      <c r="K4882">
        <v>0</v>
      </c>
    </row>
    <row r="4883" spans="9:11">
      <c r="I4883" t="s">
        <v>94</v>
      </c>
      <c r="J4883" t="s">
        <v>95</v>
      </c>
      <c r="K4883">
        <v>0</v>
      </c>
    </row>
    <row r="4884" spans="9:11">
      <c r="I4884" t="s">
        <v>91</v>
      </c>
      <c r="J4884" t="s">
        <v>92</v>
      </c>
      <c r="K4884">
        <v>0</v>
      </c>
    </row>
    <row r="4885" spans="9:11">
      <c r="I4885" t="s">
        <v>91</v>
      </c>
      <c r="J4885" t="s">
        <v>92</v>
      </c>
      <c r="K4885">
        <v>0</v>
      </c>
    </row>
    <row r="4886" spans="9:11">
      <c r="I4886" t="s">
        <v>94</v>
      </c>
      <c r="J4886" t="s">
        <v>95</v>
      </c>
      <c r="K4886">
        <v>0</v>
      </c>
    </row>
    <row r="4887" spans="9:11">
      <c r="I4887" t="s">
        <v>91</v>
      </c>
      <c r="J4887" t="s">
        <v>92</v>
      </c>
      <c r="K4887">
        <v>0</v>
      </c>
    </row>
    <row r="4888" spans="9:11">
      <c r="I4888" t="s">
        <v>94</v>
      </c>
      <c r="J4888" t="s">
        <v>95</v>
      </c>
      <c r="K4888">
        <v>0</v>
      </c>
    </row>
    <row r="4889" spans="9:11">
      <c r="I4889" t="s">
        <v>91</v>
      </c>
      <c r="J4889" t="s">
        <v>92</v>
      </c>
      <c r="K4889">
        <v>0</v>
      </c>
    </row>
    <row r="4890" spans="9:11">
      <c r="I4890" t="s">
        <v>91</v>
      </c>
      <c r="J4890" t="s">
        <v>92</v>
      </c>
      <c r="K4890">
        <v>0</v>
      </c>
    </row>
    <row r="4891" spans="9:11">
      <c r="I4891" t="s">
        <v>94</v>
      </c>
      <c r="J4891" t="s">
        <v>95</v>
      </c>
      <c r="K4891">
        <v>0</v>
      </c>
    </row>
    <row r="4892" spans="9:11">
      <c r="I4892" t="s">
        <v>94</v>
      </c>
      <c r="J4892" t="s">
        <v>95</v>
      </c>
      <c r="K4892">
        <v>0</v>
      </c>
    </row>
    <row r="4893" spans="9:11">
      <c r="I4893" t="s">
        <v>94</v>
      </c>
      <c r="J4893" t="s">
        <v>95</v>
      </c>
      <c r="K4893">
        <v>0</v>
      </c>
    </row>
    <row r="4894" spans="9:11">
      <c r="I4894" t="s">
        <v>91</v>
      </c>
      <c r="J4894" t="s">
        <v>92</v>
      </c>
      <c r="K4894">
        <v>0</v>
      </c>
    </row>
    <row r="4895" spans="9:11">
      <c r="I4895" t="s">
        <v>91</v>
      </c>
      <c r="J4895" t="s">
        <v>92</v>
      </c>
      <c r="K4895">
        <v>0</v>
      </c>
    </row>
    <row r="4896" spans="9:11">
      <c r="I4896" t="s">
        <v>91</v>
      </c>
      <c r="J4896" t="s">
        <v>92</v>
      </c>
      <c r="K4896">
        <v>0</v>
      </c>
    </row>
    <row r="4897" spans="9:11">
      <c r="I4897" t="s">
        <v>94</v>
      </c>
      <c r="J4897" t="s">
        <v>95</v>
      </c>
      <c r="K4897">
        <v>0</v>
      </c>
    </row>
    <row r="4898" spans="9:11">
      <c r="I4898" t="s">
        <v>91</v>
      </c>
      <c r="J4898" t="s">
        <v>92</v>
      </c>
      <c r="K4898">
        <v>0</v>
      </c>
    </row>
    <row r="4899" spans="9:11">
      <c r="I4899" t="s">
        <v>94</v>
      </c>
      <c r="J4899" t="s">
        <v>95</v>
      </c>
      <c r="K4899">
        <v>0</v>
      </c>
    </row>
    <row r="4900" spans="9:11">
      <c r="I4900" t="s">
        <v>91</v>
      </c>
      <c r="J4900" t="s">
        <v>92</v>
      </c>
      <c r="K4900">
        <v>0</v>
      </c>
    </row>
    <row r="4901" spans="9:11">
      <c r="I4901" t="s">
        <v>94</v>
      </c>
      <c r="J4901" t="s">
        <v>95</v>
      </c>
      <c r="K4901">
        <v>0</v>
      </c>
    </row>
    <row r="4902" spans="9:11">
      <c r="I4902" t="s">
        <v>94</v>
      </c>
      <c r="J4902" t="s">
        <v>95</v>
      </c>
      <c r="K4902">
        <v>0</v>
      </c>
    </row>
    <row r="4903" spans="9:11">
      <c r="I4903" t="s">
        <v>94</v>
      </c>
      <c r="J4903" t="s">
        <v>95</v>
      </c>
      <c r="K4903">
        <v>0</v>
      </c>
    </row>
    <row r="4904" spans="9:11">
      <c r="I4904" t="s">
        <v>91</v>
      </c>
      <c r="J4904" t="s">
        <v>92</v>
      </c>
      <c r="K4904">
        <v>0</v>
      </c>
    </row>
    <row r="4905" spans="9:11">
      <c r="I4905" t="s">
        <v>94</v>
      </c>
      <c r="J4905" t="s">
        <v>95</v>
      </c>
      <c r="K4905">
        <v>0</v>
      </c>
    </row>
    <row r="4906" spans="9:11">
      <c r="I4906" t="s">
        <v>94</v>
      </c>
      <c r="J4906" t="s">
        <v>95</v>
      </c>
      <c r="K4906">
        <v>0</v>
      </c>
    </row>
    <row r="4907" spans="9:11">
      <c r="I4907" t="s">
        <v>91</v>
      </c>
      <c r="J4907" t="s">
        <v>92</v>
      </c>
      <c r="K4907">
        <v>0</v>
      </c>
    </row>
    <row r="4908" spans="9:11">
      <c r="I4908" t="s">
        <v>91</v>
      </c>
      <c r="J4908" t="s">
        <v>92</v>
      </c>
      <c r="K4908">
        <v>0</v>
      </c>
    </row>
    <row r="4909" spans="9:11">
      <c r="I4909" t="s">
        <v>94</v>
      </c>
      <c r="J4909" t="s">
        <v>95</v>
      </c>
      <c r="K4909">
        <v>0</v>
      </c>
    </row>
    <row r="4910" spans="9:11">
      <c r="I4910" t="s">
        <v>91</v>
      </c>
      <c r="J4910" t="s">
        <v>92</v>
      </c>
      <c r="K4910">
        <v>0</v>
      </c>
    </row>
    <row r="4911" spans="9:11">
      <c r="I4911" t="s">
        <v>91</v>
      </c>
      <c r="J4911" t="s">
        <v>92</v>
      </c>
      <c r="K4911">
        <v>0</v>
      </c>
    </row>
    <row r="4912" spans="9:11">
      <c r="I4912" t="s">
        <v>94</v>
      </c>
      <c r="J4912" t="s">
        <v>95</v>
      </c>
      <c r="K4912">
        <v>0</v>
      </c>
    </row>
    <row r="4913" spans="9:11">
      <c r="I4913" t="s">
        <v>94</v>
      </c>
      <c r="J4913" t="s">
        <v>95</v>
      </c>
      <c r="K4913">
        <v>0</v>
      </c>
    </row>
    <row r="4914" spans="9:11">
      <c r="I4914" t="s">
        <v>91</v>
      </c>
      <c r="J4914" t="s">
        <v>92</v>
      </c>
      <c r="K4914">
        <v>0</v>
      </c>
    </row>
    <row r="4915" spans="9:11">
      <c r="I4915" t="s">
        <v>94</v>
      </c>
      <c r="J4915" t="s">
        <v>95</v>
      </c>
      <c r="K4915">
        <v>0</v>
      </c>
    </row>
    <row r="4916" spans="9:11">
      <c r="I4916" t="s">
        <v>91</v>
      </c>
      <c r="J4916" t="s">
        <v>92</v>
      </c>
      <c r="K4916">
        <v>0</v>
      </c>
    </row>
    <row r="4917" spans="9:11">
      <c r="I4917" t="s">
        <v>91</v>
      </c>
      <c r="J4917" t="s">
        <v>92</v>
      </c>
      <c r="K4917">
        <v>0</v>
      </c>
    </row>
    <row r="4918" spans="9:11">
      <c r="I4918" t="s">
        <v>94</v>
      </c>
      <c r="J4918" t="s">
        <v>95</v>
      </c>
      <c r="K4918">
        <v>0</v>
      </c>
    </row>
    <row r="4919" spans="9:11">
      <c r="I4919" t="s">
        <v>94</v>
      </c>
      <c r="J4919" t="s">
        <v>95</v>
      </c>
      <c r="K4919">
        <v>0</v>
      </c>
    </row>
    <row r="4920" spans="9:11">
      <c r="I4920" t="s">
        <v>94</v>
      </c>
      <c r="J4920" t="s">
        <v>95</v>
      </c>
      <c r="K4920">
        <v>0</v>
      </c>
    </row>
    <row r="4921" spans="9:11">
      <c r="I4921" t="s">
        <v>94</v>
      </c>
      <c r="J4921" t="s">
        <v>95</v>
      </c>
      <c r="K4921">
        <v>0</v>
      </c>
    </row>
    <row r="4922" spans="9:11">
      <c r="I4922" t="s">
        <v>91</v>
      </c>
      <c r="J4922" t="s">
        <v>92</v>
      </c>
      <c r="K4922">
        <v>0</v>
      </c>
    </row>
    <row r="4923" spans="9:11">
      <c r="I4923" t="s">
        <v>91</v>
      </c>
      <c r="J4923" t="s">
        <v>92</v>
      </c>
      <c r="K4923">
        <v>0</v>
      </c>
    </row>
    <row r="4924" spans="9:11">
      <c r="I4924" t="s">
        <v>94</v>
      </c>
      <c r="J4924" t="s">
        <v>95</v>
      </c>
      <c r="K4924">
        <v>0</v>
      </c>
    </row>
    <row r="4925" spans="9:11">
      <c r="I4925" t="s">
        <v>91</v>
      </c>
      <c r="J4925" t="s">
        <v>92</v>
      </c>
      <c r="K4925">
        <v>0</v>
      </c>
    </row>
    <row r="4926" spans="9:11">
      <c r="I4926" t="s">
        <v>94</v>
      </c>
      <c r="J4926" t="s">
        <v>95</v>
      </c>
      <c r="K4926">
        <v>0</v>
      </c>
    </row>
    <row r="4927" spans="9:11">
      <c r="I4927" t="s">
        <v>94</v>
      </c>
      <c r="J4927" t="s">
        <v>95</v>
      </c>
      <c r="K4927">
        <v>0</v>
      </c>
    </row>
    <row r="4928" spans="9:11">
      <c r="I4928" t="s">
        <v>91</v>
      </c>
      <c r="J4928" t="s">
        <v>92</v>
      </c>
      <c r="K4928">
        <v>0</v>
      </c>
    </row>
    <row r="4929" spans="9:11">
      <c r="I4929" t="s">
        <v>94</v>
      </c>
      <c r="J4929" t="s">
        <v>95</v>
      </c>
      <c r="K4929">
        <v>0</v>
      </c>
    </row>
    <row r="4930" spans="9:11">
      <c r="I4930" t="s">
        <v>91</v>
      </c>
      <c r="J4930" t="s">
        <v>92</v>
      </c>
      <c r="K4930">
        <v>0</v>
      </c>
    </row>
    <row r="4931" spans="9:11">
      <c r="I4931" t="s">
        <v>94</v>
      </c>
      <c r="J4931" t="s">
        <v>95</v>
      </c>
      <c r="K4931">
        <v>0</v>
      </c>
    </row>
    <row r="4932" spans="9:11">
      <c r="I4932" t="s">
        <v>94</v>
      </c>
      <c r="J4932" t="s">
        <v>95</v>
      </c>
      <c r="K4932">
        <v>0</v>
      </c>
    </row>
    <row r="4933" spans="9:11">
      <c r="I4933" t="s">
        <v>94</v>
      </c>
      <c r="J4933" t="s">
        <v>95</v>
      </c>
      <c r="K4933">
        <v>0</v>
      </c>
    </row>
    <row r="4934" spans="9:11">
      <c r="I4934" t="s">
        <v>94</v>
      </c>
      <c r="J4934" t="s">
        <v>95</v>
      </c>
      <c r="K4934">
        <v>0</v>
      </c>
    </row>
    <row r="4935" spans="9:11">
      <c r="I4935" t="s">
        <v>94</v>
      </c>
      <c r="J4935" t="s">
        <v>95</v>
      </c>
      <c r="K4935">
        <v>0</v>
      </c>
    </row>
    <row r="4936" spans="9:11">
      <c r="I4936" t="s">
        <v>94</v>
      </c>
      <c r="J4936" t="s">
        <v>95</v>
      </c>
      <c r="K4936">
        <v>0</v>
      </c>
    </row>
    <row r="4937" spans="9:11">
      <c r="I4937" t="s">
        <v>94</v>
      </c>
      <c r="J4937" t="s">
        <v>95</v>
      </c>
      <c r="K4937">
        <v>0</v>
      </c>
    </row>
    <row r="4938" spans="9:11">
      <c r="I4938" t="s">
        <v>94</v>
      </c>
      <c r="J4938" t="s">
        <v>95</v>
      </c>
      <c r="K4938">
        <v>0</v>
      </c>
    </row>
    <row r="4939" spans="9:11">
      <c r="I4939" t="s">
        <v>94</v>
      </c>
      <c r="J4939" t="s">
        <v>95</v>
      </c>
      <c r="K4939">
        <v>0</v>
      </c>
    </row>
    <row r="4940" spans="9:11">
      <c r="I4940" t="s">
        <v>91</v>
      </c>
      <c r="J4940" t="s">
        <v>92</v>
      </c>
      <c r="K4940">
        <v>0</v>
      </c>
    </row>
    <row r="4941" spans="9:11">
      <c r="I4941" t="s">
        <v>94</v>
      </c>
      <c r="J4941" t="s">
        <v>95</v>
      </c>
      <c r="K4941">
        <v>0</v>
      </c>
    </row>
    <row r="4942" spans="9:11">
      <c r="I4942" t="s">
        <v>91</v>
      </c>
      <c r="J4942" t="s">
        <v>92</v>
      </c>
      <c r="K4942">
        <v>1</v>
      </c>
    </row>
    <row r="4943" spans="9:11">
      <c r="I4943" t="s">
        <v>94</v>
      </c>
      <c r="J4943" t="s">
        <v>95</v>
      </c>
      <c r="K4943">
        <v>0</v>
      </c>
    </row>
    <row r="4944" spans="9:11">
      <c r="I4944" t="s">
        <v>91</v>
      </c>
      <c r="J4944" t="s">
        <v>92</v>
      </c>
      <c r="K4944">
        <v>0</v>
      </c>
    </row>
    <row r="4945" spans="9:11">
      <c r="I4945" t="s">
        <v>94</v>
      </c>
      <c r="J4945" t="s">
        <v>95</v>
      </c>
      <c r="K4945">
        <v>0</v>
      </c>
    </row>
    <row r="4946" spans="9:11">
      <c r="I4946" t="s">
        <v>94</v>
      </c>
      <c r="J4946" t="s">
        <v>95</v>
      </c>
      <c r="K4946">
        <v>0</v>
      </c>
    </row>
    <row r="4947" spans="9:11">
      <c r="I4947" t="s">
        <v>94</v>
      </c>
      <c r="J4947" t="s">
        <v>95</v>
      </c>
      <c r="K4947">
        <v>0</v>
      </c>
    </row>
    <row r="4948" spans="9:11">
      <c r="I4948" t="s">
        <v>94</v>
      </c>
      <c r="J4948" t="s">
        <v>95</v>
      </c>
      <c r="K4948">
        <v>0</v>
      </c>
    </row>
    <row r="4949" spans="9:11">
      <c r="I4949" t="s">
        <v>94</v>
      </c>
      <c r="J4949" t="s">
        <v>95</v>
      </c>
      <c r="K4949">
        <v>0</v>
      </c>
    </row>
    <row r="4950" spans="9:11">
      <c r="I4950" t="s">
        <v>91</v>
      </c>
      <c r="J4950" t="s">
        <v>92</v>
      </c>
      <c r="K4950">
        <v>0</v>
      </c>
    </row>
    <row r="4951" spans="9:11">
      <c r="I4951" t="s">
        <v>91</v>
      </c>
      <c r="J4951" t="s">
        <v>92</v>
      </c>
      <c r="K4951">
        <v>0</v>
      </c>
    </row>
    <row r="4952" spans="9:11">
      <c r="I4952" t="s">
        <v>91</v>
      </c>
      <c r="J4952" t="s">
        <v>92</v>
      </c>
      <c r="K4952">
        <v>0</v>
      </c>
    </row>
    <row r="4953" spans="9:11">
      <c r="I4953" t="s">
        <v>94</v>
      </c>
      <c r="J4953" t="s">
        <v>95</v>
      </c>
      <c r="K4953">
        <v>0</v>
      </c>
    </row>
    <row r="4954" spans="9:11">
      <c r="I4954" t="s">
        <v>91</v>
      </c>
      <c r="J4954" t="s">
        <v>92</v>
      </c>
      <c r="K4954">
        <v>0</v>
      </c>
    </row>
    <row r="4955" spans="9:11">
      <c r="I4955" t="s">
        <v>91</v>
      </c>
      <c r="J4955" t="s">
        <v>92</v>
      </c>
      <c r="K4955">
        <v>0</v>
      </c>
    </row>
    <row r="4956" spans="9:11">
      <c r="I4956" t="s">
        <v>91</v>
      </c>
      <c r="J4956" t="s">
        <v>92</v>
      </c>
      <c r="K4956">
        <v>0</v>
      </c>
    </row>
    <row r="4957" spans="9:11">
      <c r="I4957" t="s">
        <v>91</v>
      </c>
      <c r="J4957" t="s">
        <v>92</v>
      </c>
      <c r="K4957">
        <v>0</v>
      </c>
    </row>
    <row r="4958" spans="9:11">
      <c r="I4958" t="s">
        <v>91</v>
      </c>
      <c r="J4958" t="s">
        <v>92</v>
      </c>
      <c r="K4958">
        <v>0</v>
      </c>
    </row>
    <row r="4959" spans="9:11">
      <c r="I4959" t="s">
        <v>94</v>
      </c>
      <c r="J4959" t="s">
        <v>95</v>
      </c>
      <c r="K4959">
        <v>0</v>
      </c>
    </row>
    <row r="4960" spans="9:11">
      <c r="I4960" t="s">
        <v>94</v>
      </c>
      <c r="J4960" t="s">
        <v>95</v>
      </c>
      <c r="K4960">
        <v>0</v>
      </c>
    </row>
    <row r="4961" spans="9:11">
      <c r="I4961" t="s">
        <v>94</v>
      </c>
      <c r="J4961" t="s">
        <v>95</v>
      </c>
      <c r="K4961">
        <v>0</v>
      </c>
    </row>
    <row r="4962" spans="9:11">
      <c r="I4962" t="s">
        <v>91</v>
      </c>
      <c r="J4962" t="s">
        <v>92</v>
      </c>
      <c r="K4962">
        <v>0</v>
      </c>
    </row>
    <row r="4963" spans="9:11">
      <c r="I4963" t="s">
        <v>91</v>
      </c>
      <c r="J4963" t="s">
        <v>92</v>
      </c>
      <c r="K4963">
        <v>0</v>
      </c>
    </row>
    <row r="4964" spans="9:11">
      <c r="I4964" t="s">
        <v>94</v>
      </c>
      <c r="J4964" t="s">
        <v>95</v>
      </c>
      <c r="K4964">
        <v>0</v>
      </c>
    </row>
    <row r="4965" spans="9:11">
      <c r="I4965" t="s">
        <v>94</v>
      </c>
      <c r="J4965" t="s">
        <v>95</v>
      </c>
      <c r="K4965">
        <v>0</v>
      </c>
    </row>
    <row r="4966" spans="9:11">
      <c r="I4966" t="s">
        <v>94</v>
      </c>
      <c r="J4966" t="s">
        <v>95</v>
      </c>
      <c r="K4966">
        <v>0</v>
      </c>
    </row>
    <row r="4967" spans="9:11">
      <c r="I4967" t="s">
        <v>94</v>
      </c>
      <c r="J4967" t="s">
        <v>95</v>
      </c>
      <c r="K4967">
        <v>0</v>
      </c>
    </row>
    <row r="4968" spans="9:11">
      <c r="I4968" t="s">
        <v>91</v>
      </c>
      <c r="J4968" t="s">
        <v>92</v>
      </c>
      <c r="K4968">
        <v>0</v>
      </c>
    </row>
    <row r="4969" spans="9:11">
      <c r="I4969" t="s">
        <v>94</v>
      </c>
      <c r="J4969" t="s">
        <v>95</v>
      </c>
      <c r="K4969">
        <v>0</v>
      </c>
    </row>
    <row r="4970" spans="9:11">
      <c r="I4970" t="s">
        <v>94</v>
      </c>
      <c r="J4970" t="s">
        <v>95</v>
      </c>
      <c r="K4970">
        <v>0</v>
      </c>
    </row>
    <row r="4971" spans="9:11">
      <c r="I4971" t="s">
        <v>94</v>
      </c>
      <c r="J4971" t="s">
        <v>95</v>
      </c>
      <c r="K4971">
        <v>0</v>
      </c>
    </row>
    <row r="4972" spans="9:11">
      <c r="I4972" t="s">
        <v>91</v>
      </c>
      <c r="J4972" t="s">
        <v>92</v>
      </c>
      <c r="K4972">
        <v>0</v>
      </c>
    </row>
    <row r="4973" spans="9:11">
      <c r="I4973" t="s">
        <v>91</v>
      </c>
      <c r="J4973" t="s">
        <v>92</v>
      </c>
      <c r="K4973">
        <v>0</v>
      </c>
    </row>
    <row r="4974" spans="9:11">
      <c r="I4974" t="s">
        <v>94</v>
      </c>
      <c r="J4974" t="s">
        <v>95</v>
      </c>
      <c r="K4974">
        <v>0</v>
      </c>
    </row>
    <row r="4975" spans="9:11">
      <c r="I4975" t="s">
        <v>94</v>
      </c>
      <c r="J4975" t="s">
        <v>95</v>
      </c>
      <c r="K4975">
        <v>0</v>
      </c>
    </row>
    <row r="4976" spans="9:11">
      <c r="I4976" t="s">
        <v>94</v>
      </c>
      <c r="J4976" t="s">
        <v>95</v>
      </c>
      <c r="K4976">
        <v>0</v>
      </c>
    </row>
    <row r="4977" spans="9:11">
      <c r="I4977" t="s">
        <v>94</v>
      </c>
      <c r="J4977" t="s">
        <v>95</v>
      </c>
      <c r="K4977">
        <v>0</v>
      </c>
    </row>
    <row r="4978" spans="9:11">
      <c r="I4978" t="s">
        <v>94</v>
      </c>
      <c r="J4978" t="s">
        <v>95</v>
      </c>
      <c r="K4978">
        <v>0</v>
      </c>
    </row>
    <row r="4979" spans="9:11">
      <c r="I4979" t="s">
        <v>94</v>
      </c>
      <c r="J4979" t="s">
        <v>95</v>
      </c>
      <c r="K4979">
        <v>1</v>
      </c>
    </row>
    <row r="4980" spans="9:11">
      <c r="I4980" t="s">
        <v>91</v>
      </c>
      <c r="J4980" t="s">
        <v>92</v>
      </c>
      <c r="K4980">
        <v>0</v>
      </c>
    </row>
    <row r="4981" spans="9:11">
      <c r="I4981" t="s">
        <v>91</v>
      </c>
      <c r="J4981" t="s">
        <v>92</v>
      </c>
      <c r="K4981">
        <v>0</v>
      </c>
    </row>
    <row r="4982" spans="9:11">
      <c r="I4982" t="s">
        <v>94</v>
      </c>
      <c r="J4982" t="s">
        <v>95</v>
      </c>
      <c r="K4982">
        <v>0</v>
      </c>
    </row>
    <row r="4983" spans="9:11">
      <c r="I4983" t="s">
        <v>94</v>
      </c>
      <c r="J4983" t="s">
        <v>95</v>
      </c>
      <c r="K4983">
        <v>0</v>
      </c>
    </row>
    <row r="4984" spans="9:11">
      <c r="I4984" t="s">
        <v>91</v>
      </c>
      <c r="J4984" t="s">
        <v>92</v>
      </c>
      <c r="K4984">
        <v>0</v>
      </c>
    </row>
    <row r="4985" spans="9:11">
      <c r="I4985" t="s">
        <v>91</v>
      </c>
      <c r="J4985" t="s">
        <v>92</v>
      </c>
      <c r="K4985">
        <v>0</v>
      </c>
    </row>
    <row r="4986" spans="9:11">
      <c r="I4986" t="s">
        <v>91</v>
      </c>
      <c r="J4986" t="s">
        <v>92</v>
      </c>
      <c r="K4986">
        <v>0</v>
      </c>
    </row>
    <row r="4987" spans="9:11">
      <c r="I4987" t="s">
        <v>91</v>
      </c>
      <c r="J4987" t="s">
        <v>92</v>
      </c>
      <c r="K4987">
        <v>0</v>
      </c>
    </row>
    <row r="4988" spans="9:11">
      <c r="I4988" t="s">
        <v>94</v>
      </c>
      <c r="J4988" t="s">
        <v>95</v>
      </c>
      <c r="K4988">
        <v>0</v>
      </c>
    </row>
    <row r="4989" spans="9:11">
      <c r="I4989" t="s">
        <v>91</v>
      </c>
      <c r="J4989" t="s">
        <v>92</v>
      </c>
      <c r="K4989">
        <v>0</v>
      </c>
    </row>
    <row r="4990" spans="9:11">
      <c r="I4990" t="s">
        <v>94</v>
      </c>
      <c r="J4990" t="s">
        <v>95</v>
      </c>
      <c r="K4990">
        <v>0</v>
      </c>
    </row>
    <row r="4991" spans="9:11">
      <c r="I4991" t="s">
        <v>94</v>
      </c>
      <c r="J4991" t="s">
        <v>95</v>
      </c>
      <c r="K4991">
        <v>0</v>
      </c>
    </row>
    <row r="4992" spans="9:11">
      <c r="I4992" t="s">
        <v>91</v>
      </c>
      <c r="J4992" t="s">
        <v>92</v>
      </c>
      <c r="K4992">
        <v>0</v>
      </c>
    </row>
    <row r="4993" spans="9:11">
      <c r="I4993" t="s">
        <v>94</v>
      </c>
      <c r="J4993" t="s">
        <v>95</v>
      </c>
      <c r="K4993">
        <v>0</v>
      </c>
    </row>
    <row r="4994" spans="9:11">
      <c r="I4994" t="s">
        <v>94</v>
      </c>
      <c r="J4994" t="s">
        <v>95</v>
      </c>
      <c r="K4994">
        <v>0</v>
      </c>
    </row>
    <row r="4995" spans="9:11">
      <c r="I4995" t="s">
        <v>91</v>
      </c>
      <c r="J4995" t="s">
        <v>92</v>
      </c>
      <c r="K4995">
        <v>0</v>
      </c>
    </row>
    <row r="4996" spans="9:11">
      <c r="I4996" t="s">
        <v>91</v>
      </c>
      <c r="J4996" t="s">
        <v>92</v>
      </c>
      <c r="K4996">
        <v>0</v>
      </c>
    </row>
    <row r="4997" spans="9:11">
      <c r="I4997" t="s">
        <v>94</v>
      </c>
      <c r="J4997" t="s">
        <v>95</v>
      </c>
      <c r="K4997">
        <v>0</v>
      </c>
    </row>
    <row r="4998" spans="9:11">
      <c r="I4998" t="s">
        <v>91</v>
      </c>
      <c r="J4998" t="s">
        <v>92</v>
      </c>
      <c r="K4998">
        <v>0</v>
      </c>
    </row>
    <row r="4999" spans="9:11">
      <c r="I4999" t="s">
        <v>91</v>
      </c>
      <c r="J4999" t="s">
        <v>92</v>
      </c>
      <c r="K4999">
        <v>1</v>
      </c>
    </row>
    <row r="5000" spans="9:11">
      <c r="I5000" t="s">
        <v>94</v>
      </c>
      <c r="J5000" t="s">
        <v>95</v>
      </c>
      <c r="K5000">
        <v>0</v>
      </c>
    </row>
    <row r="5001" spans="9:11">
      <c r="I5001" t="s">
        <v>94</v>
      </c>
      <c r="J5001" t="s">
        <v>95</v>
      </c>
      <c r="K5001">
        <v>0</v>
      </c>
    </row>
    <row r="5002" spans="9:11">
      <c r="I5002" t="s">
        <v>94</v>
      </c>
      <c r="J5002" t="s">
        <v>95</v>
      </c>
      <c r="K5002">
        <v>0</v>
      </c>
    </row>
    <row r="5003" spans="9:11">
      <c r="I5003" t="s">
        <v>94</v>
      </c>
      <c r="J5003" t="s">
        <v>95</v>
      </c>
      <c r="K5003">
        <v>1</v>
      </c>
    </row>
    <row r="5004" spans="9:11">
      <c r="I5004" t="s">
        <v>91</v>
      </c>
      <c r="J5004" t="s">
        <v>92</v>
      </c>
      <c r="K5004">
        <v>0</v>
      </c>
    </row>
    <row r="5005" spans="9:11">
      <c r="I5005" t="s">
        <v>94</v>
      </c>
      <c r="J5005" t="s">
        <v>95</v>
      </c>
      <c r="K5005">
        <v>0</v>
      </c>
    </row>
    <row r="5006" spans="9:11">
      <c r="I5006" t="s">
        <v>94</v>
      </c>
      <c r="J5006" t="s">
        <v>95</v>
      </c>
      <c r="K5006">
        <v>0</v>
      </c>
    </row>
    <row r="5007" spans="9:11">
      <c r="I5007" t="s">
        <v>94</v>
      </c>
      <c r="J5007" t="s">
        <v>95</v>
      </c>
      <c r="K5007">
        <v>0</v>
      </c>
    </row>
    <row r="5008" spans="9:11">
      <c r="I5008" t="s">
        <v>91</v>
      </c>
      <c r="J5008" t="s">
        <v>92</v>
      </c>
      <c r="K5008">
        <v>0</v>
      </c>
    </row>
    <row r="5009" spans="9:11">
      <c r="I5009" t="s">
        <v>94</v>
      </c>
      <c r="J5009" t="s">
        <v>95</v>
      </c>
      <c r="K5009">
        <v>0</v>
      </c>
    </row>
    <row r="5010" spans="9:11">
      <c r="I5010" t="s">
        <v>94</v>
      </c>
      <c r="J5010" t="s">
        <v>95</v>
      </c>
      <c r="K5010">
        <v>0</v>
      </c>
    </row>
    <row r="5011" spans="9:11">
      <c r="I5011" t="s">
        <v>91</v>
      </c>
      <c r="J5011" t="s">
        <v>92</v>
      </c>
      <c r="K5011">
        <v>0</v>
      </c>
    </row>
    <row r="5012" spans="9:11">
      <c r="I5012" t="s">
        <v>91</v>
      </c>
      <c r="J5012" t="s">
        <v>92</v>
      </c>
      <c r="K5012">
        <v>0</v>
      </c>
    </row>
    <row r="5013" spans="9:11">
      <c r="I5013" t="s">
        <v>94</v>
      </c>
      <c r="J5013" t="s">
        <v>95</v>
      </c>
      <c r="K5013">
        <v>0</v>
      </c>
    </row>
    <row r="5014" spans="9:11">
      <c r="I5014" t="s">
        <v>91</v>
      </c>
      <c r="J5014" t="s">
        <v>92</v>
      </c>
      <c r="K5014">
        <v>0</v>
      </c>
    </row>
    <row r="5015" spans="9:11">
      <c r="I5015" t="s">
        <v>91</v>
      </c>
      <c r="J5015" t="s">
        <v>92</v>
      </c>
      <c r="K5015">
        <v>0</v>
      </c>
    </row>
    <row r="5016" spans="9:11">
      <c r="I5016" t="s">
        <v>94</v>
      </c>
      <c r="J5016" t="s">
        <v>95</v>
      </c>
      <c r="K5016">
        <v>0</v>
      </c>
    </row>
    <row r="5017" spans="9:11">
      <c r="I5017" t="s">
        <v>94</v>
      </c>
      <c r="J5017" t="s">
        <v>95</v>
      </c>
      <c r="K5017">
        <v>0</v>
      </c>
    </row>
    <row r="5018" spans="9:11">
      <c r="I5018" t="s">
        <v>94</v>
      </c>
      <c r="J5018" t="s">
        <v>95</v>
      </c>
      <c r="K5018">
        <v>0</v>
      </c>
    </row>
    <row r="5019" spans="9:11">
      <c r="I5019" t="s">
        <v>94</v>
      </c>
      <c r="J5019" t="s">
        <v>95</v>
      </c>
      <c r="K5019">
        <v>0</v>
      </c>
    </row>
    <row r="5020" spans="9:11">
      <c r="I5020" t="s">
        <v>94</v>
      </c>
      <c r="J5020" t="s">
        <v>95</v>
      </c>
      <c r="K5020">
        <v>0</v>
      </c>
    </row>
    <row r="5021" spans="9:11">
      <c r="I5021" t="s">
        <v>91</v>
      </c>
      <c r="J5021" t="s">
        <v>92</v>
      </c>
      <c r="K5021">
        <v>0</v>
      </c>
    </row>
    <row r="5022" spans="9:11">
      <c r="I5022" t="s">
        <v>94</v>
      </c>
      <c r="J5022" t="s">
        <v>95</v>
      </c>
      <c r="K5022">
        <v>0</v>
      </c>
    </row>
    <row r="5023" spans="9:11">
      <c r="I5023" t="s">
        <v>94</v>
      </c>
      <c r="J5023" t="s">
        <v>95</v>
      </c>
      <c r="K5023">
        <v>0</v>
      </c>
    </row>
    <row r="5024" spans="9:11">
      <c r="I5024" t="s">
        <v>94</v>
      </c>
      <c r="J5024" t="s">
        <v>95</v>
      </c>
      <c r="K5024">
        <v>0</v>
      </c>
    </row>
    <row r="5025" spans="9:11">
      <c r="I5025" t="s">
        <v>94</v>
      </c>
      <c r="J5025" t="s">
        <v>95</v>
      </c>
      <c r="K5025">
        <v>0</v>
      </c>
    </row>
    <row r="5026" spans="9:11">
      <c r="I5026" t="s">
        <v>91</v>
      </c>
      <c r="J5026" t="s">
        <v>92</v>
      </c>
      <c r="K5026">
        <v>0</v>
      </c>
    </row>
    <row r="5027" spans="9:11">
      <c r="I5027" t="s">
        <v>94</v>
      </c>
      <c r="J5027" t="s">
        <v>95</v>
      </c>
      <c r="K5027">
        <v>0</v>
      </c>
    </row>
    <row r="5028" spans="9:11">
      <c r="I5028" t="s">
        <v>91</v>
      </c>
      <c r="J5028" t="s">
        <v>92</v>
      </c>
      <c r="K5028">
        <v>0</v>
      </c>
    </row>
    <row r="5029" spans="9:11">
      <c r="I5029" t="s">
        <v>94</v>
      </c>
      <c r="J5029" t="s">
        <v>95</v>
      </c>
      <c r="K5029">
        <v>0</v>
      </c>
    </row>
    <row r="5030" spans="9:11">
      <c r="I5030" t="s">
        <v>91</v>
      </c>
      <c r="J5030" t="s">
        <v>92</v>
      </c>
      <c r="K5030">
        <v>0</v>
      </c>
    </row>
    <row r="5031" spans="9:11">
      <c r="I5031" t="s">
        <v>91</v>
      </c>
      <c r="J5031" t="s">
        <v>92</v>
      </c>
      <c r="K5031">
        <v>0</v>
      </c>
    </row>
    <row r="5032" spans="9:11">
      <c r="I5032" t="s">
        <v>91</v>
      </c>
      <c r="J5032" t="s">
        <v>92</v>
      </c>
      <c r="K5032">
        <v>0</v>
      </c>
    </row>
    <row r="5033" spans="9:11">
      <c r="I5033" t="s">
        <v>94</v>
      </c>
      <c r="J5033" t="s">
        <v>95</v>
      </c>
      <c r="K5033">
        <v>0</v>
      </c>
    </row>
    <row r="5034" spans="9:11">
      <c r="I5034" t="s">
        <v>94</v>
      </c>
      <c r="J5034" t="s">
        <v>95</v>
      </c>
      <c r="K5034">
        <v>0</v>
      </c>
    </row>
    <row r="5035" spans="9:11">
      <c r="I5035" t="s">
        <v>91</v>
      </c>
      <c r="J5035" t="s">
        <v>92</v>
      </c>
      <c r="K5035">
        <v>0</v>
      </c>
    </row>
    <row r="5036" spans="9:11">
      <c r="I5036" t="s">
        <v>91</v>
      </c>
      <c r="J5036" t="s">
        <v>92</v>
      </c>
      <c r="K5036">
        <v>0</v>
      </c>
    </row>
    <row r="5037" spans="9:11">
      <c r="I5037" t="s">
        <v>94</v>
      </c>
      <c r="J5037" t="s">
        <v>95</v>
      </c>
      <c r="K5037">
        <v>0</v>
      </c>
    </row>
    <row r="5038" spans="9:11">
      <c r="I5038" t="s">
        <v>91</v>
      </c>
      <c r="J5038" t="s">
        <v>92</v>
      </c>
      <c r="K5038">
        <v>0</v>
      </c>
    </row>
    <row r="5039" spans="9:11">
      <c r="I5039" t="s">
        <v>91</v>
      </c>
      <c r="J5039" t="s">
        <v>92</v>
      </c>
      <c r="K5039">
        <v>0</v>
      </c>
    </row>
    <row r="5040" spans="9:11">
      <c r="I5040" t="s">
        <v>94</v>
      </c>
      <c r="J5040" t="s">
        <v>95</v>
      </c>
      <c r="K5040">
        <v>0</v>
      </c>
    </row>
    <row r="5041" spans="9:11">
      <c r="I5041" t="s">
        <v>91</v>
      </c>
      <c r="J5041" t="s">
        <v>92</v>
      </c>
      <c r="K5041">
        <v>0</v>
      </c>
    </row>
    <row r="5042" spans="9:11">
      <c r="I5042" t="s">
        <v>94</v>
      </c>
      <c r="J5042" t="s">
        <v>95</v>
      </c>
      <c r="K5042">
        <v>0</v>
      </c>
    </row>
    <row r="5043" spans="9:11">
      <c r="I5043" t="s">
        <v>91</v>
      </c>
      <c r="J5043" t="s">
        <v>92</v>
      </c>
      <c r="K5043">
        <v>0</v>
      </c>
    </row>
    <row r="5044" spans="9:11">
      <c r="I5044" t="s">
        <v>91</v>
      </c>
      <c r="J5044" t="s">
        <v>92</v>
      </c>
      <c r="K5044">
        <v>0</v>
      </c>
    </row>
    <row r="5045" spans="9:11">
      <c r="I5045" t="s">
        <v>91</v>
      </c>
      <c r="J5045" t="s">
        <v>92</v>
      </c>
      <c r="K5045">
        <v>1</v>
      </c>
    </row>
    <row r="5046" spans="9:11">
      <c r="I5046" t="s">
        <v>94</v>
      </c>
      <c r="J5046" t="s">
        <v>95</v>
      </c>
      <c r="K5046">
        <v>0</v>
      </c>
    </row>
    <row r="5047" spans="9:11">
      <c r="I5047" t="s">
        <v>94</v>
      </c>
      <c r="J5047" t="s">
        <v>95</v>
      </c>
      <c r="K5047">
        <v>0</v>
      </c>
    </row>
    <row r="5048" spans="9:11">
      <c r="I5048" t="s">
        <v>94</v>
      </c>
      <c r="J5048" t="s">
        <v>95</v>
      </c>
      <c r="K5048">
        <v>0</v>
      </c>
    </row>
    <row r="5049" spans="9:11">
      <c r="I5049" t="s">
        <v>94</v>
      </c>
      <c r="J5049" t="s">
        <v>95</v>
      </c>
      <c r="K5049">
        <v>0</v>
      </c>
    </row>
    <row r="5050" spans="9:11">
      <c r="I5050" t="s">
        <v>91</v>
      </c>
      <c r="J5050" t="s">
        <v>92</v>
      </c>
      <c r="K5050">
        <v>0</v>
      </c>
    </row>
    <row r="5051" spans="9:11">
      <c r="I5051" t="s">
        <v>94</v>
      </c>
      <c r="J5051" t="s">
        <v>95</v>
      </c>
      <c r="K5051">
        <v>0</v>
      </c>
    </row>
    <row r="5052" spans="9:11">
      <c r="I5052" t="s">
        <v>94</v>
      </c>
      <c r="J5052" t="s">
        <v>95</v>
      </c>
      <c r="K5052">
        <v>0</v>
      </c>
    </row>
    <row r="5053" spans="9:11">
      <c r="I5053" t="s">
        <v>94</v>
      </c>
      <c r="J5053" t="s">
        <v>95</v>
      </c>
      <c r="K5053">
        <v>0</v>
      </c>
    </row>
    <row r="5054" spans="9:11">
      <c r="I5054" t="s">
        <v>91</v>
      </c>
      <c r="J5054" t="s">
        <v>92</v>
      </c>
      <c r="K5054">
        <v>0</v>
      </c>
    </row>
    <row r="5055" spans="9:11">
      <c r="I5055" t="s">
        <v>94</v>
      </c>
      <c r="J5055" t="s">
        <v>95</v>
      </c>
      <c r="K5055">
        <v>0</v>
      </c>
    </row>
    <row r="5056" spans="9:11">
      <c r="I5056" t="s">
        <v>91</v>
      </c>
      <c r="J5056" t="s">
        <v>92</v>
      </c>
      <c r="K5056">
        <v>0</v>
      </c>
    </row>
    <row r="5057" spans="9:11">
      <c r="I5057" t="s">
        <v>91</v>
      </c>
      <c r="J5057" t="s">
        <v>92</v>
      </c>
      <c r="K5057">
        <v>0</v>
      </c>
    </row>
    <row r="5058" spans="9:11">
      <c r="I5058" t="s">
        <v>91</v>
      </c>
      <c r="J5058" t="s">
        <v>92</v>
      </c>
      <c r="K5058">
        <v>0</v>
      </c>
    </row>
    <row r="5059" spans="9:11">
      <c r="I5059" t="s">
        <v>94</v>
      </c>
      <c r="J5059" t="s">
        <v>95</v>
      </c>
      <c r="K5059">
        <v>0</v>
      </c>
    </row>
    <row r="5060" spans="9:11">
      <c r="I5060" t="s">
        <v>91</v>
      </c>
      <c r="J5060" t="s">
        <v>92</v>
      </c>
      <c r="K5060">
        <v>0</v>
      </c>
    </row>
    <row r="5061" spans="9:11">
      <c r="I5061" t="s">
        <v>91</v>
      </c>
      <c r="J5061" t="s">
        <v>92</v>
      </c>
      <c r="K5061">
        <v>0</v>
      </c>
    </row>
    <row r="5062" spans="9:11">
      <c r="I5062" t="s">
        <v>94</v>
      </c>
      <c r="J5062" t="s">
        <v>95</v>
      </c>
      <c r="K5062">
        <v>0</v>
      </c>
    </row>
    <row r="5063" spans="9:11">
      <c r="I5063" t="s">
        <v>91</v>
      </c>
      <c r="J5063" t="s">
        <v>92</v>
      </c>
      <c r="K5063">
        <v>0</v>
      </c>
    </row>
    <row r="5064" spans="9:11">
      <c r="I5064" t="s">
        <v>94</v>
      </c>
      <c r="J5064" t="s">
        <v>95</v>
      </c>
      <c r="K5064">
        <v>0</v>
      </c>
    </row>
    <row r="5065" spans="9:11">
      <c r="I5065" t="s">
        <v>91</v>
      </c>
      <c r="J5065" t="s">
        <v>92</v>
      </c>
      <c r="K5065">
        <v>0</v>
      </c>
    </row>
    <row r="5066" spans="9:11">
      <c r="I5066" t="s">
        <v>94</v>
      </c>
      <c r="J5066" t="s">
        <v>95</v>
      </c>
      <c r="K5066">
        <v>0</v>
      </c>
    </row>
    <row r="5067" spans="9:11">
      <c r="I5067" t="s">
        <v>91</v>
      </c>
      <c r="J5067" t="s">
        <v>92</v>
      </c>
      <c r="K5067">
        <v>0</v>
      </c>
    </row>
    <row r="5068" spans="9:11">
      <c r="I5068" t="s">
        <v>94</v>
      </c>
      <c r="J5068" t="s">
        <v>95</v>
      </c>
      <c r="K5068">
        <v>0</v>
      </c>
    </row>
    <row r="5069" spans="9:11">
      <c r="I5069" t="s">
        <v>94</v>
      </c>
      <c r="J5069" t="s">
        <v>95</v>
      </c>
      <c r="K5069">
        <v>0</v>
      </c>
    </row>
    <row r="5070" spans="9:11">
      <c r="I5070" t="s">
        <v>91</v>
      </c>
      <c r="J5070" t="s">
        <v>92</v>
      </c>
      <c r="K5070">
        <v>0</v>
      </c>
    </row>
    <row r="5071" spans="9:11">
      <c r="I5071" t="s">
        <v>94</v>
      </c>
      <c r="J5071" t="s">
        <v>95</v>
      </c>
      <c r="K5071">
        <v>0</v>
      </c>
    </row>
    <row r="5072" spans="9:11">
      <c r="I5072" t="s">
        <v>94</v>
      </c>
      <c r="J5072" t="s">
        <v>95</v>
      </c>
      <c r="K5072">
        <v>0</v>
      </c>
    </row>
    <row r="5073" spans="9:11">
      <c r="I5073" t="s">
        <v>94</v>
      </c>
      <c r="J5073" t="s">
        <v>95</v>
      </c>
      <c r="K5073">
        <v>0</v>
      </c>
    </row>
    <row r="5074" spans="9:11">
      <c r="I5074" t="s">
        <v>94</v>
      </c>
      <c r="J5074" t="s">
        <v>95</v>
      </c>
      <c r="K5074">
        <v>0</v>
      </c>
    </row>
    <row r="5075" spans="9:11">
      <c r="I5075" t="s">
        <v>94</v>
      </c>
      <c r="J5075" t="s">
        <v>95</v>
      </c>
      <c r="K5075">
        <v>0</v>
      </c>
    </row>
    <row r="5076" spans="9:11">
      <c r="I5076" t="s">
        <v>91</v>
      </c>
      <c r="J5076" t="s">
        <v>92</v>
      </c>
      <c r="K5076">
        <v>1</v>
      </c>
    </row>
    <row r="5077" spans="9:11">
      <c r="I5077" t="s">
        <v>94</v>
      </c>
      <c r="J5077" t="s">
        <v>95</v>
      </c>
      <c r="K5077">
        <v>0</v>
      </c>
    </row>
    <row r="5078" spans="9:11">
      <c r="I5078" t="s">
        <v>94</v>
      </c>
      <c r="J5078" t="s">
        <v>95</v>
      </c>
      <c r="K5078">
        <v>0</v>
      </c>
    </row>
    <row r="5079" spans="9:11">
      <c r="I5079" t="s">
        <v>91</v>
      </c>
      <c r="J5079" t="s">
        <v>92</v>
      </c>
      <c r="K5079">
        <v>0</v>
      </c>
    </row>
    <row r="5080" spans="9:11">
      <c r="I5080" t="s">
        <v>91</v>
      </c>
      <c r="J5080" t="s">
        <v>92</v>
      </c>
      <c r="K5080">
        <v>0</v>
      </c>
    </row>
    <row r="5081" spans="9:11">
      <c r="I5081" t="s">
        <v>94</v>
      </c>
      <c r="J5081" t="s">
        <v>95</v>
      </c>
      <c r="K5081">
        <v>0</v>
      </c>
    </row>
    <row r="5082" spans="9:11">
      <c r="I5082" t="s">
        <v>94</v>
      </c>
      <c r="J5082" t="s">
        <v>95</v>
      </c>
      <c r="K5082">
        <v>0</v>
      </c>
    </row>
    <row r="5083" spans="9:11">
      <c r="I5083" t="s">
        <v>94</v>
      </c>
      <c r="J5083" t="s">
        <v>95</v>
      </c>
      <c r="K5083">
        <v>0</v>
      </c>
    </row>
    <row r="5084" spans="9:11">
      <c r="I5084" t="s">
        <v>94</v>
      </c>
      <c r="J5084" t="s">
        <v>95</v>
      </c>
      <c r="K5084">
        <v>0</v>
      </c>
    </row>
    <row r="5085" spans="9:11">
      <c r="I5085" t="s">
        <v>91</v>
      </c>
      <c r="J5085" t="s">
        <v>92</v>
      </c>
      <c r="K5085">
        <v>0</v>
      </c>
    </row>
    <row r="5086" spans="9:11">
      <c r="I5086" t="s">
        <v>94</v>
      </c>
      <c r="J5086" t="s">
        <v>95</v>
      </c>
      <c r="K5086">
        <v>0</v>
      </c>
    </row>
    <row r="5087" spans="9:11">
      <c r="I5087" t="s">
        <v>91</v>
      </c>
      <c r="J5087" t="s">
        <v>92</v>
      </c>
      <c r="K5087">
        <v>0</v>
      </c>
    </row>
    <row r="5088" spans="9:11">
      <c r="I5088" t="s">
        <v>94</v>
      </c>
      <c r="J5088" t="s">
        <v>95</v>
      </c>
      <c r="K5088">
        <v>0</v>
      </c>
    </row>
    <row r="5089" spans="9:11">
      <c r="I5089" t="s">
        <v>94</v>
      </c>
      <c r="J5089" t="s">
        <v>95</v>
      </c>
      <c r="K5089">
        <v>0</v>
      </c>
    </row>
    <row r="5090" spans="9:11">
      <c r="I5090" t="s">
        <v>91</v>
      </c>
      <c r="J5090" t="s">
        <v>92</v>
      </c>
      <c r="K5090">
        <v>0</v>
      </c>
    </row>
    <row r="5091" spans="9:11">
      <c r="I5091" t="s">
        <v>94</v>
      </c>
      <c r="J5091" t="s">
        <v>95</v>
      </c>
      <c r="K5091">
        <v>0</v>
      </c>
    </row>
    <row r="5092" spans="9:11">
      <c r="I5092" t="s">
        <v>91</v>
      </c>
      <c r="J5092" t="s">
        <v>92</v>
      </c>
      <c r="K5092">
        <v>0</v>
      </c>
    </row>
    <row r="5093" spans="9:11">
      <c r="I5093" t="s">
        <v>91</v>
      </c>
      <c r="J5093" t="s">
        <v>92</v>
      </c>
      <c r="K5093">
        <v>0</v>
      </c>
    </row>
    <row r="5094" spans="9:11">
      <c r="I5094" t="s">
        <v>94</v>
      </c>
      <c r="J5094" t="s">
        <v>95</v>
      </c>
      <c r="K5094">
        <v>0</v>
      </c>
    </row>
    <row r="5095" spans="9:11">
      <c r="I5095" t="s">
        <v>91</v>
      </c>
      <c r="J5095" t="s">
        <v>92</v>
      </c>
      <c r="K5095">
        <v>0</v>
      </c>
    </row>
    <row r="5096" spans="9:11">
      <c r="I5096" t="s">
        <v>94</v>
      </c>
      <c r="J5096" t="s">
        <v>95</v>
      </c>
      <c r="K5096">
        <v>0</v>
      </c>
    </row>
    <row r="5097" spans="9:11">
      <c r="I5097" t="s">
        <v>94</v>
      </c>
      <c r="J5097" t="s">
        <v>95</v>
      </c>
      <c r="K5097">
        <v>0</v>
      </c>
    </row>
    <row r="5098" spans="9:11">
      <c r="I5098" t="s">
        <v>94</v>
      </c>
      <c r="J5098" t="s">
        <v>95</v>
      </c>
      <c r="K5098">
        <v>0</v>
      </c>
    </row>
    <row r="5099" spans="9:11">
      <c r="I5099" t="s">
        <v>94</v>
      </c>
      <c r="J5099" t="s">
        <v>95</v>
      </c>
      <c r="K5099">
        <v>0</v>
      </c>
    </row>
    <row r="5100" spans="9:11">
      <c r="I5100" t="s">
        <v>94</v>
      </c>
      <c r="J5100" t="s">
        <v>95</v>
      </c>
      <c r="K5100">
        <v>0</v>
      </c>
    </row>
    <row r="5101" spans="9:11">
      <c r="I5101" t="s">
        <v>94</v>
      </c>
      <c r="J5101" t="s">
        <v>95</v>
      </c>
      <c r="K5101">
        <v>0</v>
      </c>
    </row>
    <row r="5102" spans="9:11">
      <c r="I5102" t="s">
        <v>94</v>
      </c>
      <c r="J5102" t="s">
        <v>95</v>
      </c>
      <c r="K5102">
        <v>0</v>
      </c>
    </row>
    <row r="5103" spans="9:11">
      <c r="I5103" t="s">
        <v>94</v>
      </c>
      <c r="J5103" t="s">
        <v>95</v>
      </c>
      <c r="K5103">
        <v>0</v>
      </c>
    </row>
    <row r="5104" spans="9:11">
      <c r="I5104" t="s">
        <v>91</v>
      </c>
      <c r="J5104" t="s">
        <v>92</v>
      </c>
      <c r="K5104">
        <v>0</v>
      </c>
    </row>
    <row r="5105" spans="9:11">
      <c r="I5105" t="s">
        <v>91</v>
      </c>
      <c r="J5105" t="s">
        <v>92</v>
      </c>
      <c r="K5105">
        <v>0</v>
      </c>
    </row>
    <row r="5106" spans="9:11">
      <c r="I5106" t="s">
        <v>94</v>
      </c>
      <c r="J5106" t="s">
        <v>95</v>
      </c>
      <c r="K5106">
        <v>0</v>
      </c>
    </row>
    <row r="5107" spans="9:11">
      <c r="I5107" t="s">
        <v>94</v>
      </c>
      <c r="J5107" t="s">
        <v>95</v>
      </c>
      <c r="K5107">
        <v>0</v>
      </c>
    </row>
    <row r="5108" spans="9:11">
      <c r="I5108" t="s">
        <v>94</v>
      </c>
      <c r="J5108" t="s">
        <v>95</v>
      </c>
      <c r="K5108">
        <v>0</v>
      </c>
    </row>
    <row r="5109" spans="9:11">
      <c r="I5109" t="s">
        <v>94</v>
      </c>
      <c r="J5109" t="s">
        <v>95</v>
      </c>
      <c r="K5109">
        <v>0</v>
      </c>
    </row>
    <row r="5110" spans="9:11">
      <c r="I5110" t="s">
        <v>91</v>
      </c>
      <c r="J5110" t="s">
        <v>92</v>
      </c>
      <c r="K5110">
        <v>0</v>
      </c>
    </row>
    <row r="5111" spans="9:11">
      <c r="I5111" t="s">
        <v>94</v>
      </c>
      <c r="J5111" t="s">
        <v>95</v>
      </c>
      <c r="K5111">
        <v>1</v>
      </c>
    </row>
    <row r="5112" spans="9:11">
      <c r="I5112" t="s">
        <v>91</v>
      </c>
      <c r="J5112" t="s">
        <v>92</v>
      </c>
      <c r="K5112">
        <v>0</v>
      </c>
    </row>
    <row r="5113" spans="9:11">
      <c r="I5113" t="s">
        <v>94</v>
      </c>
      <c r="J5113" t="s">
        <v>95</v>
      </c>
      <c r="K5113">
        <v>0</v>
      </c>
    </row>
    <row r="5114" spans="9:11">
      <c r="I5114" t="s">
        <v>94</v>
      </c>
      <c r="J5114" t="s">
        <v>95</v>
      </c>
      <c r="K5114">
        <v>0</v>
      </c>
    </row>
    <row r="5115" spans="9:11">
      <c r="I5115" t="s">
        <v>91</v>
      </c>
      <c r="J5115" t="s">
        <v>92</v>
      </c>
      <c r="K5115">
        <v>0</v>
      </c>
    </row>
    <row r="5116" spans="9:11">
      <c r="I5116" t="s">
        <v>94</v>
      </c>
      <c r="J5116" t="s">
        <v>95</v>
      </c>
      <c r="K5116">
        <v>0</v>
      </c>
    </row>
    <row r="5117" spans="9:11">
      <c r="I5117" t="s">
        <v>94</v>
      </c>
      <c r="J5117" t="s">
        <v>95</v>
      </c>
      <c r="K5117">
        <v>0</v>
      </c>
    </row>
    <row r="5118" spans="9:11">
      <c r="I5118" t="s">
        <v>91</v>
      </c>
      <c r="J5118" t="s">
        <v>92</v>
      </c>
      <c r="K5118">
        <v>0</v>
      </c>
    </row>
    <row r="5119" spans="9:11">
      <c r="I5119" t="s">
        <v>94</v>
      </c>
      <c r="J5119" t="s">
        <v>95</v>
      </c>
      <c r="K5119">
        <v>1</v>
      </c>
    </row>
    <row r="5120" spans="9:11">
      <c r="I5120" t="s">
        <v>91</v>
      </c>
      <c r="J5120" t="s">
        <v>92</v>
      </c>
      <c r="K5120">
        <v>0</v>
      </c>
    </row>
    <row r="5121" spans="9:11">
      <c r="I5121" t="s">
        <v>94</v>
      </c>
      <c r="J5121" t="s">
        <v>95</v>
      </c>
      <c r="K5121">
        <v>0</v>
      </c>
    </row>
    <row r="5122" spans="9:11">
      <c r="I5122" t="s">
        <v>94</v>
      </c>
      <c r="J5122" t="s">
        <v>95</v>
      </c>
      <c r="K5122">
        <v>0</v>
      </c>
    </row>
    <row r="5123" spans="9:11">
      <c r="I5123" t="s">
        <v>94</v>
      </c>
      <c r="J5123" t="s">
        <v>95</v>
      </c>
      <c r="K5123">
        <v>0</v>
      </c>
    </row>
    <row r="5124" spans="9:11">
      <c r="I5124" t="s">
        <v>91</v>
      </c>
      <c r="J5124" t="s">
        <v>92</v>
      </c>
      <c r="K5124">
        <v>0</v>
      </c>
    </row>
    <row r="5125" spans="9:11">
      <c r="I5125" t="s">
        <v>94</v>
      </c>
      <c r="J5125" t="s">
        <v>95</v>
      </c>
      <c r="K5125">
        <v>0</v>
      </c>
    </row>
    <row r="5126" spans="9:11">
      <c r="I5126" t="s">
        <v>91</v>
      </c>
      <c r="J5126" t="s">
        <v>92</v>
      </c>
      <c r="K5126">
        <v>0</v>
      </c>
    </row>
    <row r="5127" spans="9:11">
      <c r="I5127" t="s">
        <v>91</v>
      </c>
      <c r="J5127" t="s">
        <v>92</v>
      </c>
      <c r="K5127">
        <v>0</v>
      </c>
    </row>
    <row r="5128" spans="9:11">
      <c r="I5128" t="s">
        <v>94</v>
      </c>
      <c r="J5128" t="s">
        <v>95</v>
      </c>
      <c r="K5128">
        <v>0</v>
      </c>
    </row>
    <row r="5129" spans="9:11">
      <c r="I5129" t="s">
        <v>94</v>
      </c>
      <c r="J5129" t="s">
        <v>95</v>
      </c>
      <c r="K5129">
        <v>0</v>
      </c>
    </row>
    <row r="5130" spans="9:11">
      <c r="I5130" t="s">
        <v>91</v>
      </c>
      <c r="J5130" t="s">
        <v>92</v>
      </c>
      <c r="K5130">
        <v>0</v>
      </c>
    </row>
    <row r="5131" spans="9:11">
      <c r="I5131" t="s">
        <v>91</v>
      </c>
      <c r="J5131" t="s">
        <v>92</v>
      </c>
      <c r="K5131">
        <v>0</v>
      </c>
    </row>
    <row r="5132" spans="9:11">
      <c r="I5132" t="s">
        <v>91</v>
      </c>
      <c r="J5132" t="s">
        <v>92</v>
      </c>
      <c r="K5132">
        <v>0</v>
      </c>
    </row>
    <row r="5133" spans="9:11">
      <c r="I5133" t="s">
        <v>91</v>
      </c>
      <c r="J5133" t="s">
        <v>92</v>
      </c>
      <c r="K5133">
        <v>0</v>
      </c>
    </row>
    <row r="5134" spans="9:11">
      <c r="I5134" t="s">
        <v>91</v>
      </c>
      <c r="J5134" t="s">
        <v>92</v>
      </c>
      <c r="K5134">
        <v>0</v>
      </c>
    </row>
    <row r="5135" spans="9:11">
      <c r="I5135" t="s">
        <v>94</v>
      </c>
      <c r="J5135" t="s">
        <v>95</v>
      </c>
      <c r="K5135">
        <v>0</v>
      </c>
    </row>
    <row r="5136" spans="9:11">
      <c r="I5136" t="s">
        <v>91</v>
      </c>
      <c r="J5136" t="s">
        <v>92</v>
      </c>
      <c r="K5136">
        <v>0</v>
      </c>
    </row>
    <row r="5137" spans="9:11">
      <c r="I5137" t="s">
        <v>94</v>
      </c>
      <c r="J5137" t="s">
        <v>95</v>
      </c>
      <c r="K5137">
        <v>0</v>
      </c>
    </row>
    <row r="5138" spans="9:11">
      <c r="I5138" t="s">
        <v>94</v>
      </c>
      <c r="J5138" t="s">
        <v>95</v>
      </c>
      <c r="K5138">
        <v>0</v>
      </c>
    </row>
    <row r="5139" spans="9:11">
      <c r="I5139" t="s">
        <v>91</v>
      </c>
      <c r="J5139" t="s">
        <v>92</v>
      </c>
      <c r="K5139">
        <v>0</v>
      </c>
    </row>
    <row r="5140" spans="9:11">
      <c r="I5140" t="s">
        <v>91</v>
      </c>
      <c r="J5140" t="s">
        <v>92</v>
      </c>
      <c r="K5140">
        <v>0</v>
      </c>
    </row>
    <row r="5141" spans="9:11">
      <c r="I5141" t="s">
        <v>94</v>
      </c>
      <c r="J5141" t="s">
        <v>95</v>
      </c>
      <c r="K5141">
        <v>0</v>
      </c>
    </row>
    <row r="5142" spans="9:11">
      <c r="I5142" t="s">
        <v>94</v>
      </c>
      <c r="J5142" t="s">
        <v>95</v>
      </c>
      <c r="K5142">
        <v>0</v>
      </c>
    </row>
    <row r="5143" spans="9:11">
      <c r="I5143" t="s">
        <v>91</v>
      </c>
      <c r="J5143" t="s">
        <v>92</v>
      </c>
      <c r="K5143">
        <v>0</v>
      </c>
    </row>
    <row r="5144" spans="9:11">
      <c r="I5144" t="s">
        <v>91</v>
      </c>
      <c r="J5144" t="s">
        <v>92</v>
      </c>
      <c r="K5144">
        <v>0</v>
      </c>
    </row>
    <row r="5145" spans="9:11">
      <c r="I5145" t="s">
        <v>94</v>
      </c>
      <c r="J5145" t="s">
        <v>95</v>
      </c>
      <c r="K5145">
        <v>0</v>
      </c>
    </row>
    <row r="5146" spans="9:11">
      <c r="I5146" t="s">
        <v>94</v>
      </c>
      <c r="J5146" t="s">
        <v>95</v>
      </c>
      <c r="K5146">
        <v>0</v>
      </c>
    </row>
    <row r="5147" spans="9:11">
      <c r="I5147" t="s">
        <v>91</v>
      </c>
      <c r="J5147" t="s">
        <v>92</v>
      </c>
      <c r="K5147">
        <v>0</v>
      </c>
    </row>
    <row r="5148" spans="9:11">
      <c r="I5148" t="s">
        <v>94</v>
      </c>
      <c r="J5148" t="s">
        <v>95</v>
      </c>
      <c r="K5148">
        <v>0</v>
      </c>
    </row>
    <row r="5149" spans="9:11">
      <c r="I5149" t="s">
        <v>91</v>
      </c>
      <c r="J5149" t="s">
        <v>92</v>
      </c>
      <c r="K5149">
        <v>0</v>
      </c>
    </row>
    <row r="5150" spans="9:11">
      <c r="I5150" t="s">
        <v>91</v>
      </c>
      <c r="J5150" t="s">
        <v>92</v>
      </c>
      <c r="K5150">
        <v>0</v>
      </c>
    </row>
    <row r="5151" spans="9:11">
      <c r="I5151" t="s">
        <v>91</v>
      </c>
      <c r="J5151" t="s">
        <v>92</v>
      </c>
      <c r="K5151">
        <v>1</v>
      </c>
    </row>
    <row r="5152" spans="9:11">
      <c r="I5152" t="s">
        <v>91</v>
      </c>
      <c r="J5152" t="s">
        <v>92</v>
      </c>
      <c r="K5152">
        <v>0</v>
      </c>
    </row>
    <row r="5153" spans="9:11">
      <c r="I5153" t="s">
        <v>94</v>
      </c>
      <c r="J5153" t="s">
        <v>95</v>
      </c>
      <c r="K5153">
        <v>0</v>
      </c>
    </row>
    <row r="5154" spans="9:11">
      <c r="I5154" t="s">
        <v>94</v>
      </c>
      <c r="J5154" t="s">
        <v>95</v>
      </c>
      <c r="K5154">
        <v>0</v>
      </c>
    </row>
    <row r="5155" spans="9:11">
      <c r="I5155" t="s">
        <v>91</v>
      </c>
      <c r="J5155" t="s">
        <v>92</v>
      </c>
      <c r="K5155">
        <v>0</v>
      </c>
    </row>
    <row r="5156" spans="9:11">
      <c r="I5156" t="s">
        <v>94</v>
      </c>
      <c r="J5156" t="s">
        <v>95</v>
      </c>
      <c r="K5156">
        <v>0</v>
      </c>
    </row>
    <row r="5157" spans="9:11">
      <c r="I5157" t="s">
        <v>91</v>
      </c>
      <c r="J5157" t="s">
        <v>92</v>
      </c>
      <c r="K5157">
        <v>0</v>
      </c>
    </row>
    <row r="5158" spans="9:11">
      <c r="I5158" t="s">
        <v>94</v>
      </c>
      <c r="J5158" t="s">
        <v>95</v>
      </c>
      <c r="K5158">
        <v>0</v>
      </c>
    </row>
    <row r="5159" spans="9:11">
      <c r="I5159" t="s">
        <v>94</v>
      </c>
      <c r="J5159" t="s">
        <v>95</v>
      </c>
      <c r="K5159">
        <v>0</v>
      </c>
    </row>
    <row r="5160" spans="9:11">
      <c r="I5160" t="s">
        <v>91</v>
      </c>
      <c r="J5160" t="s">
        <v>92</v>
      </c>
      <c r="K5160">
        <v>0</v>
      </c>
    </row>
    <row r="5161" spans="9:11">
      <c r="I5161" t="s">
        <v>94</v>
      </c>
      <c r="J5161" t="s">
        <v>95</v>
      </c>
      <c r="K5161">
        <v>0</v>
      </c>
    </row>
    <row r="5162" spans="9:11">
      <c r="I5162" t="s">
        <v>94</v>
      </c>
      <c r="J5162" t="s">
        <v>95</v>
      </c>
      <c r="K5162">
        <v>0</v>
      </c>
    </row>
    <row r="5163" spans="9:11">
      <c r="I5163" t="s">
        <v>91</v>
      </c>
      <c r="J5163" t="s">
        <v>92</v>
      </c>
      <c r="K5163">
        <v>0</v>
      </c>
    </row>
    <row r="5164" spans="9:11">
      <c r="I5164" t="s">
        <v>91</v>
      </c>
      <c r="J5164" t="s">
        <v>92</v>
      </c>
      <c r="K5164">
        <v>0</v>
      </c>
    </row>
    <row r="5165" spans="9:11">
      <c r="I5165" t="s">
        <v>94</v>
      </c>
      <c r="J5165" t="s">
        <v>95</v>
      </c>
      <c r="K5165">
        <v>0</v>
      </c>
    </row>
    <row r="5166" spans="9:11">
      <c r="I5166" t="s">
        <v>91</v>
      </c>
      <c r="J5166" t="s">
        <v>92</v>
      </c>
      <c r="K5166">
        <v>0</v>
      </c>
    </row>
    <row r="5167" spans="9:11">
      <c r="I5167" t="s">
        <v>94</v>
      </c>
      <c r="J5167" t="s">
        <v>95</v>
      </c>
      <c r="K5167">
        <v>0</v>
      </c>
    </row>
    <row r="5168" spans="9:11">
      <c r="I5168" t="s">
        <v>94</v>
      </c>
      <c r="J5168" t="s">
        <v>95</v>
      </c>
      <c r="K5168">
        <v>0</v>
      </c>
    </row>
    <row r="5169" spans="9:11">
      <c r="I5169" t="s">
        <v>91</v>
      </c>
      <c r="J5169" t="s">
        <v>92</v>
      </c>
      <c r="K5169">
        <v>0</v>
      </c>
    </row>
    <row r="5170" spans="9:11">
      <c r="I5170" t="s">
        <v>94</v>
      </c>
      <c r="J5170" t="s">
        <v>95</v>
      </c>
      <c r="K5170">
        <v>0</v>
      </c>
    </row>
    <row r="5171" spans="9:11">
      <c r="I5171" t="s">
        <v>91</v>
      </c>
      <c r="J5171" t="s">
        <v>92</v>
      </c>
      <c r="K5171">
        <v>0</v>
      </c>
    </row>
    <row r="5172" spans="9:11">
      <c r="I5172" t="s">
        <v>91</v>
      </c>
      <c r="J5172" t="s">
        <v>92</v>
      </c>
      <c r="K5172">
        <v>0</v>
      </c>
    </row>
    <row r="5173" spans="9:11">
      <c r="I5173" t="s">
        <v>91</v>
      </c>
      <c r="J5173" t="s">
        <v>92</v>
      </c>
      <c r="K5173">
        <v>0</v>
      </c>
    </row>
    <row r="5174" spans="9:11">
      <c r="I5174" t="s">
        <v>91</v>
      </c>
      <c r="J5174" t="s">
        <v>92</v>
      </c>
      <c r="K5174">
        <v>0</v>
      </c>
    </row>
    <row r="5175" spans="9:11">
      <c r="I5175" t="s">
        <v>91</v>
      </c>
      <c r="J5175" t="s">
        <v>92</v>
      </c>
      <c r="K5175">
        <v>0</v>
      </c>
    </row>
    <row r="5176" spans="9:11">
      <c r="I5176" t="s">
        <v>91</v>
      </c>
      <c r="J5176" t="s">
        <v>92</v>
      </c>
      <c r="K5176">
        <v>0</v>
      </c>
    </row>
    <row r="5177" spans="9:11">
      <c r="I5177" t="s">
        <v>94</v>
      </c>
      <c r="J5177" t="s">
        <v>95</v>
      </c>
      <c r="K5177">
        <v>0</v>
      </c>
    </row>
    <row r="5178" spans="9:11">
      <c r="I5178" t="s">
        <v>94</v>
      </c>
      <c r="J5178" t="s">
        <v>95</v>
      </c>
      <c r="K5178">
        <v>0</v>
      </c>
    </row>
    <row r="5179" spans="9:11">
      <c r="I5179" t="s">
        <v>94</v>
      </c>
      <c r="J5179" t="s">
        <v>95</v>
      </c>
      <c r="K5179">
        <v>0</v>
      </c>
    </row>
    <row r="5180" spans="9:11">
      <c r="I5180" t="s">
        <v>94</v>
      </c>
      <c r="J5180" t="s">
        <v>95</v>
      </c>
      <c r="K5180">
        <v>1</v>
      </c>
    </row>
    <row r="5181" spans="9:11">
      <c r="I5181" t="s">
        <v>91</v>
      </c>
      <c r="J5181" t="s">
        <v>92</v>
      </c>
      <c r="K5181">
        <v>0</v>
      </c>
    </row>
    <row r="5182" spans="9:11">
      <c r="I5182" t="s">
        <v>94</v>
      </c>
      <c r="J5182" t="s">
        <v>95</v>
      </c>
      <c r="K5182">
        <v>0</v>
      </c>
    </row>
    <row r="5183" spans="9:11">
      <c r="I5183" t="s">
        <v>91</v>
      </c>
      <c r="J5183" t="s">
        <v>92</v>
      </c>
      <c r="K5183">
        <v>0</v>
      </c>
    </row>
    <row r="5184" spans="9:11">
      <c r="I5184" t="s">
        <v>91</v>
      </c>
      <c r="J5184" t="s">
        <v>92</v>
      </c>
      <c r="K5184">
        <v>0</v>
      </c>
    </row>
    <row r="5185" spans="9:11">
      <c r="I5185" t="s">
        <v>94</v>
      </c>
      <c r="J5185" t="s">
        <v>95</v>
      </c>
      <c r="K5185">
        <v>0</v>
      </c>
    </row>
    <row r="5186" spans="9:11">
      <c r="I5186" t="s">
        <v>91</v>
      </c>
      <c r="J5186" t="s">
        <v>92</v>
      </c>
      <c r="K5186">
        <v>0</v>
      </c>
    </row>
    <row r="5187" spans="9:11">
      <c r="I5187" t="s">
        <v>91</v>
      </c>
      <c r="J5187" t="s">
        <v>92</v>
      </c>
      <c r="K5187">
        <v>0</v>
      </c>
    </row>
    <row r="5188" spans="9:11">
      <c r="I5188" t="s">
        <v>91</v>
      </c>
      <c r="J5188" t="s">
        <v>92</v>
      </c>
      <c r="K5188">
        <v>0</v>
      </c>
    </row>
    <row r="5189" spans="9:11">
      <c r="I5189" t="s">
        <v>91</v>
      </c>
      <c r="J5189" t="s">
        <v>92</v>
      </c>
      <c r="K5189">
        <v>0</v>
      </c>
    </row>
    <row r="5190" spans="9:11">
      <c r="I5190" t="s">
        <v>91</v>
      </c>
      <c r="J5190" t="s">
        <v>92</v>
      </c>
      <c r="K5190">
        <v>0</v>
      </c>
    </row>
    <row r="5191" spans="9:11">
      <c r="I5191" t="s">
        <v>91</v>
      </c>
      <c r="J5191" t="s">
        <v>92</v>
      </c>
      <c r="K5191">
        <v>0</v>
      </c>
    </row>
    <row r="5192" spans="9:11">
      <c r="I5192" t="s">
        <v>91</v>
      </c>
      <c r="J5192" t="s">
        <v>92</v>
      </c>
      <c r="K5192">
        <v>0</v>
      </c>
    </row>
    <row r="5193" spans="9:11">
      <c r="I5193" t="s">
        <v>94</v>
      </c>
      <c r="J5193" t="s">
        <v>95</v>
      </c>
      <c r="K5193">
        <v>0</v>
      </c>
    </row>
    <row r="5194" spans="9:11">
      <c r="I5194" t="s">
        <v>91</v>
      </c>
      <c r="J5194" t="s">
        <v>92</v>
      </c>
      <c r="K5194">
        <v>0</v>
      </c>
    </row>
    <row r="5195" spans="9:11">
      <c r="I5195" t="s">
        <v>91</v>
      </c>
      <c r="J5195" t="s">
        <v>92</v>
      </c>
      <c r="K5195">
        <v>0</v>
      </c>
    </row>
    <row r="5196" spans="9:11">
      <c r="I5196" t="s">
        <v>91</v>
      </c>
      <c r="J5196" t="s">
        <v>92</v>
      </c>
      <c r="K5196">
        <v>0</v>
      </c>
    </row>
    <row r="5197" spans="9:11">
      <c r="I5197" t="s">
        <v>94</v>
      </c>
      <c r="J5197" t="s">
        <v>95</v>
      </c>
      <c r="K5197">
        <v>0</v>
      </c>
    </row>
    <row r="5198" spans="9:11">
      <c r="I5198" t="s">
        <v>91</v>
      </c>
      <c r="J5198" t="s">
        <v>92</v>
      </c>
      <c r="K5198">
        <v>0</v>
      </c>
    </row>
    <row r="5199" spans="9:11">
      <c r="I5199" t="s">
        <v>94</v>
      </c>
      <c r="J5199" t="s">
        <v>95</v>
      </c>
      <c r="K5199">
        <v>0</v>
      </c>
    </row>
    <row r="5200" spans="9:11">
      <c r="I5200" t="s">
        <v>94</v>
      </c>
      <c r="J5200" t="s">
        <v>95</v>
      </c>
      <c r="K5200">
        <v>0</v>
      </c>
    </row>
    <row r="5201" spans="9:11">
      <c r="I5201" t="s">
        <v>91</v>
      </c>
      <c r="J5201" t="s">
        <v>92</v>
      </c>
      <c r="K5201">
        <v>0</v>
      </c>
    </row>
    <row r="5202" spans="9:11">
      <c r="I5202" t="s">
        <v>94</v>
      </c>
      <c r="J5202" t="s">
        <v>95</v>
      </c>
      <c r="K5202">
        <v>0</v>
      </c>
    </row>
    <row r="5203" spans="9:11">
      <c r="I5203" t="s">
        <v>91</v>
      </c>
      <c r="J5203" t="s">
        <v>92</v>
      </c>
      <c r="K5203">
        <v>0</v>
      </c>
    </row>
    <row r="5204" spans="9:11">
      <c r="I5204" t="s">
        <v>94</v>
      </c>
      <c r="J5204" t="s">
        <v>95</v>
      </c>
      <c r="K5204">
        <v>0</v>
      </c>
    </row>
    <row r="5205" spans="9:11">
      <c r="I5205" t="s">
        <v>91</v>
      </c>
      <c r="J5205" t="s">
        <v>92</v>
      </c>
      <c r="K5205">
        <v>0</v>
      </c>
    </row>
    <row r="5206" spans="9:11">
      <c r="I5206" t="s">
        <v>91</v>
      </c>
      <c r="J5206" t="s">
        <v>92</v>
      </c>
      <c r="K5206">
        <v>0</v>
      </c>
    </row>
    <row r="5207" spans="9:11">
      <c r="I5207" t="s">
        <v>94</v>
      </c>
      <c r="J5207" t="s">
        <v>95</v>
      </c>
      <c r="K5207">
        <v>0</v>
      </c>
    </row>
    <row r="5208" spans="9:11">
      <c r="I5208" t="s">
        <v>94</v>
      </c>
      <c r="J5208" t="s">
        <v>95</v>
      </c>
      <c r="K5208">
        <v>0</v>
      </c>
    </row>
    <row r="5209" spans="9:11">
      <c r="I5209" t="s">
        <v>94</v>
      </c>
      <c r="J5209" t="s">
        <v>95</v>
      </c>
      <c r="K5209">
        <v>0</v>
      </c>
    </row>
    <row r="5210" spans="9:11">
      <c r="I5210" t="s">
        <v>94</v>
      </c>
      <c r="J5210" t="s">
        <v>95</v>
      </c>
      <c r="K5210">
        <v>0</v>
      </c>
    </row>
    <row r="5211" spans="9:11">
      <c r="I5211" t="s">
        <v>91</v>
      </c>
      <c r="J5211" t="s">
        <v>92</v>
      </c>
      <c r="K5211">
        <v>0</v>
      </c>
    </row>
    <row r="5212" spans="9:11">
      <c r="I5212" t="s">
        <v>94</v>
      </c>
      <c r="J5212" t="s">
        <v>95</v>
      </c>
      <c r="K5212">
        <v>0</v>
      </c>
    </row>
    <row r="5213" spans="9:11">
      <c r="I5213" t="s">
        <v>91</v>
      </c>
      <c r="J5213" t="s">
        <v>92</v>
      </c>
      <c r="K5213">
        <v>0</v>
      </c>
    </row>
    <row r="5214" spans="9:11">
      <c r="I5214" t="s">
        <v>94</v>
      </c>
      <c r="J5214" t="s">
        <v>95</v>
      </c>
      <c r="K5214">
        <v>0</v>
      </c>
    </row>
    <row r="5215" spans="9:11">
      <c r="I5215" t="s">
        <v>94</v>
      </c>
      <c r="J5215" t="s">
        <v>95</v>
      </c>
      <c r="K5215">
        <v>0</v>
      </c>
    </row>
    <row r="5216" spans="9:11">
      <c r="I5216" t="s">
        <v>94</v>
      </c>
      <c r="J5216" t="s">
        <v>95</v>
      </c>
      <c r="K5216">
        <v>0</v>
      </c>
    </row>
    <row r="5217" spans="9:11">
      <c r="I5217" t="s">
        <v>91</v>
      </c>
      <c r="J5217" t="s">
        <v>92</v>
      </c>
      <c r="K5217">
        <v>0</v>
      </c>
    </row>
    <row r="5218" spans="9:11">
      <c r="I5218" t="s">
        <v>94</v>
      </c>
      <c r="J5218" t="s">
        <v>95</v>
      </c>
      <c r="K5218">
        <v>0</v>
      </c>
    </row>
    <row r="5219" spans="9:11">
      <c r="I5219" t="s">
        <v>94</v>
      </c>
      <c r="J5219" t="s">
        <v>95</v>
      </c>
      <c r="K5219">
        <v>0</v>
      </c>
    </row>
    <row r="5220" spans="9:11">
      <c r="I5220" t="s">
        <v>91</v>
      </c>
      <c r="J5220" t="s">
        <v>92</v>
      </c>
      <c r="K5220">
        <v>0</v>
      </c>
    </row>
    <row r="5221" spans="9:11">
      <c r="I5221" t="s">
        <v>91</v>
      </c>
      <c r="J5221" t="s">
        <v>92</v>
      </c>
      <c r="K5221">
        <v>0</v>
      </c>
    </row>
    <row r="5222" spans="9:11">
      <c r="I5222" t="s">
        <v>94</v>
      </c>
      <c r="J5222" t="s">
        <v>95</v>
      </c>
      <c r="K5222">
        <v>0</v>
      </c>
    </row>
    <row r="5223" spans="9:11">
      <c r="I5223" t="s">
        <v>91</v>
      </c>
      <c r="J5223" t="s">
        <v>92</v>
      </c>
      <c r="K5223">
        <v>0</v>
      </c>
    </row>
    <row r="5224" spans="9:11">
      <c r="I5224" t="s">
        <v>94</v>
      </c>
      <c r="J5224" t="s">
        <v>95</v>
      </c>
      <c r="K5224">
        <v>0</v>
      </c>
    </row>
    <row r="5225" spans="9:11">
      <c r="I5225" t="s">
        <v>94</v>
      </c>
      <c r="J5225" t="s">
        <v>95</v>
      </c>
      <c r="K5225">
        <v>0</v>
      </c>
    </row>
    <row r="5226" spans="9:11">
      <c r="I5226" t="s">
        <v>94</v>
      </c>
      <c r="J5226" t="s">
        <v>95</v>
      </c>
      <c r="K5226">
        <v>0</v>
      </c>
    </row>
    <row r="5227" spans="9:11">
      <c r="I5227" t="s">
        <v>94</v>
      </c>
      <c r="J5227" t="s">
        <v>95</v>
      </c>
      <c r="K5227">
        <v>0</v>
      </c>
    </row>
    <row r="5228" spans="9:11">
      <c r="I5228" t="s">
        <v>91</v>
      </c>
      <c r="J5228" t="s">
        <v>92</v>
      </c>
      <c r="K5228">
        <v>0</v>
      </c>
    </row>
    <row r="5229" spans="9:11">
      <c r="I5229" t="s">
        <v>94</v>
      </c>
      <c r="J5229" t="s">
        <v>95</v>
      </c>
      <c r="K5229">
        <v>0</v>
      </c>
    </row>
    <row r="5230" spans="9:11">
      <c r="I5230" t="s">
        <v>94</v>
      </c>
      <c r="J5230" t="s">
        <v>95</v>
      </c>
      <c r="K5230">
        <v>0</v>
      </c>
    </row>
    <row r="5231" spans="9:11">
      <c r="I5231" t="s">
        <v>91</v>
      </c>
      <c r="J5231" t="s">
        <v>92</v>
      </c>
      <c r="K5231">
        <v>0</v>
      </c>
    </row>
    <row r="5232" spans="9:11">
      <c r="I5232" t="s">
        <v>94</v>
      </c>
      <c r="J5232" t="s">
        <v>95</v>
      </c>
      <c r="K5232">
        <v>0</v>
      </c>
    </row>
    <row r="5233" spans="9:11">
      <c r="I5233" t="s">
        <v>94</v>
      </c>
      <c r="J5233" t="s">
        <v>95</v>
      </c>
      <c r="K5233">
        <v>0</v>
      </c>
    </row>
    <row r="5234" spans="9:11">
      <c r="I5234" t="s">
        <v>94</v>
      </c>
      <c r="J5234" t="s">
        <v>95</v>
      </c>
      <c r="K5234">
        <v>0</v>
      </c>
    </row>
    <row r="5235" spans="9:11">
      <c r="I5235" t="s">
        <v>94</v>
      </c>
      <c r="J5235" t="s">
        <v>95</v>
      </c>
      <c r="K5235">
        <v>0</v>
      </c>
    </row>
    <row r="5236" spans="9:11">
      <c r="I5236" t="s">
        <v>94</v>
      </c>
      <c r="J5236" t="s">
        <v>95</v>
      </c>
      <c r="K5236">
        <v>0</v>
      </c>
    </row>
    <row r="5237" spans="9:11">
      <c r="I5237" t="s">
        <v>91</v>
      </c>
      <c r="J5237" t="s">
        <v>92</v>
      </c>
      <c r="K5237">
        <v>0</v>
      </c>
    </row>
    <row r="5238" spans="9:11">
      <c r="I5238" t="s">
        <v>94</v>
      </c>
      <c r="J5238" t="s">
        <v>95</v>
      </c>
      <c r="K5238">
        <v>0</v>
      </c>
    </row>
    <row r="5239" spans="9:11">
      <c r="I5239" t="s">
        <v>94</v>
      </c>
      <c r="J5239" t="s">
        <v>95</v>
      </c>
      <c r="K5239">
        <v>0</v>
      </c>
    </row>
    <row r="5240" spans="9:11">
      <c r="I5240" t="s">
        <v>91</v>
      </c>
      <c r="J5240" t="s">
        <v>92</v>
      </c>
      <c r="K5240">
        <v>0</v>
      </c>
    </row>
    <row r="5241" spans="9:11">
      <c r="I5241" t="s">
        <v>91</v>
      </c>
      <c r="J5241" t="s">
        <v>92</v>
      </c>
      <c r="K5241">
        <v>0</v>
      </c>
    </row>
    <row r="5242" spans="9:11">
      <c r="I5242" t="s">
        <v>94</v>
      </c>
      <c r="J5242" t="s">
        <v>95</v>
      </c>
      <c r="K5242">
        <v>0</v>
      </c>
    </row>
    <row r="5243" spans="9:11">
      <c r="I5243" t="s">
        <v>94</v>
      </c>
      <c r="J5243" t="s">
        <v>95</v>
      </c>
      <c r="K5243">
        <v>0</v>
      </c>
    </row>
    <row r="5244" spans="9:11">
      <c r="I5244" t="s">
        <v>94</v>
      </c>
      <c r="J5244" t="s">
        <v>95</v>
      </c>
      <c r="K5244">
        <v>0</v>
      </c>
    </row>
    <row r="5245" spans="9:11">
      <c r="I5245" t="s">
        <v>94</v>
      </c>
      <c r="J5245" t="s">
        <v>95</v>
      </c>
      <c r="K5245">
        <v>0</v>
      </c>
    </row>
    <row r="5246" spans="9:11">
      <c r="I5246" t="s">
        <v>91</v>
      </c>
      <c r="J5246" t="s">
        <v>92</v>
      </c>
      <c r="K5246">
        <v>0</v>
      </c>
    </row>
    <row r="5247" spans="9:11">
      <c r="I5247" t="s">
        <v>91</v>
      </c>
      <c r="J5247" t="s">
        <v>92</v>
      </c>
      <c r="K5247">
        <v>0</v>
      </c>
    </row>
    <row r="5248" spans="9:11">
      <c r="I5248" t="s">
        <v>94</v>
      </c>
      <c r="J5248" t="s">
        <v>95</v>
      </c>
      <c r="K5248">
        <v>0</v>
      </c>
    </row>
    <row r="5249" spans="9:11">
      <c r="I5249" t="s">
        <v>91</v>
      </c>
      <c r="J5249" t="s">
        <v>92</v>
      </c>
      <c r="K5249">
        <v>0</v>
      </c>
    </row>
    <row r="5250" spans="9:11">
      <c r="I5250" t="s">
        <v>91</v>
      </c>
      <c r="J5250" t="s">
        <v>92</v>
      </c>
      <c r="K5250">
        <v>0</v>
      </c>
    </row>
    <row r="5251" spans="9:11">
      <c r="I5251" t="s">
        <v>94</v>
      </c>
      <c r="J5251" t="s">
        <v>95</v>
      </c>
      <c r="K5251">
        <v>0</v>
      </c>
    </row>
    <row r="5252" spans="9:11">
      <c r="I5252" t="s">
        <v>94</v>
      </c>
      <c r="J5252" t="s">
        <v>95</v>
      </c>
      <c r="K5252">
        <v>0</v>
      </c>
    </row>
    <row r="5253" spans="9:11">
      <c r="I5253" t="s">
        <v>94</v>
      </c>
      <c r="J5253" t="s">
        <v>95</v>
      </c>
      <c r="K5253">
        <v>0</v>
      </c>
    </row>
    <row r="5254" spans="9:11">
      <c r="I5254" t="s">
        <v>94</v>
      </c>
      <c r="J5254" t="s">
        <v>95</v>
      </c>
      <c r="K5254">
        <v>0</v>
      </c>
    </row>
    <row r="5255" spans="9:11">
      <c r="I5255" t="s">
        <v>91</v>
      </c>
      <c r="J5255" t="s">
        <v>92</v>
      </c>
      <c r="K5255">
        <v>0</v>
      </c>
    </row>
    <row r="5256" spans="9:11">
      <c r="I5256" t="s">
        <v>91</v>
      </c>
      <c r="J5256" t="s">
        <v>92</v>
      </c>
      <c r="K5256">
        <v>0</v>
      </c>
    </row>
    <row r="5257" spans="9:11">
      <c r="I5257" t="s">
        <v>91</v>
      </c>
      <c r="J5257" t="s">
        <v>92</v>
      </c>
      <c r="K5257">
        <v>0</v>
      </c>
    </row>
    <row r="5258" spans="9:11">
      <c r="I5258" t="s">
        <v>91</v>
      </c>
      <c r="J5258" t="s">
        <v>92</v>
      </c>
      <c r="K5258">
        <v>0</v>
      </c>
    </row>
    <row r="5259" spans="9:11">
      <c r="I5259" t="s">
        <v>91</v>
      </c>
      <c r="J5259" t="s">
        <v>92</v>
      </c>
      <c r="K5259">
        <v>0</v>
      </c>
    </row>
    <row r="5260" spans="9:11">
      <c r="I5260" t="s">
        <v>91</v>
      </c>
      <c r="J5260" t="s">
        <v>92</v>
      </c>
      <c r="K5260">
        <v>0</v>
      </c>
    </row>
    <row r="5261" spans="9:11">
      <c r="I5261" t="s">
        <v>91</v>
      </c>
      <c r="J5261" t="s">
        <v>92</v>
      </c>
      <c r="K5261">
        <v>0</v>
      </c>
    </row>
    <row r="5262" spans="9:11">
      <c r="I5262" t="s">
        <v>91</v>
      </c>
      <c r="J5262" t="s">
        <v>92</v>
      </c>
      <c r="K5262">
        <v>0</v>
      </c>
    </row>
    <row r="5263" spans="9:11">
      <c r="I5263" t="s">
        <v>91</v>
      </c>
      <c r="J5263" t="s">
        <v>92</v>
      </c>
      <c r="K5263">
        <v>0</v>
      </c>
    </row>
    <row r="5264" spans="9:11">
      <c r="I5264" t="s">
        <v>94</v>
      </c>
      <c r="J5264" t="s">
        <v>95</v>
      </c>
      <c r="K5264">
        <v>0</v>
      </c>
    </row>
    <row r="5265" spans="9:11">
      <c r="I5265" t="s">
        <v>91</v>
      </c>
      <c r="J5265" t="s">
        <v>92</v>
      </c>
      <c r="K5265">
        <v>0</v>
      </c>
    </row>
    <row r="5266" spans="9:11">
      <c r="I5266" t="s">
        <v>91</v>
      </c>
      <c r="J5266" t="s">
        <v>92</v>
      </c>
      <c r="K5266">
        <v>0</v>
      </c>
    </row>
    <row r="5267" spans="9:11">
      <c r="I5267" t="s">
        <v>94</v>
      </c>
      <c r="J5267" t="s">
        <v>95</v>
      </c>
      <c r="K5267">
        <v>0</v>
      </c>
    </row>
    <row r="5268" spans="9:11">
      <c r="I5268" t="s">
        <v>94</v>
      </c>
      <c r="J5268" t="s">
        <v>95</v>
      </c>
      <c r="K5268">
        <v>0</v>
      </c>
    </row>
    <row r="5269" spans="9:11">
      <c r="I5269" t="s">
        <v>94</v>
      </c>
      <c r="J5269" t="s">
        <v>95</v>
      </c>
      <c r="K5269">
        <v>0</v>
      </c>
    </row>
    <row r="5270" spans="9:11">
      <c r="I5270" t="s">
        <v>91</v>
      </c>
      <c r="J5270" t="s">
        <v>92</v>
      </c>
      <c r="K5270">
        <v>0</v>
      </c>
    </row>
    <row r="5271" spans="9:11">
      <c r="I5271" t="s">
        <v>94</v>
      </c>
      <c r="J5271" t="s">
        <v>95</v>
      </c>
      <c r="K5271">
        <v>0</v>
      </c>
    </row>
    <row r="5272" spans="9:11">
      <c r="I5272" t="s">
        <v>91</v>
      </c>
      <c r="J5272" t="s">
        <v>92</v>
      </c>
      <c r="K5272">
        <v>0</v>
      </c>
    </row>
    <row r="5273" spans="9:11">
      <c r="I5273" t="s">
        <v>91</v>
      </c>
      <c r="J5273" t="s">
        <v>92</v>
      </c>
      <c r="K5273">
        <v>0</v>
      </c>
    </row>
    <row r="5274" spans="9:11">
      <c r="I5274" t="s">
        <v>94</v>
      </c>
      <c r="J5274" t="s">
        <v>95</v>
      </c>
      <c r="K5274">
        <v>0</v>
      </c>
    </row>
    <row r="5275" spans="9:11">
      <c r="I5275" t="s">
        <v>91</v>
      </c>
      <c r="J5275" t="s">
        <v>92</v>
      </c>
      <c r="K5275">
        <v>0</v>
      </c>
    </row>
    <row r="5276" spans="9:11">
      <c r="I5276" t="s">
        <v>94</v>
      </c>
      <c r="J5276" t="s">
        <v>95</v>
      </c>
      <c r="K5276">
        <v>0</v>
      </c>
    </row>
    <row r="5277" spans="9:11">
      <c r="I5277" t="s">
        <v>94</v>
      </c>
      <c r="J5277" t="s">
        <v>95</v>
      </c>
      <c r="K5277">
        <v>0</v>
      </c>
    </row>
    <row r="5278" spans="9:11">
      <c r="I5278" t="s">
        <v>94</v>
      </c>
      <c r="J5278" t="s">
        <v>95</v>
      </c>
      <c r="K5278">
        <v>0</v>
      </c>
    </row>
    <row r="5279" spans="9:11">
      <c r="I5279" t="s">
        <v>91</v>
      </c>
      <c r="J5279" t="s">
        <v>92</v>
      </c>
      <c r="K5279">
        <v>1</v>
      </c>
    </row>
    <row r="5280" spans="9:11">
      <c r="I5280" t="s">
        <v>91</v>
      </c>
      <c r="J5280" t="s">
        <v>92</v>
      </c>
      <c r="K5280">
        <v>0</v>
      </c>
    </row>
    <row r="5281" spans="9:11">
      <c r="I5281" t="s">
        <v>94</v>
      </c>
      <c r="J5281" t="s">
        <v>95</v>
      </c>
      <c r="K5281">
        <v>0</v>
      </c>
    </row>
    <row r="5282" spans="9:11">
      <c r="I5282" t="s">
        <v>91</v>
      </c>
      <c r="J5282" t="s">
        <v>92</v>
      </c>
      <c r="K5282">
        <v>0</v>
      </c>
    </row>
    <row r="5283" spans="9:11">
      <c r="I5283" t="s">
        <v>91</v>
      </c>
      <c r="J5283" t="s">
        <v>92</v>
      </c>
      <c r="K5283">
        <v>0</v>
      </c>
    </row>
    <row r="5284" spans="9:11">
      <c r="I5284" t="s">
        <v>94</v>
      </c>
      <c r="J5284" t="s">
        <v>95</v>
      </c>
      <c r="K5284">
        <v>0</v>
      </c>
    </row>
    <row r="5285" spans="9:11">
      <c r="I5285" t="s">
        <v>94</v>
      </c>
      <c r="J5285" t="s">
        <v>95</v>
      </c>
      <c r="K5285">
        <v>0</v>
      </c>
    </row>
    <row r="5286" spans="9:11">
      <c r="I5286" t="s">
        <v>94</v>
      </c>
      <c r="J5286" t="s">
        <v>95</v>
      </c>
      <c r="K5286">
        <v>0</v>
      </c>
    </row>
    <row r="5287" spans="9:11">
      <c r="I5287" t="s">
        <v>91</v>
      </c>
      <c r="J5287" t="s">
        <v>92</v>
      </c>
      <c r="K5287">
        <v>0</v>
      </c>
    </row>
    <row r="5288" spans="9:11">
      <c r="I5288" t="s">
        <v>91</v>
      </c>
      <c r="J5288" t="s">
        <v>92</v>
      </c>
      <c r="K5288">
        <v>0</v>
      </c>
    </row>
    <row r="5289" spans="9:11">
      <c r="I5289" t="s">
        <v>94</v>
      </c>
      <c r="J5289" t="s">
        <v>95</v>
      </c>
      <c r="K5289">
        <v>0</v>
      </c>
    </row>
    <row r="5290" spans="9:11">
      <c r="I5290" t="s">
        <v>91</v>
      </c>
      <c r="J5290" t="s">
        <v>92</v>
      </c>
      <c r="K5290">
        <v>0</v>
      </c>
    </row>
    <row r="5291" spans="9:11">
      <c r="I5291" t="s">
        <v>94</v>
      </c>
      <c r="J5291" t="s">
        <v>95</v>
      </c>
      <c r="K5291">
        <v>0</v>
      </c>
    </row>
    <row r="5292" spans="9:11">
      <c r="I5292" t="s">
        <v>91</v>
      </c>
      <c r="J5292" t="s">
        <v>92</v>
      </c>
      <c r="K5292">
        <v>0</v>
      </c>
    </row>
    <row r="5293" spans="9:11">
      <c r="I5293" t="s">
        <v>94</v>
      </c>
      <c r="J5293" t="s">
        <v>95</v>
      </c>
      <c r="K5293">
        <v>0</v>
      </c>
    </row>
    <row r="5294" spans="9:11">
      <c r="I5294" t="s">
        <v>94</v>
      </c>
      <c r="J5294" t="s">
        <v>95</v>
      </c>
      <c r="K5294">
        <v>0</v>
      </c>
    </row>
    <row r="5295" spans="9:11">
      <c r="I5295" t="s">
        <v>91</v>
      </c>
      <c r="J5295" t="s">
        <v>92</v>
      </c>
      <c r="K5295">
        <v>0</v>
      </c>
    </row>
    <row r="5296" spans="9:11">
      <c r="I5296" t="s">
        <v>91</v>
      </c>
      <c r="J5296" t="s">
        <v>92</v>
      </c>
      <c r="K5296">
        <v>0</v>
      </c>
    </row>
    <row r="5297" spans="9:11">
      <c r="I5297" t="s">
        <v>94</v>
      </c>
      <c r="J5297" t="s">
        <v>95</v>
      </c>
      <c r="K5297">
        <v>0</v>
      </c>
    </row>
    <row r="5298" spans="9:11">
      <c r="I5298" t="s">
        <v>91</v>
      </c>
      <c r="J5298" t="s">
        <v>92</v>
      </c>
      <c r="K5298">
        <v>0</v>
      </c>
    </row>
    <row r="5299" spans="9:11">
      <c r="I5299" t="s">
        <v>94</v>
      </c>
      <c r="J5299" t="s">
        <v>95</v>
      </c>
      <c r="K5299">
        <v>0</v>
      </c>
    </row>
    <row r="5300" spans="9:11">
      <c r="I5300" t="s">
        <v>94</v>
      </c>
      <c r="J5300" t="s">
        <v>95</v>
      </c>
      <c r="K5300">
        <v>0</v>
      </c>
    </row>
    <row r="5301" spans="9:11">
      <c r="I5301" t="s">
        <v>94</v>
      </c>
      <c r="J5301" t="s">
        <v>95</v>
      </c>
      <c r="K5301">
        <v>0</v>
      </c>
    </row>
    <row r="5302" spans="9:11">
      <c r="I5302" t="s">
        <v>94</v>
      </c>
      <c r="J5302" t="s">
        <v>95</v>
      </c>
      <c r="K5302">
        <v>0</v>
      </c>
    </row>
    <row r="5303" spans="9:11">
      <c r="I5303" t="s">
        <v>91</v>
      </c>
      <c r="J5303" t="s">
        <v>92</v>
      </c>
      <c r="K5303">
        <v>0</v>
      </c>
    </row>
    <row r="5304" spans="9:11">
      <c r="I5304" t="s">
        <v>94</v>
      </c>
      <c r="J5304" t="s">
        <v>95</v>
      </c>
      <c r="K5304">
        <v>0</v>
      </c>
    </row>
    <row r="5305" spans="9:11">
      <c r="I5305" t="s">
        <v>91</v>
      </c>
      <c r="J5305" t="s">
        <v>92</v>
      </c>
      <c r="K5305">
        <v>0</v>
      </c>
    </row>
    <row r="5306" spans="9:11">
      <c r="I5306" t="s">
        <v>91</v>
      </c>
      <c r="J5306" t="s">
        <v>92</v>
      </c>
      <c r="K5306">
        <v>0</v>
      </c>
    </row>
    <row r="5307" spans="9:11">
      <c r="I5307" t="s">
        <v>94</v>
      </c>
      <c r="J5307" t="s">
        <v>95</v>
      </c>
      <c r="K5307">
        <v>0</v>
      </c>
    </row>
    <row r="5308" spans="9:11">
      <c r="I5308" t="s">
        <v>91</v>
      </c>
      <c r="J5308" t="s">
        <v>92</v>
      </c>
      <c r="K5308">
        <v>0</v>
      </c>
    </row>
    <row r="5309" spans="9:11">
      <c r="I5309" t="s">
        <v>94</v>
      </c>
      <c r="J5309" t="s">
        <v>95</v>
      </c>
      <c r="K5309">
        <v>0</v>
      </c>
    </row>
    <row r="5310" spans="9:11">
      <c r="I5310" t="s">
        <v>94</v>
      </c>
      <c r="J5310" t="s">
        <v>95</v>
      </c>
      <c r="K5310">
        <v>0</v>
      </c>
    </row>
    <row r="5311" spans="9:11">
      <c r="I5311" t="s">
        <v>91</v>
      </c>
      <c r="J5311" t="s">
        <v>92</v>
      </c>
      <c r="K5311">
        <v>0</v>
      </c>
    </row>
    <row r="5312" spans="9:11">
      <c r="I5312" t="s">
        <v>91</v>
      </c>
      <c r="J5312" t="s">
        <v>92</v>
      </c>
      <c r="K5312">
        <v>0</v>
      </c>
    </row>
    <row r="5313" spans="9:11">
      <c r="I5313" t="s">
        <v>91</v>
      </c>
      <c r="J5313" t="s">
        <v>92</v>
      </c>
      <c r="K5313">
        <v>0</v>
      </c>
    </row>
    <row r="5314" spans="9:11">
      <c r="I5314" t="s">
        <v>91</v>
      </c>
      <c r="J5314" t="s">
        <v>92</v>
      </c>
      <c r="K5314">
        <v>0</v>
      </c>
    </row>
    <row r="5315" spans="9:11">
      <c r="I5315" t="s">
        <v>94</v>
      </c>
      <c r="J5315" t="s">
        <v>95</v>
      </c>
      <c r="K5315">
        <v>0</v>
      </c>
    </row>
    <row r="5316" spans="9:11">
      <c r="I5316" t="s">
        <v>91</v>
      </c>
      <c r="J5316" t="s">
        <v>92</v>
      </c>
      <c r="K5316">
        <v>0</v>
      </c>
    </row>
    <row r="5317" spans="9:11">
      <c r="I5317" t="s">
        <v>91</v>
      </c>
      <c r="J5317" t="s">
        <v>92</v>
      </c>
      <c r="K5317">
        <v>0</v>
      </c>
    </row>
    <row r="5318" spans="9:11">
      <c r="I5318" t="s">
        <v>91</v>
      </c>
      <c r="J5318" t="s">
        <v>92</v>
      </c>
      <c r="K5318">
        <v>0</v>
      </c>
    </row>
    <row r="5319" spans="9:11">
      <c r="I5319" t="s">
        <v>91</v>
      </c>
      <c r="J5319" t="s">
        <v>92</v>
      </c>
      <c r="K5319">
        <v>0</v>
      </c>
    </row>
    <row r="5320" spans="9:11">
      <c r="I5320" t="s">
        <v>91</v>
      </c>
      <c r="J5320" t="s">
        <v>92</v>
      </c>
      <c r="K5320">
        <v>0</v>
      </c>
    </row>
    <row r="5321" spans="9:11">
      <c r="I5321" t="s">
        <v>91</v>
      </c>
      <c r="J5321" t="s">
        <v>92</v>
      </c>
      <c r="K5321">
        <v>0</v>
      </c>
    </row>
    <row r="5322" spans="9:11">
      <c r="I5322" t="s">
        <v>94</v>
      </c>
      <c r="J5322" t="s">
        <v>95</v>
      </c>
      <c r="K5322">
        <v>0</v>
      </c>
    </row>
    <row r="5323" spans="9:11">
      <c r="I5323" t="s">
        <v>94</v>
      </c>
      <c r="J5323" t="s">
        <v>95</v>
      </c>
      <c r="K5323">
        <v>0</v>
      </c>
    </row>
    <row r="5324" spans="9:11">
      <c r="I5324" t="s">
        <v>94</v>
      </c>
      <c r="J5324" t="s">
        <v>95</v>
      </c>
      <c r="K5324">
        <v>0</v>
      </c>
    </row>
    <row r="5325" spans="9:11">
      <c r="I5325" t="s">
        <v>91</v>
      </c>
      <c r="J5325" t="s">
        <v>92</v>
      </c>
      <c r="K5325">
        <v>0</v>
      </c>
    </row>
    <row r="5326" spans="9:11">
      <c r="I5326" t="s">
        <v>94</v>
      </c>
      <c r="J5326" t="s">
        <v>95</v>
      </c>
      <c r="K5326">
        <v>0</v>
      </c>
    </row>
    <row r="5327" spans="9:11">
      <c r="I5327" t="s">
        <v>94</v>
      </c>
      <c r="J5327" t="s">
        <v>95</v>
      </c>
      <c r="K5327">
        <v>0</v>
      </c>
    </row>
    <row r="5328" spans="9:11">
      <c r="I5328" t="s">
        <v>91</v>
      </c>
      <c r="J5328" t="s">
        <v>92</v>
      </c>
      <c r="K5328">
        <v>0</v>
      </c>
    </row>
    <row r="5329" spans="9:11">
      <c r="I5329" t="s">
        <v>94</v>
      </c>
      <c r="J5329" t="s">
        <v>95</v>
      </c>
      <c r="K5329">
        <v>0</v>
      </c>
    </row>
    <row r="5330" spans="9:11">
      <c r="I5330" t="s">
        <v>94</v>
      </c>
      <c r="J5330" t="s">
        <v>95</v>
      </c>
      <c r="K5330">
        <v>0</v>
      </c>
    </row>
    <row r="5331" spans="9:11">
      <c r="I5331" t="s">
        <v>94</v>
      </c>
      <c r="J5331" t="s">
        <v>95</v>
      </c>
      <c r="K5331">
        <v>0</v>
      </c>
    </row>
    <row r="5332" spans="9:11">
      <c r="I5332" t="s">
        <v>94</v>
      </c>
      <c r="J5332" t="s">
        <v>95</v>
      </c>
      <c r="K5332">
        <v>0</v>
      </c>
    </row>
    <row r="5333" spans="9:11">
      <c r="I5333" t="s">
        <v>94</v>
      </c>
      <c r="J5333" t="s">
        <v>95</v>
      </c>
      <c r="K5333">
        <v>0</v>
      </c>
    </row>
    <row r="5334" spans="9:11">
      <c r="I5334" t="s">
        <v>94</v>
      </c>
      <c r="J5334" t="s">
        <v>95</v>
      </c>
      <c r="K5334">
        <v>0</v>
      </c>
    </row>
    <row r="5335" spans="9:11">
      <c r="I5335" t="s">
        <v>91</v>
      </c>
      <c r="J5335" t="s">
        <v>92</v>
      </c>
      <c r="K5335">
        <v>0</v>
      </c>
    </row>
    <row r="5336" spans="9:11">
      <c r="I5336" t="s">
        <v>94</v>
      </c>
      <c r="J5336" t="s">
        <v>95</v>
      </c>
      <c r="K5336">
        <v>0</v>
      </c>
    </row>
    <row r="5337" spans="9:11">
      <c r="I5337" t="s">
        <v>94</v>
      </c>
      <c r="J5337" t="s">
        <v>95</v>
      </c>
      <c r="K5337">
        <v>0</v>
      </c>
    </row>
    <row r="5338" spans="9:11">
      <c r="I5338" t="s">
        <v>91</v>
      </c>
      <c r="J5338" t="s">
        <v>92</v>
      </c>
      <c r="K5338">
        <v>0</v>
      </c>
    </row>
    <row r="5339" spans="9:11">
      <c r="I5339" t="s">
        <v>94</v>
      </c>
      <c r="J5339" t="s">
        <v>95</v>
      </c>
      <c r="K5339">
        <v>0</v>
      </c>
    </row>
    <row r="5340" spans="9:11">
      <c r="I5340" t="s">
        <v>91</v>
      </c>
      <c r="J5340" t="s">
        <v>92</v>
      </c>
      <c r="K5340">
        <v>0</v>
      </c>
    </row>
    <row r="5341" spans="9:11">
      <c r="I5341" t="s">
        <v>91</v>
      </c>
      <c r="J5341" t="s">
        <v>92</v>
      </c>
      <c r="K5341">
        <v>0</v>
      </c>
    </row>
    <row r="5342" spans="9:11">
      <c r="I5342" t="s">
        <v>94</v>
      </c>
      <c r="J5342" t="s">
        <v>95</v>
      </c>
      <c r="K5342">
        <v>0</v>
      </c>
    </row>
    <row r="5343" spans="9:11">
      <c r="I5343" t="s">
        <v>91</v>
      </c>
      <c r="J5343" t="s">
        <v>92</v>
      </c>
      <c r="K5343">
        <v>0</v>
      </c>
    </row>
    <row r="5344" spans="9:11">
      <c r="I5344" t="s">
        <v>91</v>
      </c>
      <c r="J5344" t="s">
        <v>92</v>
      </c>
      <c r="K5344">
        <v>0</v>
      </c>
    </row>
    <row r="5345" spans="9:11">
      <c r="I5345" t="s">
        <v>94</v>
      </c>
      <c r="J5345" t="s">
        <v>95</v>
      </c>
      <c r="K5345">
        <v>0</v>
      </c>
    </row>
    <row r="5346" spans="9:11">
      <c r="I5346" t="s">
        <v>94</v>
      </c>
      <c r="J5346" t="s">
        <v>95</v>
      </c>
      <c r="K5346">
        <v>0</v>
      </c>
    </row>
    <row r="5347" spans="9:11">
      <c r="I5347" t="s">
        <v>94</v>
      </c>
      <c r="J5347" t="s">
        <v>95</v>
      </c>
      <c r="K5347">
        <v>0</v>
      </c>
    </row>
    <row r="5348" spans="9:11">
      <c r="I5348" t="s">
        <v>91</v>
      </c>
      <c r="J5348" t="s">
        <v>92</v>
      </c>
      <c r="K5348">
        <v>0</v>
      </c>
    </row>
    <row r="5349" spans="9:11">
      <c r="I5349" t="s">
        <v>94</v>
      </c>
      <c r="J5349" t="s">
        <v>95</v>
      </c>
      <c r="K5349">
        <v>0</v>
      </c>
    </row>
    <row r="5350" spans="9:11">
      <c r="I5350" t="s">
        <v>94</v>
      </c>
      <c r="J5350" t="s">
        <v>95</v>
      </c>
      <c r="K5350">
        <v>0</v>
      </c>
    </row>
    <row r="5351" spans="9:11">
      <c r="I5351" t="s">
        <v>91</v>
      </c>
      <c r="J5351" t="s">
        <v>92</v>
      </c>
      <c r="K5351">
        <v>0</v>
      </c>
    </row>
    <row r="5352" spans="9:11">
      <c r="I5352" t="s">
        <v>94</v>
      </c>
      <c r="J5352" t="s">
        <v>95</v>
      </c>
      <c r="K5352">
        <v>0</v>
      </c>
    </row>
    <row r="5353" spans="9:11">
      <c r="I5353" t="s">
        <v>94</v>
      </c>
      <c r="J5353" t="s">
        <v>95</v>
      </c>
      <c r="K5353">
        <v>0</v>
      </c>
    </row>
    <row r="5354" spans="9:11">
      <c r="I5354" t="s">
        <v>91</v>
      </c>
      <c r="J5354" t="s">
        <v>92</v>
      </c>
      <c r="K5354">
        <v>0</v>
      </c>
    </row>
    <row r="5355" spans="9:11">
      <c r="I5355" t="s">
        <v>91</v>
      </c>
      <c r="J5355" t="s">
        <v>92</v>
      </c>
      <c r="K5355">
        <v>0</v>
      </c>
    </row>
    <row r="5356" spans="9:11">
      <c r="I5356" t="s">
        <v>91</v>
      </c>
      <c r="J5356" t="s">
        <v>92</v>
      </c>
      <c r="K5356">
        <v>0</v>
      </c>
    </row>
    <row r="5357" spans="9:11">
      <c r="I5357" t="s">
        <v>94</v>
      </c>
      <c r="J5357" t="s">
        <v>95</v>
      </c>
      <c r="K5357">
        <v>0</v>
      </c>
    </row>
    <row r="5358" spans="9:11">
      <c r="I5358" t="s">
        <v>91</v>
      </c>
      <c r="J5358" t="s">
        <v>92</v>
      </c>
      <c r="K5358">
        <v>0</v>
      </c>
    </row>
    <row r="5359" spans="9:11">
      <c r="I5359" t="s">
        <v>91</v>
      </c>
      <c r="J5359" t="s">
        <v>92</v>
      </c>
      <c r="K5359">
        <v>0</v>
      </c>
    </row>
    <row r="5360" spans="9:11">
      <c r="I5360" t="s">
        <v>91</v>
      </c>
      <c r="J5360" t="s">
        <v>92</v>
      </c>
      <c r="K5360">
        <v>0</v>
      </c>
    </row>
    <row r="5361" spans="9:11">
      <c r="I5361" t="s">
        <v>94</v>
      </c>
      <c r="J5361" t="s">
        <v>95</v>
      </c>
      <c r="K5361">
        <v>0</v>
      </c>
    </row>
    <row r="5362" spans="9:11">
      <c r="I5362" t="s">
        <v>94</v>
      </c>
      <c r="J5362" t="s">
        <v>95</v>
      </c>
      <c r="K5362">
        <v>0</v>
      </c>
    </row>
    <row r="5363" spans="9:11">
      <c r="I5363" t="s">
        <v>91</v>
      </c>
      <c r="J5363" t="s">
        <v>92</v>
      </c>
      <c r="K5363">
        <v>0</v>
      </c>
    </row>
    <row r="5364" spans="9:11">
      <c r="I5364" t="s">
        <v>94</v>
      </c>
      <c r="J5364" t="s">
        <v>95</v>
      </c>
      <c r="K5364">
        <v>0</v>
      </c>
    </row>
    <row r="5365" spans="9:11">
      <c r="I5365" t="s">
        <v>91</v>
      </c>
      <c r="J5365" t="s">
        <v>92</v>
      </c>
      <c r="K5365">
        <v>0</v>
      </c>
    </row>
    <row r="5366" spans="9:11">
      <c r="I5366" t="s">
        <v>94</v>
      </c>
      <c r="J5366" t="s">
        <v>95</v>
      </c>
      <c r="K5366">
        <v>0</v>
      </c>
    </row>
    <row r="5367" spans="9:11">
      <c r="I5367" t="s">
        <v>94</v>
      </c>
      <c r="J5367" t="s">
        <v>95</v>
      </c>
      <c r="K5367">
        <v>0</v>
      </c>
    </row>
    <row r="5368" spans="9:11">
      <c r="I5368" t="s">
        <v>91</v>
      </c>
      <c r="J5368" t="s">
        <v>92</v>
      </c>
      <c r="K5368">
        <v>0</v>
      </c>
    </row>
    <row r="5369" spans="9:11">
      <c r="I5369" t="s">
        <v>91</v>
      </c>
      <c r="J5369" t="s">
        <v>92</v>
      </c>
      <c r="K5369">
        <v>0</v>
      </c>
    </row>
    <row r="5370" spans="9:11">
      <c r="I5370" t="s">
        <v>94</v>
      </c>
      <c r="J5370" t="s">
        <v>95</v>
      </c>
      <c r="K5370">
        <v>0</v>
      </c>
    </row>
    <row r="5371" spans="9:11">
      <c r="I5371" t="s">
        <v>91</v>
      </c>
      <c r="J5371" t="s">
        <v>92</v>
      </c>
      <c r="K5371">
        <v>0</v>
      </c>
    </row>
    <row r="5372" spans="9:11">
      <c r="I5372" t="s">
        <v>94</v>
      </c>
      <c r="J5372" t="s">
        <v>95</v>
      </c>
      <c r="K5372">
        <v>0</v>
      </c>
    </row>
    <row r="5373" spans="9:11">
      <c r="I5373" t="s">
        <v>94</v>
      </c>
      <c r="J5373" t="s">
        <v>95</v>
      </c>
      <c r="K5373">
        <v>0</v>
      </c>
    </row>
    <row r="5374" spans="9:11">
      <c r="I5374" t="s">
        <v>91</v>
      </c>
      <c r="J5374" t="s">
        <v>92</v>
      </c>
      <c r="K5374">
        <v>0</v>
      </c>
    </row>
    <row r="5375" spans="9:11">
      <c r="I5375" t="s">
        <v>91</v>
      </c>
      <c r="J5375" t="s">
        <v>92</v>
      </c>
      <c r="K5375">
        <v>0</v>
      </c>
    </row>
    <row r="5376" spans="9:11">
      <c r="I5376" t="s">
        <v>94</v>
      </c>
      <c r="J5376" t="s">
        <v>95</v>
      </c>
      <c r="K5376">
        <v>0</v>
      </c>
    </row>
    <row r="5377" spans="9:11">
      <c r="I5377" t="s">
        <v>94</v>
      </c>
      <c r="J5377" t="s">
        <v>95</v>
      </c>
      <c r="K5377">
        <v>0</v>
      </c>
    </row>
    <row r="5378" spans="9:11">
      <c r="I5378" t="s">
        <v>91</v>
      </c>
      <c r="J5378" t="s">
        <v>92</v>
      </c>
      <c r="K5378">
        <v>0</v>
      </c>
    </row>
    <row r="5379" spans="9:11">
      <c r="I5379" t="s">
        <v>94</v>
      </c>
      <c r="J5379" t="s">
        <v>95</v>
      </c>
      <c r="K5379">
        <v>0</v>
      </c>
    </row>
    <row r="5380" spans="9:11">
      <c r="I5380" t="s">
        <v>91</v>
      </c>
      <c r="J5380" t="s">
        <v>92</v>
      </c>
      <c r="K5380">
        <v>0</v>
      </c>
    </row>
    <row r="5381" spans="9:11">
      <c r="I5381" t="s">
        <v>94</v>
      </c>
      <c r="J5381" t="s">
        <v>95</v>
      </c>
      <c r="K5381">
        <v>0</v>
      </c>
    </row>
    <row r="5382" spans="9:11">
      <c r="I5382" t="s">
        <v>91</v>
      </c>
      <c r="J5382" t="s">
        <v>92</v>
      </c>
      <c r="K5382">
        <v>0</v>
      </c>
    </row>
    <row r="5383" spans="9:11">
      <c r="I5383" t="s">
        <v>94</v>
      </c>
      <c r="J5383" t="s">
        <v>95</v>
      </c>
      <c r="K5383">
        <v>0</v>
      </c>
    </row>
    <row r="5384" spans="9:11">
      <c r="I5384" t="s">
        <v>91</v>
      </c>
      <c r="J5384" t="s">
        <v>92</v>
      </c>
      <c r="K5384">
        <v>0</v>
      </c>
    </row>
    <row r="5385" spans="9:11">
      <c r="I5385" t="s">
        <v>94</v>
      </c>
      <c r="J5385" t="s">
        <v>95</v>
      </c>
      <c r="K5385">
        <v>0</v>
      </c>
    </row>
    <row r="5386" spans="9:11">
      <c r="I5386" t="s">
        <v>94</v>
      </c>
      <c r="J5386" t="s">
        <v>95</v>
      </c>
      <c r="K5386">
        <v>0</v>
      </c>
    </row>
    <row r="5387" spans="9:11">
      <c r="I5387" t="s">
        <v>91</v>
      </c>
      <c r="J5387" t="s">
        <v>92</v>
      </c>
      <c r="K5387">
        <v>0</v>
      </c>
    </row>
    <row r="5388" spans="9:11">
      <c r="I5388" t="s">
        <v>94</v>
      </c>
      <c r="J5388" t="s">
        <v>95</v>
      </c>
      <c r="K5388">
        <v>0</v>
      </c>
    </row>
    <row r="5389" spans="9:11">
      <c r="I5389" t="s">
        <v>94</v>
      </c>
      <c r="J5389" t="s">
        <v>95</v>
      </c>
      <c r="K5389">
        <v>0</v>
      </c>
    </row>
    <row r="5390" spans="9:11">
      <c r="I5390" t="s">
        <v>94</v>
      </c>
      <c r="J5390" t="s">
        <v>95</v>
      </c>
      <c r="K5390">
        <v>0</v>
      </c>
    </row>
    <row r="5391" spans="9:11">
      <c r="I5391" t="s">
        <v>94</v>
      </c>
      <c r="J5391" t="s">
        <v>95</v>
      </c>
      <c r="K5391">
        <v>0</v>
      </c>
    </row>
    <row r="5392" spans="9:11">
      <c r="I5392" t="s">
        <v>94</v>
      </c>
      <c r="J5392" t="s">
        <v>95</v>
      </c>
      <c r="K5392">
        <v>1</v>
      </c>
    </row>
    <row r="5393" spans="9:11">
      <c r="I5393" t="s">
        <v>94</v>
      </c>
      <c r="J5393" t="s">
        <v>95</v>
      </c>
      <c r="K5393">
        <v>0</v>
      </c>
    </row>
    <row r="5394" spans="9:11">
      <c r="I5394" t="s">
        <v>91</v>
      </c>
      <c r="J5394" t="s">
        <v>92</v>
      </c>
      <c r="K5394">
        <v>0</v>
      </c>
    </row>
    <row r="5395" spans="9:11">
      <c r="I5395" t="s">
        <v>94</v>
      </c>
      <c r="J5395" t="s">
        <v>95</v>
      </c>
      <c r="K5395">
        <v>0</v>
      </c>
    </row>
    <row r="5396" spans="9:11">
      <c r="I5396" t="s">
        <v>94</v>
      </c>
      <c r="J5396" t="s">
        <v>95</v>
      </c>
      <c r="K5396">
        <v>0</v>
      </c>
    </row>
    <row r="5397" spans="9:11">
      <c r="I5397" t="s">
        <v>91</v>
      </c>
      <c r="J5397" t="s">
        <v>92</v>
      </c>
      <c r="K5397">
        <v>0</v>
      </c>
    </row>
    <row r="5398" spans="9:11">
      <c r="I5398" t="s">
        <v>94</v>
      </c>
      <c r="J5398" t="s">
        <v>95</v>
      </c>
      <c r="K5398">
        <v>0</v>
      </c>
    </row>
    <row r="5399" spans="9:11">
      <c r="I5399" t="s">
        <v>91</v>
      </c>
      <c r="J5399" t="s">
        <v>92</v>
      </c>
      <c r="K5399">
        <v>0</v>
      </c>
    </row>
    <row r="5400" spans="9:11">
      <c r="I5400" t="s">
        <v>91</v>
      </c>
      <c r="J5400" t="s">
        <v>92</v>
      </c>
      <c r="K5400">
        <v>0</v>
      </c>
    </row>
    <row r="5401" spans="9:11">
      <c r="I5401" t="s">
        <v>91</v>
      </c>
      <c r="J5401" t="s">
        <v>92</v>
      </c>
      <c r="K5401">
        <v>0</v>
      </c>
    </row>
    <row r="5402" spans="9:11">
      <c r="I5402" t="s">
        <v>91</v>
      </c>
      <c r="J5402" t="s">
        <v>92</v>
      </c>
      <c r="K5402">
        <v>0</v>
      </c>
    </row>
    <row r="5403" spans="9:11">
      <c r="I5403" t="s">
        <v>94</v>
      </c>
      <c r="J5403" t="s">
        <v>95</v>
      </c>
      <c r="K5403">
        <v>0</v>
      </c>
    </row>
    <row r="5404" spans="9:11">
      <c r="I5404" t="s">
        <v>91</v>
      </c>
      <c r="J5404" t="s">
        <v>92</v>
      </c>
      <c r="K5404">
        <v>0</v>
      </c>
    </row>
    <row r="5405" spans="9:11">
      <c r="I5405" t="s">
        <v>94</v>
      </c>
      <c r="J5405" t="s">
        <v>95</v>
      </c>
      <c r="K5405">
        <v>1</v>
      </c>
    </row>
    <row r="5406" spans="9:11">
      <c r="I5406" t="s">
        <v>91</v>
      </c>
      <c r="J5406" t="s">
        <v>92</v>
      </c>
      <c r="K5406">
        <v>0</v>
      </c>
    </row>
    <row r="5407" spans="9:11">
      <c r="I5407" t="s">
        <v>94</v>
      </c>
      <c r="J5407" t="s">
        <v>95</v>
      </c>
      <c r="K5407">
        <v>0</v>
      </c>
    </row>
    <row r="5408" spans="9:11">
      <c r="I5408" t="s">
        <v>94</v>
      </c>
      <c r="J5408" t="s">
        <v>95</v>
      </c>
      <c r="K5408">
        <v>0</v>
      </c>
    </row>
    <row r="5409" spans="9:11">
      <c r="I5409" t="s">
        <v>94</v>
      </c>
      <c r="J5409" t="s">
        <v>95</v>
      </c>
      <c r="K5409">
        <v>1</v>
      </c>
    </row>
    <row r="5410" spans="9:11">
      <c r="I5410" t="s">
        <v>94</v>
      </c>
      <c r="J5410" t="s">
        <v>95</v>
      </c>
      <c r="K5410">
        <v>1</v>
      </c>
    </row>
    <row r="5411" spans="9:11">
      <c r="I5411" t="s">
        <v>91</v>
      </c>
      <c r="J5411" t="s">
        <v>92</v>
      </c>
      <c r="K5411">
        <v>0</v>
      </c>
    </row>
    <row r="5412" spans="9:11">
      <c r="I5412" t="s">
        <v>94</v>
      </c>
      <c r="J5412" t="s">
        <v>95</v>
      </c>
      <c r="K5412">
        <v>0</v>
      </c>
    </row>
    <row r="5413" spans="9:11">
      <c r="I5413" t="s">
        <v>91</v>
      </c>
      <c r="J5413" t="s">
        <v>92</v>
      </c>
      <c r="K5413">
        <v>0</v>
      </c>
    </row>
    <row r="5414" spans="9:11">
      <c r="I5414" t="s">
        <v>91</v>
      </c>
      <c r="J5414" t="s">
        <v>92</v>
      </c>
      <c r="K5414">
        <v>1</v>
      </c>
    </row>
    <row r="5415" spans="9:11">
      <c r="I5415" t="s">
        <v>94</v>
      </c>
      <c r="J5415" t="s">
        <v>95</v>
      </c>
      <c r="K5415">
        <v>0</v>
      </c>
    </row>
    <row r="5416" spans="9:11">
      <c r="I5416" t="s">
        <v>91</v>
      </c>
      <c r="J5416" t="s">
        <v>92</v>
      </c>
      <c r="K5416">
        <v>0</v>
      </c>
    </row>
    <row r="5417" spans="9:11">
      <c r="I5417" t="s">
        <v>91</v>
      </c>
      <c r="J5417" t="s">
        <v>92</v>
      </c>
      <c r="K5417">
        <v>0</v>
      </c>
    </row>
    <row r="5418" spans="9:11">
      <c r="I5418" t="s">
        <v>91</v>
      </c>
      <c r="J5418" t="s">
        <v>92</v>
      </c>
      <c r="K5418">
        <v>0</v>
      </c>
    </row>
    <row r="5419" spans="9:11">
      <c r="I5419" t="s">
        <v>91</v>
      </c>
      <c r="J5419" t="s">
        <v>92</v>
      </c>
      <c r="K5419">
        <v>0</v>
      </c>
    </row>
    <row r="5420" spans="9:11">
      <c r="I5420" t="s">
        <v>91</v>
      </c>
      <c r="J5420" t="s">
        <v>92</v>
      </c>
      <c r="K5420">
        <v>0</v>
      </c>
    </row>
    <row r="5421" spans="9:11">
      <c r="I5421" t="s">
        <v>94</v>
      </c>
      <c r="J5421" t="s">
        <v>95</v>
      </c>
      <c r="K5421">
        <v>0</v>
      </c>
    </row>
    <row r="5422" spans="9:11">
      <c r="I5422" t="s">
        <v>94</v>
      </c>
      <c r="J5422" t="s">
        <v>95</v>
      </c>
      <c r="K5422">
        <v>1</v>
      </c>
    </row>
    <row r="5423" spans="9:11">
      <c r="I5423" t="s">
        <v>91</v>
      </c>
      <c r="J5423" t="s">
        <v>92</v>
      </c>
      <c r="K5423">
        <v>0</v>
      </c>
    </row>
    <row r="5424" spans="9:11">
      <c r="I5424" t="s">
        <v>94</v>
      </c>
      <c r="J5424" t="s">
        <v>95</v>
      </c>
      <c r="K5424">
        <v>0</v>
      </c>
    </row>
    <row r="5425" spans="9:11">
      <c r="I5425" t="s">
        <v>91</v>
      </c>
      <c r="J5425" t="s">
        <v>92</v>
      </c>
      <c r="K5425">
        <v>0</v>
      </c>
    </row>
    <row r="5426" spans="9:11">
      <c r="I5426" t="s">
        <v>94</v>
      </c>
      <c r="J5426" t="s">
        <v>95</v>
      </c>
      <c r="K5426">
        <v>0</v>
      </c>
    </row>
    <row r="5427" spans="9:11">
      <c r="I5427" t="s">
        <v>94</v>
      </c>
      <c r="J5427" t="s">
        <v>95</v>
      </c>
      <c r="K5427">
        <v>0</v>
      </c>
    </row>
    <row r="5428" spans="9:11">
      <c r="I5428" t="s">
        <v>91</v>
      </c>
      <c r="J5428" t="s">
        <v>92</v>
      </c>
      <c r="K5428">
        <v>0</v>
      </c>
    </row>
    <row r="5429" spans="9:11">
      <c r="I5429" t="s">
        <v>94</v>
      </c>
      <c r="J5429" t="s">
        <v>95</v>
      </c>
      <c r="K5429">
        <v>0</v>
      </c>
    </row>
    <row r="5430" spans="9:11">
      <c r="I5430" t="s">
        <v>94</v>
      </c>
      <c r="J5430" t="s">
        <v>95</v>
      </c>
      <c r="K5430">
        <v>0</v>
      </c>
    </row>
    <row r="5431" spans="9:11">
      <c r="I5431" t="s">
        <v>94</v>
      </c>
      <c r="J5431" t="s">
        <v>95</v>
      </c>
      <c r="K5431">
        <v>0</v>
      </c>
    </row>
    <row r="5432" spans="9:11">
      <c r="I5432" t="s">
        <v>91</v>
      </c>
      <c r="J5432" t="s">
        <v>92</v>
      </c>
      <c r="K5432">
        <v>0</v>
      </c>
    </row>
    <row r="5433" spans="9:11">
      <c r="I5433" t="s">
        <v>94</v>
      </c>
      <c r="J5433" t="s">
        <v>95</v>
      </c>
      <c r="K5433">
        <v>0</v>
      </c>
    </row>
    <row r="5434" spans="9:11">
      <c r="I5434" t="s">
        <v>91</v>
      </c>
      <c r="J5434" t="s">
        <v>92</v>
      </c>
      <c r="K5434">
        <v>0</v>
      </c>
    </row>
    <row r="5435" spans="9:11">
      <c r="I5435" t="s">
        <v>91</v>
      </c>
      <c r="J5435" t="s">
        <v>92</v>
      </c>
      <c r="K5435">
        <v>0</v>
      </c>
    </row>
    <row r="5436" spans="9:11">
      <c r="I5436" t="s">
        <v>91</v>
      </c>
      <c r="J5436" t="s">
        <v>92</v>
      </c>
      <c r="K5436">
        <v>0</v>
      </c>
    </row>
    <row r="5437" spans="9:11">
      <c r="I5437" t="s">
        <v>91</v>
      </c>
      <c r="J5437" t="s">
        <v>92</v>
      </c>
      <c r="K5437">
        <v>0</v>
      </c>
    </row>
    <row r="5438" spans="9:11">
      <c r="I5438" t="s">
        <v>91</v>
      </c>
      <c r="J5438" t="s">
        <v>92</v>
      </c>
      <c r="K5438">
        <v>0</v>
      </c>
    </row>
    <row r="5439" spans="9:11">
      <c r="I5439" t="s">
        <v>94</v>
      </c>
      <c r="J5439" t="s">
        <v>95</v>
      </c>
      <c r="K5439">
        <v>0</v>
      </c>
    </row>
    <row r="5440" spans="9:11">
      <c r="I5440" t="s">
        <v>94</v>
      </c>
      <c r="J5440" t="s">
        <v>95</v>
      </c>
      <c r="K5440">
        <v>0</v>
      </c>
    </row>
    <row r="5441" spans="9:11">
      <c r="I5441" t="s">
        <v>94</v>
      </c>
      <c r="J5441" t="s">
        <v>95</v>
      </c>
      <c r="K5441">
        <v>0</v>
      </c>
    </row>
    <row r="5442" spans="9:11">
      <c r="I5442" t="s">
        <v>91</v>
      </c>
      <c r="J5442" t="s">
        <v>92</v>
      </c>
      <c r="K5442">
        <v>0</v>
      </c>
    </row>
    <row r="5443" spans="9:11">
      <c r="I5443" t="s">
        <v>94</v>
      </c>
      <c r="J5443" t="s">
        <v>95</v>
      </c>
      <c r="K5443">
        <v>0</v>
      </c>
    </row>
    <row r="5444" spans="9:11">
      <c r="I5444" t="s">
        <v>91</v>
      </c>
      <c r="J5444" t="s">
        <v>92</v>
      </c>
      <c r="K5444">
        <v>0</v>
      </c>
    </row>
    <row r="5445" spans="9:11">
      <c r="I5445" t="s">
        <v>94</v>
      </c>
      <c r="J5445" t="s">
        <v>95</v>
      </c>
      <c r="K5445">
        <v>0</v>
      </c>
    </row>
    <row r="5446" spans="9:11">
      <c r="I5446" t="s">
        <v>94</v>
      </c>
      <c r="J5446" t="s">
        <v>95</v>
      </c>
      <c r="K5446">
        <v>1</v>
      </c>
    </row>
    <row r="5447" spans="9:11">
      <c r="I5447" t="s">
        <v>91</v>
      </c>
      <c r="J5447" t="s">
        <v>92</v>
      </c>
      <c r="K5447">
        <v>0</v>
      </c>
    </row>
    <row r="5448" spans="9:11">
      <c r="I5448" t="s">
        <v>91</v>
      </c>
      <c r="J5448" t="s">
        <v>92</v>
      </c>
      <c r="K5448">
        <v>0</v>
      </c>
    </row>
    <row r="5449" spans="9:11">
      <c r="I5449" t="s">
        <v>91</v>
      </c>
      <c r="J5449" t="s">
        <v>92</v>
      </c>
      <c r="K5449">
        <v>0</v>
      </c>
    </row>
    <row r="5450" spans="9:11">
      <c r="I5450" t="s">
        <v>94</v>
      </c>
      <c r="J5450" t="s">
        <v>95</v>
      </c>
      <c r="K5450">
        <v>0</v>
      </c>
    </row>
    <row r="5451" spans="9:11">
      <c r="I5451" t="s">
        <v>94</v>
      </c>
      <c r="J5451" t="s">
        <v>95</v>
      </c>
      <c r="K5451">
        <v>0</v>
      </c>
    </row>
    <row r="5452" spans="9:11">
      <c r="I5452" t="s">
        <v>94</v>
      </c>
      <c r="J5452" t="s">
        <v>95</v>
      </c>
      <c r="K5452">
        <v>0</v>
      </c>
    </row>
    <row r="5453" spans="9:11">
      <c r="I5453" t="s">
        <v>91</v>
      </c>
      <c r="J5453" t="s">
        <v>92</v>
      </c>
      <c r="K5453">
        <v>0</v>
      </c>
    </row>
    <row r="5454" spans="9:11">
      <c r="I5454" t="s">
        <v>94</v>
      </c>
      <c r="J5454" t="s">
        <v>95</v>
      </c>
      <c r="K5454">
        <v>0</v>
      </c>
    </row>
    <row r="5455" spans="9:11">
      <c r="I5455" t="s">
        <v>91</v>
      </c>
      <c r="J5455" t="s">
        <v>92</v>
      </c>
      <c r="K5455">
        <v>0</v>
      </c>
    </row>
    <row r="5456" spans="9:11">
      <c r="I5456" t="s">
        <v>91</v>
      </c>
      <c r="J5456" t="s">
        <v>92</v>
      </c>
      <c r="K5456">
        <v>0</v>
      </c>
    </row>
    <row r="5457" spans="9:11">
      <c r="I5457" t="s">
        <v>94</v>
      </c>
      <c r="J5457" t="s">
        <v>95</v>
      </c>
      <c r="K5457">
        <v>0</v>
      </c>
    </row>
    <row r="5458" spans="9:11">
      <c r="I5458" t="s">
        <v>94</v>
      </c>
      <c r="J5458" t="s">
        <v>95</v>
      </c>
      <c r="K5458">
        <v>0</v>
      </c>
    </row>
    <row r="5459" spans="9:11">
      <c r="I5459" t="s">
        <v>91</v>
      </c>
      <c r="J5459" t="s">
        <v>92</v>
      </c>
      <c r="K5459">
        <v>0</v>
      </c>
    </row>
    <row r="5460" spans="9:11">
      <c r="I5460" t="s">
        <v>94</v>
      </c>
      <c r="J5460" t="s">
        <v>95</v>
      </c>
      <c r="K5460">
        <v>0</v>
      </c>
    </row>
    <row r="5461" spans="9:11">
      <c r="I5461" t="s">
        <v>94</v>
      </c>
      <c r="J5461" t="s">
        <v>95</v>
      </c>
      <c r="K5461">
        <v>0</v>
      </c>
    </row>
    <row r="5462" spans="9:11">
      <c r="I5462" t="s">
        <v>94</v>
      </c>
      <c r="J5462" t="s">
        <v>95</v>
      </c>
      <c r="K5462">
        <v>0</v>
      </c>
    </row>
    <row r="5463" spans="9:11">
      <c r="I5463" t="s">
        <v>94</v>
      </c>
      <c r="J5463" t="s">
        <v>95</v>
      </c>
      <c r="K5463">
        <v>0</v>
      </c>
    </row>
    <row r="5464" spans="9:11">
      <c r="I5464" t="s">
        <v>94</v>
      </c>
      <c r="J5464" t="s">
        <v>95</v>
      </c>
      <c r="K5464">
        <v>0</v>
      </c>
    </row>
    <row r="5465" spans="9:11">
      <c r="I5465" t="s">
        <v>91</v>
      </c>
      <c r="J5465" t="s">
        <v>92</v>
      </c>
      <c r="K5465">
        <v>0</v>
      </c>
    </row>
    <row r="5466" spans="9:11">
      <c r="I5466" t="s">
        <v>91</v>
      </c>
      <c r="J5466" t="s">
        <v>92</v>
      </c>
      <c r="K5466">
        <v>0</v>
      </c>
    </row>
    <row r="5467" spans="9:11">
      <c r="I5467" t="s">
        <v>91</v>
      </c>
      <c r="J5467" t="s">
        <v>92</v>
      </c>
      <c r="K5467">
        <v>0</v>
      </c>
    </row>
    <row r="5468" spans="9:11">
      <c r="I5468" t="s">
        <v>91</v>
      </c>
      <c r="J5468" t="s">
        <v>92</v>
      </c>
      <c r="K5468">
        <v>0</v>
      </c>
    </row>
    <row r="5469" spans="9:11">
      <c r="I5469" t="s">
        <v>94</v>
      </c>
      <c r="J5469" t="s">
        <v>95</v>
      </c>
      <c r="K5469">
        <v>0</v>
      </c>
    </row>
    <row r="5470" spans="9:11">
      <c r="I5470" t="s">
        <v>91</v>
      </c>
      <c r="J5470" t="s">
        <v>92</v>
      </c>
      <c r="K5470">
        <v>0</v>
      </c>
    </row>
    <row r="5471" spans="9:11">
      <c r="I5471" t="s">
        <v>94</v>
      </c>
      <c r="J5471" t="s">
        <v>95</v>
      </c>
      <c r="K5471">
        <v>0</v>
      </c>
    </row>
    <row r="5472" spans="9:11">
      <c r="I5472" t="s">
        <v>91</v>
      </c>
      <c r="J5472" t="s">
        <v>92</v>
      </c>
      <c r="K5472">
        <v>0</v>
      </c>
    </row>
    <row r="5473" spans="9:11">
      <c r="I5473" t="s">
        <v>91</v>
      </c>
      <c r="J5473" t="s">
        <v>92</v>
      </c>
      <c r="K5473">
        <v>0</v>
      </c>
    </row>
    <row r="5474" spans="9:11">
      <c r="I5474" t="s">
        <v>94</v>
      </c>
      <c r="J5474" t="s">
        <v>95</v>
      </c>
      <c r="K5474">
        <v>0</v>
      </c>
    </row>
    <row r="5475" spans="9:11">
      <c r="I5475" t="s">
        <v>91</v>
      </c>
      <c r="J5475" t="s">
        <v>92</v>
      </c>
      <c r="K5475">
        <v>0</v>
      </c>
    </row>
    <row r="5476" spans="9:11">
      <c r="I5476" t="s">
        <v>91</v>
      </c>
      <c r="J5476" t="s">
        <v>92</v>
      </c>
      <c r="K5476">
        <v>0</v>
      </c>
    </row>
    <row r="5477" spans="9:11">
      <c r="I5477" t="s">
        <v>91</v>
      </c>
      <c r="J5477" t="s">
        <v>92</v>
      </c>
      <c r="K5477">
        <v>0</v>
      </c>
    </row>
    <row r="5478" spans="9:11">
      <c r="I5478" t="s">
        <v>91</v>
      </c>
      <c r="J5478" t="s">
        <v>92</v>
      </c>
      <c r="K5478">
        <v>0</v>
      </c>
    </row>
    <row r="5479" spans="9:11">
      <c r="I5479" t="s">
        <v>94</v>
      </c>
      <c r="J5479" t="s">
        <v>95</v>
      </c>
      <c r="K5479">
        <v>0</v>
      </c>
    </row>
    <row r="5480" spans="9:11">
      <c r="I5480" t="s">
        <v>94</v>
      </c>
      <c r="J5480" t="s">
        <v>95</v>
      </c>
      <c r="K5480">
        <v>0</v>
      </c>
    </row>
    <row r="5481" spans="9:11">
      <c r="I5481" t="s">
        <v>94</v>
      </c>
      <c r="J5481" t="s">
        <v>95</v>
      </c>
      <c r="K5481">
        <v>0</v>
      </c>
    </row>
    <row r="5482" spans="9:11">
      <c r="I5482" t="s">
        <v>94</v>
      </c>
      <c r="J5482" t="s">
        <v>95</v>
      </c>
      <c r="K5482">
        <v>0</v>
      </c>
    </row>
    <row r="5483" spans="9:11">
      <c r="I5483" t="s">
        <v>91</v>
      </c>
      <c r="J5483" t="s">
        <v>92</v>
      </c>
      <c r="K5483">
        <v>0</v>
      </c>
    </row>
    <row r="5484" spans="9:11">
      <c r="I5484" t="s">
        <v>94</v>
      </c>
      <c r="J5484" t="s">
        <v>95</v>
      </c>
      <c r="K5484">
        <v>0</v>
      </c>
    </row>
    <row r="5485" spans="9:11">
      <c r="I5485" t="s">
        <v>94</v>
      </c>
      <c r="J5485" t="s">
        <v>95</v>
      </c>
      <c r="K5485">
        <v>0</v>
      </c>
    </row>
    <row r="5486" spans="9:11">
      <c r="I5486" t="s">
        <v>91</v>
      </c>
      <c r="J5486" t="s">
        <v>92</v>
      </c>
      <c r="K5486">
        <v>0</v>
      </c>
    </row>
    <row r="5487" spans="9:11">
      <c r="I5487" t="s">
        <v>94</v>
      </c>
      <c r="J5487" t="s">
        <v>95</v>
      </c>
      <c r="K5487">
        <v>0</v>
      </c>
    </row>
    <row r="5488" spans="9:11">
      <c r="I5488" t="s">
        <v>94</v>
      </c>
      <c r="J5488" t="s">
        <v>95</v>
      </c>
      <c r="K5488">
        <v>0</v>
      </c>
    </row>
    <row r="5489" spans="9:11">
      <c r="I5489" t="s">
        <v>94</v>
      </c>
      <c r="J5489" t="s">
        <v>95</v>
      </c>
      <c r="K5489">
        <v>1</v>
      </c>
    </row>
    <row r="5490" spans="9:11">
      <c r="I5490" t="s">
        <v>91</v>
      </c>
      <c r="J5490" t="s">
        <v>92</v>
      </c>
      <c r="K5490">
        <v>0</v>
      </c>
    </row>
    <row r="5491" spans="9:11">
      <c r="I5491" t="s">
        <v>91</v>
      </c>
      <c r="J5491" t="s">
        <v>92</v>
      </c>
      <c r="K5491">
        <v>0</v>
      </c>
    </row>
    <row r="5492" spans="9:11">
      <c r="I5492" t="s">
        <v>94</v>
      </c>
      <c r="J5492" t="s">
        <v>95</v>
      </c>
      <c r="K5492">
        <v>0</v>
      </c>
    </row>
    <row r="5493" spans="9:11">
      <c r="I5493" t="s">
        <v>91</v>
      </c>
      <c r="J5493" t="s">
        <v>92</v>
      </c>
      <c r="K5493">
        <v>0</v>
      </c>
    </row>
    <row r="5494" spans="9:11">
      <c r="I5494" t="s">
        <v>94</v>
      </c>
      <c r="J5494" t="s">
        <v>95</v>
      </c>
      <c r="K5494">
        <v>0</v>
      </c>
    </row>
    <row r="5495" spans="9:11">
      <c r="I5495" t="s">
        <v>94</v>
      </c>
      <c r="J5495" t="s">
        <v>95</v>
      </c>
      <c r="K5495">
        <v>0</v>
      </c>
    </row>
    <row r="5496" spans="9:11">
      <c r="I5496" t="s">
        <v>94</v>
      </c>
      <c r="J5496" t="s">
        <v>95</v>
      </c>
      <c r="K5496">
        <v>0</v>
      </c>
    </row>
    <row r="5497" spans="9:11">
      <c r="I5497" t="s">
        <v>94</v>
      </c>
      <c r="J5497" t="s">
        <v>95</v>
      </c>
      <c r="K5497">
        <v>0</v>
      </c>
    </row>
    <row r="5498" spans="9:11">
      <c r="I5498" t="s">
        <v>91</v>
      </c>
      <c r="J5498" t="s">
        <v>92</v>
      </c>
      <c r="K5498">
        <v>0</v>
      </c>
    </row>
    <row r="5499" spans="9:11">
      <c r="I5499" t="s">
        <v>91</v>
      </c>
      <c r="J5499" t="s">
        <v>92</v>
      </c>
      <c r="K5499">
        <v>0</v>
      </c>
    </row>
    <row r="5500" spans="9:11">
      <c r="I5500" t="s">
        <v>91</v>
      </c>
      <c r="J5500" t="s">
        <v>92</v>
      </c>
      <c r="K5500">
        <v>0</v>
      </c>
    </row>
    <row r="5501" spans="9:11">
      <c r="I5501" t="s">
        <v>94</v>
      </c>
      <c r="J5501" t="s">
        <v>95</v>
      </c>
      <c r="K5501">
        <v>0</v>
      </c>
    </row>
    <row r="5502" spans="9:11">
      <c r="I5502" t="s">
        <v>91</v>
      </c>
      <c r="J5502" t="s">
        <v>92</v>
      </c>
      <c r="K5502">
        <v>0</v>
      </c>
    </row>
    <row r="5503" spans="9:11">
      <c r="I5503" t="s">
        <v>94</v>
      </c>
      <c r="J5503" t="s">
        <v>95</v>
      </c>
      <c r="K5503">
        <v>0</v>
      </c>
    </row>
    <row r="5504" spans="9:11">
      <c r="I5504" t="s">
        <v>94</v>
      </c>
      <c r="J5504" t="s">
        <v>95</v>
      </c>
      <c r="K5504">
        <v>0</v>
      </c>
    </row>
    <row r="5505" spans="9:11">
      <c r="I5505" t="s">
        <v>91</v>
      </c>
      <c r="J5505" t="s">
        <v>92</v>
      </c>
      <c r="K5505">
        <v>0</v>
      </c>
    </row>
    <row r="5506" spans="9:11">
      <c r="I5506" t="s">
        <v>94</v>
      </c>
      <c r="J5506" t="s">
        <v>95</v>
      </c>
      <c r="K5506">
        <v>0</v>
      </c>
    </row>
    <row r="5507" spans="9:11">
      <c r="I5507" t="s">
        <v>91</v>
      </c>
      <c r="J5507" t="s">
        <v>92</v>
      </c>
      <c r="K5507">
        <v>0</v>
      </c>
    </row>
    <row r="5508" spans="9:11">
      <c r="I5508" t="s">
        <v>94</v>
      </c>
      <c r="J5508" t="s">
        <v>95</v>
      </c>
      <c r="K5508">
        <v>0</v>
      </c>
    </row>
    <row r="5509" spans="9:11">
      <c r="I5509" t="s">
        <v>91</v>
      </c>
      <c r="J5509" t="s">
        <v>92</v>
      </c>
      <c r="K5509">
        <v>0</v>
      </c>
    </row>
    <row r="5510" spans="9:11">
      <c r="I5510" t="s">
        <v>91</v>
      </c>
      <c r="J5510" t="s">
        <v>92</v>
      </c>
      <c r="K5510">
        <v>0</v>
      </c>
    </row>
    <row r="5511" spans="9:11">
      <c r="I5511" t="s">
        <v>94</v>
      </c>
      <c r="J5511" t="s">
        <v>95</v>
      </c>
      <c r="K5511">
        <v>0</v>
      </c>
    </row>
    <row r="5512" spans="9:11">
      <c r="I5512" t="s">
        <v>94</v>
      </c>
      <c r="J5512" t="s">
        <v>95</v>
      </c>
      <c r="K5512">
        <v>0</v>
      </c>
    </row>
    <row r="5513" spans="9:11">
      <c r="I5513" t="s">
        <v>91</v>
      </c>
      <c r="J5513" t="s">
        <v>92</v>
      </c>
      <c r="K5513">
        <v>0</v>
      </c>
    </row>
    <row r="5514" spans="9:11">
      <c r="I5514" t="s">
        <v>94</v>
      </c>
      <c r="J5514" t="s">
        <v>95</v>
      </c>
      <c r="K5514">
        <v>0</v>
      </c>
    </row>
    <row r="5515" spans="9:11">
      <c r="I5515" t="s">
        <v>91</v>
      </c>
      <c r="J5515" t="s">
        <v>92</v>
      </c>
      <c r="K5515">
        <v>0</v>
      </c>
    </row>
    <row r="5516" spans="9:11">
      <c r="I5516" t="s">
        <v>94</v>
      </c>
      <c r="J5516" t="s">
        <v>95</v>
      </c>
      <c r="K5516">
        <v>0</v>
      </c>
    </row>
    <row r="5517" spans="9:11">
      <c r="I5517" t="s">
        <v>91</v>
      </c>
      <c r="J5517" t="s">
        <v>92</v>
      </c>
      <c r="K5517">
        <v>0</v>
      </c>
    </row>
    <row r="5518" spans="9:11">
      <c r="I5518" t="s">
        <v>91</v>
      </c>
      <c r="J5518" t="s">
        <v>92</v>
      </c>
      <c r="K5518">
        <v>0</v>
      </c>
    </row>
    <row r="5519" spans="9:11">
      <c r="I5519" t="s">
        <v>91</v>
      </c>
      <c r="J5519" t="s">
        <v>92</v>
      </c>
      <c r="K5519">
        <v>0</v>
      </c>
    </row>
    <row r="5520" spans="9:11">
      <c r="I5520" t="s">
        <v>94</v>
      </c>
      <c r="J5520" t="s">
        <v>95</v>
      </c>
      <c r="K5520">
        <v>0</v>
      </c>
    </row>
    <row r="5521" spans="9:11">
      <c r="I5521" t="s">
        <v>91</v>
      </c>
      <c r="J5521" t="s">
        <v>92</v>
      </c>
      <c r="K5521">
        <v>0</v>
      </c>
    </row>
    <row r="5522" spans="9:11">
      <c r="I5522" t="s">
        <v>94</v>
      </c>
      <c r="J5522" t="s">
        <v>95</v>
      </c>
      <c r="K5522">
        <v>0</v>
      </c>
    </row>
    <row r="5523" spans="9:11">
      <c r="I5523" t="s">
        <v>91</v>
      </c>
      <c r="J5523" t="s">
        <v>92</v>
      </c>
      <c r="K5523">
        <v>0</v>
      </c>
    </row>
    <row r="5524" spans="9:11">
      <c r="I5524" t="s">
        <v>91</v>
      </c>
      <c r="J5524" t="s">
        <v>92</v>
      </c>
      <c r="K5524">
        <v>1</v>
      </c>
    </row>
    <row r="5525" spans="9:11">
      <c r="I5525" t="s">
        <v>94</v>
      </c>
      <c r="J5525" t="s">
        <v>95</v>
      </c>
      <c r="K5525">
        <v>0</v>
      </c>
    </row>
    <row r="5526" spans="9:11">
      <c r="I5526" t="s">
        <v>91</v>
      </c>
      <c r="J5526" t="s">
        <v>92</v>
      </c>
      <c r="K5526">
        <v>0</v>
      </c>
    </row>
    <row r="5527" spans="9:11">
      <c r="I5527" t="s">
        <v>91</v>
      </c>
      <c r="J5527" t="s">
        <v>92</v>
      </c>
      <c r="K5527">
        <v>1</v>
      </c>
    </row>
    <row r="5528" spans="9:11">
      <c r="I5528" t="s">
        <v>94</v>
      </c>
      <c r="J5528" t="s">
        <v>95</v>
      </c>
      <c r="K5528">
        <v>0</v>
      </c>
    </row>
    <row r="5529" spans="9:11">
      <c r="I5529" t="s">
        <v>91</v>
      </c>
      <c r="J5529" t="s">
        <v>92</v>
      </c>
      <c r="K5529">
        <v>0</v>
      </c>
    </row>
    <row r="5530" spans="9:11">
      <c r="I5530" t="s">
        <v>94</v>
      </c>
      <c r="J5530" t="s">
        <v>95</v>
      </c>
      <c r="K5530">
        <v>0</v>
      </c>
    </row>
    <row r="5531" spans="9:11">
      <c r="I5531" t="s">
        <v>94</v>
      </c>
      <c r="J5531" t="s">
        <v>95</v>
      </c>
      <c r="K5531">
        <v>0</v>
      </c>
    </row>
    <row r="5532" spans="9:11">
      <c r="I5532" t="s">
        <v>94</v>
      </c>
      <c r="J5532" t="s">
        <v>95</v>
      </c>
      <c r="K5532">
        <v>0</v>
      </c>
    </row>
    <row r="5533" spans="9:11">
      <c r="I5533" t="s">
        <v>91</v>
      </c>
      <c r="J5533" t="s">
        <v>92</v>
      </c>
      <c r="K5533">
        <v>0</v>
      </c>
    </row>
    <row r="5534" spans="9:11">
      <c r="I5534" t="s">
        <v>91</v>
      </c>
      <c r="J5534" t="s">
        <v>92</v>
      </c>
      <c r="K5534">
        <v>0</v>
      </c>
    </row>
    <row r="5535" spans="9:11">
      <c r="I5535" t="s">
        <v>91</v>
      </c>
      <c r="J5535" t="s">
        <v>92</v>
      </c>
      <c r="K5535">
        <v>0</v>
      </c>
    </row>
    <row r="5536" spans="9:11">
      <c r="I5536" t="s">
        <v>91</v>
      </c>
      <c r="J5536" t="s">
        <v>92</v>
      </c>
      <c r="K5536">
        <v>0</v>
      </c>
    </row>
    <row r="5537" spans="9:11">
      <c r="I5537" t="s">
        <v>94</v>
      </c>
      <c r="J5537" t="s">
        <v>95</v>
      </c>
      <c r="K5537">
        <v>0</v>
      </c>
    </row>
    <row r="5538" spans="9:11">
      <c r="I5538" t="s">
        <v>94</v>
      </c>
      <c r="J5538" t="s">
        <v>95</v>
      </c>
      <c r="K5538">
        <v>0</v>
      </c>
    </row>
    <row r="5539" spans="9:11">
      <c r="I5539" t="s">
        <v>94</v>
      </c>
      <c r="J5539" t="s">
        <v>95</v>
      </c>
      <c r="K5539">
        <v>0</v>
      </c>
    </row>
    <row r="5540" spans="9:11">
      <c r="I5540" t="s">
        <v>94</v>
      </c>
      <c r="J5540" t="s">
        <v>95</v>
      </c>
      <c r="K5540">
        <v>0</v>
      </c>
    </row>
    <row r="5541" spans="9:11">
      <c r="I5541" t="s">
        <v>94</v>
      </c>
      <c r="J5541" t="s">
        <v>95</v>
      </c>
      <c r="K5541">
        <v>0</v>
      </c>
    </row>
    <row r="5542" spans="9:11">
      <c r="I5542" t="s">
        <v>91</v>
      </c>
      <c r="J5542" t="s">
        <v>92</v>
      </c>
      <c r="K5542">
        <v>0</v>
      </c>
    </row>
    <row r="5543" spans="9:11">
      <c r="I5543" t="s">
        <v>94</v>
      </c>
      <c r="J5543" t="s">
        <v>95</v>
      </c>
      <c r="K5543">
        <v>0</v>
      </c>
    </row>
    <row r="5544" spans="9:11">
      <c r="I5544" t="s">
        <v>94</v>
      </c>
      <c r="J5544" t="s">
        <v>95</v>
      </c>
      <c r="K5544">
        <v>0</v>
      </c>
    </row>
    <row r="5545" spans="9:11">
      <c r="I5545" t="s">
        <v>94</v>
      </c>
      <c r="J5545" t="s">
        <v>95</v>
      </c>
      <c r="K5545">
        <v>0</v>
      </c>
    </row>
    <row r="5546" spans="9:11">
      <c r="I5546" t="s">
        <v>94</v>
      </c>
      <c r="J5546" t="s">
        <v>95</v>
      </c>
      <c r="K5546">
        <v>0</v>
      </c>
    </row>
    <row r="5547" spans="9:11">
      <c r="I5547" t="s">
        <v>91</v>
      </c>
      <c r="J5547" t="s">
        <v>92</v>
      </c>
      <c r="K5547">
        <v>0</v>
      </c>
    </row>
    <row r="5548" spans="9:11">
      <c r="I5548" t="s">
        <v>91</v>
      </c>
      <c r="J5548" t="s">
        <v>92</v>
      </c>
      <c r="K5548">
        <v>0</v>
      </c>
    </row>
    <row r="5549" spans="9:11">
      <c r="I5549" t="s">
        <v>94</v>
      </c>
      <c r="J5549" t="s">
        <v>95</v>
      </c>
      <c r="K5549">
        <v>0</v>
      </c>
    </row>
    <row r="5550" spans="9:11">
      <c r="I5550" t="s">
        <v>91</v>
      </c>
      <c r="J5550" t="s">
        <v>92</v>
      </c>
      <c r="K5550">
        <v>0</v>
      </c>
    </row>
    <row r="5551" spans="9:11">
      <c r="I5551" t="s">
        <v>91</v>
      </c>
      <c r="J5551" t="s">
        <v>92</v>
      </c>
      <c r="K5551">
        <v>0</v>
      </c>
    </row>
    <row r="5552" spans="9:11">
      <c r="I5552" t="s">
        <v>94</v>
      </c>
      <c r="J5552" t="s">
        <v>95</v>
      </c>
      <c r="K5552">
        <v>0</v>
      </c>
    </row>
    <row r="5553" spans="9:11">
      <c r="I5553" t="s">
        <v>94</v>
      </c>
      <c r="J5553" t="s">
        <v>95</v>
      </c>
      <c r="K5553">
        <v>0</v>
      </c>
    </row>
    <row r="5554" spans="9:11">
      <c r="I5554" t="s">
        <v>94</v>
      </c>
      <c r="J5554" t="s">
        <v>95</v>
      </c>
      <c r="K5554">
        <v>0</v>
      </c>
    </row>
    <row r="5555" spans="9:11">
      <c r="I5555" t="s">
        <v>91</v>
      </c>
      <c r="J5555" t="s">
        <v>92</v>
      </c>
      <c r="K5555">
        <v>0</v>
      </c>
    </row>
    <row r="5556" spans="9:11">
      <c r="I5556" t="s">
        <v>94</v>
      </c>
      <c r="J5556" t="s">
        <v>95</v>
      </c>
      <c r="K5556">
        <v>0</v>
      </c>
    </row>
    <row r="5557" spans="9:11">
      <c r="I5557" t="s">
        <v>94</v>
      </c>
      <c r="J5557" t="s">
        <v>95</v>
      </c>
      <c r="K5557">
        <v>0</v>
      </c>
    </row>
    <row r="5558" spans="9:11">
      <c r="I5558" t="s">
        <v>91</v>
      </c>
      <c r="J5558" t="s">
        <v>92</v>
      </c>
      <c r="K5558">
        <v>0</v>
      </c>
    </row>
    <row r="5559" spans="9:11">
      <c r="I5559" t="s">
        <v>91</v>
      </c>
      <c r="J5559" t="s">
        <v>92</v>
      </c>
      <c r="K5559">
        <v>0</v>
      </c>
    </row>
    <row r="5560" spans="9:11">
      <c r="I5560" t="s">
        <v>94</v>
      </c>
      <c r="J5560" t="s">
        <v>95</v>
      </c>
      <c r="K5560">
        <v>0</v>
      </c>
    </row>
    <row r="5561" spans="9:11">
      <c r="I5561" t="s">
        <v>94</v>
      </c>
      <c r="J5561" t="s">
        <v>95</v>
      </c>
      <c r="K5561">
        <v>0</v>
      </c>
    </row>
    <row r="5562" spans="9:11">
      <c r="I5562" t="s">
        <v>94</v>
      </c>
      <c r="J5562" t="s">
        <v>95</v>
      </c>
      <c r="K5562">
        <v>0</v>
      </c>
    </row>
    <row r="5563" spans="9:11">
      <c r="I5563" t="s">
        <v>94</v>
      </c>
      <c r="J5563" t="s">
        <v>95</v>
      </c>
      <c r="K5563">
        <v>0</v>
      </c>
    </row>
    <row r="5564" spans="9:11">
      <c r="I5564" t="s">
        <v>91</v>
      </c>
      <c r="J5564" t="s">
        <v>92</v>
      </c>
      <c r="K5564">
        <v>0</v>
      </c>
    </row>
    <row r="5565" spans="9:11">
      <c r="I5565" t="s">
        <v>94</v>
      </c>
      <c r="J5565" t="s">
        <v>95</v>
      </c>
      <c r="K5565">
        <v>0</v>
      </c>
    </row>
    <row r="5566" spans="9:11">
      <c r="I5566" t="s">
        <v>91</v>
      </c>
      <c r="J5566" t="s">
        <v>92</v>
      </c>
      <c r="K5566">
        <v>0</v>
      </c>
    </row>
    <row r="5567" spans="9:11">
      <c r="I5567" t="s">
        <v>91</v>
      </c>
      <c r="J5567" t="s">
        <v>92</v>
      </c>
      <c r="K5567">
        <v>0</v>
      </c>
    </row>
    <row r="5568" spans="9:11">
      <c r="I5568" t="s">
        <v>94</v>
      </c>
      <c r="J5568" t="s">
        <v>95</v>
      </c>
      <c r="K5568">
        <v>0</v>
      </c>
    </row>
    <row r="5569" spans="9:11">
      <c r="I5569" t="s">
        <v>91</v>
      </c>
      <c r="J5569" t="s">
        <v>92</v>
      </c>
      <c r="K5569">
        <v>0</v>
      </c>
    </row>
    <row r="5570" spans="9:11">
      <c r="I5570" t="s">
        <v>94</v>
      </c>
      <c r="J5570" t="s">
        <v>95</v>
      </c>
      <c r="K5570">
        <v>0</v>
      </c>
    </row>
    <row r="5571" spans="9:11">
      <c r="I5571" t="s">
        <v>94</v>
      </c>
      <c r="J5571" t="s">
        <v>95</v>
      </c>
      <c r="K5571">
        <v>0</v>
      </c>
    </row>
    <row r="5572" spans="9:11">
      <c r="I5572" t="s">
        <v>91</v>
      </c>
      <c r="J5572" t="s">
        <v>92</v>
      </c>
      <c r="K5572">
        <v>0</v>
      </c>
    </row>
    <row r="5573" spans="9:11">
      <c r="I5573" t="s">
        <v>91</v>
      </c>
      <c r="J5573" t="s">
        <v>92</v>
      </c>
      <c r="K5573">
        <v>0</v>
      </c>
    </row>
    <row r="5574" spans="9:11">
      <c r="I5574" t="s">
        <v>91</v>
      </c>
      <c r="J5574" t="s">
        <v>92</v>
      </c>
      <c r="K5574">
        <v>0</v>
      </c>
    </row>
    <row r="5575" spans="9:11">
      <c r="I5575" t="s">
        <v>91</v>
      </c>
      <c r="J5575" t="s">
        <v>92</v>
      </c>
      <c r="K5575">
        <v>0</v>
      </c>
    </row>
    <row r="5576" spans="9:11">
      <c r="I5576" t="s">
        <v>91</v>
      </c>
      <c r="J5576" t="s">
        <v>92</v>
      </c>
      <c r="K5576">
        <v>0</v>
      </c>
    </row>
    <row r="5577" spans="9:11">
      <c r="I5577" t="s">
        <v>91</v>
      </c>
      <c r="J5577" t="s">
        <v>92</v>
      </c>
      <c r="K5577">
        <v>0</v>
      </c>
    </row>
    <row r="5578" spans="9:11">
      <c r="I5578" t="s">
        <v>91</v>
      </c>
      <c r="J5578" t="s">
        <v>92</v>
      </c>
      <c r="K5578">
        <v>0</v>
      </c>
    </row>
    <row r="5579" spans="9:11">
      <c r="I5579" t="s">
        <v>94</v>
      </c>
      <c r="J5579" t="s">
        <v>95</v>
      </c>
      <c r="K5579">
        <v>0</v>
      </c>
    </row>
    <row r="5580" spans="9:11">
      <c r="I5580" t="s">
        <v>94</v>
      </c>
      <c r="J5580" t="s">
        <v>95</v>
      </c>
      <c r="K5580">
        <v>0</v>
      </c>
    </row>
    <row r="5581" spans="9:11">
      <c r="I5581" t="s">
        <v>94</v>
      </c>
      <c r="J5581" t="s">
        <v>95</v>
      </c>
      <c r="K5581">
        <v>1</v>
      </c>
    </row>
    <row r="5582" spans="9:11">
      <c r="I5582" t="s">
        <v>94</v>
      </c>
      <c r="J5582" t="s">
        <v>95</v>
      </c>
      <c r="K5582">
        <v>0</v>
      </c>
    </row>
    <row r="5583" spans="9:11">
      <c r="I5583" t="s">
        <v>91</v>
      </c>
      <c r="J5583" t="s">
        <v>92</v>
      </c>
      <c r="K5583">
        <v>0</v>
      </c>
    </row>
    <row r="5584" spans="9:11">
      <c r="I5584" t="s">
        <v>91</v>
      </c>
      <c r="J5584" t="s">
        <v>92</v>
      </c>
      <c r="K5584">
        <v>0</v>
      </c>
    </row>
    <row r="5585" spans="9:11">
      <c r="I5585" t="s">
        <v>94</v>
      </c>
      <c r="J5585" t="s">
        <v>95</v>
      </c>
      <c r="K5585">
        <v>0</v>
      </c>
    </row>
    <row r="5586" spans="9:11">
      <c r="I5586" t="s">
        <v>91</v>
      </c>
      <c r="J5586" t="s">
        <v>92</v>
      </c>
      <c r="K5586">
        <v>0</v>
      </c>
    </row>
    <row r="5587" spans="9:11">
      <c r="I5587" t="s">
        <v>94</v>
      </c>
      <c r="J5587" t="s">
        <v>95</v>
      </c>
      <c r="K5587">
        <v>0</v>
      </c>
    </row>
    <row r="5588" spans="9:11">
      <c r="I5588" t="s">
        <v>91</v>
      </c>
      <c r="J5588" t="s">
        <v>92</v>
      </c>
      <c r="K5588">
        <v>0</v>
      </c>
    </row>
    <row r="5589" spans="9:11">
      <c r="I5589" t="s">
        <v>94</v>
      </c>
      <c r="J5589" t="s">
        <v>95</v>
      </c>
      <c r="K5589">
        <v>0</v>
      </c>
    </row>
    <row r="5590" spans="9:11">
      <c r="I5590" t="s">
        <v>94</v>
      </c>
      <c r="J5590" t="s">
        <v>95</v>
      </c>
      <c r="K5590">
        <v>0</v>
      </c>
    </row>
    <row r="5591" spans="9:11">
      <c r="I5591" t="s">
        <v>94</v>
      </c>
      <c r="J5591" t="s">
        <v>95</v>
      </c>
      <c r="K5591">
        <v>0</v>
      </c>
    </row>
    <row r="5592" spans="9:11">
      <c r="I5592" t="s">
        <v>91</v>
      </c>
      <c r="J5592" t="s">
        <v>92</v>
      </c>
      <c r="K5592">
        <v>0</v>
      </c>
    </row>
    <row r="5593" spans="9:11">
      <c r="I5593" t="s">
        <v>91</v>
      </c>
      <c r="J5593" t="s">
        <v>92</v>
      </c>
      <c r="K5593">
        <v>0</v>
      </c>
    </row>
    <row r="5594" spans="9:11">
      <c r="I5594" t="s">
        <v>94</v>
      </c>
      <c r="J5594" t="s">
        <v>95</v>
      </c>
      <c r="K5594">
        <v>0</v>
      </c>
    </row>
    <row r="5595" spans="9:11">
      <c r="I5595" t="s">
        <v>94</v>
      </c>
      <c r="J5595" t="s">
        <v>95</v>
      </c>
      <c r="K5595">
        <v>0</v>
      </c>
    </row>
    <row r="5596" spans="9:11">
      <c r="I5596" t="s">
        <v>91</v>
      </c>
      <c r="J5596" t="s">
        <v>92</v>
      </c>
      <c r="K5596">
        <v>0</v>
      </c>
    </row>
    <row r="5597" spans="9:11">
      <c r="I5597" t="s">
        <v>91</v>
      </c>
      <c r="J5597" t="s">
        <v>92</v>
      </c>
      <c r="K5597">
        <v>0</v>
      </c>
    </row>
    <row r="5598" spans="9:11">
      <c r="I5598" t="s">
        <v>91</v>
      </c>
      <c r="J5598" t="s">
        <v>92</v>
      </c>
      <c r="K5598">
        <v>0</v>
      </c>
    </row>
    <row r="5599" spans="9:11">
      <c r="I5599" t="s">
        <v>94</v>
      </c>
      <c r="J5599" t="s">
        <v>95</v>
      </c>
      <c r="K5599">
        <v>0</v>
      </c>
    </row>
    <row r="5600" spans="9:11">
      <c r="I5600" t="s">
        <v>94</v>
      </c>
      <c r="J5600" t="s">
        <v>95</v>
      </c>
      <c r="K5600">
        <v>0</v>
      </c>
    </row>
    <row r="5601" spans="9:11">
      <c r="I5601" t="s">
        <v>91</v>
      </c>
      <c r="J5601" t="s">
        <v>92</v>
      </c>
      <c r="K5601">
        <v>0</v>
      </c>
    </row>
    <row r="5602" spans="9:11">
      <c r="I5602" t="s">
        <v>94</v>
      </c>
      <c r="J5602" t="s">
        <v>95</v>
      </c>
      <c r="K5602">
        <v>0</v>
      </c>
    </row>
    <row r="5603" spans="9:11">
      <c r="I5603" t="s">
        <v>94</v>
      </c>
      <c r="J5603" t="s">
        <v>95</v>
      </c>
      <c r="K5603">
        <v>0</v>
      </c>
    </row>
    <row r="5604" spans="9:11">
      <c r="I5604" t="s">
        <v>91</v>
      </c>
      <c r="J5604" t="s">
        <v>92</v>
      </c>
      <c r="K5604">
        <v>0</v>
      </c>
    </row>
    <row r="5605" spans="9:11">
      <c r="I5605" t="s">
        <v>91</v>
      </c>
      <c r="J5605" t="s">
        <v>92</v>
      </c>
      <c r="K5605">
        <v>0</v>
      </c>
    </row>
    <row r="5606" spans="9:11">
      <c r="I5606" t="s">
        <v>91</v>
      </c>
      <c r="J5606" t="s">
        <v>92</v>
      </c>
      <c r="K5606">
        <v>0</v>
      </c>
    </row>
    <row r="5607" spans="9:11">
      <c r="I5607" t="s">
        <v>94</v>
      </c>
      <c r="J5607" t="s">
        <v>95</v>
      </c>
      <c r="K5607">
        <v>0</v>
      </c>
    </row>
    <row r="5608" spans="9:11">
      <c r="I5608" t="s">
        <v>94</v>
      </c>
      <c r="J5608" t="s">
        <v>95</v>
      </c>
      <c r="K5608">
        <v>0</v>
      </c>
    </row>
    <row r="5609" spans="9:11">
      <c r="I5609" t="s">
        <v>94</v>
      </c>
      <c r="J5609" t="s">
        <v>95</v>
      </c>
      <c r="K5609">
        <v>0</v>
      </c>
    </row>
    <row r="5610" spans="9:11">
      <c r="I5610" t="s">
        <v>94</v>
      </c>
      <c r="J5610" t="s">
        <v>95</v>
      </c>
      <c r="K5610">
        <v>0</v>
      </c>
    </row>
    <row r="5611" spans="9:11">
      <c r="I5611" t="s">
        <v>94</v>
      </c>
      <c r="J5611" t="s">
        <v>95</v>
      </c>
      <c r="K5611">
        <v>0</v>
      </c>
    </row>
    <row r="5612" spans="9:11">
      <c r="I5612" t="s">
        <v>91</v>
      </c>
      <c r="J5612" t="s">
        <v>92</v>
      </c>
      <c r="K5612">
        <v>0</v>
      </c>
    </row>
    <row r="5613" spans="9:11">
      <c r="I5613" t="s">
        <v>91</v>
      </c>
      <c r="J5613" t="s">
        <v>92</v>
      </c>
      <c r="K5613">
        <v>0</v>
      </c>
    </row>
    <row r="5614" spans="9:11">
      <c r="I5614" t="s">
        <v>94</v>
      </c>
      <c r="J5614" t="s">
        <v>95</v>
      </c>
      <c r="K5614">
        <v>0</v>
      </c>
    </row>
    <row r="5615" spans="9:11">
      <c r="I5615" t="s">
        <v>94</v>
      </c>
      <c r="J5615" t="s">
        <v>95</v>
      </c>
      <c r="K5615">
        <v>0</v>
      </c>
    </row>
    <row r="5616" spans="9:11">
      <c r="I5616" t="s">
        <v>91</v>
      </c>
      <c r="J5616" t="s">
        <v>92</v>
      </c>
      <c r="K5616">
        <v>1</v>
      </c>
    </row>
    <row r="5617" spans="9:11">
      <c r="I5617" t="s">
        <v>91</v>
      </c>
      <c r="J5617" t="s">
        <v>92</v>
      </c>
      <c r="K5617">
        <v>0</v>
      </c>
    </row>
    <row r="5618" spans="9:11">
      <c r="I5618" t="s">
        <v>94</v>
      </c>
      <c r="J5618" t="s">
        <v>95</v>
      </c>
      <c r="K5618">
        <v>0</v>
      </c>
    </row>
    <row r="5619" spans="9:11">
      <c r="I5619" t="s">
        <v>94</v>
      </c>
      <c r="J5619" t="s">
        <v>95</v>
      </c>
      <c r="K5619">
        <v>0</v>
      </c>
    </row>
    <row r="5620" spans="9:11">
      <c r="I5620" t="s">
        <v>91</v>
      </c>
      <c r="J5620" t="s">
        <v>92</v>
      </c>
      <c r="K5620">
        <v>0</v>
      </c>
    </row>
    <row r="5621" spans="9:11">
      <c r="I5621" t="s">
        <v>94</v>
      </c>
      <c r="J5621" t="s">
        <v>95</v>
      </c>
      <c r="K5621">
        <v>0</v>
      </c>
    </row>
    <row r="5622" spans="9:11">
      <c r="I5622" t="s">
        <v>91</v>
      </c>
      <c r="J5622" t="s">
        <v>92</v>
      </c>
      <c r="K5622">
        <v>0</v>
      </c>
    </row>
    <row r="5623" spans="9:11">
      <c r="I5623" t="s">
        <v>94</v>
      </c>
      <c r="J5623" t="s">
        <v>95</v>
      </c>
      <c r="K5623">
        <v>0</v>
      </c>
    </row>
    <row r="5624" spans="9:11">
      <c r="I5624" t="s">
        <v>94</v>
      </c>
      <c r="J5624" t="s">
        <v>95</v>
      </c>
      <c r="K5624">
        <v>0</v>
      </c>
    </row>
    <row r="5625" spans="9:11">
      <c r="I5625" t="s">
        <v>91</v>
      </c>
      <c r="J5625" t="s">
        <v>92</v>
      </c>
      <c r="K5625">
        <v>0</v>
      </c>
    </row>
    <row r="5626" spans="9:11">
      <c r="I5626" t="s">
        <v>94</v>
      </c>
      <c r="J5626" t="s">
        <v>95</v>
      </c>
      <c r="K5626">
        <v>0</v>
      </c>
    </row>
    <row r="5627" spans="9:11">
      <c r="I5627" t="s">
        <v>94</v>
      </c>
      <c r="J5627" t="s">
        <v>95</v>
      </c>
      <c r="K5627">
        <v>0</v>
      </c>
    </row>
    <row r="5628" spans="9:11">
      <c r="I5628" t="s">
        <v>94</v>
      </c>
      <c r="J5628" t="s">
        <v>95</v>
      </c>
      <c r="K5628">
        <v>0</v>
      </c>
    </row>
    <row r="5629" spans="9:11">
      <c r="I5629" t="s">
        <v>94</v>
      </c>
      <c r="J5629" t="s">
        <v>95</v>
      </c>
      <c r="K5629">
        <v>0</v>
      </c>
    </row>
    <row r="5630" spans="9:11">
      <c r="I5630" t="s">
        <v>94</v>
      </c>
      <c r="J5630" t="s">
        <v>95</v>
      </c>
      <c r="K5630">
        <v>0</v>
      </c>
    </row>
    <row r="5631" spans="9:11">
      <c r="I5631" t="s">
        <v>94</v>
      </c>
      <c r="J5631" t="s">
        <v>95</v>
      </c>
      <c r="K5631">
        <v>0</v>
      </c>
    </row>
    <row r="5632" spans="9:11">
      <c r="I5632" t="s">
        <v>91</v>
      </c>
      <c r="J5632" t="s">
        <v>92</v>
      </c>
      <c r="K5632">
        <v>0</v>
      </c>
    </row>
    <row r="5633" spans="9:11">
      <c r="I5633" t="s">
        <v>94</v>
      </c>
      <c r="J5633" t="s">
        <v>95</v>
      </c>
      <c r="K5633">
        <v>0</v>
      </c>
    </row>
    <row r="5634" spans="9:11">
      <c r="I5634" t="s">
        <v>91</v>
      </c>
      <c r="J5634" t="s">
        <v>92</v>
      </c>
      <c r="K5634">
        <v>0</v>
      </c>
    </row>
    <row r="5635" spans="9:11">
      <c r="I5635" t="s">
        <v>91</v>
      </c>
      <c r="J5635" t="s">
        <v>92</v>
      </c>
      <c r="K5635">
        <v>0</v>
      </c>
    </row>
    <row r="5636" spans="9:11">
      <c r="I5636" t="s">
        <v>91</v>
      </c>
      <c r="J5636" t="s">
        <v>92</v>
      </c>
      <c r="K5636">
        <v>0</v>
      </c>
    </row>
    <row r="5637" spans="9:11">
      <c r="I5637" t="s">
        <v>91</v>
      </c>
      <c r="J5637" t="s">
        <v>92</v>
      </c>
      <c r="K5637">
        <v>0</v>
      </c>
    </row>
    <row r="5638" spans="9:11">
      <c r="I5638" t="s">
        <v>91</v>
      </c>
      <c r="J5638" t="s">
        <v>92</v>
      </c>
      <c r="K5638">
        <v>0</v>
      </c>
    </row>
    <row r="5639" spans="9:11">
      <c r="I5639" t="s">
        <v>94</v>
      </c>
      <c r="J5639" t="s">
        <v>95</v>
      </c>
      <c r="K5639">
        <v>0</v>
      </c>
    </row>
    <row r="5640" spans="9:11">
      <c r="I5640" t="s">
        <v>94</v>
      </c>
      <c r="J5640" t="s">
        <v>95</v>
      </c>
      <c r="K5640">
        <v>0</v>
      </c>
    </row>
    <row r="5641" spans="9:11">
      <c r="I5641" t="s">
        <v>94</v>
      </c>
      <c r="J5641" t="s">
        <v>95</v>
      </c>
      <c r="K5641">
        <v>0</v>
      </c>
    </row>
    <row r="5642" spans="9:11">
      <c r="I5642" t="s">
        <v>94</v>
      </c>
      <c r="J5642" t="s">
        <v>95</v>
      </c>
      <c r="K5642">
        <v>0</v>
      </c>
    </row>
    <row r="5643" spans="9:11">
      <c r="I5643" t="s">
        <v>91</v>
      </c>
      <c r="J5643" t="s">
        <v>92</v>
      </c>
      <c r="K5643">
        <v>0</v>
      </c>
    </row>
    <row r="5644" spans="9:11">
      <c r="I5644" t="s">
        <v>94</v>
      </c>
      <c r="J5644" t="s">
        <v>95</v>
      </c>
      <c r="K5644">
        <v>0</v>
      </c>
    </row>
    <row r="5645" spans="9:11">
      <c r="I5645" t="s">
        <v>91</v>
      </c>
      <c r="J5645" t="s">
        <v>92</v>
      </c>
      <c r="K5645">
        <v>0</v>
      </c>
    </row>
    <row r="5646" spans="9:11">
      <c r="I5646" t="s">
        <v>94</v>
      </c>
      <c r="J5646" t="s">
        <v>95</v>
      </c>
      <c r="K5646">
        <v>0</v>
      </c>
    </row>
    <row r="5647" spans="9:11">
      <c r="I5647" t="s">
        <v>94</v>
      </c>
      <c r="J5647" t="s">
        <v>95</v>
      </c>
      <c r="K5647">
        <v>0</v>
      </c>
    </row>
    <row r="5648" spans="9:11">
      <c r="I5648" t="s">
        <v>91</v>
      </c>
      <c r="J5648" t="s">
        <v>92</v>
      </c>
      <c r="K5648">
        <v>0</v>
      </c>
    </row>
    <row r="5649" spans="9:11">
      <c r="I5649" t="s">
        <v>91</v>
      </c>
      <c r="J5649" t="s">
        <v>92</v>
      </c>
      <c r="K5649">
        <v>0</v>
      </c>
    </row>
    <row r="5650" spans="9:11">
      <c r="I5650" t="s">
        <v>94</v>
      </c>
      <c r="J5650" t="s">
        <v>95</v>
      </c>
      <c r="K5650">
        <v>0</v>
      </c>
    </row>
    <row r="5651" spans="9:11">
      <c r="I5651" t="s">
        <v>94</v>
      </c>
      <c r="J5651" t="s">
        <v>95</v>
      </c>
      <c r="K5651">
        <v>0</v>
      </c>
    </row>
    <row r="5652" spans="9:11">
      <c r="I5652" t="s">
        <v>94</v>
      </c>
      <c r="J5652" t="s">
        <v>95</v>
      </c>
      <c r="K5652">
        <v>0</v>
      </c>
    </row>
    <row r="5653" spans="9:11">
      <c r="I5653" t="s">
        <v>94</v>
      </c>
      <c r="J5653" t="s">
        <v>95</v>
      </c>
      <c r="K5653">
        <v>0</v>
      </c>
    </row>
    <row r="5654" spans="9:11">
      <c r="I5654" t="s">
        <v>91</v>
      </c>
      <c r="J5654" t="s">
        <v>92</v>
      </c>
      <c r="K5654">
        <v>0</v>
      </c>
    </row>
    <row r="5655" spans="9:11">
      <c r="I5655" t="s">
        <v>94</v>
      </c>
      <c r="J5655" t="s">
        <v>95</v>
      </c>
      <c r="K5655">
        <v>0</v>
      </c>
    </row>
    <row r="5656" spans="9:11">
      <c r="I5656" t="s">
        <v>91</v>
      </c>
      <c r="J5656" t="s">
        <v>92</v>
      </c>
      <c r="K5656">
        <v>0</v>
      </c>
    </row>
    <row r="5657" spans="9:11">
      <c r="I5657" t="s">
        <v>94</v>
      </c>
      <c r="J5657" t="s">
        <v>95</v>
      </c>
      <c r="K5657">
        <v>0</v>
      </c>
    </row>
    <row r="5658" spans="9:11">
      <c r="I5658" t="s">
        <v>94</v>
      </c>
      <c r="J5658" t="s">
        <v>95</v>
      </c>
      <c r="K5658">
        <v>0</v>
      </c>
    </row>
    <row r="5659" spans="9:11">
      <c r="I5659" t="s">
        <v>91</v>
      </c>
      <c r="J5659" t="s">
        <v>92</v>
      </c>
      <c r="K5659">
        <v>0</v>
      </c>
    </row>
    <row r="5660" spans="9:11">
      <c r="I5660" t="s">
        <v>94</v>
      </c>
      <c r="J5660" t="s">
        <v>95</v>
      </c>
      <c r="K5660">
        <v>0</v>
      </c>
    </row>
    <row r="5661" spans="9:11">
      <c r="I5661" t="s">
        <v>94</v>
      </c>
      <c r="J5661" t="s">
        <v>95</v>
      </c>
      <c r="K5661">
        <v>0</v>
      </c>
    </row>
    <row r="5662" spans="9:11">
      <c r="I5662" t="s">
        <v>91</v>
      </c>
      <c r="J5662" t="s">
        <v>92</v>
      </c>
      <c r="K5662">
        <v>0</v>
      </c>
    </row>
    <row r="5663" spans="9:11">
      <c r="I5663" t="s">
        <v>91</v>
      </c>
      <c r="J5663" t="s">
        <v>92</v>
      </c>
      <c r="K5663">
        <v>0</v>
      </c>
    </row>
    <row r="5664" spans="9:11">
      <c r="I5664" t="s">
        <v>94</v>
      </c>
      <c r="J5664" t="s">
        <v>95</v>
      </c>
      <c r="K5664">
        <v>0</v>
      </c>
    </row>
    <row r="5665" spans="9:11">
      <c r="I5665" t="s">
        <v>94</v>
      </c>
      <c r="J5665" t="s">
        <v>95</v>
      </c>
      <c r="K5665">
        <v>0</v>
      </c>
    </row>
    <row r="5666" spans="9:11">
      <c r="I5666" t="s">
        <v>94</v>
      </c>
      <c r="J5666" t="s">
        <v>95</v>
      </c>
      <c r="K5666">
        <v>0</v>
      </c>
    </row>
    <row r="5667" spans="9:11">
      <c r="I5667" t="s">
        <v>94</v>
      </c>
      <c r="J5667" t="s">
        <v>95</v>
      </c>
      <c r="K5667">
        <v>0</v>
      </c>
    </row>
    <row r="5668" spans="9:11">
      <c r="I5668" t="s">
        <v>91</v>
      </c>
      <c r="J5668" t="s">
        <v>92</v>
      </c>
      <c r="K5668">
        <v>0</v>
      </c>
    </row>
    <row r="5669" spans="9:11">
      <c r="I5669" t="s">
        <v>94</v>
      </c>
      <c r="J5669" t="s">
        <v>95</v>
      </c>
      <c r="K5669">
        <v>0</v>
      </c>
    </row>
    <row r="5670" spans="9:11">
      <c r="I5670" t="s">
        <v>91</v>
      </c>
      <c r="J5670" t="s">
        <v>92</v>
      </c>
      <c r="K5670">
        <v>0</v>
      </c>
    </row>
    <row r="5671" spans="9:11">
      <c r="I5671" t="s">
        <v>94</v>
      </c>
      <c r="J5671" t="s">
        <v>95</v>
      </c>
      <c r="K5671">
        <v>0</v>
      </c>
    </row>
    <row r="5672" spans="9:11">
      <c r="I5672" t="s">
        <v>94</v>
      </c>
      <c r="J5672" t="s">
        <v>95</v>
      </c>
      <c r="K5672">
        <v>0</v>
      </c>
    </row>
    <row r="5673" spans="9:11">
      <c r="I5673" t="s">
        <v>94</v>
      </c>
      <c r="J5673" t="s">
        <v>95</v>
      </c>
      <c r="K5673">
        <v>1</v>
      </c>
    </row>
    <row r="5674" spans="9:11">
      <c r="I5674" t="s">
        <v>94</v>
      </c>
      <c r="J5674" t="s">
        <v>95</v>
      </c>
      <c r="K5674">
        <v>0</v>
      </c>
    </row>
    <row r="5675" spans="9:11">
      <c r="I5675" t="s">
        <v>94</v>
      </c>
      <c r="J5675" t="s">
        <v>95</v>
      </c>
      <c r="K5675">
        <v>0</v>
      </c>
    </row>
    <row r="5676" spans="9:11">
      <c r="I5676" t="s">
        <v>91</v>
      </c>
      <c r="J5676" t="s">
        <v>92</v>
      </c>
      <c r="K5676">
        <v>0</v>
      </c>
    </row>
    <row r="5677" spans="9:11">
      <c r="I5677" t="s">
        <v>91</v>
      </c>
      <c r="J5677" t="s">
        <v>92</v>
      </c>
      <c r="K5677">
        <v>0</v>
      </c>
    </row>
    <row r="5678" spans="9:11">
      <c r="I5678" t="s">
        <v>91</v>
      </c>
      <c r="J5678" t="s">
        <v>92</v>
      </c>
      <c r="K5678">
        <v>0</v>
      </c>
    </row>
    <row r="5679" spans="9:11">
      <c r="I5679" t="s">
        <v>94</v>
      </c>
      <c r="J5679" t="s">
        <v>95</v>
      </c>
      <c r="K5679">
        <v>0</v>
      </c>
    </row>
    <row r="5680" spans="9:11">
      <c r="I5680" t="s">
        <v>91</v>
      </c>
      <c r="J5680" t="s">
        <v>92</v>
      </c>
      <c r="K5680">
        <v>0</v>
      </c>
    </row>
    <row r="5681" spans="9:11">
      <c r="I5681" t="s">
        <v>94</v>
      </c>
      <c r="J5681" t="s">
        <v>95</v>
      </c>
      <c r="K5681">
        <v>0</v>
      </c>
    </row>
    <row r="5682" spans="9:11">
      <c r="I5682" t="s">
        <v>94</v>
      </c>
      <c r="J5682" t="s">
        <v>95</v>
      </c>
      <c r="K5682">
        <v>0</v>
      </c>
    </row>
    <row r="5683" spans="9:11">
      <c r="I5683" t="s">
        <v>94</v>
      </c>
      <c r="J5683" t="s">
        <v>95</v>
      </c>
      <c r="K5683">
        <v>0</v>
      </c>
    </row>
    <row r="5684" spans="9:11">
      <c r="I5684" t="s">
        <v>91</v>
      </c>
      <c r="J5684" t="s">
        <v>92</v>
      </c>
      <c r="K5684">
        <v>0</v>
      </c>
    </row>
    <row r="5685" spans="9:11">
      <c r="I5685" t="s">
        <v>94</v>
      </c>
      <c r="J5685" t="s">
        <v>95</v>
      </c>
      <c r="K5685">
        <v>0</v>
      </c>
    </row>
    <row r="5686" spans="9:11">
      <c r="I5686" t="s">
        <v>91</v>
      </c>
      <c r="J5686" t="s">
        <v>92</v>
      </c>
      <c r="K5686">
        <v>0</v>
      </c>
    </row>
    <row r="5687" spans="9:11">
      <c r="I5687" t="s">
        <v>94</v>
      </c>
      <c r="J5687" t="s">
        <v>95</v>
      </c>
      <c r="K5687">
        <v>0</v>
      </c>
    </row>
    <row r="5688" spans="9:11">
      <c r="I5688" t="s">
        <v>94</v>
      </c>
      <c r="J5688" t="s">
        <v>95</v>
      </c>
      <c r="K5688">
        <v>0</v>
      </c>
    </row>
    <row r="5689" spans="9:11">
      <c r="I5689" t="s">
        <v>94</v>
      </c>
      <c r="J5689" t="s">
        <v>95</v>
      </c>
      <c r="K5689">
        <v>0</v>
      </c>
    </row>
    <row r="5690" spans="9:11">
      <c r="I5690" t="s">
        <v>91</v>
      </c>
      <c r="J5690" t="s">
        <v>92</v>
      </c>
      <c r="K5690">
        <v>0</v>
      </c>
    </row>
    <row r="5691" spans="9:11">
      <c r="I5691" t="s">
        <v>94</v>
      </c>
      <c r="J5691" t="s">
        <v>95</v>
      </c>
      <c r="K5691">
        <v>0</v>
      </c>
    </row>
    <row r="5692" spans="9:11">
      <c r="I5692" t="s">
        <v>94</v>
      </c>
      <c r="J5692" t="s">
        <v>95</v>
      </c>
      <c r="K5692">
        <v>0</v>
      </c>
    </row>
    <row r="5693" spans="9:11">
      <c r="I5693" t="s">
        <v>94</v>
      </c>
      <c r="J5693" t="s">
        <v>95</v>
      </c>
      <c r="K5693">
        <v>0</v>
      </c>
    </row>
    <row r="5694" spans="9:11">
      <c r="I5694" t="s">
        <v>91</v>
      </c>
      <c r="J5694" t="s">
        <v>92</v>
      </c>
      <c r="K5694">
        <v>0</v>
      </c>
    </row>
    <row r="5695" spans="9:11">
      <c r="I5695" t="s">
        <v>94</v>
      </c>
      <c r="J5695" t="s">
        <v>95</v>
      </c>
      <c r="K5695">
        <v>0</v>
      </c>
    </row>
    <row r="5696" spans="9:11">
      <c r="I5696" t="s">
        <v>91</v>
      </c>
      <c r="J5696" t="s">
        <v>92</v>
      </c>
      <c r="K5696">
        <v>0</v>
      </c>
    </row>
    <row r="5697" spans="9:11">
      <c r="I5697" t="s">
        <v>94</v>
      </c>
      <c r="J5697" t="s">
        <v>95</v>
      </c>
      <c r="K5697">
        <v>0</v>
      </c>
    </row>
    <row r="5698" spans="9:11">
      <c r="I5698" t="s">
        <v>94</v>
      </c>
      <c r="J5698" t="s">
        <v>95</v>
      </c>
      <c r="K5698">
        <v>0</v>
      </c>
    </row>
    <row r="5699" spans="9:11">
      <c r="I5699" t="s">
        <v>91</v>
      </c>
      <c r="J5699" t="s">
        <v>92</v>
      </c>
      <c r="K5699">
        <v>0</v>
      </c>
    </row>
    <row r="5700" spans="9:11">
      <c r="I5700" t="s">
        <v>91</v>
      </c>
      <c r="J5700" t="s">
        <v>92</v>
      </c>
      <c r="K5700">
        <v>0</v>
      </c>
    </row>
    <row r="5701" spans="9:11">
      <c r="I5701" t="s">
        <v>91</v>
      </c>
      <c r="J5701" t="s">
        <v>92</v>
      </c>
      <c r="K5701">
        <v>0</v>
      </c>
    </row>
    <row r="5702" spans="9:11">
      <c r="I5702" t="s">
        <v>94</v>
      </c>
      <c r="J5702" t="s">
        <v>95</v>
      </c>
      <c r="K5702">
        <v>0</v>
      </c>
    </row>
    <row r="5703" spans="9:11">
      <c r="I5703" t="s">
        <v>94</v>
      </c>
      <c r="J5703" t="s">
        <v>95</v>
      </c>
      <c r="K5703">
        <v>0</v>
      </c>
    </row>
    <row r="5704" spans="9:11">
      <c r="I5704" t="s">
        <v>91</v>
      </c>
      <c r="J5704" t="s">
        <v>92</v>
      </c>
      <c r="K5704">
        <v>0</v>
      </c>
    </row>
    <row r="5705" spans="9:11">
      <c r="I5705" t="s">
        <v>94</v>
      </c>
      <c r="J5705" t="s">
        <v>95</v>
      </c>
      <c r="K5705">
        <v>0</v>
      </c>
    </row>
    <row r="5706" spans="9:11">
      <c r="I5706" t="s">
        <v>91</v>
      </c>
      <c r="J5706" t="s">
        <v>92</v>
      </c>
      <c r="K5706">
        <v>0</v>
      </c>
    </row>
    <row r="5707" spans="9:11">
      <c r="I5707" t="s">
        <v>91</v>
      </c>
      <c r="J5707" t="s">
        <v>92</v>
      </c>
      <c r="K5707">
        <v>0</v>
      </c>
    </row>
    <row r="5708" spans="9:11">
      <c r="I5708" t="s">
        <v>91</v>
      </c>
      <c r="J5708" t="s">
        <v>92</v>
      </c>
      <c r="K5708">
        <v>0</v>
      </c>
    </row>
    <row r="5709" spans="9:11">
      <c r="I5709" t="s">
        <v>94</v>
      </c>
      <c r="J5709" t="s">
        <v>95</v>
      </c>
      <c r="K5709">
        <v>0</v>
      </c>
    </row>
    <row r="5710" spans="9:11">
      <c r="I5710" t="s">
        <v>91</v>
      </c>
      <c r="J5710" t="s">
        <v>92</v>
      </c>
      <c r="K5710">
        <v>0</v>
      </c>
    </row>
    <row r="5711" spans="9:11">
      <c r="I5711" t="s">
        <v>94</v>
      </c>
      <c r="J5711" t="s">
        <v>95</v>
      </c>
      <c r="K5711">
        <v>0</v>
      </c>
    </row>
    <row r="5712" spans="9:11">
      <c r="I5712" t="s">
        <v>91</v>
      </c>
      <c r="J5712" t="s">
        <v>92</v>
      </c>
      <c r="K5712">
        <v>0</v>
      </c>
    </row>
    <row r="5713" spans="9:11">
      <c r="I5713" t="s">
        <v>91</v>
      </c>
      <c r="J5713" t="s">
        <v>92</v>
      </c>
      <c r="K5713">
        <v>0</v>
      </c>
    </row>
    <row r="5714" spans="9:11">
      <c r="I5714" t="s">
        <v>94</v>
      </c>
      <c r="J5714" t="s">
        <v>95</v>
      </c>
      <c r="K5714">
        <v>0</v>
      </c>
    </row>
    <row r="5715" spans="9:11">
      <c r="I5715" t="s">
        <v>91</v>
      </c>
      <c r="J5715" t="s">
        <v>92</v>
      </c>
      <c r="K5715">
        <v>0</v>
      </c>
    </row>
    <row r="5716" spans="9:11">
      <c r="I5716" t="s">
        <v>94</v>
      </c>
      <c r="J5716" t="s">
        <v>95</v>
      </c>
      <c r="K5716">
        <v>0</v>
      </c>
    </row>
    <row r="5717" spans="9:11">
      <c r="I5717" t="s">
        <v>94</v>
      </c>
      <c r="J5717" t="s">
        <v>95</v>
      </c>
      <c r="K5717">
        <v>0</v>
      </c>
    </row>
    <row r="5718" spans="9:11">
      <c r="I5718" t="s">
        <v>91</v>
      </c>
      <c r="J5718" t="s">
        <v>92</v>
      </c>
      <c r="K5718">
        <v>0</v>
      </c>
    </row>
    <row r="5719" spans="9:11">
      <c r="I5719" t="s">
        <v>94</v>
      </c>
      <c r="J5719" t="s">
        <v>95</v>
      </c>
      <c r="K5719">
        <v>1</v>
      </c>
    </row>
    <row r="5720" spans="9:11">
      <c r="I5720" t="s">
        <v>94</v>
      </c>
      <c r="J5720" t="s">
        <v>95</v>
      </c>
      <c r="K5720">
        <v>0</v>
      </c>
    </row>
    <row r="5721" spans="9:11">
      <c r="I5721" t="s">
        <v>94</v>
      </c>
      <c r="J5721" t="s">
        <v>95</v>
      </c>
      <c r="K5721">
        <v>0</v>
      </c>
    </row>
    <row r="5722" spans="9:11">
      <c r="I5722" t="s">
        <v>91</v>
      </c>
      <c r="J5722" t="s">
        <v>92</v>
      </c>
      <c r="K5722">
        <v>0</v>
      </c>
    </row>
    <row r="5723" spans="9:11">
      <c r="I5723" t="s">
        <v>94</v>
      </c>
      <c r="J5723" t="s">
        <v>95</v>
      </c>
      <c r="K5723">
        <v>0</v>
      </c>
    </row>
    <row r="5724" spans="9:11">
      <c r="I5724" t="s">
        <v>94</v>
      </c>
      <c r="J5724" t="s">
        <v>95</v>
      </c>
      <c r="K5724">
        <v>0</v>
      </c>
    </row>
    <row r="5725" spans="9:11">
      <c r="I5725" t="s">
        <v>94</v>
      </c>
      <c r="J5725" t="s">
        <v>95</v>
      </c>
      <c r="K5725">
        <v>0</v>
      </c>
    </row>
    <row r="5726" spans="9:11">
      <c r="I5726" t="s">
        <v>91</v>
      </c>
      <c r="J5726" t="s">
        <v>92</v>
      </c>
      <c r="K5726">
        <v>0</v>
      </c>
    </row>
    <row r="5727" spans="9:11">
      <c r="I5727" t="s">
        <v>91</v>
      </c>
      <c r="J5727" t="s">
        <v>92</v>
      </c>
      <c r="K5727">
        <v>0</v>
      </c>
    </row>
    <row r="5728" spans="9:11">
      <c r="I5728" t="s">
        <v>94</v>
      </c>
      <c r="J5728" t="s">
        <v>95</v>
      </c>
      <c r="K5728">
        <v>0</v>
      </c>
    </row>
    <row r="5729" spans="9:11">
      <c r="I5729" t="s">
        <v>94</v>
      </c>
      <c r="J5729" t="s">
        <v>95</v>
      </c>
      <c r="K5729">
        <v>0</v>
      </c>
    </row>
    <row r="5730" spans="9:11">
      <c r="I5730" t="s">
        <v>94</v>
      </c>
      <c r="J5730" t="s">
        <v>95</v>
      </c>
      <c r="K5730">
        <v>0</v>
      </c>
    </row>
    <row r="5731" spans="9:11">
      <c r="I5731" t="s">
        <v>91</v>
      </c>
      <c r="J5731" t="s">
        <v>92</v>
      </c>
      <c r="K5731">
        <v>0</v>
      </c>
    </row>
    <row r="5732" spans="9:11">
      <c r="I5732" t="s">
        <v>94</v>
      </c>
      <c r="J5732" t="s">
        <v>95</v>
      </c>
      <c r="K5732">
        <v>0</v>
      </c>
    </row>
    <row r="5733" spans="9:11">
      <c r="I5733" t="s">
        <v>91</v>
      </c>
      <c r="J5733" t="s">
        <v>92</v>
      </c>
      <c r="K5733">
        <v>0</v>
      </c>
    </row>
    <row r="5734" spans="9:11">
      <c r="I5734" t="s">
        <v>91</v>
      </c>
      <c r="J5734" t="s">
        <v>92</v>
      </c>
      <c r="K5734">
        <v>0</v>
      </c>
    </row>
    <row r="5735" spans="9:11">
      <c r="I5735" t="s">
        <v>94</v>
      </c>
      <c r="J5735" t="s">
        <v>95</v>
      </c>
      <c r="K5735">
        <v>0</v>
      </c>
    </row>
    <row r="5736" spans="9:11">
      <c r="I5736" t="s">
        <v>91</v>
      </c>
      <c r="J5736" t="s">
        <v>92</v>
      </c>
      <c r="K5736">
        <v>0</v>
      </c>
    </row>
    <row r="5737" spans="9:11">
      <c r="I5737" t="s">
        <v>94</v>
      </c>
      <c r="J5737" t="s">
        <v>95</v>
      </c>
      <c r="K5737">
        <v>0</v>
      </c>
    </row>
    <row r="5738" spans="9:11">
      <c r="I5738" t="s">
        <v>94</v>
      </c>
      <c r="J5738" t="s">
        <v>95</v>
      </c>
      <c r="K5738">
        <v>0</v>
      </c>
    </row>
    <row r="5739" spans="9:11">
      <c r="I5739" t="s">
        <v>91</v>
      </c>
      <c r="J5739" t="s">
        <v>92</v>
      </c>
      <c r="K5739">
        <v>0</v>
      </c>
    </row>
    <row r="5740" spans="9:11">
      <c r="I5740" t="s">
        <v>91</v>
      </c>
      <c r="J5740" t="s">
        <v>92</v>
      </c>
      <c r="K5740">
        <v>0</v>
      </c>
    </row>
    <row r="5741" spans="9:11">
      <c r="I5741" t="s">
        <v>91</v>
      </c>
      <c r="J5741" t="s">
        <v>92</v>
      </c>
      <c r="K5741">
        <v>0</v>
      </c>
    </row>
    <row r="5742" spans="9:11">
      <c r="I5742" t="s">
        <v>94</v>
      </c>
      <c r="J5742" t="s">
        <v>95</v>
      </c>
      <c r="K5742">
        <v>0</v>
      </c>
    </row>
    <row r="5743" spans="9:11">
      <c r="I5743" t="s">
        <v>91</v>
      </c>
      <c r="J5743" t="s">
        <v>92</v>
      </c>
      <c r="K5743">
        <v>0</v>
      </c>
    </row>
    <row r="5744" spans="9:11">
      <c r="I5744" t="s">
        <v>94</v>
      </c>
      <c r="J5744" t="s">
        <v>95</v>
      </c>
      <c r="K5744">
        <v>1</v>
      </c>
    </row>
    <row r="5745" spans="9:11">
      <c r="I5745" t="s">
        <v>94</v>
      </c>
      <c r="J5745" t="s">
        <v>95</v>
      </c>
      <c r="K5745">
        <v>0</v>
      </c>
    </row>
    <row r="5746" spans="9:11">
      <c r="I5746" t="s">
        <v>91</v>
      </c>
      <c r="J5746" t="s">
        <v>92</v>
      </c>
      <c r="K5746">
        <v>0</v>
      </c>
    </row>
    <row r="5747" spans="9:11">
      <c r="I5747" t="s">
        <v>94</v>
      </c>
      <c r="J5747" t="s">
        <v>95</v>
      </c>
      <c r="K5747">
        <v>0</v>
      </c>
    </row>
    <row r="5748" spans="9:11">
      <c r="I5748" t="s">
        <v>94</v>
      </c>
      <c r="J5748" t="s">
        <v>95</v>
      </c>
      <c r="K5748">
        <v>0</v>
      </c>
    </row>
    <row r="5749" spans="9:11">
      <c r="I5749" t="s">
        <v>91</v>
      </c>
      <c r="J5749" t="s">
        <v>92</v>
      </c>
      <c r="K5749">
        <v>0</v>
      </c>
    </row>
    <row r="5750" spans="9:11">
      <c r="I5750" t="s">
        <v>94</v>
      </c>
      <c r="J5750" t="s">
        <v>95</v>
      </c>
      <c r="K5750">
        <v>0</v>
      </c>
    </row>
    <row r="5751" spans="9:11">
      <c r="I5751" t="s">
        <v>91</v>
      </c>
      <c r="J5751" t="s">
        <v>92</v>
      </c>
      <c r="K5751">
        <v>0</v>
      </c>
    </row>
    <row r="5752" spans="9:11">
      <c r="I5752" t="s">
        <v>94</v>
      </c>
      <c r="J5752" t="s">
        <v>95</v>
      </c>
      <c r="K5752">
        <v>1</v>
      </c>
    </row>
    <row r="5753" spans="9:11">
      <c r="I5753" t="s">
        <v>91</v>
      </c>
      <c r="J5753" t="s">
        <v>92</v>
      </c>
      <c r="K5753">
        <v>0</v>
      </c>
    </row>
    <row r="5754" spans="9:11">
      <c r="I5754" t="s">
        <v>94</v>
      </c>
      <c r="J5754" t="s">
        <v>95</v>
      </c>
      <c r="K5754">
        <v>0</v>
      </c>
    </row>
    <row r="5755" spans="9:11">
      <c r="I5755" t="s">
        <v>94</v>
      </c>
      <c r="J5755" t="s">
        <v>95</v>
      </c>
      <c r="K5755">
        <v>0</v>
      </c>
    </row>
    <row r="5756" spans="9:11">
      <c r="I5756" t="s">
        <v>94</v>
      </c>
      <c r="J5756" t="s">
        <v>95</v>
      </c>
      <c r="K5756">
        <v>0</v>
      </c>
    </row>
    <row r="5757" spans="9:11">
      <c r="I5757" t="s">
        <v>91</v>
      </c>
      <c r="J5757" t="s">
        <v>92</v>
      </c>
      <c r="K5757">
        <v>0</v>
      </c>
    </row>
    <row r="5758" spans="9:11">
      <c r="I5758" t="s">
        <v>94</v>
      </c>
      <c r="J5758" t="s">
        <v>95</v>
      </c>
      <c r="K5758">
        <v>1</v>
      </c>
    </row>
    <row r="5759" spans="9:11">
      <c r="I5759" t="s">
        <v>94</v>
      </c>
      <c r="J5759" t="s">
        <v>95</v>
      </c>
      <c r="K5759">
        <v>0</v>
      </c>
    </row>
    <row r="5760" spans="9:11">
      <c r="I5760" t="s">
        <v>91</v>
      </c>
      <c r="J5760" t="s">
        <v>92</v>
      </c>
      <c r="K5760">
        <v>0</v>
      </c>
    </row>
    <row r="5761" spans="9:11">
      <c r="I5761" t="s">
        <v>94</v>
      </c>
      <c r="J5761" t="s">
        <v>95</v>
      </c>
      <c r="K5761">
        <v>0</v>
      </c>
    </row>
    <row r="5762" spans="9:11">
      <c r="I5762" t="s">
        <v>91</v>
      </c>
      <c r="J5762" t="s">
        <v>92</v>
      </c>
      <c r="K5762">
        <v>0</v>
      </c>
    </row>
    <row r="5763" spans="9:11">
      <c r="I5763" t="s">
        <v>91</v>
      </c>
      <c r="J5763" t="s">
        <v>92</v>
      </c>
      <c r="K5763">
        <v>0</v>
      </c>
    </row>
    <row r="5764" spans="9:11">
      <c r="I5764" t="s">
        <v>91</v>
      </c>
      <c r="J5764" t="s">
        <v>92</v>
      </c>
      <c r="K5764">
        <v>0</v>
      </c>
    </row>
    <row r="5765" spans="9:11">
      <c r="I5765" t="s">
        <v>91</v>
      </c>
      <c r="J5765" t="s">
        <v>92</v>
      </c>
      <c r="K5765">
        <v>0</v>
      </c>
    </row>
    <row r="5766" spans="9:11">
      <c r="I5766" t="s">
        <v>94</v>
      </c>
      <c r="J5766" t="s">
        <v>95</v>
      </c>
      <c r="K5766">
        <v>0</v>
      </c>
    </row>
    <row r="5767" spans="9:11">
      <c r="I5767" t="s">
        <v>91</v>
      </c>
      <c r="J5767" t="s">
        <v>92</v>
      </c>
      <c r="K5767">
        <v>0</v>
      </c>
    </row>
    <row r="5768" spans="9:11">
      <c r="I5768" t="s">
        <v>94</v>
      </c>
      <c r="J5768" t="s">
        <v>95</v>
      </c>
      <c r="K5768">
        <v>0</v>
      </c>
    </row>
    <row r="5769" spans="9:11">
      <c r="I5769" t="s">
        <v>91</v>
      </c>
      <c r="J5769" t="s">
        <v>92</v>
      </c>
      <c r="K5769">
        <v>0</v>
      </c>
    </row>
    <row r="5770" spans="9:11">
      <c r="I5770" t="s">
        <v>94</v>
      </c>
      <c r="J5770" t="s">
        <v>95</v>
      </c>
      <c r="K5770">
        <v>0</v>
      </c>
    </row>
    <row r="5771" spans="9:11">
      <c r="I5771" t="s">
        <v>94</v>
      </c>
      <c r="J5771" t="s">
        <v>95</v>
      </c>
      <c r="K5771">
        <v>0</v>
      </c>
    </row>
    <row r="5772" spans="9:11">
      <c r="I5772" t="s">
        <v>94</v>
      </c>
      <c r="J5772" t="s">
        <v>95</v>
      </c>
      <c r="K5772">
        <v>0</v>
      </c>
    </row>
    <row r="5773" spans="9:11">
      <c r="I5773" t="s">
        <v>94</v>
      </c>
      <c r="J5773" t="s">
        <v>95</v>
      </c>
      <c r="K5773">
        <v>1</v>
      </c>
    </row>
    <row r="5774" spans="9:11">
      <c r="I5774" t="s">
        <v>94</v>
      </c>
      <c r="J5774" t="s">
        <v>95</v>
      </c>
      <c r="K5774">
        <v>0</v>
      </c>
    </row>
    <row r="5775" spans="9:11">
      <c r="I5775" t="s">
        <v>94</v>
      </c>
      <c r="J5775" t="s">
        <v>95</v>
      </c>
      <c r="K5775">
        <v>0</v>
      </c>
    </row>
    <row r="5776" spans="9:11">
      <c r="I5776" t="s">
        <v>94</v>
      </c>
      <c r="J5776" t="s">
        <v>95</v>
      </c>
      <c r="K5776">
        <v>0</v>
      </c>
    </row>
    <row r="5777" spans="9:11">
      <c r="I5777" t="s">
        <v>91</v>
      </c>
      <c r="J5777" t="s">
        <v>92</v>
      </c>
      <c r="K5777">
        <v>0</v>
      </c>
    </row>
    <row r="5778" spans="9:11">
      <c r="I5778" t="s">
        <v>91</v>
      </c>
      <c r="J5778" t="s">
        <v>92</v>
      </c>
      <c r="K5778">
        <v>0</v>
      </c>
    </row>
    <row r="5779" spans="9:11">
      <c r="I5779" t="s">
        <v>94</v>
      </c>
      <c r="J5779" t="s">
        <v>95</v>
      </c>
      <c r="K5779">
        <v>0</v>
      </c>
    </row>
    <row r="5780" spans="9:11">
      <c r="I5780" t="s">
        <v>94</v>
      </c>
      <c r="J5780" t="s">
        <v>95</v>
      </c>
      <c r="K5780">
        <v>0</v>
      </c>
    </row>
    <row r="5781" spans="9:11">
      <c r="I5781" t="s">
        <v>94</v>
      </c>
      <c r="J5781" t="s">
        <v>95</v>
      </c>
      <c r="K5781">
        <v>0</v>
      </c>
    </row>
    <row r="5782" spans="9:11">
      <c r="I5782" t="s">
        <v>94</v>
      </c>
      <c r="J5782" t="s">
        <v>95</v>
      </c>
      <c r="K5782">
        <v>0</v>
      </c>
    </row>
    <row r="5783" spans="9:11">
      <c r="I5783" t="s">
        <v>91</v>
      </c>
      <c r="J5783" t="s">
        <v>92</v>
      </c>
      <c r="K5783">
        <v>0</v>
      </c>
    </row>
    <row r="5784" spans="9:11">
      <c r="I5784" t="s">
        <v>91</v>
      </c>
      <c r="J5784" t="s">
        <v>92</v>
      </c>
      <c r="K5784">
        <v>0</v>
      </c>
    </row>
    <row r="5785" spans="9:11">
      <c r="I5785" t="s">
        <v>94</v>
      </c>
      <c r="J5785" t="s">
        <v>95</v>
      </c>
      <c r="K5785">
        <v>0</v>
      </c>
    </row>
    <row r="5786" spans="9:11">
      <c r="I5786" t="s">
        <v>91</v>
      </c>
      <c r="J5786" t="s">
        <v>92</v>
      </c>
      <c r="K5786">
        <v>0</v>
      </c>
    </row>
    <row r="5787" spans="9:11">
      <c r="I5787" t="s">
        <v>94</v>
      </c>
      <c r="J5787" t="s">
        <v>95</v>
      </c>
      <c r="K5787">
        <v>0</v>
      </c>
    </row>
    <row r="5788" spans="9:11">
      <c r="I5788" t="s">
        <v>91</v>
      </c>
      <c r="J5788" t="s">
        <v>92</v>
      </c>
      <c r="K5788">
        <v>0</v>
      </c>
    </row>
    <row r="5789" spans="9:11">
      <c r="I5789" t="s">
        <v>91</v>
      </c>
      <c r="J5789" t="s">
        <v>92</v>
      </c>
      <c r="K5789">
        <v>0</v>
      </c>
    </row>
    <row r="5790" spans="9:11">
      <c r="I5790" t="s">
        <v>91</v>
      </c>
      <c r="J5790" t="s">
        <v>92</v>
      </c>
      <c r="K5790">
        <v>0</v>
      </c>
    </row>
    <row r="5791" spans="9:11">
      <c r="I5791" t="s">
        <v>94</v>
      </c>
      <c r="J5791" t="s">
        <v>95</v>
      </c>
      <c r="K5791">
        <v>0</v>
      </c>
    </row>
    <row r="5792" spans="9:11">
      <c r="I5792" t="s">
        <v>91</v>
      </c>
      <c r="J5792" t="s">
        <v>92</v>
      </c>
      <c r="K5792">
        <v>0</v>
      </c>
    </row>
    <row r="5793" spans="9:11">
      <c r="I5793" t="s">
        <v>91</v>
      </c>
      <c r="J5793" t="s">
        <v>92</v>
      </c>
      <c r="K5793">
        <v>0</v>
      </c>
    </row>
    <row r="5794" spans="9:11">
      <c r="I5794" t="s">
        <v>91</v>
      </c>
      <c r="J5794" t="s">
        <v>92</v>
      </c>
      <c r="K5794">
        <v>0</v>
      </c>
    </row>
    <row r="5795" spans="9:11">
      <c r="I5795" t="s">
        <v>94</v>
      </c>
      <c r="J5795" t="s">
        <v>95</v>
      </c>
      <c r="K5795">
        <v>0</v>
      </c>
    </row>
    <row r="5796" spans="9:11">
      <c r="I5796" t="s">
        <v>94</v>
      </c>
      <c r="J5796" t="s">
        <v>95</v>
      </c>
      <c r="K5796">
        <v>1</v>
      </c>
    </row>
    <row r="5797" spans="9:11">
      <c r="I5797" t="s">
        <v>91</v>
      </c>
      <c r="J5797" t="s">
        <v>92</v>
      </c>
      <c r="K5797">
        <v>0</v>
      </c>
    </row>
    <row r="5798" spans="9:11">
      <c r="I5798" t="s">
        <v>91</v>
      </c>
      <c r="J5798" t="s">
        <v>92</v>
      </c>
      <c r="K5798">
        <v>0</v>
      </c>
    </row>
    <row r="5799" spans="9:11">
      <c r="I5799" t="s">
        <v>94</v>
      </c>
      <c r="J5799" t="s">
        <v>95</v>
      </c>
      <c r="K5799">
        <v>0</v>
      </c>
    </row>
    <row r="5800" spans="9:11">
      <c r="I5800" t="s">
        <v>94</v>
      </c>
      <c r="J5800" t="s">
        <v>95</v>
      </c>
      <c r="K5800">
        <v>0</v>
      </c>
    </row>
    <row r="5801" spans="9:11">
      <c r="I5801" t="s">
        <v>94</v>
      </c>
      <c r="J5801" t="s">
        <v>95</v>
      </c>
      <c r="K5801">
        <v>0</v>
      </c>
    </row>
    <row r="5802" spans="9:11">
      <c r="I5802" t="s">
        <v>91</v>
      </c>
      <c r="J5802" t="s">
        <v>92</v>
      </c>
      <c r="K5802">
        <v>1</v>
      </c>
    </row>
    <row r="5803" spans="9:11">
      <c r="I5803" t="s">
        <v>91</v>
      </c>
      <c r="J5803" t="s">
        <v>92</v>
      </c>
      <c r="K5803">
        <v>0</v>
      </c>
    </row>
    <row r="5804" spans="9:11">
      <c r="I5804" t="s">
        <v>91</v>
      </c>
      <c r="J5804" t="s">
        <v>92</v>
      </c>
      <c r="K5804">
        <v>0</v>
      </c>
    </row>
    <row r="5805" spans="9:11">
      <c r="I5805" t="s">
        <v>94</v>
      </c>
      <c r="J5805" t="s">
        <v>95</v>
      </c>
      <c r="K5805">
        <v>0</v>
      </c>
    </row>
    <row r="5806" spans="9:11">
      <c r="I5806" t="s">
        <v>94</v>
      </c>
      <c r="J5806" t="s">
        <v>95</v>
      </c>
      <c r="K5806">
        <v>0</v>
      </c>
    </row>
    <row r="5807" spans="9:11">
      <c r="I5807" t="s">
        <v>94</v>
      </c>
      <c r="J5807" t="s">
        <v>95</v>
      </c>
      <c r="K5807">
        <v>0</v>
      </c>
    </row>
    <row r="5808" spans="9:11">
      <c r="I5808" t="s">
        <v>91</v>
      </c>
      <c r="J5808" t="s">
        <v>92</v>
      </c>
      <c r="K5808">
        <v>0</v>
      </c>
    </row>
    <row r="5809" spans="9:11">
      <c r="I5809" t="s">
        <v>91</v>
      </c>
      <c r="J5809" t="s">
        <v>92</v>
      </c>
      <c r="K5809">
        <v>0</v>
      </c>
    </row>
    <row r="5810" spans="9:11">
      <c r="I5810" t="s">
        <v>91</v>
      </c>
      <c r="J5810" t="s">
        <v>92</v>
      </c>
      <c r="K5810">
        <v>0</v>
      </c>
    </row>
    <row r="5811" spans="9:11">
      <c r="I5811" t="s">
        <v>91</v>
      </c>
      <c r="J5811" t="s">
        <v>92</v>
      </c>
      <c r="K5811">
        <v>0</v>
      </c>
    </row>
    <row r="5812" spans="9:11">
      <c r="I5812" t="s">
        <v>94</v>
      </c>
      <c r="J5812" t="s">
        <v>95</v>
      </c>
      <c r="K5812">
        <v>0</v>
      </c>
    </row>
    <row r="5813" spans="9:11">
      <c r="I5813" t="s">
        <v>94</v>
      </c>
      <c r="J5813" t="s">
        <v>95</v>
      </c>
      <c r="K5813">
        <v>0</v>
      </c>
    </row>
    <row r="5814" spans="9:11">
      <c r="I5814" t="s">
        <v>91</v>
      </c>
      <c r="J5814" t="s">
        <v>92</v>
      </c>
      <c r="K5814">
        <v>0</v>
      </c>
    </row>
    <row r="5815" spans="9:11">
      <c r="I5815" t="s">
        <v>91</v>
      </c>
      <c r="J5815" t="s">
        <v>92</v>
      </c>
      <c r="K5815">
        <v>0</v>
      </c>
    </row>
    <row r="5816" spans="9:11">
      <c r="I5816" t="s">
        <v>94</v>
      </c>
      <c r="J5816" t="s">
        <v>95</v>
      </c>
      <c r="K5816">
        <v>0</v>
      </c>
    </row>
    <row r="5817" spans="9:11">
      <c r="I5817" t="s">
        <v>94</v>
      </c>
      <c r="J5817" t="s">
        <v>95</v>
      </c>
      <c r="K5817">
        <v>0</v>
      </c>
    </row>
    <row r="5818" spans="9:11">
      <c r="I5818" t="s">
        <v>91</v>
      </c>
      <c r="J5818" t="s">
        <v>92</v>
      </c>
      <c r="K5818">
        <v>0</v>
      </c>
    </row>
    <row r="5819" spans="9:11">
      <c r="I5819" t="s">
        <v>91</v>
      </c>
      <c r="J5819" t="s">
        <v>92</v>
      </c>
      <c r="K5819">
        <v>0</v>
      </c>
    </row>
    <row r="5820" spans="9:11">
      <c r="I5820" t="s">
        <v>91</v>
      </c>
      <c r="J5820" t="s">
        <v>92</v>
      </c>
      <c r="K5820">
        <v>0</v>
      </c>
    </row>
    <row r="5821" spans="9:11">
      <c r="I5821" t="s">
        <v>91</v>
      </c>
      <c r="J5821" t="s">
        <v>92</v>
      </c>
      <c r="K5821">
        <v>0</v>
      </c>
    </row>
    <row r="5822" spans="9:11">
      <c r="I5822" t="s">
        <v>91</v>
      </c>
      <c r="J5822" t="s">
        <v>92</v>
      </c>
      <c r="K5822">
        <v>0</v>
      </c>
    </row>
    <row r="5823" spans="9:11">
      <c r="I5823" t="s">
        <v>94</v>
      </c>
      <c r="J5823" t="s">
        <v>95</v>
      </c>
      <c r="K5823">
        <v>0</v>
      </c>
    </row>
    <row r="5824" spans="9:11">
      <c r="I5824" t="s">
        <v>94</v>
      </c>
      <c r="J5824" t="s">
        <v>95</v>
      </c>
      <c r="K5824">
        <v>0</v>
      </c>
    </row>
    <row r="5825" spans="9:11">
      <c r="I5825" t="s">
        <v>91</v>
      </c>
      <c r="J5825" t="s">
        <v>92</v>
      </c>
      <c r="K5825">
        <v>0</v>
      </c>
    </row>
    <row r="5826" spans="9:11">
      <c r="I5826" t="s">
        <v>91</v>
      </c>
      <c r="J5826" t="s">
        <v>92</v>
      </c>
      <c r="K5826">
        <v>0</v>
      </c>
    </row>
    <row r="5827" spans="9:11">
      <c r="I5827" t="s">
        <v>94</v>
      </c>
      <c r="J5827" t="s">
        <v>95</v>
      </c>
      <c r="K5827">
        <v>0</v>
      </c>
    </row>
    <row r="5828" spans="9:11">
      <c r="I5828" t="s">
        <v>91</v>
      </c>
      <c r="J5828" t="s">
        <v>92</v>
      </c>
      <c r="K5828">
        <v>0</v>
      </c>
    </row>
    <row r="5829" spans="9:11">
      <c r="I5829" t="s">
        <v>91</v>
      </c>
      <c r="J5829" t="s">
        <v>92</v>
      </c>
      <c r="K5829">
        <v>0</v>
      </c>
    </row>
    <row r="5830" spans="9:11">
      <c r="I5830" t="s">
        <v>91</v>
      </c>
      <c r="J5830" t="s">
        <v>92</v>
      </c>
      <c r="K5830">
        <v>0</v>
      </c>
    </row>
    <row r="5831" spans="9:11">
      <c r="I5831" t="s">
        <v>94</v>
      </c>
      <c r="J5831" t="s">
        <v>95</v>
      </c>
      <c r="K5831">
        <v>0</v>
      </c>
    </row>
    <row r="5832" spans="9:11">
      <c r="I5832" t="s">
        <v>94</v>
      </c>
      <c r="J5832" t="s">
        <v>95</v>
      </c>
      <c r="K5832">
        <v>0</v>
      </c>
    </row>
    <row r="5833" spans="9:11">
      <c r="I5833" t="s">
        <v>91</v>
      </c>
      <c r="J5833" t="s">
        <v>92</v>
      </c>
      <c r="K5833">
        <v>0</v>
      </c>
    </row>
    <row r="5834" spans="9:11">
      <c r="I5834" t="s">
        <v>94</v>
      </c>
      <c r="J5834" t="s">
        <v>95</v>
      </c>
      <c r="K5834">
        <v>0</v>
      </c>
    </row>
    <row r="5835" spans="9:11">
      <c r="I5835" t="s">
        <v>94</v>
      </c>
      <c r="J5835" t="s">
        <v>95</v>
      </c>
      <c r="K5835">
        <v>0</v>
      </c>
    </row>
    <row r="5836" spans="9:11">
      <c r="I5836" t="s">
        <v>94</v>
      </c>
      <c r="J5836" t="s">
        <v>95</v>
      </c>
      <c r="K5836">
        <v>0</v>
      </c>
    </row>
    <row r="5837" spans="9:11">
      <c r="I5837" t="s">
        <v>91</v>
      </c>
      <c r="J5837" t="s">
        <v>92</v>
      </c>
      <c r="K5837">
        <v>0</v>
      </c>
    </row>
    <row r="5838" spans="9:11">
      <c r="I5838" t="s">
        <v>91</v>
      </c>
      <c r="J5838" t="s">
        <v>92</v>
      </c>
      <c r="K5838">
        <v>0</v>
      </c>
    </row>
    <row r="5839" spans="9:11">
      <c r="I5839" t="s">
        <v>94</v>
      </c>
      <c r="J5839" t="s">
        <v>95</v>
      </c>
      <c r="K5839">
        <v>0</v>
      </c>
    </row>
    <row r="5840" spans="9:11">
      <c r="I5840" t="s">
        <v>91</v>
      </c>
      <c r="J5840" t="s">
        <v>92</v>
      </c>
      <c r="K5840">
        <v>0</v>
      </c>
    </row>
    <row r="5841" spans="9:11">
      <c r="I5841" t="s">
        <v>94</v>
      </c>
      <c r="J5841" t="s">
        <v>95</v>
      </c>
      <c r="K5841">
        <v>0</v>
      </c>
    </row>
    <row r="5842" spans="9:11">
      <c r="I5842" t="s">
        <v>91</v>
      </c>
      <c r="J5842" t="s">
        <v>92</v>
      </c>
      <c r="K5842">
        <v>0</v>
      </c>
    </row>
    <row r="5843" spans="9:11">
      <c r="I5843" t="s">
        <v>94</v>
      </c>
      <c r="J5843" t="s">
        <v>95</v>
      </c>
      <c r="K5843">
        <v>0</v>
      </c>
    </row>
    <row r="5844" spans="9:11">
      <c r="I5844" t="s">
        <v>91</v>
      </c>
      <c r="J5844" t="s">
        <v>92</v>
      </c>
      <c r="K5844">
        <v>0</v>
      </c>
    </row>
    <row r="5845" spans="9:11">
      <c r="I5845" t="s">
        <v>94</v>
      </c>
      <c r="J5845" t="s">
        <v>95</v>
      </c>
      <c r="K5845">
        <v>0</v>
      </c>
    </row>
    <row r="5846" spans="9:11">
      <c r="I5846" t="s">
        <v>91</v>
      </c>
      <c r="J5846" t="s">
        <v>92</v>
      </c>
      <c r="K5846">
        <v>0</v>
      </c>
    </row>
    <row r="5847" spans="9:11">
      <c r="I5847" t="s">
        <v>91</v>
      </c>
      <c r="J5847" t="s">
        <v>92</v>
      </c>
      <c r="K5847">
        <v>0</v>
      </c>
    </row>
    <row r="5848" spans="9:11">
      <c r="I5848" t="s">
        <v>94</v>
      </c>
      <c r="J5848" t="s">
        <v>95</v>
      </c>
      <c r="K5848">
        <v>0</v>
      </c>
    </row>
    <row r="5849" spans="9:11">
      <c r="I5849" t="s">
        <v>94</v>
      </c>
      <c r="J5849" t="s">
        <v>95</v>
      </c>
      <c r="K5849">
        <v>1</v>
      </c>
    </row>
    <row r="5850" spans="9:11">
      <c r="I5850" t="s">
        <v>91</v>
      </c>
      <c r="J5850" t="s">
        <v>92</v>
      </c>
      <c r="K5850">
        <v>0</v>
      </c>
    </row>
    <row r="5851" spans="9:11">
      <c r="I5851" t="s">
        <v>94</v>
      </c>
      <c r="J5851" t="s">
        <v>95</v>
      </c>
      <c r="K5851">
        <v>0</v>
      </c>
    </row>
    <row r="5852" spans="9:11">
      <c r="I5852" t="s">
        <v>91</v>
      </c>
      <c r="J5852" t="s">
        <v>92</v>
      </c>
      <c r="K5852">
        <v>0</v>
      </c>
    </row>
    <row r="5853" spans="9:11">
      <c r="I5853" t="s">
        <v>94</v>
      </c>
      <c r="J5853" t="s">
        <v>95</v>
      </c>
      <c r="K5853">
        <v>0</v>
      </c>
    </row>
    <row r="5854" spans="9:11">
      <c r="I5854" t="s">
        <v>91</v>
      </c>
      <c r="J5854" t="s">
        <v>92</v>
      </c>
      <c r="K5854">
        <v>0</v>
      </c>
    </row>
    <row r="5855" spans="9:11">
      <c r="I5855" t="s">
        <v>91</v>
      </c>
      <c r="J5855" t="s">
        <v>92</v>
      </c>
      <c r="K5855">
        <v>0</v>
      </c>
    </row>
    <row r="5856" spans="9:11">
      <c r="I5856" t="s">
        <v>91</v>
      </c>
      <c r="J5856" t="s">
        <v>92</v>
      </c>
      <c r="K5856">
        <v>0</v>
      </c>
    </row>
    <row r="5857" spans="9:11">
      <c r="I5857" t="s">
        <v>91</v>
      </c>
      <c r="J5857" t="s">
        <v>92</v>
      </c>
      <c r="K5857">
        <v>0</v>
      </c>
    </row>
    <row r="5858" spans="9:11">
      <c r="I5858" t="s">
        <v>94</v>
      </c>
      <c r="J5858" t="s">
        <v>95</v>
      </c>
      <c r="K5858">
        <v>0</v>
      </c>
    </row>
    <row r="5859" spans="9:11">
      <c r="I5859" t="s">
        <v>94</v>
      </c>
      <c r="J5859" t="s">
        <v>95</v>
      </c>
      <c r="K5859">
        <v>0</v>
      </c>
    </row>
    <row r="5860" spans="9:11">
      <c r="I5860" t="s">
        <v>94</v>
      </c>
      <c r="J5860" t="s">
        <v>95</v>
      </c>
      <c r="K5860">
        <v>0</v>
      </c>
    </row>
    <row r="5861" spans="9:11">
      <c r="I5861" t="s">
        <v>94</v>
      </c>
      <c r="J5861" t="s">
        <v>95</v>
      </c>
      <c r="K5861">
        <v>0</v>
      </c>
    </row>
    <row r="5862" spans="9:11">
      <c r="I5862" t="s">
        <v>91</v>
      </c>
      <c r="J5862" t="s">
        <v>92</v>
      </c>
      <c r="K5862">
        <v>0</v>
      </c>
    </row>
    <row r="5863" spans="9:11">
      <c r="I5863" t="s">
        <v>91</v>
      </c>
      <c r="J5863" t="s">
        <v>92</v>
      </c>
      <c r="K5863">
        <v>0</v>
      </c>
    </row>
    <row r="5864" spans="9:11">
      <c r="I5864" t="s">
        <v>94</v>
      </c>
      <c r="J5864" t="s">
        <v>95</v>
      </c>
      <c r="K5864">
        <v>0</v>
      </c>
    </row>
    <row r="5865" spans="9:11">
      <c r="I5865" t="s">
        <v>94</v>
      </c>
      <c r="J5865" t="s">
        <v>95</v>
      </c>
      <c r="K5865">
        <v>1</v>
      </c>
    </row>
    <row r="5866" spans="9:11">
      <c r="I5866" t="s">
        <v>91</v>
      </c>
      <c r="J5866" t="s">
        <v>92</v>
      </c>
      <c r="K5866">
        <v>0</v>
      </c>
    </row>
    <row r="5867" spans="9:11">
      <c r="I5867" t="s">
        <v>94</v>
      </c>
      <c r="J5867" t="s">
        <v>95</v>
      </c>
      <c r="K5867">
        <v>0</v>
      </c>
    </row>
    <row r="5868" spans="9:11">
      <c r="I5868" t="s">
        <v>91</v>
      </c>
      <c r="J5868" t="s">
        <v>92</v>
      </c>
      <c r="K5868">
        <v>0</v>
      </c>
    </row>
    <row r="5869" spans="9:11">
      <c r="I5869" t="s">
        <v>94</v>
      </c>
      <c r="J5869" t="s">
        <v>95</v>
      </c>
      <c r="K5869">
        <v>0</v>
      </c>
    </row>
    <row r="5870" spans="9:11">
      <c r="I5870" t="s">
        <v>94</v>
      </c>
      <c r="J5870" t="s">
        <v>95</v>
      </c>
      <c r="K5870">
        <v>0</v>
      </c>
    </row>
    <row r="5871" spans="9:11">
      <c r="I5871" t="s">
        <v>91</v>
      </c>
      <c r="J5871" t="s">
        <v>92</v>
      </c>
      <c r="K5871">
        <v>0</v>
      </c>
    </row>
    <row r="5872" spans="9:11">
      <c r="I5872" t="s">
        <v>91</v>
      </c>
      <c r="J5872" t="s">
        <v>92</v>
      </c>
      <c r="K5872">
        <v>0</v>
      </c>
    </row>
    <row r="5873" spans="9:11">
      <c r="I5873" t="s">
        <v>91</v>
      </c>
      <c r="J5873" t="s">
        <v>92</v>
      </c>
      <c r="K5873">
        <v>0</v>
      </c>
    </row>
    <row r="5874" spans="9:11">
      <c r="I5874" t="s">
        <v>94</v>
      </c>
      <c r="J5874" t="s">
        <v>95</v>
      </c>
      <c r="K5874">
        <v>0</v>
      </c>
    </row>
    <row r="5875" spans="9:11">
      <c r="I5875" t="s">
        <v>94</v>
      </c>
      <c r="J5875" t="s">
        <v>95</v>
      </c>
      <c r="K5875">
        <v>0</v>
      </c>
    </row>
    <row r="5876" spans="9:11">
      <c r="I5876" t="s">
        <v>94</v>
      </c>
      <c r="J5876" t="s">
        <v>95</v>
      </c>
      <c r="K5876">
        <v>0</v>
      </c>
    </row>
    <row r="5877" spans="9:11">
      <c r="I5877" t="s">
        <v>91</v>
      </c>
      <c r="J5877" t="s">
        <v>92</v>
      </c>
      <c r="K5877">
        <v>0</v>
      </c>
    </row>
    <row r="5878" spans="9:11">
      <c r="I5878" t="s">
        <v>94</v>
      </c>
      <c r="J5878" t="s">
        <v>95</v>
      </c>
      <c r="K5878">
        <v>0</v>
      </c>
    </row>
    <row r="5879" spans="9:11">
      <c r="I5879" t="s">
        <v>94</v>
      </c>
      <c r="J5879" t="s">
        <v>95</v>
      </c>
      <c r="K5879">
        <v>0</v>
      </c>
    </row>
    <row r="5880" spans="9:11">
      <c r="I5880" t="s">
        <v>91</v>
      </c>
      <c r="J5880" t="s">
        <v>92</v>
      </c>
      <c r="K5880">
        <v>0</v>
      </c>
    </row>
    <row r="5881" spans="9:11">
      <c r="I5881" t="s">
        <v>94</v>
      </c>
      <c r="J5881" t="s">
        <v>95</v>
      </c>
      <c r="K5881">
        <v>0</v>
      </c>
    </row>
    <row r="5882" spans="9:11">
      <c r="I5882" t="s">
        <v>91</v>
      </c>
      <c r="J5882" t="s">
        <v>92</v>
      </c>
      <c r="K5882">
        <v>0</v>
      </c>
    </row>
    <row r="5883" spans="9:11">
      <c r="I5883" t="s">
        <v>91</v>
      </c>
      <c r="J5883" t="s">
        <v>92</v>
      </c>
      <c r="K5883">
        <v>0</v>
      </c>
    </row>
    <row r="5884" spans="9:11">
      <c r="I5884" t="s">
        <v>94</v>
      </c>
      <c r="J5884" t="s">
        <v>95</v>
      </c>
      <c r="K5884">
        <v>0</v>
      </c>
    </row>
    <row r="5885" spans="9:11">
      <c r="I5885" t="s">
        <v>94</v>
      </c>
      <c r="J5885" t="s">
        <v>95</v>
      </c>
      <c r="K5885">
        <v>0</v>
      </c>
    </row>
    <row r="5886" spans="9:11">
      <c r="I5886" t="s">
        <v>94</v>
      </c>
      <c r="J5886" t="s">
        <v>95</v>
      </c>
      <c r="K5886">
        <v>0</v>
      </c>
    </row>
    <row r="5887" spans="9:11">
      <c r="I5887" t="s">
        <v>94</v>
      </c>
      <c r="J5887" t="s">
        <v>95</v>
      </c>
      <c r="K5887">
        <v>0</v>
      </c>
    </row>
    <row r="5888" spans="9:11">
      <c r="I5888" t="s">
        <v>94</v>
      </c>
      <c r="J5888" t="s">
        <v>95</v>
      </c>
      <c r="K5888">
        <v>0</v>
      </c>
    </row>
    <row r="5889" spans="9:11">
      <c r="I5889" t="s">
        <v>94</v>
      </c>
      <c r="J5889" t="s">
        <v>95</v>
      </c>
      <c r="K5889">
        <v>0</v>
      </c>
    </row>
    <row r="5890" spans="9:11">
      <c r="I5890" t="s">
        <v>94</v>
      </c>
      <c r="J5890" t="s">
        <v>95</v>
      </c>
      <c r="K5890">
        <v>0</v>
      </c>
    </row>
    <row r="5891" spans="9:11">
      <c r="I5891" t="s">
        <v>91</v>
      </c>
      <c r="J5891" t="s">
        <v>92</v>
      </c>
      <c r="K5891">
        <v>0</v>
      </c>
    </row>
    <row r="5892" spans="9:11">
      <c r="I5892" t="s">
        <v>94</v>
      </c>
      <c r="J5892" t="s">
        <v>95</v>
      </c>
      <c r="K5892">
        <v>1</v>
      </c>
    </row>
    <row r="5893" spans="9:11">
      <c r="I5893" t="s">
        <v>94</v>
      </c>
      <c r="J5893" t="s">
        <v>95</v>
      </c>
      <c r="K5893">
        <v>0</v>
      </c>
    </row>
    <row r="5894" spans="9:11">
      <c r="I5894" t="s">
        <v>94</v>
      </c>
      <c r="J5894" t="s">
        <v>95</v>
      </c>
      <c r="K5894">
        <v>0</v>
      </c>
    </row>
    <row r="5895" spans="9:11">
      <c r="I5895" t="s">
        <v>91</v>
      </c>
      <c r="J5895" t="s">
        <v>92</v>
      </c>
      <c r="K5895">
        <v>0</v>
      </c>
    </row>
    <row r="5896" spans="9:11">
      <c r="I5896" t="s">
        <v>94</v>
      </c>
      <c r="J5896" t="s">
        <v>95</v>
      </c>
      <c r="K5896">
        <v>0</v>
      </c>
    </row>
    <row r="5897" spans="9:11">
      <c r="I5897" t="s">
        <v>94</v>
      </c>
      <c r="J5897" t="s">
        <v>95</v>
      </c>
      <c r="K5897">
        <v>0</v>
      </c>
    </row>
    <row r="5898" spans="9:11">
      <c r="I5898" t="s">
        <v>94</v>
      </c>
      <c r="J5898" t="s">
        <v>95</v>
      </c>
      <c r="K5898">
        <v>0</v>
      </c>
    </row>
    <row r="5899" spans="9:11">
      <c r="I5899" t="s">
        <v>91</v>
      </c>
      <c r="J5899" t="s">
        <v>92</v>
      </c>
      <c r="K5899">
        <v>0</v>
      </c>
    </row>
    <row r="5900" spans="9:11">
      <c r="I5900" t="s">
        <v>91</v>
      </c>
      <c r="J5900" t="s">
        <v>92</v>
      </c>
      <c r="K5900">
        <v>1</v>
      </c>
    </row>
    <row r="5901" spans="9:11">
      <c r="I5901" t="s">
        <v>91</v>
      </c>
      <c r="J5901" t="s">
        <v>92</v>
      </c>
      <c r="K5901">
        <v>1</v>
      </c>
    </row>
    <row r="5902" spans="9:11">
      <c r="I5902" t="s">
        <v>91</v>
      </c>
      <c r="J5902" t="s">
        <v>92</v>
      </c>
      <c r="K5902">
        <v>0</v>
      </c>
    </row>
    <row r="5903" spans="9:11">
      <c r="I5903" t="s">
        <v>94</v>
      </c>
      <c r="J5903" t="s">
        <v>95</v>
      </c>
      <c r="K5903">
        <v>0</v>
      </c>
    </row>
    <row r="5904" spans="9:11">
      <c r="I5904" t="s">
        <v>91</v>
      </c>
      <c r="J5904" t="s">
        <v>92</v>
      </c>
      <c r="K5904">
        <v>0</v>
      </c>
    </row>
    <row r="5905" spans="9:11">
      <c r="I5905" t="s">
        <v>94</v>
      </c>
      <c r="J5905" t="s">
        <v>95</v>
      </c>
      <c r="K5905">
        <v>1</v>
      </c>
    </row>
    <row r="5906" spans="9:11">
      <c r="I5906" t="s">
        <v>91</v>
      </c>
      <c r="J5906" t="s">
        <v>92</v>
      </c>
      <c r="K5906">
        <v>1</v>
      </c>
    </row>
    <row r="5907" spans="9:11">
      <c r="I5907" t="s">
        <v>91</v>
      </c>
      <c r="J5907" t="s">
        <v>92</v>
      </c>
      <c r="K5907">
        <v>0</v>
      </c>
    </row>
    <row r="5908" spans="9:11">
      <c r="I5908" t="s">
        <v>91</v>
      </c>
      <c r="J5908" t="s">
        <v>92</v>
      </c>
      <c r="K5908">
        <v>0</v>
      </c>
    </row>
    <row r="5909" spans="9:11">
      <c r="I5909" t="s">
        <v>94</v>
      </c>
      <c r="J5909" t="s">
        <v>95</v>
      </c>
      <c r="K5909">
        <v>0</v>
      </c>
    </row>
    <row r="5910" spans="9:11">
      <c r="I5910" t="s">
        <v>91</v>
      </c>
      <c r="J5910" t="s">
        <v>92</v>
      </c>
      <c r="K5910">
        <v>0</v>
      </c>
    </row>
    <row r="5911" spans="9:11">
      <c r="I5911" t="s">
        <v>94</v>
      </c>
      <c r="J5911" t="s">
        <v>95</v>
      </c>
      <c r="K5911">
        <v>0</v>
      </c>
    </row>
    <row r="5912" spans="9:11">
      <c r="I5912" t="s">
        <v>94</v>
      </c>
      <c r="J5912" t="s">
        <v>95</v>
      </c>
      <c r="K5912">
        <v>0</v>
      </c>
    </row>
    <row r="5913" spans="9:11">
      <c r="I5913" t="s">
        <v>94</v>
      </c>
      <c r="J5913" t="s">
        <v>95</v>
      </c>
      <c r="K5913">
        <v>0</v>
      </c>
    </row>
    <row r="5914" spans="9:11">
      <c r="I5914" t="s">
        <v>91</v>
      </c>
      <c r="J5914" t="s">
        <v>92</v>
      </c>
      <c r="K5914">
        <v>0</v>
      </c>
    </row>
    <row r="5915" spans="9:11">
      <c r="I5915" t="s">
        <v>94</v>
      </c>
      <c r="J5915" t="s">
        <v>95</v>
      </c>
      <c r="K5915">
        <v>0</v>
      </c>
    </row>
    <row r="5916" spans="9:11">
      <c r="I5916" t="s">
        <v>91</v>
      </c>
      <c r="J5916" t="s">
        <v>92</v>
      </c>
      <c r="K5916">
        <v>0</v>
      </c>
    </row>
    <row r="5917" spans="9:11">
      <c r="I5917" t="s">
        <v>94</v>
      </c>
      <c r="J5917" t="s">
        <v>95</v>
      </c>
      <c r="K5917">
        <v>0</v>
      </c>
    </row>
    <row r="5918" spans="9:11">
      <c r="I5918" t="s">
        <v>94</v>
      </c>
      <c r="J5918" t="s">
        <v>95</v>
      </c>
      <c r="K5918">
        <v>0</v>
      </c>
    </row>
    <row r="5919" spans="9:11">
      <c r="I5919" t="s">
        <v>94</v>
      </c>
      <c r="J5919" t="s">
        <v>95</v>
      </c>
      <c r="K5919">
        <v>0</v>
      </c>
    </row>
    <row r="5920" spans="9:11">
      <c r="I5920" t="s">
        <v>94</v>
      </c>
      <c r="J5920" t="s">
        <v>95</v>
      </c>
      <c r="K5920">
        <v>0</v>
      </c>
    </row>
    <row r="5921" spans="9:11">
      <c r="I5921" t="s">
        <v>91</v>
      </c>
      <c r="J5921" t="s">
        <v>92</v>
      </c>
      <c r="K5921">
        <v>0</v>
      </c>
    </row>
    <row r="5922" spans="9:11">
      <c r="I5922" t="s">
        <v>94</v>
      </c>
      <c r="J5922" t="s">
        <v>95</v>
      </c>
      <c r="K5922">
        <v>0</v>
      </c>
    </row>
    <row r="5923" spans="9:11">
      <c r="I5923" t="s">
        <v>94</v>
      </c>
      <c r="J5923" t="s">
        <v>95</v>
      </c>
      <c r="K5923">
        <v>0</v>
      </c>
    </row>
    <row r="5924" spans="9:11">
      <c r="I5924" t="s">
        <v>91</v>
      </c>
      <c r="J5924" t="s">
        <v>92</v>
      </c>
      <c r="K5924">
        <v>0</v>
      </c>
    </row>
    <row r="5925" spans="9:11">
      <c r="I5925" t="s">
        <v>94</v>
      </c>
      <c r="J5925" t="s">
        <v>95</v>
      </c>
      <c r="K5925">
        <v>0</v>
      </c>
    </row>
    <row r="5926" spans="9:11">
      <c r="I5926" t="s">
        <v>94</v>
      </c>
      <c r="J5926" t="s">
        <v>95</v>
      </c>
      <c r="K5926">
        <v>0</v>
      </c>
    </row>
    <row r="5927" spans="9:11">
      <c r="I5927" t="s">
        <v>94</v>
      </c>
      <c r="J5927" t="s">
        <v>95</v>
      </c>
      <c r="K5927">
        <v>0</v>
      </c>
    </row>
    <row r="5928" spans="9:11">
      <c r="I5928" t="s">
        <v>94</v>
      </c>
      <c r="J5928" t="s">
        <v>95</v>
      </c>
      <c r="K5928">
        <v>0</v>
      </c>
    </row>
    <row r="5929" spans="9:11">
      <c r="I5929" t="s">
        <v>94</v>
      </c>
      <c r="J5929" t="s">
        <v>95</v>
      </c>
      <c r="K5929">
        <v>0</v>
      </c>
    </row>
    <row r="5930" spans="9:11">
      <c r="I5930" t="s">
        <v>94</v>
      </c>
      <c r="J5930" t="s">
        <v>95</v>
      </c>
      <c r="K5930">
        <v>0</v>
      </c>
    </row>
    <row r="5931" spans="9:11">
      <c r="I5931" t="s">
        <v>94</v>
      </c>
      <c r="J5931" t="s">
        <v>95</v>
      </c>
      <c r="K5931">
        <v>0</v>
      </c>
    </row>
    <row r="5932" spans="9:11">
      <c r="I5932" t="s">
        <v>94</v>
      </c>
      <c r="J5932" t="s">
        <v>95</v>
      </c>
      <c r="K5932">
        <v>0</v>
      </c>
    </row>
    <row r="5933" spans="9:11">
      <c r="I5933" t="s">
        <v>91</v>
      </c>
      <c r="J5933" t="s">
        <v>92</v>
      </c>
      <c r="K5933">
        <v>0</v>
      </c>
    </row>
    <row r="5934" spans="9:11">
      <c r="I5934" t="s">
        <v>94</v>
      </c>
      <c r="J5934" t="s">
        <v>95</v>
      </c>
      <c r="K5934">
        <v>1</v>
      </c>
    </row>
    <row r="5935" spans="9:11">
      <c r="I5935" t="s">
        <v>94</v>
      </c>
      <c r="J5935" t="s">
        <v>95</v>
      </c>
      <c r="K5935">
        <v>0</v>
      </c>
    </row>
    <row r="5936" spans="9:11">
      <c r="I5936" t="s">
        <v>91</v>
      </c>
      <c r="J5936" t="s">
        <v>92</v>
      </c>
      <c r="K5936">
        <v>0</v>
      </c>
    </row>
    <row r="5937" spans="9:11">
      <c r="I5937" t="s">
        <v>91</v>
      </c>
      <c r="J5937" t="s">
        <v>92</v>
      </c>
      <c r="K5937">
        <v>0</v>
      </c>
    </row>
    <row r="5938" spans="9:11">
      <c r="I5938" t="s">
        <v>91</v>
      </c>
      <c r="J5938" t="s">
        <v>92</v>
      </c>
      <c r="K5938">
        <v>0</v>
      </c>
    </row>
    <row r="5939" spans="9:11">
      <c r="I5939" t="s">
        <v>94</v>
      </c>
      <c r="J5939" t="s">
        <v>95</v>
      </c>
      <c r="K5939">
        <v>0</v>
      </c>
    </row>
    <row r="5940" spans="9:11">
      <c r="I5940" t="s">
        <v>94</v>
      </c>
      <c r="J5940" t="s">
        <v>95</v>
      </c>
      <c r="K5940">
        <v>0</v>
      </c>
    </row>
    <row r="5941" spans="9:11">
      <c r="I5941" t="s">
        <v>91</v>
      </c>
      <c r="J5941" t="s">
        <v>92</v>
      </c>
      <c r="K5941">
        <v>0</v>
      </c>
    </row>
    <row r="5942" spans="9:11">
      <c r="I5942" t="s">
        <v>94</v>
      </c>
      <c r="J5942" t="s">
        <v>95</v>
      </c>
      <c r="K5942">
        <v>0</v>
      </c>
    </row>
    <row r="5943" spans="9:11">
      <c r="I5943" t="s">
        <v>91</v>
      </c>
      <c r="J5943" t="s">
        <v>92</v>
      </c>
      <c r="K5943">
        <v>0</v>
      </c>
    </row>
    <row r="5944" spans="9:11">
      <c r="I5944" t="s">
        <v>94</v>
      </c>
      <c r="J5944" t="s">
        <v>95</v>
      </c>
      <c r="K5944">
        <v>0</v>
      </c>
    </row>
    <row r="5945" spans="9:11">
      <c r="I5945" t="s">
        <v>94</v>
      </c>
      <c r="J5945" t="s">
        <v>95</v>
      </c>
      <c r="K5945">
        <v>0</v>
      </c>
    </row>
    <row r="5946" spans="9:11">
      <c r="I5946" t="s">
        <v>91</v>
      </c>
      <c r="J5946" t="s">
        <v>92</v>
      </c>
      <c r="K5946">
        <v>0</v>
      </c>
    </row>
    <row r="5947" spans="9:11">
      <c r="I5947" t="s">
        <v>91</v>
      </c>
      <c r="J5947" t="s">
        <v>92</v>
      </c>
      <c r="K5947">
        <v>0</v>
      </c>
    </row>
    <row r="5948" spans="9:11">
      <c r="I5948" t="s">
        <v>91</v>
      </c>
      <c r="J5948" t="s">
        <v>92</v>
      </c>
      <c r="K5948">
        <v>0</v>
      </c>
    </row>
    <row r="5949" spans="9:11">
      <c r="I5949" t="s">
        <v>91</v>
      </c>
      <c r="J5949" t="s">
        <v>92</v>
      </c>
      <c r="K5949">
        <v>0</v>
      </c>
    </row>
    <row r="5950" spans="9:11">
      <c r="I5950" t="s">
        <v>91</v>
      </c>
      <c r="J5950" t="s">
        <v>92</v>
      </c>
      <c r="K5950">
        <v>0</v>
      </c>
    </row>
    <row r="5951" spans="9:11">
      <c r="I5951" t="s">
        <v>94</v>
      </c>
      <c r="J5951" t="s">
        <v>95</v>
      </c>
      <c r="K5951">
        <v>1</v>
      </c>
    </row>
    <row r="5952" spans="9:11">
      <c r="I5952" t="s">
        <v>94</v>
      </c>
      <c r="J5952" t="s">
        <v>95</v>
      </c>
      <c r="K5952">
        <v>0</v>
      </c>
    </row>
    <row r="5953" spans="9:11">
      <c r="I5953" t="s">
        <v>94</v>
      </c>
      <c r="J5953" t="s">
        <v>95</v>
      </c>
      <c r="K5953">
        <v>0</v>
      </c>
    </row>
    <row r="5954" spans="9:11">
      <c r="I5954" t="s">
        <v>94</v>
      </c>
      <c r="J5954" t="s">
        <v>95</v>
      </c>
      <c r="K5954">
        <v>0</v>
      </c>
    </row>
    <row r="5955" spans="9:11">
      <c r="I5955" t="s">
        <v>94</v>
      </c>
      <c r="J5955" t="s">
        <v>95</v>
      </c>
      <c r="K5955">
        <v>0</v>
      </c>
    </row>
    <row r="5956" spans="9:11">
      <c r="I5956" t="s">
        <v>94</v>
      </c>
      <c r="J5956" t="s">
        <v>95</v>
      </c>
      <c r="K5956">
        <v>0</v>
      </c>
    </row>
    <row r="5957" spans="9:11">
      <c r="I5957" t="s">
        <v>94</v>
      </c>
      <c r="J5957" t="s">
        <v>95</v>
      </c>
      <c r="K5957">
        <v>0</v>
      </c>
    </row>
    <row r="5958" spans="9:11">
      <c r="I5958" t="s">
        <v>94</v>
      </c>
      <c r="J5958" t="s">
        <v>95</v>
      </c>
      <c r="K5958">
        <v>0</v>
      </c>
    </row>
    <row r="5959" spans="9:11">
      <c r="I5959" t="s">
        <v>94</v>
      </c>
      <c r="J5959" t="s">
        <v>95</v>
      </c>
      <c r="K5959">
        <v>0</v>
      </c>
    </row>
    <row r="5960" spans="9:11">
      <c r="I5960" t="s">
        <v>91</v>
      </c>
      <c r="J5960" t="s">
        <v>92</v>
      </c>
      <c r="K5960">
        <v>0</v>
      </c>
    </row>
    <row r="5961" spans="9:11">
      <c r="I5961" t="s">
        <v>94</v>
      </c>
      <c r="J5961" t="s">
        <v>95</v>
      </c>
      <c r="K5961">
        <v>0</v>
      </c>
    </row>
    <row r="5962" spans="9:11">
      <c r="I5962" t="s">
        <v>91</v>
      </c>
      <c r="J5962" t="s">
        <v>92</v>
      </c>
      <c r="K5962">
        <v>0</v>
      </c>
    </row>
    <row r="5963" spans="9:11">
      <c r="I5963" t="s">
        <v>94</v>
      </c>
      <c r="J5963" t="s">
        <v>95</v>
      </c>
      <c r="K5963">
        <v>0</v>
      </c>
    </row>
    <row r="5964" spans="9:11">
      <c r="I5964" t="s">
        <v>91</v>
      </c>
      <c r="J5964" t="s">
        <v>92</v>
      </c>
      <c r="K5964">
        <v>0</v>
      </c>
    </row>
    <row r="5965" spans="9:11">
      <c r="I5965" t="s">
        <v>94</v>
      </c>
      <c r="J5965" t="s">
        <v>95</v>
      </c>
      <c r="K5965">
        <v>0</v>
      </c>
    </row>
    <row r="5966" spans="9:11">
      <c r="I5966" t="s">
        <v>94</v>
      </c>
      <c r="J5966" t="s">
        <v>95</v>
      </c>
      <c r="K5966">
        <v>0</v>
      </c>
    </row>
    <row r="5967" spans="9:11">
      <c r="I5967" t="s">
        <v>94</v>
      </c>
      <c r="J5967" t="s">
        <v>95</v>
      </c>
      <c r="K5967">
        <v>0</v>
      </c>
    </row>
    <row r="5968" spans="9:11">
      <c r="I5968" t="s">
        <v>94</v>
      </c>
      <c r="J5968" t="s">
        <v>95</v>
      </c>
      <c r="K5968">
        <v>0</v>
      </c>
    </row>
    <row r="5969" spans="9:11">
      <c r="I5969" t="s">
        <v>94</v>
      </c>
      <c r="J5969" t="s">
        <v>95</v>
      </c>
      <c r="K5969">
        <v>0</v>
      </c>
    </row>
    <row r="5970" spans="9:11">
      <c r="I5970" t="s">
        <v>94</v>
      </c>
      <c r="J5970" t="s">
        <v>95</v>
      </c>
      <c r="K5970">
        <v>0</v>
      </c>
    </row>
    <row r="5971" spans="9:11">
      <c r="I5971" t="s">
        <v>94</v>
      </c>
      <c r="J5971" t="s">
        <v>95</v>
      </c>
      <c r="K5971">
        <v>0</v>
      </c>
    </row>
    <row r="5972" spans="9:11">
      <c r="I5972" t="s">
        <v>94</v>
      </c>
      <c r="J5972" t="s">
        <v>95</v>
      </c>
      <c r="K5972">
        <v>0</v>
      </c>
    </row>
    <row r="5973" spans="9:11">
      <c r="I5973" t="s">
        <v>94</v>
      </c>
      <c r="J5973" t="s">
        <v>95</v>
      </c>
      <c r="K5973">
        <v>0</v>
      </c>
    </row>
    <row r="5974" spans="9:11">
      <c r="I5974" t="s">
        <v>94</v>
      </c>
      <c r="J5974" t="s">
        <v>95</v>
      </c>
      <c r="K5974">
        <v>0</v>
      </c>
    </row>
    <row r="5975" spans="9:11">
      <c r="I5975" t="s">
        <v>94</v>
      </c>
      <c r="J5975" t="s">
        <v>95</v>
      </c>
      <c r="K5975">
        <v>0</v>
      </c>
    </row>
    <row r="5976" spans="9:11">
      <c r="I5976" t="s">
        <v>91</v>
      </c>
      <c r="J5976" t="s">
        <v>92</v>
      </c>
      <c r="K5976">
        <v>0</v>
      </c>
    </row>
    <row r="5977" spans="9:11">
      <c r="I5977" t="s">
        <v>94</v>
      </c>
      <c r="J5977" t="s">
        <v>95</v>
      </c>
      <c r="K5977">
        <v>0</v>
      </c>
    </row>
    <row r="5978" spans="9:11">
      <c r="I5978" t="s">
        <v>91</v>
      </c>
      <c r="J5978" t="s">
        <v>92</v>
      </c>
      <c r="K5978">
        <v>0</v>
      </c>
    </row>
    <row r="5979" spans="9:11">
      <c r="I5979" t="s">
        <v>94</v>
      </c>
      <c r="J5979" t="s">
        <v>95</v>
      </c>
      <c r="K5979">
        <v>0</v>
      </c>
    </row>
    <row r="5980" spans="9:11">
      <c r="I5980" t="s">
        <v>94</v>
      </c>
      <c r="J5980" t="s">
        <v>95</v>
      </c>
      <c r="K5980">
        <v>0</v>
      </c>
    </row>
    <row r="5981" spans="9:11">
      <c r="I5981" t="s">
        <v>91</v>
      </c>
      <c r="J5981" t="s">
        <v>92</v>
      </c>
      <c r="K5981">
        <v>0</v>
      </c>
    </row>
    <row r="5982" spans="9:11">
      <c r="I5982" t="s">
        <v>91</v>
      </c>
      <c r="J5982" t="s">
        <v>92</v>
      </c>
      <c r="K5982">
        <v>0</v>
      </c>
    </row>
    <row r="5983" spans="9:11">
      <c r="I5983" t="s">
        <v>94</v>
      </c>
      <c r="J5983" t="s">
        <v>95</v>
      </c>
      <c r="K5983">
        <v>0</v>
      </c>
    </row>
    <row r="5984" spans="9:11">
      <c r="I5984" t="s">
        <v>94</v>
      </c>
      <c r="J5984" t="s">
        <v>95</v>
      </c>
      <c r="K5984">
        <v>0</v>
      </c>
    </row>
    <row r="5985" spans="9:11">
      <c r="I5985" t="s">
        <v>94</v>
      </c>
      <c r="J5985" t="s">
        <v>95</v>
      </c>
      <c r="K5985">
        <v>0</v>
      </c>
    </row>
    <row r="5986" spans="9:11">
      <c r="I5986" t="s">
        <v>91</v>
      </c>
      <c r="J5986" t="s">
        <v>92</v>
      </c>
      <c r="K5986">
        <v>0</v>
      </c>
    </row>
    <row r="5987" spans="9:11">
      <c r="I5987" t="s">
        <v>94</v>
      </c>
      <c r="J5987" t="s">
        <v>95</v>
      </c>
      <c r="K5987">
        <v>0</v>
      </c>
    </row>
    <row r="5988" spans="9:11">
      <c r="I5988" t="s">
        <v>94</v>
      </c>
      <c r="J5988" t="s">
        <v>95</v>
      </c>
      <c r="K5988">
        <v>0</v>
      </c>
    </row>
    <row r="5989" spans="9:11">
      <c r="I5989" t="s">
        <v>94</v>
      </c>
      <c r="J5989" t="s">
        <v>95</v>
      </c>
      <c r="K5989">
        <v>0</v>
      </c>
    </row>
    <row r="5990" spans="9:11">
      <c r="I5990" t="s">
        <v>94</v>
      </c>
      <c r="J5990" t="s">
        <v>95</v>
      </c>
      <c r="K5990">
        <v>0</v>
      </c>
    </row>
    <row r="5991" spans="9:11">
      <c r="I5991" t="s">
        <v>91</v>
      </c>
      <c r="J5991" t="s">
        <v>92</v>
      </c>
      <c r="K5991">
        <v>0</v>
      </c>
    </row>
    <row r="5992" spans="9:11">
      <c r="I5992" t="s">
        <v>94</v>
      </c>
      <c r="J5992" t="s">
        <v>95</v>
      </c>
      <c r="K5992">
        <v>0</v>
      </c>
    </row>
    <row r="5993" spans="9:11">
      <c r="I5993" t="s">
        <v>94</v>
      </c>
      <c r="J5993" t="s">
        <v>95</v>
      </c>
      <c r="K5993">
        <v>0</v>
      </c>
    </row>
    <row r="5994" spans="9:11">
      <c r="I5994" t="s">
        <v>91</v>
      </c>
      <c r="J5994" t="s">
        <v>92</v>
      </c>
      <c r="K5994">
        <v>0</v>
      </c>
    </row>
    <row r="5995" spans="9:11">
      <c r="I5995" t="s">
        <v>94</v>
      </c>
      <c r="J5995" t="s">
        <v>95</v>
      </c>
      <c r="K5995">
        <v>0</v>
      </c>
    </row>
    <row r="5996" spans="9:11">
      <c r="I5996" t="s">
        <v>94</v>
      </c>
      <c r="J5996" t="s">
        <v>95</v>
      </c>
      <c r="K5996">
        <v>0</v>
      </c>
    </row>
    <row r="5997" spans="9:11">
      <c r="I5997" t="s">
        <v>94</v>
      </c>
      <c r="J5997" t="s">
        <v>95</v>
      </c>
      <c r="K5997">
        <v>0</v>
      </c>
    </row>
    <row r="5998" spans="9:11">
      <c r="I5998" t="s">
        <v>94</v>
      </c>
      <c r="J5998" t="s">
        <v>95</v>
      </c>
      <c r="K5998">
        <v>0</v>
      </c>
    </row>
    <row r="5999" spans="9:11">
      <c r="I5999" t="s">
        <v>94</v>
      </c>
      <c r="J5999" t="s">
        <v>95</v>
      </c>
      <c r="K5999">
        <v>0</v>
      </c>
    </row>
    <row r="6000" spans="9:11">
      <c r="I6000" t="s">
        <v>91</v>
      </c>
      <c r="J6000" t="s">
        <v>92</v>
      </c>
      <c r="K6000">
        <v>0</v>
      </c>
    </row>
    <row r="6001" spans="9:11">
      <c r="I6001" t="s">
        <v>94</v>
      </c>
      <c r="J6001" t="s">
        <v>95</v>
      </c>
      <c r="K6001">
        <v>0</v>
      </c>
    </row>
    <row r="6002" spans="9:11">
      <c r="I6002" t="s">
        <v>94</v>
      </c>
      <c r="J6002" t="s">
        <v>95</v>
      </c>
      <c r="K6002">
        <v>0</v>
      </c>
    </row>
    <row r="6003" spans="9:11">
      <c r="I6003" t="s">
        <v>91</v>
      </c>
      <c r="J6003" t="s">
        <v>92</v>
      </c>
      <c r="K6003">
        <v>0</v>
      </c>
    </row>
    <row r="6004" spans="9:11">
      <c r="I6004" t="s">
        <v>91</v>
      </c>
      <c r="J6004" t="s">
        <v>92</v>
      </c>
      <c r="K6004">
        <v>0</v>
      </c>
    </row>
    <row r="6005" spans="9:11">
      <c r="I6005" t="s">
        <v>94</v>
      </c>
      <c r="J6005" t="s">
        <v>95</v>
      </c>
      <c r="K6005">
        <v>0</v>
      </c>
    </row>
    <row r="6006" spans="9:11">
      <c r="I6006" t="s">
        <v>91</v>
      </c>
      <c r="J6006" t="s">
        <v>92</v>
      </c>
      <c r="K6006">
        <v>0</v>
      </c>
    </row>
    <row r="6007" spans="9:11">
      <c r="I6007" t="s">
        <v>91</v>
      </c>
      <c r="J6007" t="s">
        <v>92</v>
      </c>
      <c r="K6007">
        <v>0</v>
      </c>
    </row>
    <row r="6008" spans="9:11">
      <c r="I6008" t="s">
        <v>94</v>
      </c>
      <c r="J6008" t="s">
        <v>95</v>
      </c>
      <c r="K6008">
        <v>0</v>
      </c>
    </row>
    <row r="6009" spans="9:11">
      <c r="I6009" t="s">
        <v>94</v>
      </c>
      <c r="J6009" t="s">
        <v>95</v>
      </c>
      <c r="K6009">
        <v>0</v>
      </c>
    </row>
    <row r="6010" spans="9:11">
      <c r="I6010" t="s">
        <v>91</v>
      </c>
      <c r="J6010" t="s">
        <v>92</v>
      </c>
      <c r="K6010">
        <v>0</v>
      </c>
    </row>
    <row r="6011" spans="9:11">
      <c r="I6011" t="s">
        <v>94</v>
      </c>
      <c r="J6011" t="s">
        <v>95</v>
      </c>
      <c r="K6011">
        <v>1</v>
      </c>
    </row>
    <row r="6012" spans="9:11">
      <c r="I6012" t="s">
        <v>94</v>
      </c>
      <c r="J6012" t="s">
        <v>95</v>
      </c>
      <c r="K6012">
        <v>0</v>
      </c>
    </row>
    <row r="6013" spans="9:11">
      <c r="I6013" t="s">
        <v>94</v>
      </c>
      <c r="J6013" t="s">
        <v>95</v>
      </c>
      <c r="K6013">
        <v>0</v>
      </c>
    </row>
    <row r="6014" spans="9:11">
      <c r="I6014" t="s">
        <v>94</v>
      </c>
      <c r="J6014" t="s">
        <v>95</v>
      </c>
      <c r="K6014">
        <v>0</v>
      </c>
    </row>
    <row r="6015" spans="9:11">
      <c r="I6015" t="s">
        <v>91</v>
      </c>
      <c r="J6015" t="s">
        <v>92</v>
      </c>
      <c r="K6015">
        <v>0</v>
      </c>
    </row>
    <row r="6016" spans="9:11">
      <c r="I6016" t="s">
        <v>94</v>
      </c>
      <c r="J6016" t="s">
        <v>95</v>
      </c>
      <c r="K6016">
        <v>0</v>
      </c>
    </row>
    <row r="6017" spans="9:11">
      <c r="I6017" t="s">
        <v>91</v>
      </c>
      <c r="J6017" t="s">
        <v>92</v>
      </c>
      <c r="K6017">
        <v>0</v>
      </c>
    </row>
    <row r="6018" spans="9:11">
      <c r="I6018" t="s">
        <v>94</v>
      </c>
      <c r="J6018" t="s">
        <v>95</v>
      </c>
      <c r="K6018">
        <v>0</v>
      </c>
    </row>
    <row r="6019" spans="9:11">
      <c r="I6019" t="s">
        <v>94</v>
      </c>
      <c r="J6019" t="s">
        <v>95</v>
      </c>
      <c r="K6019">
        <v>0</v>
      </c>
    </row>
    <row r="6020" spans="9:11">
      <c r="I6020" t="s">
        <v>94</v>
      </c>
      <c r="J6020" t="s">
        <v>95</v>
      </c>
      <c r="K6020">
        <v>0</v>
      </c>
    </row>
    <row r="6021" spans="9:11">
      <c r="I6021" t="s">
        <v>91</v>
      </c>
      <c r="J6021" t="s">
        <v>92</v>
      </c>
      <c r="K6021">
        <v>0</v>
      </c>
    </row>
    <row r="6022" spans="9:11">
      <c r="I6022" t="s">
        <v>94</v>
      </c>
      <c r="J6022" t="s">
        <v>95</v>
      </c>
      <c r="K6022">
        <v>0</v>
      </c>
    </row>
    <row r="6023" spans="9:11">
      <c r="I6023" t="s">
        <v>94</v>
      </c>
      <c r="J6023" t="s">
        <v>95</v>
      </c>
      <c r="K6023">
        <v>0</v>
      </c>
    </row>
    <row r="6024" spans="9:11">
      <c r="I6024" t="s">
        <v>94</v>
      </c>
      <c r="J6024" t="s">
        <v>95</v>
      </c>
      <c r="K6024">
        <v>0</v>
      </c>
    </row>
    <row r="6025" spans="9:11">
      <c r="I6025" t="s">
        <v>94</v>
      </c>
      <c r="J6025" t="s">
        <v>95</v>
      </c>
      <c r="K6025">
        <v>0</v>
      </c>
    </row>
    <row r="6026" spans="9:11">
      <c r="I6026" t="s">
        <v>91</v>
      </c>
      <c r="J6026" t="s">
        <v>92</v>
      </c>
      <c r="K6026">
        <v>0</v>
      </c>
    </row>
    <row r="6027" spans="9:11">
      <c r="I6027" t="s">
        <v>94</v>
      </c>
      <c r="J6027" t="s">
        <v>95</v>
      </c>
      <c r="K6027">
        <v>0</v>
      </c>
    </row>
    <row r="6028" spans="9:11">
      <c r="I6028" t="s">
        <v>91</v>
      </c>
      <c r="J6028" t="s">
        <v>92</v>
      </c>
      <c r="K6028">
        <v>0</v>
      </c>
    </row>
    <row r="6029" spans="9:11">
      <c r="I6029" t="s">
        <v>91</v>
      </c>
      <c r="J6029" t="s">
        <v>92</v>
      </c>
      <c r="K6029">
        <v>0</v>
      </c>
    </row>
    <row r="6030" spans="9:11">
      <c r="I6030" t="s">
        <v>91</v>
      </c>
      <c r="J6030" t="s">
        <v>92</v>
      </c>
      <c r="K6030">
        <v>0</v>
      </c>
    </row>
    <row r="6031" spans="9:11">
      <c r="I6031" t="s">
        <v>91</v>
      </c>
      <c r="J6031" t="s">
        <v>92</v>
      </c>
      <c r="K6031">
        <v>0</v>
      </c>
    </row>
    <row r="6032" spans="9:11">
      <c r="I6032" t="s">
        <v>94</v>
      </c>
      <c r="J6032" t="s">
        <v>95</v>
      </c>
      <c r="K6032">
        <v>0</v>
      </c>
    </row>
    <row r="6033" spans="9:11">
      <c r="I6033" t="s">
        <v>91</v>
      </c>
      <c r="J6033" t="s">
        <v>92</v>
      </c>
      <c r="K6033">
        <v>0</v>
      </c>
    </row>
    <row r="6034" spans="9:11">
      <c r="I6034" t="s">
        <v>91</v>
      </c>
      <c r="J6034" t="s">
        <v>92</v>
      </c>
      <c r="K6034">
        <v>0</v>
      </c>
    </row>
    <row r="6035" spans="9:11">
      <c r="I6035" t="s">
        <v>94</v>
      </c>
      <c r="J6035" t="s">
        <v>95</v>
      </c>
      <c r="K6035">
        <v>0</v>
      </c>
    </row>
    <row r="6036" spans="9:11">
      <c r="I6036" t="s">
        <v>91</v>
      </c>
      <c r="J6036" t="s">
        <v>92</v>
      </c>
      <c r="K6036">
        <v>0</v>
      </c>
    </row>
    <row r="6037" spans="9:11">
      <c r="I6037" t="s">
        <v>91</v>
      </c>
      <c r="J6037" t="s">
        <v>92</v>
      </c>
      <c r="K6037">
        <v>0</v>
      </c>
    </row>
    <row r="6038" spans="9:11">
      <c r="I6038" t="s">
        <v>94</v>
      </c>
      <c r="J6038" t="s">
        <v>95</v>
      </c>
      <c r="K6038">
        <v>0</v>
      </c>
    </row>
    <row r="6039" spans="9:11">
      <c r="I6039" t="s">
        <v>91</v>
      </c>
      <c r="J6039" t="s">
        <v>92</v>
      </c>
      <c r="K6039">
        <v>0</v>
      </c>
    </row>
    <row r="6040" spans="9:11">
      <c r="I6040" t="s">
        <v>94</v>
      </c>
      <c r="J6040" t="s">
        <v>95</v>
      </c>
      <c r="K6040">
        <v>0</v>
      </c>
    </row>
    <row r="6041" spans="9:11">
      <c r="I6041" t="s">
        <v>94</v>
      </c>
      <c r="J6041" t="s">
        <v>95</v>
      </c>
      <c r="K6041">
        <v>0</v>
      </c>
    </row>
    <row r="6042" spans="9:11">
      <c r="I6042" t="s">
        <v>91</v>
      </c>
      <c r="J6042" t="s">
        <v>92</v>
      </c>
      <c r="K6042">
        <v>0</v>
      </c>
    </row>
    <row r="6043" spans="9:11">
      <c r="I6043" t="s">
        <v>94</v>
      </c>
      <c r="J6043" t="s">
        <v>95</v>
      </c>
      <c r="K6043">
        <v>0</v>
      </c>
    </row>
    <row r="6044" spans="9:11">
      <c r="I6044" t="s">
        <v>94</v>
      </c>
      <c r="J6044" t="s">
        <v>95</v>
      </c>
      <c r="K6044">
        <v>0</v>
      </c>
    </row>
    <row r="6045" spans="9:11">
      <c r="I6045" t="s">
        <v>94</v>
      </c>
      <c r="J6045" t="s">
        <v>95</v>
      </c>
      <c r="K6045">
        <v>0</v>
      </c>
    </row>
    <row r="6046" spans="9:11">
      <c r="I6046" t="s">
        <v>91</v>
      </c>
      <c r="J6046" t="s">
        <v>92</v>
      </c>
      <c r="K6046">
        <v>0</v>
      </c>
    </row>
    <row r="6047" spans="9:11">
      <c r="I6047" t="s">
        <v>94</v>
      </c>
      <c r="J6047" t="s">
        <v>95</v>
      </c>
      <c r="K6047">
        <v>1</v>
      </c>
    </row>
    <row r="6048" spans="9:11">
      <c r="I6048" t="s">
        <v>94</v>
      </c>
      <c r="J6048" t="s">
        <v>95</v>
      </c>
      <c r="K6048">
        <v>0</v>
      </c>
    </row>
    <row r="6049" spans="9:11">
      <c r="I6049" t="s">
        <v>91</v>
      </c>
      <c r="J6049" t="s">
        <v>92</v>
      </c>
      <c r="K6049">
        <v>0</v>
      </c>
    </row>
    <row r="6050" spans="9:11">
      <c r="I6050" t="s">
        <v>91</v>
      </c>
      <c r="J6050" t="s">
        <v>92</v>
      </c>
      <c r="K6050">
        <v>0</v>
      </c>
    </row>
    <row r="6051" spans="9:11">
      <c r="I6051" t="s">
        <v>91</v>
      </c>
      <c r="J6051" t="s">
        <v>92</v>
      </c>
      <c r="K6051">
        <v>0</v>
      </c>
    </row>
    <row r="6052" spans="9:11">
      <c r="I6052" t="s">
        <v>91</v>
      </c>
      <c r="J6052" t="s">
        <v>92</v>
      </c>
      <c r="K6052">
        <v>0</v>
      </c>
    </row>
    <row r="6053" spans="9:11">
      <c r="I6053" t="s">
        <v>94</v>
      </c>
      <c r="J6053" t="s">
        <v>95</v>
      </c>
      <c r="K6053">
        <v>0</v>
      </c>
    </row>
    <row r="6054" spans="9:11">
      <c r="I6054" t="s">
        <v>91</v>
      </c>
      <c r="J6054" t="s">
        <v>92</v>
      </c>
      <c r="K6054">
        <v>0</v>
      </c>
    </row>
    <row r="6055" spans="9:11">
      <c r="I6055" t="s">
        <v>94</v>
      </c>
      <c r="J6055" t="s">
        <v>95</v>
      </c>
      <c r="K6055">
        <v>0</v>
      </c>
    </row>
    <row r="6056" spans="9:11">
      <c r="I6056" t="s">
        <v>91</v>
      </c>
      <c r="J6056" t="s">
        <v>92</v>
      </c>
      <c r="K6056">
        <v>1</v>
      </c>
    </row>
    <row r="6057" spans="9:11">
      <c r="I6057" t="s">
        <v>91</v>
      </c>
      <c r="J6057" t="s">
        <v>92</v>
      </c>
      <c r="K6057">
        <v>0</v>
      </c>
    </row>
    <row r="6058" spans="9:11">
      <c r="I6058" t="s">
        <v>91</v>
      </c>
      <c r="J6058" t="s">
        <v>92</v>
      </c>
      <c r="K6058">
        <v>0</v>
      </c>
    </row>
    <row r="6059" spans="9:11">
      <c r="I6059" t="s">
        <v>94</v>
      </c>
      <c r="J6059" t="s">
        <v>95</v>
      </c>
      <c r="K6059">
        <v>0</v>
      </c>
    </row>
    <row r="6060" spans="9:11">
      <c r="I6060" t="s">
        <v>94</v>
      </c>
      <c r="J6060" t="s">
        <v>95</v>
      </c>
      <c r="K6060">
        <v>0</v>
      </c>
    </row>
    <row r="6061" spans="9:11">
      <c r="I6061" t="s">
        <v>94</v>
      </c>
      <c r="J6061" t="s">
        <v>95</v>
      </c>
      <c r="K6061">
        <v>0</v>
      </c>
    </row>
    <row r="6062" spans="9:11">
      <c r="I6062" t="s">
        <v>94</v>
      </c>
      <c r="J6062" t="s">
        <v>95</v>
      </c>
      <c r="K6062">
        <v>0</v>
      </c>
    </row>
    <row r="6063" spans="9:11">
      <c r="I6063" t="s">
        <v>91</v>
      </c>
      <c r="J6063" t="s">
        <v>92</v>
      </c>
      <c r="K6063">
        <v>0</v>
      </c>
    </row>
    <row r="6064" spans="9:11">
      <c r="I6064" t="s">
        <v>91</v>
      </c>
      <c r="J6064" t="s">
        <v>92</v>
      </c>
      <c r="K6064">
        <v>0</v>
      </c>
    </row>
    <row r="6065" spans="9:11">
      <c r="I6065" t="s">
        <v>94</v>
      </c>
      <c r="J6065" t="s">
        <v>95</v>
      </c>
      <c r="K6065">
        <v>0</v>
      </c>
    </row>
    <row r="6066" spans="9:11">
      <c r="I6066" t="s">
        <v>91</v>
      </c>
      <c r="J6066" t="s">
        <v>92</v>
      </c>
      <c r="K6066">
        <v>0</v>
      </c>
    </row>
    <row r="6067" spans="9:11">
      <c r="I6067" t="s">
        <v>94</v>
      </c>
      <c r="J6067" t="s">
        <v>95</v>
      </c>
      <c r="K6067">
        <v>0</v>
      </c>
    </row>
    <row r="6068" spans="9:11">
      <c r="I6068" t="s">
        <v>91</v>
      </c>
      <c r="J6068" t="s">
        <v>92</v>
      </c>
      <c r="K6068">
        <v>0</v>
      </c>
    </row>
    <row r="6069" spans="9:11">
      <c r="I6069" t="s">
        <v>94</v>
      </c>
      <c r="J6069" t="s">
        <v>95</v>
      </c>
      <c r="K6069">
        <v>0</v>
      </c>
    </row>
    <row r="6070" spans="9:11">
      <c r="I6070" t="s">
        <v>91</v>
      </c>
      <c r="J6070" t="s">
        <v>92</v>
      </c>
      <c r="K6070">
        <v>0</v>
      </c>
    </row>
    <row r="6071" spans="9:11">
      <c r="I6071" t="s">
        <v>91</v>
      </c>
      <c r="J6071" t="s">
        <v>92</v>
      </c>
      <c r="K6071">
        <v>0</v>
      </c>
    </row>
    <row r="6072" spans="9:11">
      <c r="I6072" t="s">
        <v>91</v>
      </c>
      <c r="J6072" t="s">
        <v>92</v>
      </c>
      <c r="K6072">
        <v>0</v>
      </c>
    </row>
    <row r="6073" spans="9:11">
      <c r="I6073" t="s">
        <v>91</v>
      </c>
      <c r="J6073" t="s">
        <v>92</v>
      </c>
      <c r="K6073">
        <v>0</v>
      </c>
    </row>
    <row r="6074" spans="9:11">
      <c r="I6074" t="s">
        <v>94</v>
      </c>
      <c r="J6074" t="s">
        <v>95</v>
      </c>
      <c r="K6074">
        <v>0</v>
      </c>
    </row>
    <row r="6075" spans="9:11">
      <c r="I6075" t="s">
        <v>94</v>
      </c>
      <c r="J6075" t="s">
        <v>95</v>
      </c>
      <c r="K6075">
        <v>0</v>
      </c>
    </row>
    <row r="6076" spans="9:11">
      <c r="I6076" t="s">
        <v>94</v>
      </c>
      <c r="J6076" t="s">
        <v>95</v>
      </c>
      <c r="K6076">
        <v>0</v>
      </c>
    </row>
    <row r="6077" spans="9:11">
      <c r="I6077" t="s">
        <v>94</v>
      </c>
      <c r="J6077" t="s">
        <v>95</v>
      </c>
      <c r="K6077">
        <v>0</v>
      </c>
    </row>
    <row r="6078" spans="9:11">
      <c r="I6078" t="s">
        <v>94</v>
      </c>
      <c r="J6078" t="s">
        <v>95</v>
      </c>
      <c r="K6078">
        <v>0</v>
      </c>
    </row>
    <row r="6079" spans="9:11">
      <c r="I6079" t="s">
        <v>91</v>
      </c>
      <c r="J6079" t="s">
        <v>92</v>
      </c>
      <c r="K6079">
        <v>0</v>
      </c>
    </row>
    <row r="6080" spans="9:11">
      <c r="I6080" t="s">
        <v>91</v>
      </c>
      <c r="J6080" t="s">
        <v>92</v>
      </c>
      <c r="K6080">
        <v>0</v>
      </c>
    </row>
    <row r="6081" spans="9:11">
      <c r="I6081" t="s">
        <v>91</v>
      </c>
      <c r="J6081" t="s">
        <v>92</v>
      </c>
      <c r="K6081">
        <v>0</v>
      </c>
    </row>
    <row r="6082" spans="9:11">
      <c r="I6082" t="s">
        <v>91</v>
      </c>
      <c r="J6082" t="s">
        <v>92</v>
      </c>
      <c r="K6082">
        <v>0</v>
      </c>
    </row>
    <row r="6083" spans="9:11">
      <c r="I6083" t="s">
        <v>94</v>
      </c>
      <c r="J6083" t="s">
        <v>95</v>
      </c>
      <c r="K6083">
        <v>0</v>
      </c>
    </row>
    <row r="6084" spans="9:11">
      <c r="I6084" t="s">
        <v>91</v>
      </c>
      <c r="J6084" t="s">
        <v>92</v>
      </c>
      <c r="K6084">
        <v>0</v>
      </c>
    </row>
    <row r="6085" spans="9:11">
      <c r="I6085" t="s">
        <v>91</v>
      </c>
      <c r="J6085" t="s">
        <v>92</v>
      </c>
      <c r="K6085">
        <v>0</v>
      </c>
    </row>
    <row r="6086" spans="9:11">
      <c r="I6086" t="s">
        <v>94</v>
      </c>
      <c r="J6086" t="s">
        <v>95</v>
      </c>
      <c r="K6086">
        <v>0</v>
      </c>
    </row>
    <row r="6087" spans="9:11">
      <c r="I6087" t="s">
        <v>91</v>
      </c>
      <c r="J6087" t="s">
        <v>92</v>
      </c>
      <c r="K6087">
        <v>0</v>
      </c>
    </row>
    <row r="6088" spans="9:11">
      <c r="I6088" t="s">
        <v>91</v>
      </c>
      <c r="J6088" t="s">
        <v>92</v>
      </c>
      <c r="K6088">
        <v>0</v>
      </c>
    </row>
    <row r="6089" spans="9:11">
      <c r="I6089" t="s">
        <v>94</v>
      </c>
      <c r="J6089" t="s">
        <v>95</v>
      </c>
      <c r="K6089">
        <v>0</v>
      </c>
    </row>
    <row r="6090" spans="9:11">
      <c r="I6090" t="s">
        <v>94</v>
      </c>
      <c r="J6090" t="s">
        <v>95</v>
      </c>
      <c r="K6090">
        <v>0</v>
      </c>
    </row>
    <row r="6091" spans="9:11">
      <c r="I6091" t="s">
        <v>94</v>
      </c>
      <c r="J6091" t="s">
        <v>95</v>
      </c>
      <c r="K6091">
        <v>0</v>
      </c>
    </row>
    <row r="6092" spans="9:11">
      <c r="I6092" t="s">
        <v>94</v>
      </c>
      <c r="J6092" t="s">
        <v>95</v>
      </c>
      <c r="K6092">
        <v>0</v>
      </c>
    </row>
    <row r="6093" spans="9:11">
      <c r="I6093" t="s">
        <v>94</v>
      </c>
      <c r="J6093" t="s">
        <v>95</v>
      </c>
      <c r="K6093">
        <v>0</v>
      </c>
    </row>
    <row r="6094" spans="9:11">
      <c r="I6094" t="s">
        <v>94</v>
      </c>
      <c r="J6094" t="s">
        <v>95</v>
      </c>
      <c r="K6094">
        <v>0</v>
      </c>
    </row>
    <row r="6095" spans="9:11">
      <c r="I6095" t="s">
        <v>94</v>
      </c>
      <c r="J6095" t="s">
        <v>95</v>
      </c>
      <c r="K6095">
        <v>0</v>
      </c>
    </row>
    <row r="6096" spans="9:11">
      <c r="I6096" t="s">
        <v>94</v>
      </c>
      <c r="J6096" t="s">
        <v>95</v>
      </c>
      <c r="K6096">
        <v>0</v>
      </c>
    </row>
    <row r="6097" spans="9:11">
      <c r="I6097" t="s">
        <v>94</v>
      </c>
      <c r="J6097" t="s">
        <v>95</v>
      </c>
      <c r="K6097">
        <v>0</v>
      </c>
    </row>
    <row r="6098" spans="9:11">
      <c r="I6098" t="s">
        <v>94</v>
      </c>
      <c r="J6098" t="s">
        <v>95</v>
      </c>
      <c r="K6098">
        <v>0</v>
      </c>
    </row>
    <row r="6099" spans="9:11">
      <c r="I6099" t="s">
        <v>91</v>
      </c>
      <c r="J6099" t="s">
        <v>92</v>
      </c>
      <c r="K6099">
        <v>0</v>
      </c>
    </row>
    <row r="6100" spans="9:11">
      <c r="I6100" t="s">
        <v>94</v>
      </c>
      <c r="J6100" t="s">
        <v>95</v>
      </c>
      <c r="K6100">
        <v>0</v>
      </c>
    </row>
    <row r="6101" spans="9:11">
      <c r="I6101" t="s">
        <v>94</v>
      </c>
      <c r="J6101" t="s">
        <v>95</v>
      </c>
      <c r="K6101">
        <v>0</v>
      </c>
    </row>
    <row r="6102" spans="9:11">
      <c r="I6102" t="s">
        <v>94</v>
      </c>
      <c r="J6102" t="s">
        <v>95</v>
      </c>
      <c r="K6102">
        <v>0</v>
      </c>
    </row>
    <row r="6103" spans="9:11">
      <c r="I6103" t="s">
        <v>91</v>
      </c>
      <c r="J6103" t="s">
        <v>92</v>
      </c>
      <c r="K6103">
        <v>0</v>
      </c>
    </row>
    <row r="6104" spans="9:11">
      <c r="I6104" t="s">
        <v>91</v>
      </c>
      <c r="J6104" t="s">
        <v>92</v>
      </c>
      <c r="K6104">
        <v>0</v>
      </c>
    </row>
    <row r="6105" spans="9:11">
      <c r="I6105" t="s">
        <v>91</v>
      </c>
      <c r="J6105" t="s">
        <v>92</v>
      </c>
      <c r="K6105">
        <v>0</v>
      </c>
    </row>
    <row r="6106" spans="9:11">
      <c r="I6106" t="s">
        <v>91</v>
      </c>
      <c r="J6106" t="s">
        <v>92</v>
      </c>
      <c r="K6106">
        <v>0</v>
      </c>
    </row>
    <row r="6107" spans="9:11">
      <c r="I6107" t="s">
        <v>91</v>
      </c>
      <c r="J6107" t="s">
        <v>92</v>
      </c>
      <c r="K6107">
        <v>0</v>
      </c>
    </row>
    <row r="6108" spans="9:11">
      <c r="I6108" t="s">
        <v>91</v>
      </c>
      <c r="J6108" t="s">
        <v>92</v>
      </c>
      <c r="K6108">
        <v>0</v>
      </c>
    </row>
    <row r="6109" spans="9:11">
      <c r="I6109" t="s">
        <v>94</v>
      </c>
      <c r="J6109" t="s">
        <v>95</v>
      </c>
      <c r="K6109">
        <v>0</v>
      </c>
    </row>
    <row r="6110" spans="9:11">
      <c r="I6110" t="s">
        <v>94</v>
      </c>
      <c r="J6110" t="s">
        <v>95</v>
      </c>
      <c r="K6110">
        <v>0</v>
      </c>
    </row>
    <row r="6111" spans="9:11">
      <c r="I6111" t="s">
        <v>91</v>
      </c>
      <c r="J6111" t="s">
        <v>92</v>
      </c>
      <c r="K6111">
        <v>0</v>
      </c>
    </row>
    <row r="6112" spans="9:11">
      <c r="I6112" t="s">
        <v>94</v>
      </c>
      <c r="J6112" t="s">
        <v>95</v>
      </c>
      <c r="K6112">
        <v>0</v>
      </c>
    </row>
    <row r="6113" spans="9:11">
      <c r="I6113" t="s">
        <v>94</v>
      </c>
      <c r="J6113" t="s">
        <v>95</v>
      </c>
      <c r="K6113">
        <v>0</v>
      </c>
    </row>
    <row r="6114" spans="9:11">
      <c r="I6114" t="s">
        <v>94</v>
      </c>
      <c r="J6114" t="s">
        <v>95</v>
      </c>
      <c r="K6114">
        <v>0</v>
      </c>
    </row>
    <row r="6115" spans="9:11">
      <c r="I6115" t="s">
        <v>94</v>
      </c>
      <c r="J6115" t="s">
        <v>95</v>
      </c>
      <c r="K6115">
        <v>0</v>
      </c>
    </row>
    <row r="6116" spans="9:11">
      <c r="I6116" t="s">
        <v>94</v>
      </c>
      <c r="J6116" t="s">
        <v>95</v>
      </c>
      <c r="K6116">
        <v>0</v>
      </c>
    </row>
    <row r="6117" spans="9:11">
      <c r="I6117" t="s">
        <v>94</v>
      </c>
      <c r="J6117" t="s">
        <v>95</v>
      </c>
      <c r="K6117">
        <v>0</v>
      </c>
    </row>
    <row r="6118" spans="9:11">
      <c r="I6118" t="s">
        <v>91</v>
      </c>
      <c r="J6118" t="s">
        <v>92</v>
      </c>
      <c r="K6118">
        <v>0</v>
      </c>
    </row>
    <row r="6119" spans="9:11">
      <c r="I6119" t="s">
        <v>91</v>
      </c>
      <c r="J6119" t="s">
        <v>92</v>
      </c>
      <c r="K6119">
        <v>1</v>
      </c>
    </row>
    <row r="6120" spans="9:11">
      <c r="I6120" t="s">
        <v>91</v>
      </c>
      <c r="J6120" t="s">
        <v>92</v>
      </c>
      <c r="K6120">
        <v>0</v>
      </c>
    </row>
    <row r="6121" spans="9:11">
      <c r="I6121" t="s">
        <v>94</v>
      </c>
      <c r="J6121" t="s">
        <v>95</v>
      </c>
      <c r="K6121">
        <v>0</v>
      </c>
    </row>
    <row r="6122" spans="9:11">
      <c r="I6122" t="s">
        <v>91</v>
      </c>
      <c r="J6122" t="s">
        <v>92</v>
      </c>
      <c r="K6122">
        <v>0</v>
      </c>
    </row>
    <row r="6123" spans="9:11">
      <c r="I6123" t="s">
        <v>91</v>
      </c>
      <c r="J6123" t="s">
        <v>92</v>
      </c>
      <c r="K6123">
        <v>0</v>
      </c>
    </row>
    <row r="6124" spans="9:11">
      <c r="I6124" t="s">
        <v>91</v>
      </c>
      <c r="J6124" t="s">
        <v>92</v>
      </c>
      <c r="K6124">
        <v>0</v>
      </c>
    </row>
    <row r="6125" spans="9:11">
      <c r="I6125" t="s">
        <v>91</v>
      </c>
      <c r="J6125" t="s">
        <v>92</v>
      </c>
      <c r="K6125">
        <v>0</v>
      </c>
    </row>
    <row r="6126" spans="9:11">
      <c r="I6126" t="s">
        <v>94</v>
      </c>
      <c r="J6126" t="s">
        <v>95</v>
      </c>
      <c r="K6126">
        <v>0</v>
      </c>
    </row>
    <row r="6127" spans="9:11">
      <c r="I6127" t="s">
        <v>91</v>
      </c>
      <c r="J6127" t="s">
        <v>92</v>
      </c>
      <c r="K6127">
        <v>0</v>
      </c>
    </row>
    <row r="6128" spans="9:11">
      <c r="I6128" t="s">
        <v>91</v>
      </c>
      <c r="J6128" t="s">
        <v>92</v>
      </c>
      <c r="K6128">
        <v>0</v>
      </c>
    </row>
    <row r="6129" spans="9:11">
      <c r="I6129" t="s">
        <v>94</v>
      </c>
      <c r="J6129" t="s">
        <v>95</v>
      </c>
      <c r="K6129">
        <v>0</v>
      </c>
    </row>
    <row r="6130" spans="9:11">
      <c r="I6130" t="s">
        <v>91</v>
      </c>
      <c r="J6130" t="s">
        <v>92</v>
      </c>
      <c r="K6130">
        <v>0</v>
      </c>
    </row>
    <row r="6131" spans="9:11">
      <c r="I6131" t="s">
        <v>94</v>
      </c>
      <c r="J6131" t="s">
        <v>95</v>
      </c>
      <c r="K6131">
        <v>0</v>
      </c>
    </row>
    <row r="6132" spans="9:11">
      <c r="I6132" t="s">
        <v>94</v>
      </c>
      <c r="J6132" t="s">
        <v>95</v>
      </c>
      <c r="K6132">
        <v>0</v>
      </c>
    </row>
    <row r="6133" spans="9:11">
      <c r="I6133" t="s">
        <v>91</v>
      </c>
      <c r="J6133" t="s">
        <v>92</v>
      </c>
      <c r="K6133">
        <v>0</v>
      </c>
    </row>
    <row r="6134" spans="9:11">
      <c r="I6134" t="s">
        <v>94</v>
      </c>
      <c r="J6134" t="s">
        <v>95</v>
      </c>
      <c r="K6134">
        <v>0</v>
      </c>
    </row>
    <row r="6135" spans="9:11">
      <c r="I6135" t="s">
        <v>91</v>
      </c>
      <c r="J6135" t="s">
        <v>92</v>
      </c>
      <c r="K6135">
        <v>0</v>
      </c>
    </row>
    <row r="6136" spans="9:11">
      <c r="I6136" t="s">
        <v>94</v>
      </c>
      <c r="J6136" t="s">
        <v>95</v>
      </c>
      <c r="K6136">
        <v>0</v>
      </c>
    </row>
    <row r="6137" spans="9:11">
      <c r="I6137" t="s">
        <v>91</v>
      </c>
      <c r="J6137" t="s">
        <v>92</v>
      </c>
      <c r="K6137">
        <v>0</v>
      </c>
    </row>
    <row r="6138" spans="9:11">
      <c r="I6138" t="s">
        <v>94</v>
      </c>
      <c r="J6138" t="s">
        <v>95</v>
      </c>
      <c r="K6138">
        <v>0</v>
      </c>
    </row>
    <row r="6139" spans="9:11">
      <c r="I6139" t="s">
        <v>94</v>
      </c>
      <c r="J6139" t="s">
        <v>95</v>
      </c>
      <c r="K6139">
        <v>0</v>
      </c>
    </row>
    <row r="6140" spans="9:11">
      <c r="I6140" t="s">
        <v>91</v>
      </c>
      <c r="J6140" t="s">
        <v>92</v>
      </c>
      <c r="K6140">
        <v>0</v>
      </c>
    </row>
    <row r="6141" spans="9:11">
      <c r="I6141" t="s">
        <v>94</v>
      </c>
      <c r="J6141" t="s">
        <v>95</v>
      </c>
      <c r="K6141">
        <v>0</v>
      </c>
    </row>
    <row r="6142" spans="9:11">
      <c r="I6142" t="s">
        <v>94</v>
      </c>
      <c r="J6142" t="s">
        <v>95</v>
      </c>
      <c r="K6142">
        <v>0</v>
      </c>
    </row>
    <row r="6143" spans="9:11">
      <c r="I6143" t="s">
        <v>91</v>
      </c>
      <c r="J6143" t="s">
        <v>92</v>
      </c>
      <c r="K6143">
        <v>0</v>
      </c>
    </row>
    <row r="6144" spans="9:11">
      <c r="I6144" t="s">
        <v>94</v>
      </c>
      <c r="J6144" t="s">
        <v>95</v>
      </c>
      <c r="K6144">
        <v>0</v>
      </c>
    </row>
    <row r="6145" spans="9:11">
      <c r="I6145" t="s">
        <v>91</v>
      </c>
      <c r="J6145" t="s">
        <v>92</v>
      </c>
      <c r="K6145">
        <v>0</v>
      </c>
    </row>
    <row r="6146" spans="9:11">
      <c r="I6146" t="s">
        <v>91</v>
      </c>
      <c r="J6146" t="s">
        <v>92</v>
      </c>
      <c r="K6146">
        <v>0</v>
      </c>
    </row>
    <row r="6147" spans="9:11">
      <c r="I6147" t="s">
        <v>94</v>
      </c>
      <c r="J6147" t="s">
        <v>95</v>
      </c>
      <c r="K6147">
        <v>0</v>
      </c>
    </row>
    <row r="6148" spans="9:11">
      <c r="I6148" t="s">
        <v>91</v>
      </c>
      <c r="J6148" t="s">
        <v>92</v>
      </c>
      <c r="K6148">
        <v>0</v>
      </c>
    </row>
    <row r="6149" spans="9:11">
      <c r="I6149" t="s">
        <v>91</v>
      </c>
      <c r="J6149" t="s">
        <v>92</v>
      </c>
      <c r="K6149">
        <v>0</v>
      </c>
    </row>
    <row r="6150" spans="9:11">
      <c r="I6150" t="s">
        <v>94</v>
      </c>
      <c r="J6150" t="s">
        <v>95</v>
      </c>
      <c r="K6150">
        <v>0</v>
      </c>
    </row>
    <row r="6151" spans="9:11">
      <c r="I6151" t="s">
        <v>94</v>
      </c>
      <c r="J6151" t="s">
        <v>95</v>
      </c>
      <c r="K6151">
        <v>0</v>
      </c>
    </row>
    <row r="6152" spans="9:11">
      <c r="I6152" t="s">
        <v>94</v>
      </c>
      <c r="J6152" t="s">
        <v>95</v>
      </c>
      <c r="K6152">
        <v>0</v>
      </c>
    </row>
    <row r="6153" spans="9:11">
      <c r="I6153" t="s">
        <v>91</v>
      </c>
      <c r="J6153" t="s">
        <v>92</v>
      </c>
      <c r="K6153">
        <v>0</v>
      </c>
    </row>
    <row r="6154" spans="9:11">
      <c r="I6154" t="s">
        <v>94</v>
      </c>
      <c r="J6154" t="s">
        <v>95</v>
      </c>
      <c r="K6154">
        <v>0</v>
      </c>
    </row>
    <row r="6155" spans="9:11">
      <c r="I6155" t="s">
        <v>94</v>
      </c>
      <c r="J6155" t="s">
        <v>95</v>
      </c>
      <c r="K6155">
        <v>0</v>
      </c>
    </row>
    <row r="6156" spans="9:11">
      <c r="I6156" t="s">
        <v>91</v>
      </c>
      <c r="J6156" t="s">
        <v>92</v>
      </c>
      <c r="K6156">
        <v>0</v>
      </c>
    </row>
    <row r="6157" spans="9:11">
      <c r="I6157" t="s">
        <v>91</v>
      </c>
      <c r="J6157" t="s">
        <v>92</v>
      </c>
      <c r="K6157">
        <v>0</v>
      </c>
    </row>
    <row r="6158" spans="9:11">
      <c r="I6158" t="s">
        <v>91</v>
      </c>
      <c r="J6158" t="s">
        <v>92</v>
      </c>
      <c r="K6158">
        <v>0</v>
      </c>
    </row>
    <row r="6159" spans="9:11">
      <c r="I6159" t="s">
        <v>91</v>
      </c>
      <c r="J6159" t="s">
        <v>92</v>
      </c>
      <c r="K6159">
        <v>0</v>
      </c>
    </row>
    <row r="6160" spans="9:11">
      <c r="I6160" t="s">
        <v>94</v>
      </c>
      <c r="J6160" t="s">
        <v>95</v>
      </c>
      <c r="K6160">
        <v>0</v>
      </c>
    </row>
    <row r="6161" spans="9:11">
      <c r="I6161" t="s">
        <v>91</v>
      </c>
      <c r="J6161" t="s">
        <v>92</v>
      </c>
      <c r="K6161">
        <v>0</v>
      </c>
    </row>
    <row r="6162" spans="9:11">
      <c r="I6162" t="s">
        <v>94</v>
      </c>
      <c r="J6162" t="s">
        <v>95</v>
      </c>
      <c r="K6162">
        <v>0</v>
      </c>
    </row>
    <row r="6163" spans="9:11">
      <c r="I6163" t="s">
        <v>94</v>
      </c>
      <c r="J6163" t="s">
        <v>95</v>
      </c>
      <c r="K6163">
        <v>0</v>
      </c>
    </row>
    <row r="6164" spans="9:11">
      <c r="I6164" t="s">
        <v>91</v>
      </c>
      <c r="J6164" t="s">
        <v>92</v>
      </c>
      <c r="K6164">
        <v>0</v>
      </c>
    </row>
    <row r="6165" spans="9:11">
      <c r="I6165" t="s">
        <v>94</v>
      </c>
      <c r="J6165" t="s">
        <v>95</v>
      </c>
      <c r="K6165">
        <v>0</v>
      </c>
    </row>
    <row r="6166" spans="9:11">
      <c r="I6166" t="s">
        <v>94</v>
      </c>
      <c r="J6166" t="s">
        <v>95</v>
      </c>
      <c r="K6166">
        <v>0</v>
      </c>
    </row>
    <row r="6167" spans="9:11">
      <c r="I6167" t="s">
        <v>94</v>
      </c>
      <c r="J6167" t="s">
        <v>95</v>
      </c>
      <c r="K6167">
        <v>0</v>
      </c>
    </row>
    <row r="6168" spans="9:11">
      <c r="I6168" t="s">
        <v>94</v>
      </c>
      <c r="J6168" t="s">
        <v>95</v>
      </c>
      <c r="K6168">
        <v>0</v>
      </c>
    </row>
    <row r="6169" spans="9:11">
      <c r="I6169" t="s">
        <v>94</v>
      </c>
      <c r="J6169" t="s">
        <v>95</v>
      </c>
      <c r="K6169">
        <v>0</v>
      </c>
    </row>
    <row r="6170" spans="9:11">
      <c r="I6170" t="s">
        <v>91</v>
      </c>
      <c r="J6170" t="s">
        <v>92</v>
      </c>
      <c r="K6170">
        <v>0</v>
      </c>
    </row>
    <row r="6171" spans="9:11">
      <c r="I6171" t="s">
        <v>91</v>
      </c>
      <c r="J6171" t="s">
        <v>92</v>
      </c>
      <c r="K6171">
        <v>0</v>
      </c>
    </row>
    <row r="6172" spans="9:11">
      <c r="I6172" t="s">
        <v>94</v>
      </c>
      <c r="J6172" t="s">
        <v>95</v>
      </c>
      <c r="K6172">
        <v>0</v>
      </c>
    </row>
    <row r="6173" spans="9:11">
      <c r="I6173" t="s">
        <v>94</v>
      </c>
      <c r="J6173" t="s">
        <v>95</v>
      </c>
      <c r="K6173">
        <v>0</v>
      </c>
    </row>
    <row r="6174" spans="9:11">
      <c r="I6174" t="s">
        <v>91</v>
      </c>
      <c r="J6174" t="s">
        <v>92</v>
      </c>
      <c r="K6174">
        <v>0</v>
      </c>
    </row>
    <row r="6175" spans="9:11">
      <c r="I6175" t="s">
        <v>91</v>
      </c>
      <c r="J6175" t="s">
        <v>92</v>
      </c>
      <c r="K6175">
        <v>0</v>
      </c>
    </row>
    <row r="6176" spans="9:11">
      <c r="I6176" t="s">
        <v>94</v>
      </c>
      <c r="J6176" t="s">
        <v>95</v>
      </c>
      <c r="K6176">
        <v>0</v>
      </c>
    </row>
    <row r="6177" spans="9:11">
      <c r="I6177" t="s">
        <v>94</v>
      </c>
      <c r="J6177" t="s">
        <v>95</v>
      </c>
      <c r="K6177">
        <v>0</v>
      </c>
    </row>
    <row r="6178" spans="9:11">
      <c r="I6178" t="s">
        <v>94</v>
      </c>
      <c r="J6178" t="s">
        <v>95</v>
      </c>
      <c r="K6178">
        <v>0</v>
      </c>
    </row>
    <row r="6179" spans="9:11">
      <c r="I6179" t="s">
        <v>94</v>
      </c>
      <c r="J6179" t="s">
        <v>95</v>
      </c>
      <c r="K6179">
        <v>0</v>
      </c>
    </row>
    <row r="6180" spans="9:11">
      <c r="I6180" t="s">
        <v>91</v>
      </c>
      <c r="J6180" t="s">
        <v>92</v>
      </c>
      <c r="K6180">
        <v>1</v>
      </c>
    </row>
    <row r="6181" spans="9:11">
      <c r="I6181" t="s">
        <v>91</v>
      </c>
      <c r="J6181" t="s">
        <v>92</v>
      </c>
      <c r="K6181">
        <v>0</v>
      </c>
    </row>
    <row r="6182" spans="9:11">
      <c r="I6182" t="s">
        <v>91</v>
      </c>
      <c r="J6182" t="s">
        <v>92</v>
      </c>
      <c r="K6182">
        <v>0</v>
      </c>
    </row>
    <row r="6183" spans="9:11">
      <c r="I6183" t="s">
        <v>94</v>
      </c>
      <c r="J6183" t="s">
        <v>95</v>
      </c>
      <c r="K6183">
        <v>0</v>
      </c>
    </row>
    <row r="6184" spans="9:11">
      <c r="I6184" t="s">
        <v>94</v>
      </c>
      <c r="J6184" t="s">
        <v>95</v>
      </c>
      <c r="K6184">
        <v>0</v>
      </c>
    </row>
    <row r="6185" spans="9:11">
      <c r="I6185" t="s">
        <v>94</v>
      </c>
      <c r="J6185" t="s">
        <v>95</v>
      </c>
      <c r="K6185">
        <v>0</v>
      </c>
    </row>
    <row r="6186" spans="9:11">
      <c r="I6186" t="s">
        <v>91</v>
      </c>
      <c r="J6186" t="s">
        <v>92</v>
      </c>
      <c r="K6186">
        <v>0</v>
      </c>
    </row>
    <row r="6187" spans="9:11">
      <c r="I6187" t="s">
        <v>91</v>
      </c>
      <c r="J6187" t="s">
        <v>92</v>
      </c>
      <c r="K6187">
        <v>0</v>
      </c>
    </row>
    <row r="6188" spans="9:11">
      <c r="I6188" t="s">
        <v>94</v>
      </c>
      <c r="J6188" t="s">
        <v>95</v>
      </c>
      <c r="K6188">
        <v>0</v>
      </c>
    </row>
    <row r="6189" spans="9:11">
      <c r="I6189" t="s">
        <v>94</v>
      </c>
      <c r="J6189" t="s">
        <v>95</v>
      </c>
      <c r="K6189">
        <v>0</v>
      </c>
    </row>
    <row r="6190" spans="9:11">
      <c r="I6190" t="s">
        <v>94</v>
      </c>
      <c r="J6190" t="s">
        <v>95</v>
      </c>
      <c r="K6190">
        <v>0</v>
      </c>
    </row>
    <row r="6191" spans="9:11">
      <c r="I6191" t="s">
        <v>91</v>
      </c>
      <c r="J6191" t="s">
        <v>92</v>
      </c>
      <c r="K6191">
        <v>0</v>
      </c>
    </row>
    <row r="6192" spans="9:11">
      <c r="I6192" t="s">
        <v>94</v>
      </c>
      <c r="J6192" t="s">
        <v>95</v>
      </c>
      <c r="K6192">
        <v>0</v>
      </c>
    </row>
    <row r="6193" spans="9:11">
      <c r="I6193" t="s">
        <v>91</v>
      </c>
      <c r="J6193" t="s">
        <v>92</v>
      </c>
      <c r="K6193">
        <v>0</v>
      </c>
    </row>
    <row r="6194" spans="9:11">
      <c r="I6194" t="s">
        <v>94</v>
      </c>
      <c r="J6194" t="s">
        <v>95</v>
      </c>
      <c r="K6194">
        <v>0</v>
      </c>
    </row>
    <row r="6195" spans="9:11">
      <c r="I6195" t="s">
        <v>94</v>
      </c>
      <c r="J6195" t="s">
        <v>95</v>
      </c>
      <c r="K6195">
        <v>0</v>
      </c>
    </row>
    <row r="6196" spans="9:11">
      <c r="I6196" t="s">
        <v>94</v>
      </c>
      <c r="J6196" t="s">
        <v>95</v>
      </c>
      <c r="K6196">
        <v>0</v>
      </c>
    </row>
    <row r="6197" spans="9:11">
      <c r="I6197" t="s">
        <v>91</v>
      </c>
      <c r="J6197" t="s">
        <v>92</v>
      </c>
      <c r="K6197">
        <v>0</v>
      </c>
    </row>
    <row r="6198" spans="9:11">
      <c r="I6198" t="s">
        <v>91</v>
      </c>
      <c r="J6198" t="s">
        <v>92</v>
      </c>
      <c r="K6198">
        <v>0</v>
      </c>
    </row>
    <row r="6199" spans="9:11">
      <c r="I6199" t="s">
        <v>94</v>
      </c>
      <c r="J6199" t="s">
        <v>95</v>
      </c>
      <c r="K6199">
        <v>0</v>
      </c>
    </row>
    <row r="6200" spans="9:11">
      <c r="I6200" t="s">
        <v>94</v>
      </c>
      <c r="J6200" t="s">
        <v>95</v>
      </c>
      <c r="K6200">
        <v>0</v>
      </c>
    </row>
    <row r="6201" spans="9:11">
      <c r="I6201" t="s">
        <v>94</v>
      </c>
      <c r="J6201" t="s">
        <v>95</v>
      </c>
      <c r="K6201">
        <v>0</v>
      </c>
    </row>
    <row r="6202" spans="9:11">
      <c r="I6202" t="s">
        <v>94</v>
      </c>
      <c r="J6202" t="s">
        <v>95</v>
      </c>
      <c r="K6202">
        <v>0</v>
      </c>
    </row>
    <row r="6203" spans="9:11">
      <c r="I6203" t="s">
        <v>91</v>
      </c>
      <c r="J6203" t="s">
        <v>92</v>
      </c>
      <c r="K6203">
        <v>0</v>
      </c>
    </row>
    <row r="6204" spans="9:11">
      <c r="I6204" t="s">
        <v>91</v>
      </c>
      <c r="J6204" t="s">
        <v>92</v>
      </c>
      <c r="K6204">
        <v>0</v>
      </c>
    </row>
    <row r="6205" spans="9:11">
      <c r="I6205" t="s">
        <v>94</v>
      </c>
      <c r="J6205" t="s">
        <v>95</v>
      </c>
      <c r="K6205">
        <v>0</v>
      </c>
    </row>
    <row r="6206" spans="9:11">
      <c r="I6206" t="s">
        <v>91</v>
      </c>
      <c r="J6206" t="s">
        <v>92</v>
      </c>
      <c r="K6206">
        <v>0</v>
      </c>
    </row>
    <row r="6207" spans="9:11">
      <c r="I6207" t="s">
        <v>94</v>
      </c>
      <c r="J6207" t="s">
        <v>95</v>
      </c>
      <c r="K6207">
        <v>0</v>
      </c>
    </row>
    <row r="6208" spans="9:11">
      <c r="I6208" t="s">
        <v>91</v>
      </c>
      <c r="J6208" t="s">
        <v>92</v>
      </c>
      <c r="K6208">
        <v>0</v>
      </c>
    </row>
    <row r="6209" spans="9:11">
      <c r="I6209" t="s">
        <v>91</v>
      </c>
      <c r="J6209" t="s">
        <v>92</v>
      </c>
      <c r="K6209">
        <v>1</v>
      </c>
    </row>
    <row r="6210" spans="9:11">
      <c r="I6210" t="s">
        <v>91</v>
      </c>
      <c r="J6210" t="s">
        <v>92</v>
      </c>
      <c r="K6210">
        <v>0</v>
      </c>
    </row>
    <row r="6211" spans="9:11">
      <c r="I6211" t="s">
        <v>91</v>
      </c>
      <c r="J6211" t="s">
        <v>92</v>
      </c>
      <c r="K6211">
        <v>0</v>
      </c>
    </row>
    <row r="6212" spans="9:11">
      <c r="I6212" t="s">
        <v>94</v>
      </c>
      <c r="J6212" t="s">
        <v>95</v>
      </c>
      <c r="K6212">
        <v>0</v>
      </c>
    </row>
    <row r="6213" spans="9:11">
      <c r="I6213" t="s">
        <v>94</v>
      </c>
      <c r="J6213" t="s">
        <v>95</v>
      </c>
      <c r="K6213">
        <v>0</v>
      </c>
    </row>
    <row r="6214" spans="9:11">
      <c r="I6214" t="s">
        <v>91</v>
      </c>
      <c r="J6214" t="s">
        <v>92</v>
      </c>
      <c r="K6214">
        <v>0</v>
      </c>
    </row>
    <row r="6215" spans="9:11">
      <c r="I6215" t="s">
        <v>94</v>
      </c>
      <c r="J6215" t="s">
        <v>95</v>
      </c>
      <c r="K6215">
        <v>0</v>
      </c>
    </row>
    <row r="6216" spans="9:11">
      <c r="I6216" t="s">
        <v>94</v>
      </c>
      <c r="J6216" t="s">
        <v>95</v>
      </c>
      <c r="K6216">
        <v>0</v>
      </c>
    </row>
    <row r="6217" spans="9:11">
      <c r="I6217" t="s">
        <v>94</v>
      </c>
      <c r="J6217" t="s">
        <v>95</v>
      </c>
      <c r="K6217">
        <v>0</v>
      </c>
    </row>
    <row r="6218" spans="9:11">
      <c r="I6218" t="s">
        <v>91</v>
      </c>
      <c r="J6218" t="s">
        <v>92</v>
      </c>
      <c r="K6218">
        <v>0</v>
      </c>
    </row>
    <row r="6219" spans="9:11">
      <c r="I6219" t="s">
        <v>91</v>
      </c>
      <c r="J6219" t="s">
        <v>92</v>
      </c>
      <c r="K6219">
        <v>0</v>
      </c>
    </row>
    <row r="6220" spans="9:11">
      <c r="I6220" t="s">
        <v>94</v>
      </c>
      <c r="J6220" t="s">
        <v>95</v>
      </c>
      <c r="K6220">
        <v>0</v>
      </c>
    </row>
    <row r="6221" spans="9:11">
      <c r="I6221" t="s">
        <v>91</v>
      </c>
      <c r="J6221" t="s">
        <v>92</v>
      </c>
      <c r="K6221">
        <v>0</v>
      </c>
    </row>
    <row r="6222" spans="9:11">
      <c r="I6222" t="s">
        <v>91</v>
      </c>
      <c r="J6222" t="s">
        <v>92</v>
      </c>
      <c r="K6222">
        <v>0</v>
      </c>
    </row>
    <row r="6223" spans="9:11">
      <c r="I6223" t="s">
        <v>94</v>
      </c>
      <c r="J6223" t="s">
        <v>95</v>
      </c>
      <c r="K6223">
        <v>0</v>
      </c>
    </row>
    <row r="6224" spans="9:11">
      <c r="I6224" t="s">
        <v>91</v>
      </c>
      <c r="J6224" t="s">
        <v>92</v>
      </c>
      <c r="K6224">
        <v>0</v>
      </c>
    </row>
    <row r="6225" spans="9:11">
      <c r="I6225" t="s">
        <v>94</v>
      </c>
      <c r="J6225" t="s">
        <v>95</v>
      </c>
      <c r="K6225">
        <v>0</v>
      </c>
    </row>
    <row r="6226" spans="9:11">
      <c r="I6226" t="s">
        <v>91</v>
      </c>
      <c r="J6226" t="s">
        <v>92</v>
      </c>
      <c r="K6226">
        <v>0</v>
      </c>
    </row>
    <row r="6227" spans="9:11">
      <c r="I6227" t="s">
        <v>91</v>
      </c>
      <c r="J6227" t="s">
        <v>92</v>
      </c>
      <c r="K6227">
        <v>0</v>
      </c>
    </row>
    <row r="6228" spans="9:11">
      <c r="I6228" t="s">
        <v>91</v>
      </c>
      <c r="J6228" t="s">
        <v>92</v>
      </c>
      <c r="K6228">
        <v>0</v>
      </c>
    </row>
    <row r="6229" spans="9:11">
      <c r="I6229" t="s">
        <v>91</v>
      </c>
      <c r="J6229" t="s">
        <v>92</v>
      </c>
      <c r="K6229">
        <v>0</v>
      </c>
    </row>
    <row r="6230" spans="9:11">
      <c r="I6230" t="s">
        <v>94</v>
      </c>
      <c r="J6230" t="s">
        <v>95</v>
      </c>
      <c r="K6230">
        <v>0</v>
      </c>
    </row>
    <row r="6231" spans="9:11">
      <c r="I6231" t="s">
        <v>94</v>
      </c>
      <c r="J6231" t="s">
        <v>95</v>
      </c>
      <c r="K6231">
        <v>0</v>
      </c>
    </row>
    <row r="6232" spans="9:11">
      <c r="I6232" t="s">
        <v>94</v>
      </c>
      <c r="J6232" t="s">
        <v>95</v>
      </c>
      <c r="K6232">
        <v>0</v>
      </c>
    </row>
    <row r="6233" spans="9:11">
      <c r="I6233" t="s">
        <v>94</v>
      </c>
      <c r="J6233" t="s">
        <v>95</v>
      </c>
      <c r="K6233">
        <v>0</v>
      </c>
    </row>
    <row r="6234" spans="9:11">
      <c r="I6234" t="s">
        <v>94</v>
      </c>
      <c r="J6234" t="s">
        <v>95</v>
      </c>
      <c r="K6234">
        <v>0</v>
      </c>
    </row>
    <row r="6235" spans="9:11">
      <c r="I6235" t="s">
        <v>91</v>
      </c>
      <c r="J6235" t="s">
        <v>92</v>
      </c>
      <c r="K6235">
        <v>0</v>
      </c>
    </row>
    <row r="6236" spans="9:11">
      <c r="I6236" t="s">
        <v>94</v>
      </c>
      <c r="J6236" t="s">
        <v>95</v>
      </c>
      <c r="K6236">
        <v>0</v>
      </c>
    </row>
    <row r="6237" spans="9:11">
      <c r="I6237" t="s">
        <v>94</v>
      </c>
      <c r="J6237" t="s">
        <v>95</v>
      </c>
      <c r="K6237">
        <v>0</v>
      </c>
    </row>
    <row r="6238" spans="9:11">
      <c r="I6238" t="s">
        <v>91</v>
      </c>
      <c r="J6238" t="s">
        <v>92</v>
      </c>
      <c r="K6238">
        <v>0</v>
      </c>
    </row>
    <row r="6239" spans="9:11">
      <c r="I6239" t="s">
        <v>91</v>
      </c>
      <c r="J6239" t="s">
        <v>92</v>
      </c>
      <c r="K6239">
        <v>0</v>
      </c>
    </row>
    <row r="6240" spans="9:11">
      <c r="I6240" t="s">
        <v>94</v>
      </c>
      <c r="J6240" t="s">
        <v>95</v>
      </c>
      <c r="K6240">
        <v>0</v>
      </c>
    </row>
    <row r="6241" spans="9:11">
      <c r="I6241" t="s">
        <v>94</v>
      </c>
      <c r="J6241" t="s">
        <v>95</v>
      </c>
      <c r="K6241">
        <v>0</v>
      </c>
    </row>
    <row r="6242" spans="9:11">
      <c r="I6242" t="s">
        <v>94</v>
      </c>
      <c r="J6242" t="s">
        <v>95</v>
      </c>
      <c r="K6242">
        <v>0</v>
      </c>
    </row>
    <row r="6243" spans="9:11">
      <c r="I6243" t="s">
        <v>91</v>
      </c>
      <c r="J6243" t="s">
        <v>92</v>
      </c>
      <c r="K6243">
        <v>0</v>
      </c>
    </row>
    <row r="6244" spans="9:11">
      <c r="I6244" t="s">
        <v>91</v>
      </c>
      <c r="J6244" t="s">
        <v>92</v>
      </c>
      <c r="K6244">
        <v>0</v>
      </c>
    </row>
    <row r="6245" spans="9:11">
      <c r="I6245" t="s">
        <v>91</v>
      </c>
      <c r="J6245" t="s">
        <v>92</v>
      </c>
      <c r="K6245">
        <v>0</v>
      </c>
    </row>
    <row r="6246" spans="9:11">
      <c r="I6246" t="s">
        <v>91</v>
      </c>
      <c r="J6246" t="s">
        <v>92</v>
      </c>
      <c r="K6246">
        <v>0</v>
      </c>
    </row>
    <row r="6247" spans="9:11">
      <c r="I6247" t="s">
        <v>94</v>
      </c>
      <c r="J6247" t="s">
        <v>95</v>
      </c>
      <c r="K6247">
        <v>0</v>
      </c>
    </row>
    <row r="6248" spans="9:11">
      <c r="I6248" t="s">
        <v>91</v>
      </c>
      <c r="J6248" t="s">
        <v>92</v>
      </c>
      <c r="K6248">
        <v>0</v>
      </c>
    </row>
    <row r="6249" spans="9:11">
      <c r="I6249" t="s">
        <v>91</v>
      </c>
      <c r="J6249" t="s">
        <v>92</v>
      </c>
      <c r="K6249">
        <v>0</v>
      </c>
    </row>
    <row r="6250" spans="9:11">
      <c r="I6250" t="s">
        <v>91</v>
      </c>
      <c r="J6250" t="s">
        <v>92</v>
      </c>
      <c r="K6250">
        <v>0</v>
      </c>
    </row>
    <row r="6251" spans="9:11">
      <c r="I6251" t="s">
        <v>91</v>
      </c>
      <c r="J6251" t="s">
        <v>92</v>
      </c>
      <c r="K6251">
        <v>0</v>
      </c>
    </row>
    <row r="6252" spans="9:11">
      <c r="I6252" t="s">
        <v>94</v>
      </c>
      <c r="J6252" t="s">
        <v>95</v>
      </c>
      <c r="K6252">
        <v>0</v>
      </c>
    </row>
    <row r="6253" spans="9:11">
      <c r="I6253" t="s">
        <v>91</v>
      </c>
      <c r="J6253" t="s">
        <v>92</v>
      </c>
      <c r="K6253">
        <v>0</v>
      </c>
    </row>
    <row r="6254" spans="9:11">
      <c r="I6254" t="s">
        <v>91</v>
      </c>
      <c r="J6254" t="s">
        <v>92</v>
      </c>
      <c r="K6254">
        <v>0</v>
      </c>
    </row>
    <row r="6255" spans="9:11">
      <c r="I6255" t="s">
        <v>94</v>
      </c>
      <c r="J6255" t="s">
        <v>95</v>
      </c>
      <c r="K6255">
        <v>0</v>
      </c>
    </row>
    <row r="6256" spans="9:11">
      <c r="I6256" t="s">
        <v>91</v>
      </c>
      <c r="J6256" t="s">
        <v>92</v>
      </c>
      <c r="K6256">
        <v>0</v>
      </c>
    </row>
    <row r="6257" spans="9:11">
      <c r="I6257" t="s">
        <v>91</v>
      </c>
      <c r="J6257" t="s">
        <v>92</v>
      </c>
      <c r="K6257">
        <v>0</v>
      </c>
    </row>
    <row r="6258" spans="9:11">
      <c r="I6258" t="s">
        <v>91</v>
      </c>
      <c r="J6258" t="s">
        <v>92</v>
      </c>
      <c r="K6258">
        <v>1</v>
      </c>
    </row>
    <row r="6259" spans="9:11">
      <c r="I6259" t="s">
        <v>91</v>
      </c>
      <c r="J6259" t="s">
        <v>92</v>
      </c>
      <c r="K6259">
        <v>0</v>
      </c>
    </row>
    <row r="6260" spans="9:11">
      <c r="I6260" t="s">
        <v>94</v>
      </c>
      <c r="J6260" t="s">
        <v>95</v>
      </c>
      <c r="K6260">
        <v>0</v>
      </c>
    </row>
    <row r="6261" spans="9:11">
      <c r="I6261" t="s">
        <v>94</v>
      </c>
      <c r="J6261" t="s">
        <v>95</v>
      </c>
      <c r="K6261">
        <v>0</v>
      </c>
    </row>
    <row r="6262" spans="9:11">
      <c r="I6262" t="s">
        <v>91</v>
      </c>
      <c r="J6262" t="s">
        <v>92</v>
      </c>
      <c r="K6262">
        <v>0</v>
      </c>
    </row>
    <row r="6263" spans="9:11">
      <c r="I6263" t="s">
        <v>94</v>
      </c>
      <c r="J6263" t="s">
        <v>95</v>
      </c>
      <c r="K6263">
        <v>0</v>
      </c>
    </row>
    <row r="6264" spans="9:11">
      <c r="I6264" t="s">
        <v>91</v>
      </c>
      <c r="J6264" t="s">
        <v>92</v>
      </c>
      <c r="K6264">
        <v>0</v>
      </c>
    </row>
    <row r="6265" spans="9:11">
      <c r="I6265" t="s">
        <v>91</v>
      </c>
      <c r="J6265" t="s">
        <v>92</v>
      </c>
      <c r="K6265">
        <v>0</v>
      </c>
    </row>
    <row r="6266" spans="9:11">
      <c r="I6266" t="s">
        <v>94</v>
      </c>
      <c r="J6266" t="s">
        <v>95</v>
      </c>
      <c r="K6266">
        <v>0</v>
      </c>
    </row>
    <row r="6267" spans="9:11">
      <c r="I6267" t="s">
        <v>94</v>
      </c>
      <c r="J6267" t="s">
        <v>95</v>
      </c>
      <c r="K6267">
        <v>0</v>
      </c>
    </row>
    <row r="6268" spans="9:11">
      <c r="I6268" t="s">
        <v>91</v>
      </c>
      <c r="J6268" t="s">
        <v>92</v>
      </c>
      <c r="K6268">
        <v>0</v>
      </c>
    </row>
    <row r="6269" spans="9:11">
      <c r="I6269" t="s">
        <v>91</v>
      </c>
      <c r="J6269" t="s">
        <v>92</v>
      </c>
      <c r="K6269">
        <v>0</v>
      </c>
    </row>
    <row r="6270" spans="9:11">
      <c r="I6270" t="s">
        <v>94</v>
      </c>
      <c r="J6270" t="s">
        <v>95</v>
      </c>
      <c r="K6270">
        <v>0</v>
      </c>
    </row>
    <row r="6271" spans="9:11">
      <c r="I6271" t="s">
        <v>94</v>
      </c>
      <c r="J6271" t="s">
        <v>95</v>
      </c>
      <c r="K6271">
        <v>0</v>
      </c>
    </row>
    <row r="6272" spans="9:11">
      <c r="I6272" t="s">
        <v>91</v>
      </c>
      <c r="J6272" t="s">
        <v>92</v>
      </c>
      <c r="K6272">
        <v>0</v>
      </c>
    </row>
    <row r="6273" spans="9:11">
      <c r="I6273" t="s">
        <v>91</v>
      </c>
      <c r="J6273" t="s">
        <v>92</v>
      </c>
      <c r="K6273">
        <v>0</v>
      </c>
    </row>
    <row r="6274" spans="9:11">
      <c r="I6274" t="s">
        <v>91</v>
      </c>
      <c r="J6274" t="s">
        <v>92</v>
      </c>
      <c r="K6274">
        <v>0</v>
      </c>
    </row>
    <row r="6275" spans="9:11">
      <c r="I6275" t="s">
        <v>94</v>
      </c>
      <c r="J6275" t="s">
        <v>95</v>
      </c>
      <c r="K6275">
        <v>0</v>
      </c>
    </row>
    <row r="6276" spans="9:11">
      <c r="I6276" t="s">
        <v>94</v>
      </c>
      <c r="J6276" t="s">
        <v>95</v>
      </c>
      <c r="K6276">
        <v>0</v>
      </c>
    </row>
    <row r="6277" spans="9:11">
      <c r="I6277" t="s">
        <v>94</v>
      </c>
      <c r="J6277" t="s">
        <v>95</v>
      </c>
      <c r="K6277">
        <v>0</v>
      </c>
    </row>
    <row r="6278" spans="9:11">
      <c r="I6278" t="s">
        <v>94</v>
      </c>
      <c r="J6278" t="s">
        <v>95</v>
      </c>
      <c r="K6278">
        <v>0</v>
      </c>
    </row>
    <row r="6279" spans="9:11">
      <c r="I6279" t="s">
        <v>94</v>
      </c>
      <c r="J6279" t="s">
        <v>95</v>
      </c>
      <c r="K6279">
        <v>0</v>
      </c>
    </row>
    <row r="6280" spans="9:11">
      <c r="I6280" t="s">
        <v>91</v>
      </c>
      <c r="J6280" t="s">
        <v>92</v>
      </c>
      <c r="K6280">
        <v>0</v>
      </c>
    </row>
    <row r="6281" spans="9:11">
      <c r="I6281" t="s">
        <v>94</v>
      </c>
      <c r="J6281" t="s">
        <v>95</v>
      </c>
      <c r="K6281">
        <v>0</v>
      </c>
    </row>
    <row r="6282" spans="9:11">
      <c r="I6282" t="s">
        <v>91</v>
      </c>
      <c r="J6282" t="s">
        <v>92</v>
      </c>
      <c r="K6282">
        <v>0</v>
      </c>
    </row>
    <row r="6283" spans="9:11">
      <c r="I6283" t="s">
        <v>91</v>
      </c>
      <c r="J6283" t="s">
        <v>92</v>
      </c>
      <c r="K6283">
        <v>0</v>
      </c>
    </row>
    <row r="6284" spans="9:11">
      <c r="I6284" t="s">
        <v>94</v>
      </c>
      <c r="J6284" t="s">
        <v>95</v>
      </c>
      <c r="K6284">
        <v>0</v>
      </c>
    </row>
    <row r="6285" spans="9:11">
      <c r="I6285" t="s">
        <v>91</v>
      </c>
      <c r="J6285" t="s">
        <v>92</v>
      </c>
      <c r="K6285">
        <v>0</v>
      </c>
    </row>
    <row r="6286" spans="9:11">
      <c r="I6286" t="s">
        <v>91</v>
      </c>
      <c r="J6286" t="s">
        <v>92</v>
      </c>
      <c r="K6286">
        <v>0</v>
      </c>
    </row>
    <row r="6287" spans="9:11">
      <c r="I6287" t="s">
        <v>94</v>
      </c>
      <c r="J6287" t="s">
        <v>95</v>
      </c>
      <c r="K6287">
        <v>0</v>
      </c>
    </row>
    <row r="6288" spans="9:11">
      <c r="I6288" t="s">
        <v>94</v>
      </c>
      <c r="J6288" t="s">
        <v>95</v>
      </c>
      <c r="K6288">
        <v>0</v>
      </c>
    </row>
    <row r="6289" spans="9:11">
      <c r="I6289" t="s">
        <v>91</v>
      </c>
      <c r="J6289" t="s">
        <v>92</v>
      </c>
      <c r="K6289">
        <v>0</v>
      </c>
    </row>
    <row r="6290" spans="9:11">
      <c r="I6290" t="s">
        <v>91</v>
      </c>
      <c r="J6290" t="s">
        <v>92</v>
      </c>
      <c r="K6290">
        <v>0</v>
      </c>
    </row>
    <row r="6291" spans="9:11">
      <c r="I6291" t="s">
        <v>91</v>
      </c>
      <c r="J6291" t="s">
        <v>92</v>
      </c>
      <c r="K6291">
        <v>0</v>
      </c>
    </row>
    <row r="6292" spans="9:11">
      <c r="I6292" t="s">
        <v>94</v>
      </c>
      <c r="J6292" t="s">
        <v>95</v>
      </c>
      <c r="K6292">
        <v>0</v>
      </c>
    </row>
    <row r="6293" spans="9:11">
      <c r="I6293" t="s">
        <v>91</v>
      </c>
      <c r="J6293" t="s">
        <v>92</v>
      </c>
      <c r="K6293">
        <v>0</v>
      </c>
    </row>
    <row r="6294" spans="9:11">
      <c r="I6294" t="s">
        <v>94</v>
      </c>
      <c r="J6294" t="s">
        <v>95</v>
      </c>
      <c r="K6294">
        <v>0</v>
      </c>
    </row>
    <row r="6295" spans="9:11">
      <c r="I6295" t="s">
        <v>94</v>
      </c>
      <c r="J6295" t="s">
        <v>95</v>
      </c>
      <c r="K6295">
        <v>0</v>
      </c>
    </row>
    <row r="6296" spans="9:11">
      <c r="I6296" t="s">
        <v>91</v>
      </c>
      <c r="J6296" t="s">
        <v>92</v>
      </c>
      <c r="K6296">
        <v>0</v>
      </c>
    </row>
    <row r="6297" spans="9:11">
      <c r="I6297" t="s">
        <v>91</v>
      </c>
      <c r="J6297" t="s">
        <v>92</v>
      </c>
      <c r="K6297">
        <v>0</v>
      </c>
    </row>
    <row r="6298" spans="9:11">
      <c r="I6298" t="s">
        <v>91</v>
      </c>
      <c r="J6298" t="s">
        <v>92</v>
      </c>
      <c r="K6298">
        <v>0</v>
      </c>
    </row>
    <row r="6299" spans="9:11">
      <c r="I6299" t="s">
        <v>91</v>
      </c>
      <c r="J6299" t="s">
        <v>92</v>
      </c>
      <c r="K6299">
        <v>0</v>
      </c>
    </row>
    <row r="6300" spans="9:11">
      <c r="I6300" t="s">
        <v>94</v>
      </c>
      <c r="J6300" t="s">
        <v>95</v>
      </c>
      <c r="K6300">
        <v>0</v>
      </c>
    </row>
    <row r="6301" spans="9:11">
      <c r="I6301" t="s">
        <v>91</v>
      </c>
      <c r="J6301" t="s">
        <v>92</v>
      </c>
      <c r="K6301">
        <v>0</v>
      </c>
    </row>
    <row r="6302" spans="9:11">
      <c r="I6302" t="s">
        <v>91</v>
      </c>
      <c r="J6302" t="s">
        <v>92</v>
      </c>
      <c r="K6302">
        <v>0</v>
      </c>
    </row>
    <row r="6303" spans="9:11">
      <c r="I6303" t="s">
        <v>91</v>
      </c>
      <c r="J6303" t="s">
        <v>92</v>
      </c>
      <c r="K6303">
        <v>0</v>
      </c>
    </row>
    <row r="6304" spans="9:11">
      <c r="I6304" t="s">
        <v>94</v>
      </c>
      <c r="J6304" t="s">
        <v>95</v>
      </c>
      <c r="K6304">
        <v>0</v>
      </c>
    </row>
    <row r="6305" spans="9:11">
      <c r="I6305" t="s">
        <v>94</v>
      </c>
      <c r="J6305" t="s">
        <v>95</v>
      </c>
      <c r="K6305">
        <v>0</v>
      </c>
    </row>
    <row r="6306" spans="9:11">
      <c r="I6306" t="s">
        <v>91</v>
      </c>
      <c r="J6306" t="s">
        <v>92</v>
      </c>
      <c r="K6306">
        <v>0</v>
      </c>
    </row>
    <row r="6307" spans="9:11">
      <c r="I6307" t="s">
        <v>91</v>
      </c>
      <c r="J6307" t="s">
        <v>92</v>
      </c>
      <c r="K6307">
        <v>0</v>
      </c>
    </row>
    <row r="6308" spans="9:11">
      <c r="I6308" t="s">
        <v>91</v>
      </c>
      <c r="J6308" t="s">
        <v>92</v>
      </c>
      <c r="K6308">
        <v>0</v>
      </c>
    </row>
    <row r="6309" spans="9:11">
      <c r="I6309" t="s">
        <v>94</v>
      </c>
      <c r="J6309" t="s">
        <v>95</v>
      </c>
      <c r="K6309">
        <v>0</v>
      </c>
    </row>
    <row r="6310" spans="9:11">
      <c r="I6310" t="s">
        <v>94</v>
      </c>
      <c r="J6310" t="s">
        <v>95</v>
      </c>
      <c r="K6310">
        <v>0</v>
      </c>
    </row>
    <row r="6311" spans="9:11">
      <c r="I6311" t="s">
        <v>94</v>
      </c>
      <c r="J6311" t="s">
        <v>95</v>
      </c>
      <c r="K6311">
        <v>0</v>
      </c>
    </row>
    <row r="6312" spans="9:11">
      <c r="I6312" t="s">
        <v>94</v>
      </c>
      <c r="J6312" t="s">
        <v>95</v>
      </c>
      <c r="K6312">
        <v>0</v>
      </c>
    </row>
    <row r="6313" spans="9:11">
      <c r="I6313" t="s">
        <v>91</v>
      </c>
      <c r="J6313" t="s">
        <v>92</v>
      </c>
      <c r="K6313">
        <v>0</v>
      </c>
    </row>
    <row r="6314" spans="9:11">
      <c r="I6314" t="s">
        <v>94</v>
      </c>
      <c r="J6314" t="s">
        <v>95</v>
      </c>
      <c r="K6314">
        <v>0</v>
      </c>
    </row>
    <row r="6315" spans="9:11">
      <c r="I6315" t="s">
        <v>91</v>
      </c>
      <c r="J6315" t="s">
        <v>92</v>
      </c>
      <c r="K6315">
        <v>0</v>
      </c>
    </row>
    <row r="6316" spans="9:11">
      <c r="I6316" t="s">
        <v>91</v>
      </c>
      <c r="J6316" t="s">
        <v>92</v>
      </c>
      <c r="K6316">
        <v>0</v>
      </c>
    </row>
    <row r="6317" spans="9:11">
      <c r="I6317" t="s">
        <v>94</v>
      </c>
      <c r="J6317" t="s">
        <v>95</v>
      </c>
      <c r="K6317">
        <v>0</v>
      </c>
    </row>
    <row r="6318" spans="9:11">
      <c r="I6318" t="s">
        <v>91</v>
      </c>
      <c r="J6318" t="s">
        <v>92</v>
      </c>
      <c r="K6318">
        <v>0</v>
      </c>
    </row>
    <row r="6319" spans="9:11">
      <c r="I6319" t="s">
        <v>91</v>
      </c>
      <c r="J6319" t="s">
        <v>92</v>
      </c>
      <c r="K6319">
        <v>0</v>
      </c>
    </row>
    <row r="6320" spans="9:11">
      <c r="I6320" t="s">
        <v>94</v>
      </c>
      <c r="J6320" t="s">
        <v>95</v>
      </c>
      <c r="K6320">
        <v>0</v>
      </c>
    </row>
    <row r="6321" spans="9:11">
      <c r="I6321" t="s">
        <v>94</v>
      </c>
      <c r="J6321" t="s">
        <v>95</v>
      </c>
      <c r="K6321">
        <v>0</v>
      </c>
    </row>
    <row r="6322" spans="9:11">
      <c r="I6322" t="s">
        <v>94</v>
      </c>
      <c r="J6322" t="s">
        <v>95</v>
      </c>
      <c r="K6322">
        <v>0</v>
      </c>
    </row>
    <row r="6323" spans="9:11">
      <c r="I6323" t="s">
        <v>91</v>
      </c>
      <c r="J6323" t="s">
        <v>92</v>
      </c>
      <c r="K6323">
        <v>0</v>
      </c>
    </row>
    <row r="6324" spans="9:11">
      <c r="I6324" t="s">
        <v>94</v>
      </c>
      <c r="J6324" t="s">
        <v>95</v>
      </c>
      <c r="K6324">
        <v>0</v>
      </c>
    </row>
    <row r="6325" spans="9:11">
      <c r="I6325" t="s">
        <v>94</v>
      </c>
      <c r="J6325" t="s">
        <v>95</v>
      </c>
      <c r="K6325">
        <v>0</v>
      </c>
    </row>
    <row r="6326" spans="9:11">
      <c r="I6326" t="s">
        <v>91</v>
      </c>
      <c r="J6326" t="s">
        <v>92</v>
      </c>
      <c r="K6326">
        <v>0</v>
      </c>
    </row>
    <row r="6327" spans="9:11">
      <c r="I6327" t="s">
        <v>94</v>
      </c>
      <c r="J6327" t="s">
        <v>95</v>
      </c>
      <c r="K6327">
        <v>0</v>
      </c>
    </row>
    <row r="6328" spans="9:11">
      <c r="I6328" t="s">
        <v>94</v>
      </c>
      <c r="J6328" t="s">
        <v>95</v>
      </c>
      <c r="K6328">
        <v>0</v>
      </c>
    </row>
    <row r="6329" spans="9:11">
      <c r="I6329" t="s">
        <v>94</v>
      </c>
      <c r="J6329" t="s">
        <v>95</v>
      </c>
      <c r="K6329">
        <v>0</v>
      </c>
    </row>
    <row r="6330" spans="9:11">
      <c r="I6330" t="s">
        <v>94</v>
      </c>
      <c r="J6330" t="s">
        <v>95</v>
      </c>
      <c r="K6330">
        <v>0</v>
      </c>
    </row>
    <row r="6331" spans="9:11">
      <c r="I6331" t="s">
        <v>94</v>
      </c>
      <c r="J6331" t="s">
        <v>95</v>
      </c>
      <c r="K6331">
        <v>0</v>
      </c>
    </row>
    <row r="6332" spans="9:11">
      <c r="I6332" t="s">
        <v>94</v>
      </c>
      <c r="J6332" t="s">
        <v>95</v>
      </c>
      <c r="K6332">
        <v>0</v>
      </c>
    </row>
    <row r="6333" spans="9:11">
      <c r="I6333" t="s">
        <v>94</v>
      </c>
      <c r="J6333" t="s">
        <v>95</v>
      </c>
      <c r="K6333">
        <v>0</v>
      </c>
    </row>
    <row r="6334" spans="9:11">
      <c r="I6334" t="s">
        <v>91</v>
      </c>
      <c r="J6334" t="s">
        <v>92</v>
      </c>
      <c r="K6334">
        <v>0</v>
      </c>
    </row>
    <row r="6335" spans="9:11">
      <c r="I6335" t="s">
        <v>94</v>
      </c>
      <c r="J6335" t="s">
        <v>95</v>
      </c>
      <c r="K6335">
        <v>0</v>
      </c>
    </row>
    <row r="6336" spans="9:11">
      <c r="I6336" t="s">
        <v>94</v>
      </c>
      <c r="J6336" t="s">
        <v>95</v>
      </c>
      <c r="K6336">
        <v>0</v>
      </c>
    </row>
    <row r="6337" spans="9:11">
      <c r="I6337" t="s">
        <v>94</v>
      </c>
      <c r="J6337" t="s">
        <v>95</v>
      </c>
      <c r="K6337">
        <v>0</v>
      </c>
    </row>
    <row r="6338" spans="9:11">
      <c r="I6338" t="s">
        <v>91</v>
      </c>
      <c r="J6338" t="s">
        <v>92</v>
      </c>
      <c r="K6338">
        <v>0</v>
      </c>
    </row>
    <row r="6339" spans="9:11">
      <c r="I6339" t="s">
        <v>94</v>
      </c>
      <c r="J6339" t="s">
        <v>95</v>
      </c>
      <c r="K6339">
        <v>0</v>
      </c>
    </row>
    <row r="6340" spans="9:11">
      <c r="I6340" t="s">
        <v>94</v>
      </c>
      <c r="J6340" t="s">
        <v>95</v>
      </c>
      <c r="K6340">
        <v>0</v>
      </c>
    </row>
    <row r="6341" spans="9:11">
      <c r="I6341" t="s">
        <v>94</v>
      </c>
      <c r="J6341" t="s">
        <v>95</v>
      </c>
      <c r="K6341">
        <v>0</v>
      </c>
    </row>
    <row r="6342" spans="9:11">
      <c r="I6342" t="s">
        <v>94</v>
      </c>
      <c r="J6342" t="s">
        <v>95</v>
      </c>
      <c r="K6342">
        <v>0</v>
      </c>
    </row>
    <row r="6343" spans="9:11">
      <c r="I6343" t="s">
        <v>94</v>
      </c>
      <c r="J6343" t="s">
        <v>95</v>
      </c>
      <c r="K6343">
        <v>0</v>
      </c>
    </row>
    <row r="6344" spans="9:11">
      <c r="I6344" t="s">
        <v>91</v>
      </c>
      <c r="J6344" t="s">
        <v>92</v>
      </c>
      <c r="K6344">
        <v>0</v>
      </c>
    </row>
    <row r="6345" spans="9:11">
      <c r="I6345" t="s">
        <v>91</v>
      </c>
      <c r="J6345" t="s">
        <v>92</v>
      </c>
      <c r="K6345">
        <v>0</v>
      </c>
    </row>
    <row r="6346" spans="9:11">
      <c r="I6346" t="s">
        <v>91</v>
      </c>
      <c r="J6346" t="s">
        <v>92</v>
      </c>
      <c r="K6346">
        <v>0</v>
      </c>
    </row>
    <row r="6347" spans="9:11">
      <c r="I6347" t="s">
        <v>94</v>
      </c>
      <c r="J6347" t="s">
        <v>95</v>
      </c>
      <c r="K6347">
        <v>0</v>
      </c>
    </row>
    <row r="6348" spans="9:11">
      <c r="I6348" t="s">
        <v>91</v>
      </c>
      <c r="J6348" t="s">
        <v>92</v>
      </c>
      <c r="K6348">
        <v>0</v>
      </c>
    </row>
    <row r="6349" spans="9:11">
      <c r="I6349" t="s">
        <v>94</v>
      </c>
      <c r="J6349" t="s">
        <v>95</v>
      </c>
      <c r="K6349">
        <v>0</v>
      </c>
    </row>
    <row r="6350" spans="9:11">
      <c r="I6350" t="s">
        <v>94</v>
      </c>
      <c r="J6350" t="s">
        <v>95</v>
      </c>
      <c r="K6350">
        <v>0</v>
      </c>
    </row>
    <row r="6351" spans="9:11">
      <c r="I6351" t="s">
        <v>94</v>
      </c>
      <c r="J6351" t="s">
        <v>95</v>
      </c>
      <c r="K6351">
        <v>0</v>
      </c>
    </row>
    <row r="6352" spans="9:11">
      <c r="I6352" t="s">
        <v>91</v>
      </c>
      <c r="J6352" t="s">
        <v>92</v>
      </c>
      <c r="K6352">
        <v>0</v>
      </c>
    </row>
    <row r="6353" spans="9:11">
      <c r="I6353" t="s">
        <v>94</v>
      </c>
      <c r="J6353" t="s">
        <v>95</v>
      </c>
      <c r="K6353">
        <v>0</v>
      </c>
    </row>
    <row r="6354" spans="9:11">
      <c r="I6354" t="s">
        <v>91</v>
      </c>
      <c r="J6354" t="s">
        <v>92</v>
      </c>
      <c r="K6354">
        <v>0</v>
      </c>
    </row>
    <row r="6355" spans="9:11">
      <c r="I6355" t="s">
        <v>91</v>
      </c>
      <c r="J6355" t="s">
        <v>92</v>
      </c>
      <c r="K6355">
        <v>0</v>
      </c>
    </row>
    <row r="6356" spans="9:11">
      <c r="I6356" t="s">
        <v>94</v>
      </c>
      <c r="J6356" t="s">
        <v>95</v>
      </c>
      <c r="K6356">
        <v>0</v>
      </c>
    </row>
    <row r="6357" spans="9:11">
      <c r="I6357" t="s">
        <v>94</v>
      </c>
      <c r="J6357" t="s">
        <v>95</v>
      </c>
      <c r="K6357">
        <v>0</v>
      </c>
    </row>
    <row r="6358" spans="9:11">
      <c r="I6358" t="s">
        <v>91</v>
      </c>
      <c r="J6358" t="s">
        <v>92</v>
      </c>
      <c r="K6358">
        <v>0</v>
      </c>
    </row>
    <row r="6359" spans="9:11">
      <c r="I6359" t="s">
        <v>94</v>
      </c>
      <c r="J6359" t="s">
        <v>95</v>
      </c>
      <c r="K6359">
        <v>0</v>
      </c>
    </row>
    <row r="6360" spans="9:11">
      <c r="I6360" t="s">
        <v>94</v>
      </c>
      <c r="J6360" t="s">
        <v>95</v>
      </c>
      <c r="K6360">
        <v>0</v>
      </c>
    </row>
    <row r="6361" spans="9:11">
      <c r="I6361" t="s">
        <v>94</v>
      </c>
      <c r="J6361" t="s">
        <v>95</v>
      </c>
      <c r="K6361">
        <v>0</v>
      </c>
    </row>
    <row r="6362" spans="9:11">
      <c r="I6362" t="s">
        <v>91</v>
      </c>
      <c r="J6362" t="s">
        <v>92</v>
      </c>
      <c r="K6362">
        <v>0</v>
      </c>
    </row>
    <row r="6363" spans="9:11">
      <c r="I6363" t="s">
        <v>94</v>
      </c>
      <c r="J6363" t="s">
        <v>95</v>
      </c>
      <c r="K6363">
        <v>0</v>
      </c>
    </row>
    <row r="6364" spans="9:11">
      <c r="I6364" t="s">
        <v>91</v>
      </c>
      <c r="J6364" t="s">
        <v>92</v>
      </c>
      <c r="K6364">
        <v>0</v>
      </c>
    </row>
    <row r="6365" spans="9:11">
      <c r="I6365" t="s">
        <v>94</v>
      </c>
      <c r="J6365" t="s">
        <v>95</v>
      </c>
      <c r="K6365">
        <v>0</v>
      </c>
    </row>
    <row r="6366" spans="9:11">
      <c r="I6366" t="s">
        <v>94</v>
      </c>
      <c r="J6366" t="s">
        <v>95</v>
      </c>
      <c r="K6366">
        <v>0</v>
      </c>
    </row>
    <row r="6367" spans="9:11">
      <c r="I6367" t="s">
        <v>94</v>
      </c>
      <c r="J6367" t="s">
        <v>95</v>
      </c>
      <c r="K6367">
        <v>0</v>
      </c>
    </row>
    <row r="6368" spans="9:11">
      <c r="I6368" t="s">
        <v>94</v>
      </c>
      <c r="J6368" t="s">
        <v>95</v>
      </c>
      <c r="K6368">
        <v>0</v>
      </c>
    </row>
    <row r="6369" spans="9:11">
      <c r="I6369" t="s">
        <v>94</v>
      </c>
      <c r="J6369" t="s">
        <v>95</v>
      </c>
      <c r="K6369">
        <v>0</v>
      </c>
    </row>
    <row r="6370" spans="9:11">
      <c r="I6370" t="s">
        <v>94</v>
      </c>
      <c r="J6370" t="s">
        <v>95</v>
      </c>
      <c r="K6370">
        <v>0</v>
      </c>
    </row>
    <row r="6371" spans="9:11">
      <c r="I6371" t="s">
        <v>91</v>
      </c>
      <c r="J6371" t="s">
        <v>92</v>
      </c>
      <c r="K6371">
        <v>0</v>
      </c>
    </row>
    <row r="6372" spans="9:11">
      <c r="I6372" t="s">
        <v>91</v>
      </c>
      <c r="J6372" t="s">
        <v>92</v>
      </c>
      <c r="K6372">
        <v>0</v>
      </c>
    </row>
    <row r="6373" spans="9:11">
      <c r="I6373" t="s">
        <v>91</v>
      </c>
      <c r="J6373" t="s">
        <v>92</v>
      </c>
      <c r="K6373">
        <v>0</v>
      </c>
    </row>
    <row r="6374" spans="9:11">
      <c r="I6374" t="s">
        <v>94</v>
      </c>
      <c r="J6374" t="s">
        <v>95</v>
      </c>
      <c r="K6374">
        <v>0</v>
      </c>
    </row>
    <row r="6375" spans="9:11">
      <c r="I6375" t="s">
        <v>91</v>
      </c>
      <c r="J6375" t="s">
        <v>92</v>
      </c>
      <c r="K6375">
        <v>0</v>
      </c>
    </row>
    <row r="6376" spans="9:11">
      <c r="I6376" t="s">
        <v>91</v>
      </c>
      <c r="J6376" t="s">
        <v>92</v>
      </c>
      <c r="K6376">
        <v>0</v>
      </c>
    </row>
    <row r="6377" spans="9:11">
      <c r="I6377" t="s">
        <v>91</v>
      </c>
      <c r="J6377" t="s">
        <v>92</v>
      </c>
      <c r="K6377">
        <v>0</v>
      </c>
    </row>
    <row r="6378" spans="9:11">
      <c r="I6378" t="s">
        <v>91</v>
      </c>
      <c r="J6378" t="s">
        <v>92</v>
      </c>
      <c r="K6378">
        <v>0</v>
      </c>
    </row>
    <row r="6379" spans="9:11">
      <c r="I6379" t="s">
        <v>94</v>
      </c>
      <c r="J6379" t="s">
        <v>95</v>
      </c>
      <c r="K6379">
        <v>0</v>
      </c>
    </row>
    <row r="6380" spans="9:11">
      <c r="I6380" t="s">
        <v>94</v>
      </c>
      <c r="J6380" t="s">
        <v>95</v>
      </c>
      <c r="K6380">
        <v>0</v>
      </c>
    </row>
    <row r="6381" spans="9:11">
      <c r="I6381" t="s">
        <v>94</v>
      </c>
      <c r="J6381" t="s">
        <v>95</v>
      </c>
      <c r="K6381">
        <v>1</v>
      </c>
    </row>
    <row r="6382" spans="9:11">
      <c r="I6382" t="s">
        <v>91</v>
      </c>
      <c r="J6382" t="s">
        <v>92</v>
      </c>
      <c r="K6382">
        <v>0</v>
      </c>
    </row>
    <row r="6383" spans="9:11">
      <c r="I6383" t="s">
        <v>94</v>
      </c>
      <c r="J6383" t="s">
        <v>95</v>
      </c>
      <c r="K6383">
        <v>0</v>
      </c>
    </row>
    <row r="6384" spans="9:11">
      <c r="I6384" t="s">
        <v>94</v>
      </c>
      <c r="J6384" t="s">
        <v>95</v>
      </c>
      <c r="K6384">
        <v>0</v>
      </c>
    </row>
    <row r="6385" spans="9:11">
      <c r="I6385" t="s">
        <v>94</v>
      </c>
      <c r="J6385" t="s">
        <v>95</v>
      </c>
      <c r="K6385">
        <v>0</v>
      </c>
    </row>
    <row r="6386" spans="9:11">
      <c r="I6386" t="s">
        <v>91</v>
      </c>
      <c r="J6386" t="s">
        <v>92</v>
      </c>
      <c r="K6386">
        <v>0</v>
      </c>
    </row>
    <row r="6387" spans="9:11">
      <c r="I6387" t="s">
        <v>94</v>
      </c>
      <c r="J6387" t="s">
        <v>95</v>
      </c>
      <c r="K6387">
        <v>0</v>
      </c>
    </row>
    <row r="6388" spans="9:11">
      <c r="I6388" t="s">
        <v>91</v>
      </c>
      <c r="J6388" t="s">
        <v>92</v>
      </c>
      <c r="K6388">
        <v>0</v>
      </c>
    </row>
    <row r="6389" spans="9:11">
      <c r="I6389" t="s">
        <v>94</v>
      </c>
      <c r="J6389" t="s">
        <v>95</v>
      </c>
      <c r="K6389">
        <v>0</v>
      </c>
    </row>
    <row r="6390" spans="9:11">
      <c r="I6390" t="s">
        <v>91</v>
      </c>
      <c r="J6390" t="s">
        <v>92</v>
      </c>
      <c r="K6390">
        <v>0</v>
      </c>
    </row>
    <row r="6391" spans="9:11">
      <c r="I6391" t="s">
        <v>91</v>
      </c>
      <c r="J6391" t="s">
        <v>92</v>
      </c>
      <c r="K6391">
        <v>0</v>
      </c>
    </row>
    <row r="6392" spans="9:11">
      <c r="I6392" t="s">
        <v>91</v>
      </c>
      <c r="J6392" t="s">
        <v>92</v>
      </c>
      <c r="K6392">
        <v>0</v>
      </c>
    </row>
    <row r="6393" spans="9:11">
      <c r="I6393" t="s">
        <v>91</v>
      </c>
      <c r="J6393" t="s">
        <v>92</v>
      </c>
      <c r="K6393">
        <v>0</v>
      </c>
    </row>
    <row r="6394" spans="9:11">
      <c r="I6394" t="s">
        <v>91</v>
      </c>
      <c r="J6394" t="s">
        <v>92</v>
      </c>
      <c r="K6394">
        <v>0</v>
      </c>
    </row>
    <row r="6395" spans="9:11">
      <c r="I6395" t="s">
        <v>94</v>
      </c>
      <c r="J6395" t="s">
        <v>95</v>
      </c>
      <c r="K6395">
        <v>0</v>
      </c>
    </row>
    <row r="6396" spans="9:11">
      <c r="I6396" t="s">
        <v>91</v>
      </c>
      <c r="J6396" t="s">
        <v>92</v>
      </c>
      <c r="K6396">
        <v>0</v>
      </c>
    </row>
    <row r="6397" spans="9:11">
      <c r="I6397" t="s">
        <v>94</v>
      </c>
      <c r="J6397" t="s">
        <v>95</v>
      </c>
      <c r="K6397">
        <v>0</v>
      </c>
    </row>
    <row r="6398" spans="9:11">
      <c r="I6398" t="s">
        <v>94</v>
      </c>
      <c r="J6398" t="s">
        <v>95</v>
      </c>
      <c r="K6398">
        <v>0</v>
      </c>
    </row>
    <row r="6399" spans="9:11">
      <c r="I6399" t="s">
        <v>94</v>
      </c>
      <c r="J6399" t="s">
        <v>95</v>
      </c>
      <c r="K6399">
        <v>0</v>
      </c>
    </row>
    <row r="6400" spans="9:11">
      <c r="I6400" t="s">
        <v>91</v>
      </c>
      <c r="J6400" t="s">
        <v>92</v>
      </c>
      <c r="K6400">
        <v>0</v>
      </c>
    </row>
    <row r="6401" spans="9:11">
      <c r="I6401" t="s">
        <v>91</v>
      </c>
      <c r="J6401" t="s">
        <v>92</v>
      </c>
      <c r="K6401">
        <v>0</v>
      </c>
    </row>
    <row r="6402" spans="9:11">
      <c r="I6402" t="s">
        <v>91</v>
      </c>
      <c r="J6402" t="s">
        <v>92</v>
      </c>
      <c r="K6402">
        <v>0</v>
      </c>
    </row>
    <row r="6403" spans="9:11">
      <c r="I6403" t="s">
        <v>91</v>
      </c>
      <c r="J6403" t="s">
        <v>92</v>
      </c>
      <c r="K6403">
        <v>0</v>
      </c>
    </row>
    <row r="6404" spans="9:11">
      <c r="I6404" t="s">
        <v>91</v>
      </c>
      <c r="J6404" t="s">
        <v>92</v>
      </c>
      <c r="K6404">
        <v>0</v>
      </c>
    </row>
    <row r="6405" spans="9:11">
      <c r="I6405" t="s">
        <v>91</v>
      </c>
      <c r="J6405" t="s">
        <v>92</v>
      </c>
      <c r="K6405">
        <v>0</v>
      </c>
    </row>
    <row r="6406" spans="9:11">
      <c r="I6406" t="s">
        <v>94</v>
      </c>
      <c r="J6406" t="s">
        <v>95</v>
      </c>
      <c r="K6406">
        <v>0</v>
      </c>
    </row>
    <row r="6407" spans="9:11">
      <c r="I6407" t="s">
        <v>94</v>
      </c>
      <c r="J6407" t="s">
        <v>95</v>
      </c>
      <c r="K6407">
        <v>0</v>
      </c>
    </row>
    <row r="6408" spans="9:11">
      <c r="I6408" t="s">
        <v>94</v>
      </c>
      <c r="J6408" t="s">
        <v>95</v>
      </c>
      <c r="K6408">
        <v>0</v>
      </c>
    </row>
    <row r="6409" spans="9:11">
      <c r="I6409" t="s">
        <v>94</v>
      </c>
      <c r="J6409" t="s">
        <v>95</v>
      </c>
      <c r="K6409">
        <v>0</v>
      </c>
    </row>
    <row r="6410" spans="9:11">
      <c r="I6410" t="s">
        <v>91</v>
      </c>
      <c r="J6410" t="s">
        <v>92</v>
      </c>
      <c r="K6410">
        <v>0</v>
      </c>
    </row>
    <row r="6411" spans="9:11">
      <c r="I6411" t="s">
        <v>94</v>
      </c>
      <c r="J6411" t="s">
        <v>95</v>
      </c>
      <c r="K6411">
        <v>0</v>
      </c>
    </row>
    <row r="6412" spans="9:11">
      <c r="I6412" t="s">
        <v>94</v>
      </c>
      <c r="J6412" t="s">
        <v>95</v>
      </c>
      <c r="K6412">
        <v>0</v>
      </c>
    </row>
    <row r="6413" spans="9:11">
      <c r="I6413" t="s">
        <v>91</v>
      </c>
      <c r="J6413" t="s">
        <v>92</v>
      </c>
      <c r="K6413">
        <v>0</v>
      </c>
    </row>
    <row r="6414" spans="9:11">
      <c r="I6414" t="s">
        <v>91</v>
      </c>
      <c r="J6414" t="s">
        <v>92</v>
      </c>
      <c r="K6414">
        <v>0</v>
      </c>
    </row>
    <row r="6415" spans="9:11">
      <c r="I6415" t="s">
        <v>94</v>
      </c>
      <c r="J6415" t="s">
        <v>95</v>
      </c>
      <c r="K6415">
        <v>0</v>
      </c>
    </row>
    <row r="6416" spans="9:11">
      <c r="I6416" t="s">
        <v>94</v>
      </c>
      <c r="J6416" t="s">
        <v>95</v>
      </c>
      <c r="K6416">
        <v>0</v>
      </c>
    </row>
    <row r="6417" spans="9:11">
      <c r="I6417" t="s">
        <v>94</v>
      </c>
      <c r="J6417" t="s">
        <v>95</v>
      </c>
      <c r="K6417">
        <v>0</v>
      </c>
    </row>
    <row r="6418" spans="9:11">
      <c r="I6418" t="s">
        <v>91</v>
      </c>
      <c r="J6418" t="s">
        <v>92</v>
      </c>
      <c r="K6418">
        <v>0</v>
      </c>
    </row>
    <row r="6419" spans="9:11">
      <c r="I6419" t="s">
        <v>91</v>
      </c>
      <c r="J6419" t="s">
        <v>92</v>
      </c>
      <c r="K6419">
        <v>0</v>
      </c>
    </row>
    <row r="6420" spans="9:11">
      <c r="I6420" t="s">
        <v>94</v>
      </c>
      <c r="J6420" t="s">
        <v>95</v>
      </c>
      <c r="K6420">
        <v>0</v>
      </c>
    </row>
    <row r="6421" spans="9:11">
      <c r="I6421" t="s">
        <v>94</v>
      </c>
      <c r="J6421" t="s">
        <v>95</v>
      </c>
      <c r="K6421">
        <v>0</v>
      </c>
    </row>
    <row r="6422" spans="9:11">
      <c r="I6422" t="s">
        <v>91</v>
      </c>
      <c r="J6422" t="s">
        <v>92</v>
      </c>
      <c r="K6422">
        <v>0</v>
      </c>
    </row>
    <row r="6423" spans="9:11">
      <c r="I6423" t="s">
        <v>91</v>
      </c>
      <c r="J6423" t="s">
        <v>92</v>
      </c>
      <c r="K6423">
        <v>0</v>
      </c>
    </row>
    <row r="6424" spans="9:11">
      <c r="I6424" t="s">
        <v>94</v>
      </c>
      <c r="J6424" t="s">
        <v>95</v>
      </c>
      <c r="K6424">
        <v>0</v>
      </c>
    </row>
    <row r="6425" spans="9:11">
      <c r="I6425" t="s">
        <v>91</v>
      </c>
      <c r="J6425" t="s">
        <v>92</v>
      </c>
      <c r="K6425">
        <v>1</v>
      </c>
    </row>
    <row r="6426" spans="9:11">
      <c r="I6426" t="s">
        <v>94</v>
      </c>
      <c r="J6426" t="s">
        <v>95</v>
      </c>
      <c r="K6426">
        <v>0</v>
      </c>
    </row>
    <row r="6427" spans="9:11">
      <c r="I6427" t="s">
        <v>91</v>
      </c>
      <c r="J6427" t="s">
        <v>92</v>
      </c>
      <c r="K6427">
        <v>0</v>
      </c>
    </row>
    <row r="6428" spans="9:11">
      <c r="I6428" t="s">
        <v>91</v>
      </c>
      <c r="J6428" t="s">
        <v>92</v>
      </c>
      <c r="K6428">
        <v>0</v>
      </c>
    </row>
    <row r="6429" spans="9:11">
      <c r="I6429" t="s">
        <v>91</v>
      </c>
      <c r="J6429" t="s">
        <v>92</v>
      </c>
      <c r="K6429">
        <v>0</v>
      </c>
    </row>
    <row r="6430" spans="9:11">
      <c r="I6430" t="s">
        <v>91</v>
      </c>
      <c r="J6430" t="s">
        <v>92</v>
      </c>
      <c r="K6430">
        <v>0</v>
      </c>
    </row>
    <row r="6431" spans="9:11">
      <c r="I6431" t="s">
        <v>91</v>
      </c>
      <c r="J6431" t="s">
        <v>92</v>
      </c>
      <c r="K6431">
        <v>0</v>
      </c>
    </row>
    <row r="6432" spans="9:11">
      <c r="I6432" t="s">
        <v>94</v>
      </c>
      <c r="J6432" t="s">
        <v>95</v>
      </c>
      <c r="K6432">
        <v>0</v>
      </c>
    </row>
    <row r="6433" spans="9:11">
      <c r="I6433" t="s">
        <v>91</v>
      </c>
      <c r="J6433" t="s">
        <v>92</v>
      </c>
      <c r="K6433">
        <v>0</v>
      </c>
    </row>
    <row r="6434" spans="9:11">
      <c r="I6434" t="s">
        <v>91</v>
      </c>
      <c r="J6434" t="s">
        <v>92</v>
      </c>
      <c r="K6434">
        <v>0</v>
      </c>
    </row>
    <row r="6435" spans="9:11">
      <c r="I6435" t="s">
        <v>91</v>
      </c>
      <c r="J6435" t="s">
        <v>92</v>
      </c>
      <c r="K6435">
        <v>0</v>
      </c>
    </row>
    <row r="6436" spans="9:11">
      <c r="I6436" t="s">
        <v>91</v>
      </c>
      <c r="J6436" t="s">
        <v>92</v>
      </c>
      <c r="K6436">
        <v>0</v>
      </c>
    </row>
    <row r="6437" spans="9:11">
      <c r="I6437" t="s">
        <v>94</v>
      </c>
      <c r="J6437" t="s">
        <v>95</v>
      </c>
      <c r="K6437">
        <v>0</v>
      </c>
    </row>
    <row r="6438" spans="9:11">
      <c r="I6438" t="s">
        <v>91</v>
      </c>
      <c r="J6438" t="s">
        <v>92</v>
      </c>
      <c r="K6438">
        <v>0</v>
      </c>
    </row>
    <row r="6439" spans="9:11">
      <c r="I6439" t="s">
        <v>94</v>
      </c>
      <c r="J6439" t="s">
        <v>95</v>
      </c>
      <c r="K6439">
        <v>1</v>
      </c>
    </row>
    <row r="6440" spans="9:11">
      <c r="I6440" t="s">
        <v>91</v>
      </c>
      <c r="J6440" t="s">
        <v>92</v>
      </c>
      <c r="K6440">
        <v>0</v>
      </c>
    </row>
    <row r="6441" spans="9:11">
      <c r="I6441" t="s">
        <v>91</v>
      </c>
      <c r="J6441" t="s">
        <v>92</v>
      </c>
      <c r="K6441">
        <v>0</v>
      </c>
    </row>
    <row r="6442" spans="9:11">
      <c r="I6442" t="s">
        <v>94</v>
      </c>
      <c r="J6442" t="s">
        <v>95</v>
      </c>
      <c r="K6442">
        <v>0</v>
      </c>
    </row>
    <row r="6443" spans="9:11">
      <c r="I6443" t="s">
        <v>94</v>
      </c>
      <c r="J6443" t="s">
        <v>95</v>
      </c>
      <c r="K6443">
        <v>0</v>
      </c>
    </row>
    <row r="6444" spans="9:11">
      <c r="I6444" t="s">
        <v>91</v>
      </c>
      <c r="J6444" t="s">
        <v>92</v>
      </c>
      <c r="K6444">
        <v>0</v>
      </c>
    </row>
    <row r="6445" spans="9:11">
      <c r="I6445" t="s">
        <v>91</v>
      </c>
      <c r="J6445" t="s">
        <v>92</v>
      </c>
      <c r="K6445">
        <v>0</v>
      </c>
    </row>
    <row r="6446" spans="9:11">
      <c r="I6446" t="s">
        <v>94</v>
      </c>
      <c r="J6446" t="s">
        <v>95</v>
      </c>
      <c r="K6446">
        <v>0</v>
      </c>
    </row>
    <row r="6447" spans="9:11">
      <c r="I6447" t="s">
        <v>94</v>
      </c>
      <c r="J6447" t="s">
        <v>95</v>
      </c>
      <c r="K6447">
        <v>1</v>
      </c>
    </row>
    <row r="6448" spans="9:11">
      <c r="I6448" t="s">
        <v>94</v>
      </c>
      <c r="J6448" t="s">
        <v>95</v>
      </c>
      <c r="K6448">
        <v>0</v>
      </c>
    </row>
    <row r="6449" spans="9:11">
      <c r="I6449" t="s">
        <v>94</v>
      </c>
      <c r="J6449" t="s">
        <v>95</v>
      </c>
      <c r="K6449">
        <v>0</v>
      </c>
    </row>
    <row r="6450" spans="9:11">
      <c r="I6450" t="s">
        <v>94</v>
      </c>
      <c r="J6450" t="s">
        <v>95</v>
      </c>
      <c r="K6450">
        <v>0</v>
      </c>
    </row>
    <row r="6451" spans="9:11">
      <c r="I6451" t="s">
        <v>94</v>
      </c>
      <c r="J6451" t="s">
        <v>95</v>
      </c>
      <c r="K6451">
        <v>0</v>
      </c>
    </row>
    <row r="6452" spans="9:11">
      <c r="I6452" t="s">
        <v>94</v>
      </c>
      <c r="J6452" t="s">
        <v>95</v>
      </c>
      <c r="K6452">
        <v>0</v>
      </c>
    </row>
    <row r="6453" spans="9:11">
      <c r="I6453" t="s">
        <v>94</v>
      </c>
      <c r="J6453" t="s">
        <v>95</v>
      </c>
      <c r="K6453">
        <v>0</v>
      </c>
    </row>
    <row r="6454" spans="9:11">
      <c r="I6454" t="s">
        <v>91</v>
      </c>
      <c r="J6454" t="s">
        <v>92</v>
      </c>
      <c r="K6454">
        <v>0</v>
      </c>
    </row>
    <row r="6455" spans="9:11">
      <c r="I6455" t="s">
        <v>91</v>
      </c>
      <c r="J6455" t="s">
        <v>92</v>
      </c>
      <c r="K6455">
        <v>0</v>
      </c>
    </row>
    <row r="6456" spans="9:11">
      <c r="I6456" t="s">
        <v>94</v>
      </c>
      <c r="J6456" t="s">
        <v>95</v>
      </c>
      <c r="K6456">
        <v>0</v>
      </c>
    </row>
    <row r="6457" spans="9:11">
      <c r="I6457" t="s">
        <v>91</v>
      </c>
      <c r="J6457" t="s">
        <v>92</v>
      </c>
      <c r="K6457">
        <v>0</v>
      </c>
    </row>
    <row r="6458" spans="9:11">
      <c r="I6458" t="s">
        <v>94</v>
      </c>
      <c r="J6458" t="s">
        <v>95</v>
      </c>
      <c r="K6458">
        <v>0</v>
      </c>
    </row>
    <row r="6459" spans="9:11">
      <c r="I6459" t="s">
        <v>94</v>
      </c>
      <c r="J6459" t="s">
        <v>95</v>
      </c>
      <c r="K6459">
        <v>0</v>
      </c>
    </row>
    <row r="6460" spans="9:11">
      <c r="I6460" t="s">
        <v>94</v>
      </c>
      <c r="J6460" t="s">
        <v>95</v>
      </c>
      <c r="K6460">
        <v>0</v>
      </c>
    </row>
    <row r="6461" spans="9:11">
      <c r="I6461" t="s">
        <v>94</v>
      </c>
      <c r="J6461" t="s">
        <v>95</v>
      </c>
      <c r="K6461">
        <v>0</v>
      </c>
    </row>
    <row r="6462" spans="9:11">
      <c r="I6462" t="s">
        <v>94</v>
      </c>
      <c r="J6462" t="s">
        <v>95</v>
      </c>
      <c r="K6462">
        <v>0</v>
      </c>
    </row>
    <row r="6463" spans="9:11">
      <c r="I6463" t="s">
        <v>91</v>
      </c>
      <c r="J6463" t="s">
        <v>92</v>
      </c>
      <c r="K6463">
        <v>0</v>
      </c>
    </row>
    <row r="6464" spans="9:11">
      <c r="I6464" t="s">
        <v>91</v>
      </c>
      <c r="J6464" t="s">
        <v>92</v>
      </c>
      <c r="K6464">
        <v>0</v>
      </c>
    </row>
    <row r="6465" spans="9:11">
      <c r="I6465" t="s">
        <v>91</v>
      </c>
      <c r="J6465" t="s">
        <v>92</v>
      </c>
      <c r="K6465">
        <v>0</v>
      </c>
    </row>
    <row r="6466" spans="9:11">
      <c r="I6466" t="s">
        <v>91</v>
      </c>
      <c r="J6466" t="s">
        <v>92</v>
      </c>
      <c r="K6466">
        <v>0</v>
      </c>
    </row>
    <row r="6467" spans="9:11">
      <c r="I6467" t="s">
        <v>91</v>
      </c>
      <c r="J6467" t="s">
        <v>92</v>
      </c>
      <c r="K6467">
        <v>0</v>
      </c>
    </row>
    <row r="6468" spans="9:11">
      <c r="I6468" t="s">
        <v>94</v>
      </c>
      <c r="J6468" t="s">
        <v>95</v>
      </c>
      <c r="K6468">
        <v>0</v>
      </c>
    </row>
    <row r="6469" spans="9:11">
      <c r="I6469" t="s">
        <v>91</v>
      </c>
      <c r="J6469" t="s">
        <v>92</v>
      </c>
      <c r="K6469">
        <v>0</v>
      </c>
    </row>
    <row r="6470" spans="9:11">
      <c r="I6470" t="s">
        <v>94</v>
      </c>
      <c r="J6470" t="s">
        <v>95</v>
      </c>
      <c r="K6470">
        <v>0</v>
      </c>
    </row>
    <row r="6471" spans="9:11">
      <c r="I6471" t="s">
        <v>91</v>
      </c>
      <c r="J6471" t="s">
        <v>92</v>
      </c>
      <c r="K6471">
        <v>0</v>
      </c>
    </row>
    <row r="6472" spans="9:11">
      <c r="I6472" t="s">
        <v>94</v>
      </c>
      <c r="J6472" t="s">
        <v>95</v>
      </c>
      <c r="K6472">
        <v>0</v>
      </c>
    </row>
    <row r="6473" spans="9:11">
      <c r="I6473" t="s">
        <v>94</v>
      </c>
      <c r="J6473" t="s">
        <v>95</v>
      </c>
      <c r="K6473">
        <v>0</v>
      </c>
    </row>
    <row r="6474" spans="9:11">
      <c r="I6474" t="s">
        <v>94</v>
      </c>
      <c r="J6474" t="s">
        <v>95</v>
      </c>
      <c r="K6474">
        <v>0</v>
      </c>
    </row>
    <row r="6475" spans="9:11">
      <c r="I6475" t="s">
        <v>91</v>
      </c>
      <c r="J6475" t="s">
        <v>92</v>
      </c>
      <c r="K6475">
        <v>0</v>
      </c>
    </row>
    <row r="6476" spans="9:11">
      <c r="I6476" t="s">
        <v>91</v>
      </c>
      <c r="J6476" t="s">
        <v>92</v>
      </c>
      <c r="K6476">
        <v>0</v>
      </c>
    </row>
    <row r="6477" spans="9:11">
      <c r="I6477" t="s">
        <v>94</v>
      </c>
      <c r="J6477" t="s">
        <v>95</v>
      </c>
      <c r="K6477">
        <v>0</v>
      </c>
    </row>
    <row r="6478" spans="9:11">
      <c r="I6478" t="s">
        <v>91</v>
      </c>
      <c r="J6478" t="s">
        <v>92</v>
      </c>
      <c r="K6478">
        <v>0</v>
      </c>
    </row>
    <row r="6479" spans="9:11">
      <c r="I6479" t="s">
        <v>94</v>
      </c>
      <c r="J6479" t="s">
        <v>95</v>
      </c>
      <c r="K6479">
        <v>0</v>
      </c>
    </row>
    <row r="6480" spans="9:11">
      <c r="I6480" t="s">
        <v>91</v>
      </c>
      <c r="J6480" t="s">
        <v>92</v>
      </c>
      <c r="K6480">
        <v>0</v>
      </c>
    </row>
    <row r="6481" spans="9:11">
      <c r="I6481" t="s">
        <v>91</v>
      </c>
      <c r="J6481" t="s">
        <v>92</v>
      </c>
      <c r="K6481">
        <v>0</v>
      </c>
    </row>
    <row r="6482" spans="9:11">
      <c r="I6482" t="s">
        <v>94</v>
      </c>
      <c r="J6482" t="s">
        <v>95</v>
      </c>
      <c r="K6482">
        <v>0</v>
      </c>
    </row>
    <row r="6483" spans="9:11">
      <c r="I6483" t="s">
        <v>94</v>
      </c>
      <c r="J6483" t="s">
        <v>95</v>
      </c>
      <c r="K6483">
        <v>0</v>
      </c>
    </row>
    <row r="6484" spans="9:11">
      <c r="I6484" t="s">
        <v>91</v>
      </c>
      <c r="J6484" t="s">
        <v>92</v>
      </c>
      <c r="K6484">
        <v>0</v>
      </c>
    </row>
    <row r="6485" spans="9:11">
      <c r="I6485" t="s">
        <v>94</v>
      </c>
      <c r="J6485" t="s">
        <v>95</v>
      </c>
      <c r="K6485">
        <v>0</v>
      </c>
    </row>
    <row r="6486" spans="9:11">
      <c r="I6486" t="s">
        <v>94</v>
      </c>
      <c r="J6486" t="s">
        <v>95</v>
      </c>
      <c r="K6486">
        <v>0</v>
      </c>
    </row>
    <row r="6487" spans="9:11">
      <c r="I6487" t="s">
        <v>94</v>
      </c>
      <c r="J6487" t="s">
        <v>95</v>
      </c>
      <c r="K6487">
        <v>0</v>
      </c>
    </row>
    <row r="6488" spans="9:11">
      <c r="I6488" t="s">
        <v>94</v>
      </c>
      <c r="J6488" t="s">
        <v>95</v>
      </c>
      <c r="K6488">
        <v>0</v>
      </c>
    </row>
    <row r="6489" spans="9:11">
      <c r="I6489" t="s">
        <v>91</v>
      </c>
      <c r="J6489" t="s">
        <v>92</v>
      </c>
      <c r="K6489">
        <v>0</v>
      </c>
    </row>
    <row r="6490" spans="9:11">
      <c r="I6490" t="s">
        <v>94</v>
      </c>
      <c r="J6490" t="s">
        <v>95</v>
      </c>
      <c r="K6490">
        <v>0</v>
      </c>
    </row>
    <row r="6491" spans="9:11">
      <c r="I6491" t="s">
        <v>94</v>
      </c>
      <c r="J6491" t="s">
        <v>95</v>
      </c>
      <c r="K6491">
        <v>0</v>
      </c>
    </row>
    <row r="6492" spans="9:11">
      <c r="I6492" t="s">
        <v>91</v>
      </c>
      <c r="J6492" t="s">
        <v>92</v>
      </c>
      <c r="K6492">
        <v>0</v>
      </c>
    </row>
    <row r="6493" spans="9:11">
      <c r="I6493" t="s">
        <v>94</v>
      </c>
      <c r="J6493" t="s">
        <v>95</v>
      </c>
      <c r="K6493">
        <v>0</v>
      </c>
    </row>
    <row r="6494" spans="9:11">
      <c r="I6494" t="s">
        <v>94</v>
      </c>
      <c r="J6494" t="s">
        <v>95</v>
      </c>
      <c r="K6494">
        <v>0</v>
      </c>
    </row>
    <row r="6495" spans="9:11">
      <c r="I6495" t="s">
        <v>94</v>
      </c>
      <c r="J6495" t="s">
        <v>95</v>
      </c>
      <c r="K6495">
        <v>0</v>
      </c>
    </row>
    <row r="6496" spans="9:11">
      <c r="I6496" t="s">
        <v>94</v>
      </c>
      <c r="J6496" t="s">
        <v>95</v>
      </c>
      <c r="K6496">
        <v>0</v>
      </c>
    </row>
    <row r="6497" spans="9:11">
      <c r="I6497" t="s">
        <v>91</v>
      </c>
      <c r="J6497" t="s">
        <v>92</v>
      </c>
      <c r="K6497">
        <v>1</v>
      </c>
    </row>
    <row r="6498" spans="9:11">
      <c r="I6498" t="s">
        <v>91</v>
      </c>
      <c r="J6498" t="s">
        <v>92</v>
      </c>
      <c r="K6498">
        <v>0</v>
      </c>
    </row>
    <row r="6499" spans="9:11">
      <c r="I6499" t="s">
        <v>91</v>
      </c>
      <c r="J6499" t="s">
        <v>92</v>
      </c>
      <c r="K6499">
        <v>0</v>
      </c>
    </row>
    <row r="6500" spans="9:11">
      <c r="I6500" t="s">
        <v>94</v>
      </c>
      <c r="J6500" t="s">
        <v>95</v>
      </c>
      <c r="K6500">
        <v>0</v>
      </c>
    </row>
    <row r="6501" spans="9:11">
      <c r="I6501" t="s">
        <v>94</v>
      </c>
      <c r="J6501" t="s">
        <v>95</v>
      </c>
      <c r="K6501">
        <v>0</v>
      </c>
    </row>
    <row r="6502" spans="9:11">
      <c r="I6502" t="s">
        <v>94</v>
      </c>
      <c r="J6502" t="s">
        <v>95</v>
      </c>
      <c r="K6502">
        <v>0</v>
      </c>
    </row>
    <row r="6503" spans="9:11">
      <c r="I6503" t="s">
        <v>94</v>
      </c>
      <c r="J6503" t="s">
        <v>95</v>
      </c>
      <c r="K6503">
        <v>0</v>
      </c>
    </row>
    <row r="6504" spans="9:11">
      <c r="I6504" t="s">
        <v>91</v>
      </c>
      <c r="J6504" t="s">
        <v>92</v>
      </c>
      <c r="K6504">
        <v>0</v>
      </c>
    </row>
    <row r="6505" spans="9:11">
      <c r="I6505" t="s">
        <v>94</v>
      </c>
      <c r="J6505" t="s">
        <v>95</v>
      </c>
      <c r="K6505">
        <v>0</v>
      </c>
    </row>
    <row r="6506" spans="9:11">
      <c r="I6506" t="s">
        <v>91</v>
      </c>
      <c r="J6506" t="s">
        <v>92</v>
      </c>
      <c r="K6506">
        <v>0</v>
      </c>
    </row>
    <row r="6507" spans="9:11">
      <c r="I6507" t="s">
        <v>94</v>
      </c>
      <c r="J6507" t="s">
        <v>95</v>
      </c>
      <c r="K6507">
        <v>0</v>
      </c>
    </row>
    <row r="6508" spans="9:11">
      <c r="I6508" t="s">
        <v>91</v>
      </c>
      <c r="J6508" t="s">
        <v>92</v>
      </c>
      <c r="K6508">
        <v>0</v>
      </c>
    </row>
    <row r="6509" spans="9:11">
      <c r="I6509" t="s">
        <v>91</v>
      </c>
      <c r="J6509" t="s">
        <v>92</v>
      </c>
      <c r="K6509">
        <v>0</v>
      </c>
    </row>
    <row r="6510" spans="9:11">
      <c r="I6510" t="s">
        <v>91</v>
      </c>
      <c r="J6510" t="s">
        <v>92</v>
      </c>
      <c r="K6510">
        <v>0</v>
      </c>
    </row>
    <row r="6511" spans="9:11">
      <c r="I6511" t="s">
        <v>94</v>
      </c>
      <c r="J6511" t="s">
        <v>95</v>
      </c>
      <c r="K6511">
        <v>0</v>
      </c>
    </row>
    <row r="6512" spans="9:11">
      <c r="I6512" t="s">
        <v>91</v>
      </c>
      <c r="J6512" t="s">
        <v>92</v>
      </c>
      <c r="K6512">
        <v>0</v>
      </c>
    </row>
    <row r="6513" spans="9:11">
      <c r="I6513" t="s">
        <v>91</v>
      </c>
      <c r="J6513" t="s">
        <v>92</v>
      </c>
      <c r="K6513">
        <v>0</v>
      </c>
    </row>
    <row r="6514" spans="9:11">
      <c r="I6514" t="s">
        <v>94</v>
      </c>
      <c r="J6514" t="s">
        <v>95</v>
      </c>
      <c r="K6514">
        <v>0</v>
      </c>
    </row>
    <row r="6515" spans="9:11">
      <c r="I6515" t="s">
        <v>91</v>
      </c>
      <c r="J6515" t="s">
        <v>92</v>
      </c>
      <c r="K6515">
        <v>0</v>
      </c>
    </row>
    <row r="6516" spans="9:11">
      <c r="I6516" t="s">
        <v>91</v>
      </c>
      <c r="J6516" t="s">
        <v>92</v>
      </c>
      <c r="K6516">
        <v>0</v>
      </c>
    </row>
    <row r="6517" spans="9:11">
      <c r="I6517" t="s">
        <v>94</v>
      </c>
      <c r="J6517" t="s">
        <v>95</v>
      </c>
      <c r="K6517">
        <v>0</v>
      </c>
    </row>
    <row r="6518" spans="9:11">
      <c r="I6518" t="s">
        <v>91</v>
      </c>
      <c r="J6518" t="s">
        <v>92</v>
      </c>
      <c r="K6518">
        <v>0</v>
      </c>
    </row>
    <row r="6519" spans="9:11">
      <c r="I6519" t="s">
        <v>91</v>
      </c>
      <c r="J6519" t="s">
        <v>92</v>
      </c>
      <c r="K6519">
        <v>0</v>
      </c>
    </row>
    <row r="6520" spans="9:11">
      <c r="I6520" t="s">
        <v>94</v>
      </c>
      <c r="J6520" t="s">
        <v>95</v>
      </c>
      <c r="K6520">
        <v>0</v>
      </c>
    </row>
    <row r="6521" spans="9:11">
      <c r="I6521" t="s">
        <v>94</v>
      </c>
      <c r="J6521" t="s">
        <v>95</v>
      </c>
      <c r="K6521">
        <v>1</v>
      </c>
    </row>
    <row r="6522" spans="9:11">
      <c r="I6522" t="s">
        <v>94</v>
      </c>
      <c r="J6522" t="s">
        <v>95</v>
      </c>
      <c r="K6522">
        <v>0</v>
      </c>
    </row>
    <row r="6523" spans="9:11">
      <c r="I6523" t="s">
        <v>94</v>
      </c>
      <c r="J6523" t="s">
        <v>95</v>
      </c>
      <c r="K6523">
        <v>0</v>
      </c>
    </row>
    <row r="6524" spans="9:11">
      <c r="I6524" t="s">
        <v>94</v>
      </c>
      <c r="J6524" t="s">
        <v>95</v>
      </c>
      <c r="K6524">
        <v>0</v>
      </c>
    </row>
    <row r="6525" spans="9:11">
      <c r="I6525" t="s">
        <v>91</v>
      </c>
      <c r="J6525" t="s">
        <v>92</v>
      </c>
      <c r="K6525">
        <v>0</v>
      </c>
    </row>
    <row r="6526" spans="9:11">
      <c r="I6526" t="s">
        <v>91</v>
      </c>
      <c r="J6526" t="s">
        <v>92</v>
      </c>
      <c r="K6526">
        <v>0</v>
      </c>
    </row>
    <row r="6527" spans="9:11">
      <c r="I6527" t="s">
        <v>94</v>
      </c>
      <c r="J6527" t="s">
        <v>95</v>
      </c>
      <c r="K6527">
        <v>0</v>
      </c>
    </row>
    <row r="6528" spans="9:11">
      <c r="I6528" t="s">
        <v>91</v>
      </c>
      <c r="J6528" t="s">
        <v>92</v>
      </c>
      <c r="K6528">
        <v>0</v>
      </c>
    </row>
    <row r="6529" spans="9:11">
      <c r="I6529" t="s">
        <v>94</v>
      </c>
      <c r="J6529" t="s">
        <v>95</v>
      </c>
      <c r="K6529">
        <v>0</v>
      </c>
    </row>
    <row r="6530" spans="9:11">
      <c r="I6530" t="s">
        <v>91</v>
      </c>
      <c r="J6530" t="s">
        <v>92</v>
      </c>
      <c r="K6530">
        <v>0</v>
      </c>
    </row>
    <row r="6531" spans="9:11">
      <c r="I6531" t="s">
        <v>91</v>
      </c>
      <c r="J6531" t="s">
        <v>92</v>
      </c>
      <c r="K6531">
        <v>0</v>
      </c>
    </row>
    <row r="6532" spans="9:11">
      <c r="I6532" t="s">
        <v>91</v>
      </c>
      <c r="J6532" t="s">
        <v>92</v>
      </c>
      <c r="K6532">
        <v>0</v>
      </c>
    </row>
    <row r="6533" spans="9:11">
      <c r="I6533" t="s">
        <v>94</v>
      </c>
      <c r="J6533" t="s">
        <v>95</v>
      </c>
      <c r="K6533">
        <v>0</v>
      </c>
    </row>
    <row r="6534" spans="9:11">
      <c r="I6534" t="s">
        <v>91</v>
      </c>
      <c r="J6534" t="s">
        <v>92</v>
      </c>
      <c r="K6534">
        <v>0</v>
      </c>
    </row>
    <row r="6535" spans="9:11">
      <c r="I6535" t="s">
        <v>91</v>
      </c>
      <c r="J6535" t="s">
        <v>92</v>
      </c>
      <c r="K6535">
        <v>0</v>
      </c>
    </row>
    <row r="6536" spans="9:11">
      <c r="I6536" t="s">
        <v>94</v>
      </c>
      <c r="J6536" t="s">
        <v>95</v>
      </c>
      <c r="K6536">
        <v>0</v>
      </c>
    </row>
    <row r="6537" spans="9:11">
      <c r="I6537" t="s">
        <v>94</v>
      </c>
      <c r="J6537" t="s">
        <v>95</v>
      </c>
      <c r="K6537">
        <v>0</v>
      </c>
    </row>
    <row r="6538" spans="9:11">
      <c r="I6538" t="s">
        <v>94</v>
      </c>
      <c r="J6538" t="s">
        <v>95</v>
      </c>
      <c r="K6538">
        <v>0</v>
      </c>
    </row>
    <row r="6539" spans="9:11">
      <c r="I6539" t="s">
        <v>94</v>
      </c>
      <c r="J6539" t="s">
        <v>95</v>
      </c>
      <c r="K6539">
        <v>0</v>
      </c>
    </row>
    <row r="6540" spans="9:11">
      <c r="I6540" t="s">
        <v>94</v>
      </c>
      <c r="J6540" t="s">
        <v>95</v>
      </c>
      <c r="K6540">
        <v>0</v>
      </c>
    </row>
    <row r="6541" spans="9:11">
      <c r="I6541" t="s">
        <v>91</v>
      </c>
      <c r="J6541" t="s">
        <v>92</v>
      </c>
      <c r="K6541">
        <v>0</v>
      </c>
    </row>
    <row r="6542" spans="9:11">
      <c r="I6542" t="s">
        <v>91</v>
      </c>
      <c r="J6542" t="s">
        <v>92</v>
      </c>
      <c r="K6542">
        <v>0</v>
      </c>
    </row>
    <row r="6543" spans="9:11">
      <c r="I6543" t="s">
        <v>94</v>
      </c>
      <c r="J6543" t="s">
        <v>95</v>
      </c>
      <c r="K6543">
        <v>0</v>
      </c>
    </row>
    <row r="6544" spans="9:11">
      <c r="I6544" t="s">
        <v>91</v>
      </c>
      <c r="J6544" t="s">
        <v>92</v>
      </c>
      <c r="K6544">
        <v>0</v>
      </c>
    </row>
    <row r="6545" spans="9:11">
      <c r="I6545" t="s">
        <v>91</v>
      </c>
      <c r="J6545" t="s">
        <v>92</v>
      </c>
      <c r="K6545">
        <v>0</v>
      </c>
    </row>
    <row r="6546" spans="9:11">
      <c r="I6546" t="s">
        <v>94</v>
      </c>
      <c r="J6546" t="s">
        <v>95</v>
      </c>
      <c r="K6546">
        <v>1</v>
      </c>
    </row>
    <row r="6547" spans="9:11">
      <c r="I6547" t="s">
        <v>94</v>
      </c>
      <c r="J6547" t="s">
        <v>95</v>
      </c>
      <c r="K6547">
        <v>0</v>
      </c>
    </row>
    <row r="6548" spans="9:11">
      <c r="I6548" t="s">
        <v>94</v>
      </c>
      <c r="J6548" t="s">
        <v>95</v>
      </c>
      <c r="K6548">
        <v>0</v>
      </c>
    </row>
    <row r="6549" spans="9:11">
      <c r="I6549" t="s">
        <v>94</v>
      </c>
      <c r="J6549" t="s">
        <v>95</v>
      </c>
      <c r="K6549">
        <v>0</v>
      </c>
    </row>
    <row r="6550" spans="9:11">
      <c r="I6550" t="s">
        <v>91</v>
      </c>
      <c r="J6550" t="s">
        <v>92</v>
      </c>
      <c r="K6550">
        <v>0</v>
      </c>
    </row>
    <row r="6551" spans="9:11">
      <c r="I6551" t="s">
        <v>94</v>
      </c>
      <c r="J6551" t="s">
        <v>95</v>
      </c>
      <c r="K6551">
        <v>0</v>
      </c>
    </row>
    <row r="6552" spans="9:11">
      <c r="I6552" t="s">
        <v>94</v>
      </c>
      <c r="J6552" t="s">
        <v>95</v>
      </c>
      <c r="K6552">
        <v>0</v>
      </c>
    </row>
    <row r="6553" spans="9:11">
      <c r="I6553" t="s">
        <v>94</v>
      </c>
      <c r="J6553" t="s">
        <v>95</v>
      </c>
      <c r="K6553">
        <v>0</v>
      </c>
    </row>
    <row r="6554" spans="9:11">
      <c r="I6554" t="s">
        <v>94</v>
      </c>
      <c r="J6554" t="s">
        <v>95</v>
      </c>
      <c r="K6554">
        <v>0</v>
      </c>
    </row>
    <row r="6555" spans="9:11">
      <c r="I6555" t="s">
        <v>94</v>
      </c>
      <c r="J6555" t="s">
        <v>95</v>
      </c>
      <c r="K6555">
        <v>0</v>
      </c>
    </row>
    <row r="6556" spans="9:11">
      <c r="I6556" t="s">
        <v>91</v>
      </c>
      <c r="J6556" t="s">
        <v>92</v>
      </c>
      <c r="K6556">
        <v>1</v>
      </c>
    </row>
    <row r="6557" spans="9:11">
      <c r="I6557" t="s">
        <v>91</v>
      </c>
      <c r="J6557" t="s">
        <v>92</v>
      </c>
      <c r="K6557">
        <v>0</v>
      </c>
    </row>
    <row r="6558" spans="9:11">
      <c r="I6558" t="s">
        <v>94</v>
      </c>
      <c r="J6558" t="s">
        <v>95</v>
      </c>
      <c r="K6558">
        <v>0</v>
      </c>
    </row>
    <row r="6559" spans="9:11">
      <c r="I6559" t="s">
        <v>91</v>
      </c>
      <c r="J6559" t="s">
        <v>92</v>
      </c>
      <c r="K6559">
        <v>0</v>
      </c>
    </row>
    <row r="6560" spans="9:11">
      <c r="I6560" t="s">
        <v>91</v>
      </c>
      <c r="J6560" t="s">
        <v>92</v>
      </c>
      <c r="K6560">
        <v>0</v>
      </c>
    </row>
    <row r="6561" spans="9:11">
      <c r="I6561" t="s">
        <v>91</v>
      </c>
      <c r="J6561" t="s">
        <v>92</v>
      </c>
      <c r="K6561">
        <v>0</v>
      </c>
    </row>
    <row r="6562" spans="9:11">
      <c r="I6562" t="s">
        <v>94</v>
      </c>
      <c r="J6562" t="s">
        <v>95</v>
      </c>
      <c r="K6562">
        <v>0</v>
      </c>
    </row>
    <row r="6563" spans="9:11">
      <c r="I6563" t="s">
        <v>91</v>
      </c>
      <c r="J6563" t="s">
        <v>92</v>
      </c>
      <c r="K6563">
        <v>0</v>
      </c>
    </row>
    <row r="6564" spans="9:11">
      <c r="I6564" t="s">
        <v>91</v>
      </c>
      <c r="J6564" t="s">
        <v>92</v>
      </c>
      <c r="K6564">
        <v>0</v>
      </c>
    </row>
    <row r="6565" spans="9:11">
      <c r="I6565" t="s">
        <v>91</v>
      </c>
      <c r="J6565" t="s">
        <v>92</v>
      </c>
      <c r="K6565">
        <v>0</v>
      </c>
    </row>
    <row r="6566" spans="9:11">
      <c r="I6566" t="s">
        <v>91</v>
      </c>
      <c r="J6566" t="s">
        <v>92</v>
      </c>
      <c r="K6566">
        <v>0</v>
      </c>
    </row>
    <row r="6567" spans="9:11">
      <c r="I6567" t="s">
        <v>94</v>
      </c>
      <c r="J6567" t="s">
        <v>95</v>
      </c>
      <c r="K6567">
        <v>0</v>
      </c>
    </row>
    <row r="6568" spans="9:11">
      <c r="I6568" t="s">
        <v>94</v>
      </c>
      <c r="J6568" t="s">
        <v>95</v>
      </c>
      <c r="K6568">
        <v>0</v>
      </c>
    </row>
    <row r="6569" spans="9:11">
      <c r="I6569" t="s">
        <v>91</v>
      </c>
      <c r="J6569" t="s">
        <v>92</v>
      </c>
      <c r="K6569">
        <v>0</v>
      </c>
    </row>
    <row r="6570" spans="9:11">
      <c r="I6570" t="s">
        <v>91</v>
      </c>
      <c r="J6570" t="s">
        <v>92</v>
      </c>
      <c r="K6570">
        <v>0</v>
      </c>
    </row>
    <row r="6571" spans="9:11">
      <c r="I6571" t="s">
        <v>94</v>
      </c>
      <c r="J6571" t="s">
        <v>95</v>
      </c>
      <c r="K6571">
        <v>0</v>
      </c>
    </row>
    <row r="6572" spans="9:11">
      <c r="I6572" t="s">
        <v>94</v>
      </c>
      <c r="J6572" t="s">
        <v>95</v>
      </c>
      <c r="K6572">
        <v>0</v>
      </c>
    </row>
    <row r="6573" spans="9:11">
      <c r="I6573" t="s">
        <v>94</v>
      </c>
      <c r="J6573" t="s">
        <v>95</v>
      </c>
      <c r="K6573">
        <v>0</v>
      </c>
    </row>
    <row r="6574" spans="9:11">
      <c r="I6574" t="s">
        <v>94</v>
      </c>
      <c r="J6574" t="s">
        <v>95</v>
      </c>
      <c r="K6574">
        <v>0</v>
      </c>
    </row>
    <row r="6575" spans="9:11">
      <c r="I6575" t="s">
        <v>91</v>
      </c>
      <c r="J6575" t="s">
        <v>92</v>
      </c>
      <c r="K6575">
        <v>0</v>
      </c>
    </row>
    <row r="6576" spans="9:11">
      <c r="I6576" t="s">
        <v>94</v>
      </c>
      <c r="J6576" t="s">
        <v>95</v>
      </c>
      <c r="K6576">
        <v>0</v>
      </c>
    </row>
    <row r="6577" spans="9:11">
      <c r="I6577" t="s">
        <v>94</v>
      </c>
      <c r="J6577" t="s">
        <v>95</v>
      </c>
      <c r="K6577">
        <v>0</v>
      </c>
    </row>
    <row r="6578" spans="9:11">
      <c r="I6578" t="s">
        <v>91</v>
      </c>
      <c r="J6578" t="s">
        <v>92</v>
      </c>
      <c r="K6578">
        <v>0</v>
      </c>
    </row>
    <row r="6579" spans="9:11">
      <c r="I6579" t="s">
        <v>91</v>
      </c>
      <c r="J6579" t="s">
        <v>92</v>
      </c>
      <c r="K6579">
        <v>0</v>
      </c>
    </row>
    <row r="6580" spans="9:11">
      <c r="I6580" t="s">
        <v>91</v>
      </c>
      <c r="J6580" t="s">
        <v>92</v>
      </c>
      <c r="K6580">
        <v>0</v>
      </c>
    </row>
    <row r="6581" spans="9:11">
      <c r="I6581" t="s">
        <v>94</v>
      </c>
      <c r="J6581" t="s">
        <v>95</v>
      </c>
      <c r="K6581">
        <v>0</v>
      </c>
    </row>
    <row r="6582" spans="9:11">
      <c r="I6582" t="s">
        <v>94</v>
      </c>
      <c r="J6582" t="s">
        <v>95</v>
      </c>
      <c r="K6582">
        <v>0</v>
      </c>
    </row>
    <row r="6583" spans="9:11">
      <c r="I6583" t="s">
        <v>91</v>
      </c>
      <c r="J6583" t="s">
        <v>92</v>
      </c>
      <c r="K6583">
        <v>0</v>
      </c>
    </row>
    <row r="6584" spans="9:11">
      <c r="I6584" t="s">
        <v>91</v>
      </c>
      <c r="J6584" t="s">
        <v>92</v>
      </c>
      <c r="K6584">
        <v>0</v>
      </c>
    </row>
    <row r="6585" spans="9:11">
      <c r="I6585" t="s">
        <v>94</v>
      </c>
      <c r="J6585" t="s">
        <v>95</v>
      </c>
      <c r="K6585">
        <v>0</v>
      </c>
    </row>
    <row r="6586" spans="9:11">
      <c r="I6586" t="s">
        <v>91</v>
      </c>
      <c r="J6586" t="s">
        <v>92</v>
      </c>
      <c r="K6586">
        <v>0</v>
      </c>
    </row>
    <row r="6587" spans="9:11">
      <c r="I6587" t="s">
        <v>91</v>
      </c>
      <c r="J6587" t="s">
        <v>92</v>
      </c>
      <c r="K6587">
        <v>0</v>
      </c>
    </row>
    <row r="6588" spans="9:11">
      <c r="I6588" t="s">
        <v>91</v>
      </c>
      <c r="J6588" t="s">
        <v>92</v>
      </c>
      <c r="K6588">
        <v>0</v>
      </c>
    </row>
    <row r="6589" spans="9:11">
      <c r="I6589" t="s">
        <v>94</v>
      </c>
      <c r="J6589" t="s">
        <v>95</v>
      </c>
      <c r="K6589">
        <v>0</v>
      </c>
    </row>
    <row r="6590" spans="9:11">
      <c r="I6590" t="s">
        <v>94</v>
      </c>
      <c r="J6590" t="s">
        <v>95</v>
      </c>
      <c r="K6590">
        <v>0</v>
      </c>
    </row>
    <row r="6591" spans="9:11">
      <c r="I6591" t="s">
        <v>91</v>
      </c>
      <c r="J6591" t="s">
        <v>92</v>
      </c>
      <c r="K6591">
        <v>0</v>
      </c>
    </row>
    <row r="6592" spans="9:11">
      <c r="I6592" t="s">
        <v>94</v>
      </c>
      <c r="J6592" t="s">
        <v>95</v>
      </c>
      <c r="K6592">
        <v>0</v>
      </c>
    </row>
    <row r="6593" spans="9:11">
      <c r="I6593" t="s">
        <v>94</v>
      </c>
      <c r="J6593" t="s">
        <v>95</v>
      </c>
      <c r="K6593">
        <v>0</v>
      </c>
    </row>
    <row r="6594" spans="9:11">
      <c r="I6594" t="s">
        <v>91</v>
      </c>
      <c r="J6594" t="s">
        <v>92</v>
      </c>
      <c r="K6594">
        <v>0</v>
      </c>
    </row>
    <row r="6595" spans="9:11">
      <c r="I6595" t="s">
        <v>91</v>
      </c>
      <c r="J6595" t="s">
        <v>92</v>
      </c>
      <c r="K6595">
        <v>0</v>
      </c>
    </row>
    <row r="6596" spans="9:11">
      <c r="I6596" t="s">
        <v>94</v>
      </c>
      <c r="J6596" t="s">
        <v>95</v>
      </c>
      <c r="K6596">
        <v>0</v>
      </c>
    </row>
    <row r="6597" spans="9:11">
      <c r="I6597" t="s">
        <v>94</v>
      </c>
      <c r="J6597" t="s">
        <v>95</v>
      </c>
      <c r="K6597">
        <v>0</v>
      </c>
    </row>
    <row r="6598" spans="9:11">
      <c r="I6598" t="s">
        <v>91</v>
      </c>
      <c r="J6598" t="s">
        <v>92</v>
      </c>
      <c r="K6598">
        <v>0</v>
      </c>
    </row>
    <row r="6599" spans="9:11">
      <c r="I6599" t="s">
        <v>94</v>
      </c>
      <c r="J6599" t="s">
        <v>95</v>
      </c>
      <c r="K6599">
        <v>0</v>
      </c>
    </row>
    <row r="6600" spans="9:11">
      <c r="I6600" t="s">
        <v>91</v>
      </c>
      <c r="J6600" t="s">
        <v>92</v>
      </c>
      <c r="K6600">
        <v>0</v>
      </c>
    </row>
    <row r="6601" spans="9:11">
      <c r="I6601" t="s">
        <v>94</v>
      </c>
      <c r="J6601" t="s">
        <v>95</v>
      </c>
      <c r="K6601">
        <v>0</v>
      </c>
    </row>
    <row r="6602" spans="9:11">
      <c r="I6602" t="s">
        <v>91</v>
      </c>
      <c r="J6602" t="s">
        <v>92</v>
      </c>
      <c r="K6602">
        <v>0</v>
      </c>
    </row>
    <row r="6603" spans="9:11">
      <c r="I6603" t="s">
        <v>91</v>
      </c>
      <c r="J6603" t="s">
        <v>92</v>
      </c>
      <c r="K6603">
        <v>0</v>
      </c>
    </row>
    <row r="6604" spans="9:11">
      <c r="I6604" t="s">
        <v>94</v>
      </c>
      <c r="J6604" t="s">
        <v>95</v>
      </c>
      <c r="K6604">
        <v>0</v>
      </c>
    </row>
    <row r="6605" spans="9:11">
      <c r="I6605" t="s">
        <v>91</v>
      </c>
      <c r="J6605" t="s">
        <v>92</v>
      </c>
      <c r="K6605">
        <v>0</v>
      </c>
    </row>
    <row r="6606" spans="9:11">
      <c r="I6606" t="s">
        <v>91</v>
      </c>
      <c r="J6606" t="s">
        <v>92</v>
      </c>
      <c r="K6606">
        <v>0</v>
      </c>
    </row>
    <row r="6607" spans="9:11">
      <c r="I6607" t="s">
        <v>91</v>
      </c>
      <c r="J6607" t="s">
        <v>92</v>
      </c>
      <c r="K6607">
        <v>0</v>
      </c>
    </row>
    <row r="6608" spans="9:11">
      <c r="I6608" t="s">
        <v>94</v>
      </c>
      <c r="J6608" t="s">
        <v>95</v>
      </c>
      <c r="K6608">
        <v>0</v>
      </c>
    </row>
    <row r="6609" spans="9:11">
      <c r="I6609" t="s">
        <v>94</v>
      </c>
      <c r="J6609" t="s">
        <v>95</v>
      </c>
      <c r="K6609">
        <v>0</v>
      </c>
    </row>
    <row r="6610" spans="9:11">
      <c r="I6610" t="s">
        <v>94</v>
      </c>
      <c r="J6610" t="s">
        <v>95</v>
      </c>
      <c r="K6610">
        <v>0</v>
      </c>
    </row>
    <row r="6611" spans="9:11">
      <c r="I6611" t="s">
        <v>94</v>
      </c>
      <c r="J6611" t="s">
        <v>95</v>
      </c>
      <c r="K6611">
        <v>0</v>
      </c>
    </row>
    <row r="6612" spans="9:11">
      <c r="I6612" t="s">
        <v>94</v>
      </c>
      <c r="J6612" t="s">
        <v>95</v>
      </c>
      <c r="K6612">
        <v>0</v>
      </c>
    </row>
    <row r="6613" spans="9:11">
      <c r="I6613" t="s">
        <v>94</v>
      </c>
      <c r="J6613" t="s">
        <v>95</v>
      </c>
      <c r="K6613">
        <v>0</v>
      </c>
    </row>
    <row r="6614" spans="9:11">
      <c r="I6614" t="s">
        <v>94</v>
      </c>
      <c r="J6614" t="s">
        <v>95</v>
      </c>
      <c r="K6614">
        <v>0</v>
      </c>
    </row>
    <row r="6615" spans="9:11">
      <c r="I6615" t="s">
        <v>94</v>
      </c>
      <c r="J6615" t="s">
        <v>95</v>
      </c>
      <c r="K6615">
        <v>0</v>
      </c>
    </row>
    <row r="6616" spans="9:11">
      <c r="I6616" t="s">
        <v>94</v>
      </c>
      <c r="J6616" t="s">
        <v>95</v>
      </c>
      <c r="K6616">
        <v>0</v>
      </c>
    </row>
    <row r="6617" spans="9:11">
      <c r="I6617" t="s">
        <v>91</v>
      </c>
      <c r="J6617" t="s">
        <v>92</v>
      </c>
      <c r="K6617">
        <v>0</v>
      </c>
    </row>
    <row r="6618" spans="9:11">
      <c r="I6618" t="s">
        <v>91</v>
      </c>
      <c r="J6618" t="s">
        <v>92</v>
      </c>
      <c r="K6618">
        <v>0</v>
      </c>
    </row>
    <row r="6619" spans="9:11">
      <c r="I6619" t="s">
        <v>91</v>
      </c>
      <c r="J6619" t="s">
        <v>92</v>
      </c>
      <c r="K6619">
        <v>0</v>
      </c>
    </row>
    <row r="6620" spans="9:11">
      <c r="I6620" t="s">
        <v>91</v>
      </c>
      <c r="J6620" t="s">
        <v>92</v>
      </c>
      <c r="K6620">
        <v>0</v>
      </c>
    </row>
    <row r="6621" spans="9:11">
      <c r="I6621" t="s">
        <v>91</v>
      </c>
      <c r="J6621" t="s">
        <v>92</v>
      </c>
      <c r="K6621">
        <v>0</v>
      </c>
    </row>
    <row r="6622" spans="9:11">
      <c r="I6622" t="s">
        <v>94</v>
      </c>
      <c r="J6622" t="s">
        <v>95</v>
      </c>
      <c r="K6622">
        <v>0</v>
      </c>
    </row>
    <row r="6623" spans="9:11">
      <c r="I6623" t="s">
        <v>94</v>
      </c>
      <c r="J6623" t="s">
        <v>95</v>
      </c>
      <c r="K6623">
        <v>0</v>
      </c>
    </row>
    <row r="6624" spans="9:11">
      <c r="I6624" t="s">
        <v>91</v>
      </c>
      <c r="J6624" t="s">
        <v>92</v>
      </c>
      <c r="K6624">
        <v>0</v>
      </c>
    </row>
    <row r="6625" spans="9:11">
      <c r="I6625" t="s">
        <v>91</v>
      </c>
      <c r="J6625" t="s">
        <v>92</v>
      </c>
      <c r="K6625">
        <v>0</v>
      </c>
    </row>
    <row r="6626" spans="9:11">
      <c r="I6626" t="s">
        <v>94</v>
      </c>
      <c r="J6626" t="s">
        <v>95</v>
      </c>
      <c r="K6626">
        <v>0</v>
      </c>
    </row>
    <row r="6627" spans="9:11">
      <c r="I6627" t="s">
        <v>91</v>
      </c>
      <c r="J6627" t="s">
        <v>92</v>
      </c>
      <c r="K6627">
        <v>0</v>
      </c>
    </row>
    <row r="6628" spans="9:11">
      <c r="I6628" t="s">
        <v>94</v>
      </c>
      <c r="J6628" t="s">
        <v>95</v>
      </c>
      <c r="K6628">
        <v>0</v>
      </c>
    </row>
    <row r="6629" spans="9:11">
      <c r="I6629" t="s">
        <v>94</v>
      </c>
      <c r="J6629" t="s">
        <v>95</v>
      </c>
      <c r="K6629">
        <v>0</v>
      </c>
    </row>
    <row r="6630" spans="9:11">
      <c r="I6630" t="s">
        <v>91</v>
      </c>
      <c r="J6630" t="s">
        <v>92</v>
      </c>
      <c r="K6630">
        <v>0</v>
      </c>
    </row>
    <row r="6631" spans="9:11">
      <c r="I6631" t="s">
        <v>91</v>
      </c>
      <c r="J6631" t="s">
        <v>92</v>
      </c>
      <c r="K6631">
        <v>0</v>
      </c>
    </row>
    <row r="6632" spans="9:11">
      <c r="I6632" t="s">
        <v>91</v>
      </c>
      <c r="J6632" t="s">
        <v>92</v>
      </c>
      <c r="K6632">
        <v>0</v>
      </c>
    </row>
    <row r="6633" spans="9:11">
      <c r="I6633" t="s">
        <v>91</v>
      </c>
      <c r="J6633" t="s">
        <v>92</v>
      </c>
      <c r="K6633">
        <v>0</v>
      </c>
    </row>
    <row r="6634" spans="9:11">
      <c r="I6634" t="s">
        <v>94</v>
      </c>
      <c r="J6634" t="s">
        <v>95</v>
      </c>
      <c r="K6634">
        <v>0</v>
      </c>
    </row>
    <row r="6635" spans="9:11">
      <c r="I6635" t="s">
        <v>91</v>
      </c>
      <c r="J6635" t="s">
        <v>92</v>
      </c>
      <c r="K6635">
        <v>0</v>
      </c>
    </row>
    <row r="6636" spans="9:11">
      <c r="I6636" t="s">
        <v>91</v>
      </c>
      <c r="J6636" t="s">
        <v>92</v>
      </c>
      <c r="K6636">
        <v>0</v>
      </c>
    </row>
    <row r="6637" spans="9:11">
      <c r="I6637" t="s">
        <v>94</v>
      </c>
      <c r="J6637" t="s">
        <v>95</v>
      </c>
      <c r="K6637">
        <v>0</v>
      </c>
    </row>
    <row r="6638" spans="9:11">
      <c r="I6638" t="s">
        <v>91</v>
      </c>
      <c r="J6638" t="s">
        <v>92</v>
      </c>
      <c r="K6638">
        <v>0</v>
      </c>
    </row>
    <row r="6639" spans="9:11">
      <c r="I6639" t="s">
        <v>94</v>
      </c>
      <c r="J6639" t="s">
        <v>95</v>
      </c>
      <c r="K6639">
        <v>0</v>
      </c>
    </row>
    <row r="6640" spans="9:11">
      <c r="I6640" t="s">
        <v>91</v>
      </c>
      <c r="J6640" t="s">
        <v>92</v>
      </c>
      <c r="K6640">
        <v>0</v>
      </c>
    </row>
    <row r="6641" spans="9:11">
      <c r="I6641" t="s">
        <v>91</v>
      </c>
      <c r="J6641" t="s">
        <v>92</v>
      </c>
      <c r="K6641">
        <v>0</v>
      </c>
    </row>
    <row r="6642" spans="9:11">
      <c r="I6642" t="s">
        <v>91</v>
      </c>
      <c r="J6642" t="s">
        <v>92</v>
      </c>
      <c r="K6642">
        <v>0</v>
      </c>
    </row>
    <row r="6643" spans="9:11">
      <c r="I6643" t="s">
        <v>94</v>
      </c>
      <c r="J6643" t="s">
        <v>95</v>
      </c>
      <c r="K6643">
        <v>0</v>
      </c>
    </row>
    <row r="6644" spans="9:11">
      <c r="I6644" t="s">
        <v>91</v>
      </c>
      <c r="J6644" t="s">
        <v>92</v>
      </c>
      <c r="K6644">
        <v>0</v>
      </c>
    </row>
    <row r="6645" spans="9:11">
      <c r="I6645" t="s">
        <v>91</v>
      </c>
      <c r="J6645" t="s">
        <v>92</v>
      </c>
      <c r="K6645">
        <v>0</v>
      </c>
    </row>
    <row r="6646" spans="9:11">
      <c r="I6646" t="s">
        <v>91</v>
      </c>
      <c r="J6646" t="s">
        <v>92</v>
      </c>
      <c r="K6646">
        <v>0</v>
      </c>
    </row>
    <row r="6647" spans="9:11">
      <c r="I6647" t="s">
        <v>91</v>
      </c>
      <c r="J6647" t="s">
        <v>92</v>
      </c>
      <c r="K6647">
        <v>0</v>
      </c>
    </row>
    <row r="6648" spans="9:11">
      <c r="I6648" t="s">
        <v>94</v>
      </c>
      <c r="J6648" t="s">
        <v>95</v>
      </c>
      <c r="K6648">
        <v>0</v>
      </c>
    </row>
    <row r="6649" spans="9:11">
      <c r="I6649" t="s">
        <v>94</v>
      </c>
      <c r="J6649" t="s">
        <v>95</v>
      </c>
      <c r="K6649">
        <v>0</v>
      </c>
    </row>
    <row r="6650" spans="9:11">
      <c r="I6650" t="s">
        <v>94</v>
      </c>
      <c r="J6650" t="s">
        <v>95</v>
      </c>
      <c r="K6650">
        <v>0</v>
      </c>
    </row>
    <row r="6651" spans="9:11">
      <c r="I6651" t="s">
        <v>94</v>
      </c>
      <c r="J6651" t="s">
        <v>95</v>
      </c>
      <c r="K6651">
        <v>1</v>
      </c>
    </row>
    <row r="6652" spans="9:11">
      <c r="I6652" t="s">
        <v>94</v>
      </c>
      <c r="J6652" t="s">
        <v>95</v>
      </c>
      <c r="K6652">
        <v>1</v>
      </c>
    </row>
    <row r="6653" spans="9:11">
      <c r="I6653" t="s">
        <v>94</v>
      </c>
      <c r="J6653" t="s">
        <v>95</v>
      </c>
      <c r="K6653">
        <v>0</v>
      </c>
    </row>
    <row r="6654" spans="9:11">
      <c r="I6654" t="s">
        <v>91</v>
      </c>
      <c r="J6654" t="s">
        <v>92</v>
      </c>
      <c r="K6654">
        <v>0</v>
      </c>
    </row>
    <row r="6655" spans="9:11">
      <c r="I6655" t="s">
        <v>94</v>
      </c>
      <c r="J6655" t="s">
        <v>95</v>
      </c>
      <c r="K6655">
        <v>0</v>
      </c>
    </row>
    <row r="6656" spans="9:11">
      <c r="I6656" t="s">
        <v>91</v>
      </c>
      <c r="J6656" t="s">
        <v>92</v>
      </c>
      <c r="K6656">
        <v>0</v>
      </c>
    </row>
    <row r="6657" spans="9:11">
      <c r="I6657" t="s">
        <v>94</v>
      </c>
      <c r="J6657" t="s">
        <v>95</v>
      </c>
      <c r="K6657">
        <v>0</v>
      </c>
    </row>
    <row r="6658" spans="9:11">
      <c r="I6658" t="s">
        <v>94</v>
      </c>
      <c r="J6658" t="s">
        <v>95</v>
      </c>
      <c r="K6658">
        <v>0</v>
      </c>
    </row>
    <row r="6659" spans="9:11">
      <c r="I6659" t="s">
        <v>91</v>
      </c>
      <c r="J6659" t="s">
        <v>92</v>
      </c>
      <c r="K6659">
        <v>0</v>
      </c>
    </row>
    <row r="6660" spans="9:11">
      <c r="I6660" t="s">
        <v>91</v>
      </c>
      <c r="J6660" t="s">
        <v>92</v>
      </c>
      <c r="K6660">
        <v>0</v>
      </c>
    </row>
    <row r="6661" spans="9:11">
      <c r="I6661" t="s">
        <v>91</v>
      </c>
      <c r="J6661" t="s">
        <v>92</v>
      </c>
      <c r="K6661">
        <v>1</v>
      </c>
    </row>
    <row r="6662" spans="9:11">
      <c r="I6662" t="s">
        <v>94</v>
      </c>
      <c r="J6662" t="s">
        <v>95</v>
      </c>
      <c r="K6662">
        <v>0</v>
      </c>
    </row>
    <row r="6663" spans="9:11">
      <c r="I6663" t="s">
        <v>91</v>
      </c>
      <c r="J6663" t="s">
        <v>92</v>
      </c>
      <c r="K6663">
        <v>0</v>
      </c>
    </row>
    <row r="6664" spans="9:11">
      <c r="I6664" t="s">
        <v>94</v>
      </c>
      <c r="J6664" t="s">
        <v>95</v>
      </c>
      <c r="K6664">
        <v>0</v>
      </c>
    </row>
    <row r="6665" spans="9:11">
      <c r="I6665" t="s">
        <v>94</v>
      </c>
      <c r="J6665" t="s">
        <v>95</v>
      </c>
      <c r="K6665">
        <v>0</v>
      </c>
    </row>
    <row r="6666" spans="9:11">
      <c r="I6666" t="s">
        <v>94</v>
      </c>
      <c r="J6666" t="s">
        <v>95</v>
      </c>
      <c r="K6666">
        <v>0</v>
      </c>
    </row>
    <row r="6667" spans="9:11">
      <c r="I6667" t="s">
        <v>91</v>
      </c>
      <c r="J6667" t="s">
        <v>92</v>
      </c>
      <c r="K6667">
        <v>0</v>
      </c>
    </row>
    <row r="6668" spans="9:11">
      <c r="I6668" t="s">
        <v>91</v>
      </c>
      <c r="J6668" t="s">
        <v>92</v>
      </c>
      <c r="K6668">
        <v>0</v>
      </c>
    </row>
    <row r="6669" spans="9:11">
      <c r="I6669" t="s">
        <v>94</v>
      </c>
      <c r="J6669" t="s">
        <v>95</v>
      </c>
      <c r="K6669">
        <v>0</v>
      </c>
    </row>
    <row r="6670" spans="9:11">
      <c r="I6670" t="s">
        <v>91</v>
      </c>
      <c r="J6670" t="s">
        <v>92</v>
      </c>
      <c r="K6670">
        <v>0</v>
      </c>
    </row>
    <row r="6671" spans="9:11">
      <c r="I6671" t="s">
        <v>94</v>
      </c>
      <c r="J6671" t="s">
        <v>95</v>
      </c>
      <c r="K6671">
        <v>0</v>
      </c>
    </row>
    <row r="6672" spans="9:11">
      <c r="I6672" t="s">
        <v>94</v>
      </c>
      <c r="J6672" t="s">
        <v>95</v>
      </c>
      <c r="K6672">
        <v>0</v>
      </c>
    </row>
    <row r="6673" spans="9:11">
      <c r="I6673" t="s">
        <v>91</v>
      </c>
      <c r="J6673" t="s">
        <v>92</v>
      </c>
      <c r="K6673">
        <v>0</v>
      </c>
    </row>
    <row r="6674" spans="9:11">
      <c r="I6674" t="s">
        <v>91</v>
      </c>
      <c r="J6674" t="s">
        <v>92</v>
      </c>
      <c r="K6674">
        <v>0</v>
      </c>
    </row>
    <row r="6675" spans="9:11">
      <c r="I6675" t="s">
        <v>94</v>
      </c>
      <c r="J6675" t="s">
        <v>95</v>
      </c>
      <c r="K6675">
        <v>0</v>
      </c>
    </row>
    <row r="6676" spans="9:11">
      <c r="I6676" t="s">
        <v>94</v>
      </c>
      <c r="J6676" t="s">
        <v>95</v>
      </c>
      <c r="K6676">
        <v>0</v>
      </c>
    </row>
    <row r="6677" spans="9:11">
      <c r="I6677" t="s">
        <v>91</v>
      </c>
      <c r="J6677" t="s">
        <v>92</v>
      </c>
      <c r="K6677">
        <v>0</v>
      </c>
    </row>
    <row r="6678" spans="9:11">
      <c r="I6678" t="s">
        <v>91</v>
      </c>
      <c r="J6678" t="s">
        <v>92</v>
      </c>
      <c r="K6678">
        <v>0</v>
      </c>
    </row>
    <row r="6679" spans="9:11">
      <c r="I6679" t="s">
        <v>94</v>
      </c>
      <c r="J6679" t="s">
        <v>95</v>
      </c>
      <c r="K6679">
        <v>1</v>
      </c>
    </row>
    <row r="6680" spans="9:11">
      <c r="I6680" t="s">
        <v>91</v>
      </c>
      <c r="J6680" t="s">
        <v>92</v>
      </c>
      <c r="K6680">
        <v>0</v>
      </c>
    </row>
    <row r="6681" spans="9:11">
      <c r="I6681" t="s">
        <v>91</v>
      </c>
      <c r="J6681" t="s">
        <v>92</v>
      </c>
      <c r="K6681">
        <v>0</v>
      </c>
    </row>
    <row r="6682" spans="9:11">
      <c r="I6682" t="s">
        <v>91</v>
      </c>
      <c r="J6682" t="s">
        <v>92</v>
      </c>
      <c r="K6682">
        <v>1</v>
      </c>
    </row>
    <row r="6683" spans="9:11">
      <c r="I6683" t="s">
        <v>91</v>
      </c>
      <c r="J6683" t="s">
        <v>92</v>
      </c>
      <c r="K6683">
        <v>0</v>
      </c>
    </row>
    <row r="6684" spans="9:11">
      <c r="I6684" t="s">
        <v>91</v>
      </c>
      <c r="J6684" t="s">
        <v>92</v>
      </c>
      <c r="K6684">
        <v>0</v>
      </c>
    </row>
    <row r="6685" spans="9:11">
      <c r="I6685" t="s">
        <v>91</v>
      </c>
      <c r="J6685" t="s">
        <v>92</v>
      </c>
      <c r="K6685">
        <v>0</v>
      </c>
    </row>
    <row r="6686" spans="9:11">
      <c r="I6686" t="s">
        <v>94</v>
      </c>
      <c r="J6686" t="s">
        <v>95</v>
      </c>
      <c r="K6686">
        <v>0</v>
      </c>
    </row>
    <row r="6687" spans="9:11">
      <c r="I6687" t="s">
        <v>94</v>
      </c>
      <c r="J6687" t="s">
        <v>95</v>
      </c>
      <c r="K6687">
        <v>0</v>
      </c>
    </row>
    <row r="6688" spans="9:11">
      <c r="I6688" t="s">
        <v>94</v>
      </c>
      <c r="J6688" t="s">
        <v>95</v>
      </c>
      <c r="K6688">
        <v>0</v>
      </c>
    </row>
    <row r="6689" spans="9:11">
      <c r="I6689" t="s">
        <v>94</v>
      </c>
      <c r="J6689" t="s">
        <v>95</v>
      </c>
      <c r="K6689">
        <v>0</v>
      </c>
    </row>
    <row r="6690" spans="9:11">
      <c r="I6690" t="s">
        <v>91</v>
      </c>
      <c r="J6690" t="s">
        <v>92</v>
      </c>
      <c r="K6690">
        <v>0</v>
      </c>
    </row>
    <row r="6691" spans="9:11">
      <c r="I6691" t="s">
        <v>94</v>
      </c>
      <c r="J6691" t="s">
        <v>95</v>
      </c>
      <c r="K6691">
        <v>0</v>
      </c>
    </row>
    <row r="6692" spans="9:11">
      <c r="I6692" t="s">
        <v>91</v>
      </c>
      <c r="J6692" t="s">
        <v>92</v>
      </c>
      <c r="K6692">
        <v>0</v>
      </c>
    </row>
    <row r="6693" spans="9:11">
      <c r="I6693" t="s">
        <v>91</v>
      </c>
      <c r="J6693" t="s">
        <v>92</v>
      </c>
      <c r="K6693">
        <v>0</v>
      </c>
    </row>
    <row r="6694" spans="9:11">
      <c r="I6694" t="s">
        <v>91</v>
      </c>
      <c r="J6694" t="s">
        <v>92</v>
      </c>
      <c r="K6694">
        <v>0</v>
      </c>
    </row>
    <row r="6695" spans="9:11">
      <c r="I6695" t="s">
        <v>91</v>
      </c>
      <c r="J6695" t="s">
        <v>92</v>
      </c>
      <c r="K6695">
        <v>0</v>
      </c>
    </row>
    <row r="6696" spans="9:11">
      <c r="I6696" t="s">
        <v>94</v>
      </c>
      <c r="J6696" t="s">
        <v>95</v>
      </c>
      <c r="K6696">
        <v>0</v>
      </c>
    </row>
    <row r="6697" spans="9:11">
      <c r="I6697" t="s">
        <v>94</v>
      </c>
      <c r="J6697" t="s">
        <v>95</v>
      </c>
      <c r="K6697">
        <v>0</v>
      </c>
    </row>
    <row r="6698" spans="9:11">
      <c r="I6698" t="s">
        <v>91</v>
      </c>
      <c r="J6698" t="s">
        <v>92</v>
      </c>
      <c r="K6698">
        <v>0</v>
      </c>
    </row>
    <row r="6699" spans="9:11">
      <c r="I6699" t="s">
        <v>91</v>
      </c>
      <c r="J6699" t="s">
        <v>92</v>
      </c>
      <c r="K6699">
        <v>0</v>
      </c>
    </row>
    <row r="6700" spans="9:11">
      <c r="I6700" t="s">
        <v>91</v>
      </c>
      <c r="J6700" t="s">
        <v>92</v>
      </c>
      <c r="K6700">
        <v>0</v>
      </c>
    </row>
    <row r="6701" spans="9:11">
      <c r="I6701" t="s">
        <v>91</v>
      </c>
      <c r="J6701" t="s">
        <v>92</v>
      </c>
      <c r="K6701">
        <v>0</v>
      </c>
    </row>
    <row r="6702" spans="9:11">
      <c r="I6702" t="s">
        <v>94</v>
      </c>
      <c r="J6702" t="s">
        <v>95</v>
      </c>
      <c r="K6702">
        <v>0</v>
      </c>
    </row>
    <row r="6703" spans="9:11">
      <c r="I6703" t="s">
        <v>94</v>
      </c>
      <c r="J6703" t="s">
        <v>95</v>
      </c>
      <c r="K6703">
        <v>0</v>
      </c>
    </row>
    <row r="6704" spans="9:11">
      <c r="I6704" t="s">
        <v>94</v>
      </c>
      <c r="J6704" t="s">
        <v>95</v>
      </c>
      <c r="K6704">
        <v>0</v>
      </c>
    </row>
    <row r="6705" spans="9:11">
      <c r="I6705" t="s">
        <v>91</v>
      </c>
      <c r="J6705" t="s">
        <v>92</v>
      </c>
      <c r="K6705">
        <v>0</v>
      </c>
    </row>
    <row r="6706" spans="9:11">
      <c r="I6706" t="s">
        <v>94</v>
      </c>
      <c r="J6706" t="s">
        <v>95</v>
      </c>
      <c r="K6706">
        <v>0</v>
      </c>
    </row>
    <row r="6707" spans="9:11">
      <c r="I6707" t="s">
        <v>91</v>
      </c>
      <c r="J6707" t="s">
        <v>92</v>
      </c>
      <c r="K6707">
        <v>0</v>
      </c>
    </row>
    <row r="6708" spans="9:11">
      <c r="I6708" t="s">
        <v>91</v>
      </c>
      <c r="J6708" t="s">
        <v>92</v>
      </c>
      <c r="K6708">
        <v>0</v>
      </c>
    </row>
    <row r="6709" spans="9:11">
      <c r="I6709" t="s">
        <v>91</v>
      </c>
      <c r="J6709" t="s">
        <v>92</v>
      </c>
      <c r="K6709">
        <v>0</v>
      </c>
    </row>
    <row r="6710" spans="9:11">
      <c r="I6710" t="s">
        <v>91</v>
      </c>
      <c r="J6710" t="s">
        <v>92</v>
      </c>
      <c r="K6710">
        <v>0</v>
      </c>
    </row>
    <row r="6711" spans="9:11">
      <c r="I6711" t="s">
        <v>91</v>
      </c>
      <c r="J6711" t="s">
        <v>92</v>
      </c>
      <c r="K6711">
        <v>0</v>
      </c>
    </row>
    <row r="6712" spans="9:11">
      <c r="I6712" t="s">
        <v>94</v>
      </c>
      <c r="J6712" t="s">
        <v>95</v>
      </c>
      <c r="K6712">
        <v>0</v>
      </c>
    </row>
    <row r="6713" spans="9:11">
      <c r="I6713" t="s">
        <v>91</v>
      </c>
      <c r="J6713" t="s">
        <v>92</v>
      </c>
      <c r="K6713">
        <v>0</v>
      </c>
    </row>
    <row r="6714" spans="9:11">
      <c r="I6714" t="s">
        <v>91</v>
      </c>
      <c r="J6714" t="s">
        <v>92</v>
      </c>
      <c r="K6714">
        <v>1</v>
      </c>
    </row>
    <row r="6715" spans="9:11">
      <c r="I6715" t="s">
        <v>94</v>
      </c>
      <c r="J6715" t="s">
        <v>95</v>
      </c>
      <c r="K6715">
        <v>0</v>
      </c>
    </row>
    <row r="6716" spans="9:11">
      <c r="I6716" t="s">
        <v>91</v>
      </c>
      <c r="J6716" t="s">
        <v>92</v>
      </c>
      <c r="K6716">
        <v>1</v>
      </c>
    </row>
    <row r="6717" spans="9:11">
      <c r="I6717" t="s">
        <v>94</v>
      </c>
      <c r="J6717" t="s">
        <v>95</v>
      </c>
      <c r="K6717">
        <v>0</v>
      </c>
    </row>
    <row r="6718" spans="9:11">
      <c r="I6718" t="s">
        <v>91</v>
      </c>
      <c r="J6718" t="s">
        <v>92</v>
      </c>
      <c r="K6718">
        <v>0</v>
      </c>
    </row>
    <row r="6719" spans="9:11">
      <c r="I6719" t="s">
        <v>91</v>
      </c>
      <c r="J6719" t="s">
        <v>92</v>
      </c>
      <c r="K6719">
        <v>0</v>
      </c>
    </row>
    <row r="6720" spans="9:11">
      <c r="I6720" t="s">
        <v>94</v>
      </c>
      <c r="J6720" t="s">
        <v>95</v>
      </c>
      <c r="K6720">
        <v>0</v>
      </c>
    </row>
    <row r="6721" spans="9:11">
      <c r="I6721" t="s">
        <v>94</v>
      </c>
      <c r="J6721" t="s">
        <v>95</v>
      </c>
      <c r="K6721">
        <v>0</v>
      </c>
    </row>
    <row r="6722" spans="9:11">
      <c r="I6722" t="s">
        <v>91</v>
      </c>
      <c r="J6722" t="s">
        <v>92</v>
      </c>
      <c r="K6722">
        <v>0</v>
      </c>
    </row>
    <row r="6723" spans="9:11">
      <c r="I6723" t="s">
        <v>94</v>
      </c>
      <c r="J6723" t="s">
        <v>95</v>
      </c>
      <c r="K6723">
        <v>0</v>
      </c>
    </row>
    <row r="6724" spans="9:11">
      <c r="I6724" t="s">
        <v>91</v>
      </c>
      <c r="J6724" t="s">
        <v>92</v>
      </c>
      <c r="K6724">
        <v>0</v>
      </c>
    </row>
    <row r="6725" spans="9:11">
      <c r="I6725" t="s">
        <v>94</v>
      </c>
      <c r="J6725" t="s">
        <v>95</v>
      </c>
      <c r="K6725">
        <v>0</v>
      </c>
    </row>
    <row r="6726" spans="9:11">
      <c r="I6726" t="s">
        <v>91</v>
      </c>
      <c r="J6726" t="s">
        <v>92</v>
      </c>
      <c r="K6726">
        <v>0</v>
      </c>
    </row>
    <row r="6727" spans="9:11">
      <c r="I6727" t="s">
        <v>94</v>
      </c>
      <c r="J6727" t="s">
        <v>95</v>
      </c>
      <c r="K6727">
        <v>0</v>
      </c>
    </row>
    <row r="6728" spans="9:11">
      <c r="I6728" t="s">
        <v>94</v>
      </c>
      <c r="J6728" t="s">
        <v>95</v>
      </c>
      <c r="K6728">
        <v>0</v>
      </c>
    </row>
    <row r="6729" spans="9:11">
      <c r="I6729" t="s">
        <v>94</v>
      </c>
      <c r="J6729" t="s">
        <v>95</v>
      </c>
      <c r="K6729">
        <v>0</v>
      </c>
    </row>
    <row r="6730" spans="9:11">
      <c r="I6730" t="s">
        <v>91</v>
      </c>
      <c r="J6730" t="s">
        <v>92</v>
      </c>
      <c r="K6730">
        <v>0</v>
      </c>
    </row>
    <row r="6731" spans="9:11">
      <c r="I6731" t="s">
        <v>94</v>
      </c>
      <c r="J6731" t="s">
        <v>95</v>
      </c>
      <c r="K6731">
        <v>0</v>
      </c>
    </row>
    <row r="6732" spans="9:11">
      <c r="I6732" t="s">
        <v>91</v>
      </c>
      <c r="J6732" t="s">
        <v>92</v>
      </c>
      <c r="K6732">
        <v>0</v>
      </c>
    </row>
    <row r="6733" spans="9:11">
      <c r="I6733" t="s">
        <v>94</v>
      </c>
      <c r="J6733" t="s">
        <v>95</v>
      </c>
      <c r="K6733">
        <v>0</v>
      </c>
    </row>
    <row r="6734" spans="9:11">
      <c r="I6734" t="s">
        <v>94</v>
      </c>
      <c r="J6734" t="s">
        <v>95</v>
      </c>
      <c r="K6734">
        <v>0</v>
      </c>
    </row>
    <row r="6735" spans="9:11">
      <c r="I6735" t="s">
        <v>91</v>
      </c>
      <c r="J6735" t="s">
        <v>92</v>
      </c>
      <c r="K6735">
        <v>0</v>
      </c>
    </row>
    <row r="6736" spans="9:11">
      <c r="I6736" t="s">
        <v>91</v>
      </c>
      <c r="J6736" t="s">
        <v>92</v>
      </c>
      <c r="K6736">
        <v>0</v>
      </c>
    </row>
    <row r="6737" spans="9:11">
      <c r="I6737" t="s">
        <v>94</v>
      </c>
      <c r="J6737" t="s">
        <v>95</v>
      </c>
      <c r="K6737">
        <v>0</v>
      </c>
    </row>
    <row r="6738" spans="9:11">
      <c r="I6738" t="s">
        <v>94</v>
      </c>
      <c r="J6738" t="s">
        <v>95</v>
      </c>
      <c r="K6738">
        <v>0</v>
      </c>
    </row>
    <row r="6739" spans="9:11">
      <c r="I6739" t="s">
        <v>91</v>
      </c>
      <c r="J6739" t="s">
        <v>92</v>
      </c>
      <c r="K6739">
        <v>0</v>
      </c>
    </row>
    <row r="6740" spans="9:11">
      <c r="I6740" t="s">
        <v>94</v>
      </c>
      <c r="J6740" t="s">
        <v>95</v>
      </c>
      <c r="K6740">
        <v>0</v>
      </c>
    </row>
    <row r="6741" spans="9:11">
      <c r="I6741" t="s">
        <v>94</v>
      </c>
      <c r="J6741" t="s">
        <v>95</v>
      </c>
      <c r="K6741">
        <v>0</v>
      </c>
    </row>
    <row r="6742" spans="9:11">
      <c r="I6742" t="s">
        <v>91</v>
      </c>
      <c r="J6742" t="s">
        <v>92</v>
      </c>
      <c r="K6742">
        <v>0</v>
      </c>
    </row>
    <row r="6743" spans="9:11">
      <c r="I6743" t="s">
        <v>94</v>
      </c>
      <c r="J6743" t="s">
        <v>95</v>
      </c>
      <c r="K6743">
        <v>0</v>
      </c>
    </row>
    <row r="6744" spans="9:11">
      <c r="I6744" t="s">
        <v>94</v>
      </c>
      <c r="J6744" t="s">
        <v>95</v>
      </c>
      <c r="K6744">
        <v>0</v>
      </c>
    </row>
    <row r="6745" spans="9:11">
      <c r="I6745" t="s">
        <v>91</v>
      </c>
      <c r="J6745" t="s">
        <v>92</v>
      </c>
      <c r="K6745">
        <v>0</v>
      </c>
    </row>
    <row r="6746" spans="9:11">
      <c r="I6746" t="s">
        <v>94</v>
      </c>
      <c r="J6746" t="s">
        <v>95</v>
      </c>
      <c r="K6746">
        <v>0</v>
      </c>
    </row>
    <row r="6747" spans="9:11">
      <c r="I6747" t="s">
        <v>94</v>
      </c>
      <c r="J6747" t="s">
        <v>95</v>
      </c>
      <c r="K6747">
        <v>0</v>
      </c>
    </row>
    <row r="6748" spans="9:11">
      <c r="I6748" t="s">
        <v>94</v>
      </c>
      <c r="J6748" t="s">
        <v>95</v>
      </c>
      <c r="K6748">
        <v>0</v>
      </c>
    </row>
    <row r="6749" spans="9:11">
      <c r="I6749" t="s">
        <v>91</v>
      </c>
      <c r="J6749" t="s">
        <v>92</v>
      </c>
      <c r="K6749">
        <v>0</v>
      </c>
    </row>
    <row r="6750" spans="9:11">
      <c r="I6750" t="s">
        <v>94</v>
      </c>
      <c r="J6750" t="s">
        <v>95</v>
      </c>
      <c r="K6750">
        <v>0</v>
      </c>
    </row>
    <row r="6751" spans="9:11">
      <c r="I6751" t="s">
        <v>91</v>
      </c>
      <c r="J6751" t="s">
        <v>92</v>
      </c>
      <c r="K6751">
        <v>0</v>
      </c>
    </row>
    <row r="6752" spans="9:11">
      <c r="I6752" t="s">
        <v>94</v>
      </c>
      <c r="J6752" t="s">
        <v>95</v>
      </c>
      <c r="K6752">
        <v>0</v>
      </c>
    </row>
    <row r="6753" spans="9:11">
      <c r="I6753" t="s">
        <v>91</v>
      </c>
      <c r="J6753" t="s">
        <v>92</v>
      </c>
      <c r="K6753">
        <v>0</v>
      </c>
    </row>
    <row r="6754" spans="9:11">
      <c r="I6754" t="s">
        <v>94</v>
      </c>
      <c r="J6754" t="s">
        <v>95</v>
      </c>
      <c r="K6754">
        <v>0</v>
      </c>
    </row>
    <row r="6755" spans="9:11">
      <c r="I6755" t="s">
        <v>91</v>
      </c>
      <c r="J6755" t="s">
        <v>92</v>
      </c>
      <c r="K6755">
        <v>0</v>
      </c>
    </row>
    <row r="6756" spans="9:11">
      <c r="I6756" t="s">
        <v>94</v>
      </c>
      <c r="J6756" t="s">
        <v>95</v>
      </c>
      <c r="K6756">
        <v>0</v>
      </c>
    </row>
    <row r="6757" spans="9:11">
      <c r="I6757" t="s">
        <v>94</v>
      </c>
      <c r="J6757" t="s">
        <v>95</v>
      </c>
      <c r="K6757">
        <v>1</v>
      </c>
    </row>
    <row r="6758" spans="9:11">
      <c r="I6758" t="s">
        <v>94</v>
      </c>
      <c r="J6758" t="s">
        <v>95</v>
      </c>
      <c r="K6758">
        <v>0</v>
      </c>
    </row>
    <row r="6759" spans="9:11">
      <c r="I6759" t="s">
        <v>94</v>
      </c>
      <c r="J6759" t="s">
        <v>95</v>
      </c>
      <c r="K6759">
        <v>0</v>
      </c>
    </row>
    <row r="6760" spans="9:11">
      <c r="I6760" t="s">
        <v>94</v>
      </c>
      <c r="J6760" t="s">
        <v>95</v>
      </c>
      <c r="K6760">
        <v>0</v>
      </c>
    </row>
    <row r="6761" spans="9:11">
      <c r="I6761" t="s">
        <v>94</v>
      </c>
      <c r="J6761" t="s">
        <v>95</v>
      </c>
      <c r="K6761">
        <v>0</v>
      </c>
    </row>
    <row r="6762" spans="9:11">
      <c r="I6762" t="s">
        <v>91</v>
      </c>
      <c r="J6762" t="s">
        <v>92</v>
      </c>
      <c r="K6762">
        <v>0</v>
      </c>
    </row>
    <row r="6763" spans="9:11">
      <c r="I6763" t="s">
        <v>91</v>
      </c>
      <c r="J6763" t="s">
        <v>92</v>
      </c>
      <c r="K6763">
        <v>0</v>
      </c>
    </row>
    <row r="6764" spans="9:11">
      <c r="I6764" t="s">
        <v>91</v>
      </c>
      <c r="J6764" t="s">
        <v>92</v>
      </c>
      <c r="K6764">
        <v>0</v>
      </c>
    </row>
    <row r="6765" spans="9:11">
      <c r="I6765" t="s">
        <v>94</v>
      </c>
      <c r="J6765" t="s">
        <v>95</v>
      </c>
      <c r="K6765">
        <v>0</v>
      </c>
    </row>
    <row r="6766" spans="9:11">
      <c r="I6766" t="s">
        <v>94</v>
      </c>
      <c r="J6766" t="s">
        <v>95</v>
      </c>
      <c r="K6766">
        <v>0</v>
      </c>
    </row>
    <row r="6767" spans="9:11">
      <c r="I6767" t="s">
        <v>91</v>
      </c>
      <c r="J6767" t="s">
        <v>92</v>
      </c>
      <c r="K6767">
        <v>0</v>
      </c>
    </row>
    <row r="6768" spans="9:11">
      <c r="I6768" t="s">
        <v>91</v>
      </c>
      <c r="J6768" t="s">
        <v>92</v>
      </c>
      <c r="K6768">
        <v>0</v>
      </c>
    </row>
    <row r="6769" spans="9:11">
      <c r="I6769" t="s">
        <v>94</v>
      </c>
      <c r="J6769" t="s">
        <v>95</v>
      </c>
      <c r="K6769">
        <v>0</v>
      </c>
    </row>
    <row r="6770" spans="9:11">
      <c r="I6770" t="s">
        <v>94</v>
      </c>
      <c r="J6770" t="s">
        <v>95</v>
      </c>
      <c r="K6770">
        <v>0</v>
      </c>
    </row>
    <row r="6771" spans="9:11">
      <c r="I6771" t="s">
        <v>91</v>
      </c>
      <c r="J6771" t="s">
        <v>92</v>
      </c>
      <c r="K6771">
        <v>0</v>
      </c>
    </row>
    <row r="6772" spans="9:11">
      <c r="I6772" t="s">
        <v>94</v>
      </c>
      <c r="J6772" t="s">
        <v>95</v>
      </c>
      <c r="K6772">
        <v>0</v>
      </c>
    </row>
    <row r="6773" spans="9:11">
      <c r="I6773" t="s">
        <v>94</v>
      </c>
      <c r="J6773" t="s">
        <v>95</v>
      </c>
      <c r="K6773">
        <v>0</v>
      </c>
    </row>
    <row r="6774" spans="9:11">
      <c r="I6774" t="s">
        <v>94</v>
      </c>
      <c r="J6774" t="s">
        <v>95</v>
      </c>
      <c r="K6774">
        <v>0</v>
      </c>
    </row>
    <row r="6775" spans="9:11">
      <c r="I6775" t="s">
        <v>94</v>
      </c>
      <c r="J6775" t="s">
        <v>95</v>
      </c>
      <c r="K6775">
        <v>0</v>
      </c>
    </row>
    <row r="6776" spans="9:11">
      <c r="I6776" t="s">
        <v>94</v>
      </c>
      <c r="J6776" t="s">
        <v>95</v>
      </c>
      <c r="K6776">
        <v>1</v>
      </c>
    </row>
    <row r="6777" spans="9:11">
      <c r="I6777" t="s">
        <v>91</v>
      </c>
      <c r="J6777" t="s">
        <v>92</v>
      </c>
      <c r="K6777">
        <v>0</v>
      </c>
    </row>
    <row r="6778" spans="9:11">
      <c r="I6778" t="s">
        <v>91</v>
      </c>
      <c r="J6778" t="s">
        <v>92</v>
      </c>
      <c r="K6778">
        <v>0</v>
      </c>
    </row>
    <row r="6779" spans="9:11">
      <c r="I6779" t="s">
        <v>94</v>
      </c>
      <c r="J6779" t="s">
        <v>95</v>
      </c>
      <c r="K6779">
        <v>0</v>
      </c>
    </row>
    <row r="6780" spans="9:11">
      <c r="I6780" t="s">
        <v>94</v>
      </c>
      <c r="J6780" t="s">
        <v>95</v>
      </c>
      <c r="K6780">
        <v>0</v>
      </c>
    </row>
    <row r="6781" spans="9:11">
      <c r="I6781" t="s">
        <v>94</v>
      </c>
      <c r="J6781" t="s">
        <v>95</v>
      </c>
      <c r="K6781">
        <v>0</v>
      </c>
    </row>
    <row r="6782" spans="9:11">
      <c r="I6782" t="s">
        <v>94</v>
      </c>
      <c r="J6782" t="s">
        <v>95</v>
      </c>
      <c r="K6782">
        <v>0</v>
      </c>
    </row>
    <row r="6783" spans="9:11">
      <c r="I6783" t="s">
        <v>94</v>
      </c>
      <c r="J6783" t="s">
        <v>95</v>
      </c>
      <c r="K6783">
        <v>0</v>
      </c>
    </row>
    <row r="6784" spans="9:11">
      <c r="I6784" t="s">
        <v>94</v>
      </c>
      <c r="J6784" t="s">
        <v>95</v>
      </c>
      <c r="K6784">
        <v>0</v>
      </c>
    </row>
    <row r="6785" spans="9:11">
      <c r="I6785" t="s">
        <v>94</v>
      </c>
      <c r="J6785" t="s">
        <v>95</v>
      </c>
      <c r="K6785">
        <v>0</v>
      </c>
    </row>
    <row r="6786" spans="9:11">
      <c r="I6786" t="s">
        <v>94</v>
      </c>
      <c r="J6786" t="s">
        <v>95</v>
      </c>
      <c r="K6786">
        <v>0</v>
      </c>
    </row>
    <row r="6787" spans="9:11">
      <c r="I6787" t="s">
        <v>94</v>
      </c>
      <c r="J6787" t="s">
        <v>95</v>
      </c>
      <c r="K6787">
        <v>0</v>
      </c>
    </row>
    <row r="6788" spans="9:11">
      <c r="I6788" t="s">
        <v>94</v>
      </c>
      <c r="J6788" t="s">
        <v>95</v>
      </c>
      <c r="K6788">
        <v>0</v>
      </c>
    </row>
    <row r="6789" spans="9:11">
      <c r="I6789" t="s">
        <v>94</v>
      </c>
      <c r="J6789" t="s">
        <v>95</v>
      </c>
      <c r="K6789">
        <v>0</v>
      </c>
    </row>
    <row r="6790" spans="9:11">
      <c r="I6790" t="s">
        <v>91</v>
      </c>
      <c r="J6790" t="s">
        <v>92</v>
      </c>
      <c r="K6790">
        <v>0</v>
      </c>
    </row>
    <row r="6791" spans="9:11">
      <c r="I6791" t="s">
        <v>91</v>
      </c>
      <c r="J6791" t="s">
        <v>92</v>
      </c>
      <c r="K6791">
        <v>0</v>
      </c>
    </row>
    <row r="6792" spans="9:11">
      <c r="I6792" t="s">
        <v>91</v>
      </c>
      <c r="J6792" t="s">
        <v>92</v>
      </c>
      <c r="K6792">
        <v>0</v>
      </c>
    </row>
    <row r="6793" spans="9:11">
      <c r="I6793" t="s">
        <v>91</v>
      </c>
      <c r="J6793" t="s">
        <v>92</v>
      </c>
      <c r="K6793">
        <v>0</v>
      </c>
    </row>
    <row r="6794" spans="9:11">
      <c r="I6794" t="s">
        <v>94</v>
      </c>
      <c r="J6794" t="s">
        <v>95</v>
      </c>
      <c r="K6794">
        <v>0</v>
      </c>
    </row>
    <row r="6795" spans="9:11">
      <c r="I6795" t="s">
        <v>91</v>
      </c>
      <c r="J6795" t="s">
        <v>92</v>
      </c>
      <c r="K6795">
        <v>0</v>
      </c>
    </row>
    <row r="6796" spans="9:11">
      <c r="I6796" t="s">
        <v>94</v>
      </c>
      <c r="J6796" t="s">
        <v>95</v>
      </c>
      <c r="K6796">
        <v>0</v>
      </c>
    </row>
    <row r="6797" spans="9:11">
      <c r="I6797" t="s">
        <v>94</v>
      </c>
      <c r="J6797" t="s">
        <v>95</v>
      </c>
      <c r="K6797">
        <v>0</v>
      </c>
    </row>
    <row r="6798" spans="9:11">
      <c r="I6798" t="s">
        <v>91</v>
      </c>
      <c r="J6798" t="s">
        <v>92</v>
      </c>
      <c r="K6798">
        <v>0</v>
      </c>
    </row>
    <row r="6799" spans="9:11">
      <c r="I6799" t="s">
        <v>91</v>
      </c>
      <c r="J6799" t="s">
        <v>92</v>
      </c>
      <c r="K6799">
        <v>0</v>
      </c>
    </row>
    <row r="6800" spans="9:11">
      <c r="I6800" t="s">
        <v>91</v>
      </c>
      <c r="J6800" t="s">
        <v>92</v>
      </c>
      <c r="K6800">
        <v>0</v>
      </c>
    </row>
    <row r="6801" spans="9:11">
      <c r="I6801" t="s">
        <v>94</v>
      </c>
      <c r="J6801" t="s">
        <v>95</v>
      </c>
      <c r="K6801">
        <v>0</v>
      </c>
    </row>
    <row r="6802" spans="9:11">
      <c r="I6802" t="s">
        <v>91</v>
      </c>
      <c r="J6802" t="s">
        <v>92</v>
      </c>
      <c r="K6802">
        <v>0</v>
      </c>
    </row>
    <row r="6803" spans="9:11">
      <c r="I6803" t="s">
        <v>94</v>
      </c>
      <c r="J6803" t="s">
        <v>95</v>
      </c>
      <c r="K6803">
        <v>0</v>
      </c>
    </row>
    <row r="6804" spans="9:11">
      <c r="I6804" t="s">
        <v>94</v>
      </c>
      <c r="J6804" t="s">
        <v>95</v>
      </c>
      <c r="K6804">
        <v>0</v>
      </c>
    </row>
    <row r="6805" spans="9:11">
      <c r="I6805" t="s">
        <v>91</v>
      </c>
      <c r="J6805" t="s">
        <v>92</v>
      </c>
      <c r="K6805">
        <v>0</v>
      </c>
    </row>
    <row r="6806" spans="9:11">
      <c r="I6806" t="s">
        <v>94</v>
      </c>
      <c r="J6806" t="s">
        <v>95</v>
      </c>
      <c r="K6806">
        <v>0</v>
      </c>
    </row>
    <row r="6807" spans="9:11">
      <c r="I6807" t="s">
        <v>94</v>
      </c>
      <c r="J6807" t="s">
        <v>95</v>
      </c>
      <c r="K6807">
        <v>0</v>
      </c>
    </row>
    <row r="6808" spans="9:11">
      <c r="I6808" t="s">
        <v>94</v>
      </c>
      <c r="J6808" t="s">
        <v>95</v>
      </c>
      <c r="K6808">
        <v>0</v>
      </c>
    </row>
    <row r="6809" spans="9:11">
      <c r="I6809" t="s">
        <v>94</v>
      </c>
      <c r="J6809" t="s">
        <v>95</v>
      </c>
      <c r="K6809">
        <v>0</v>
      </c>
    </row>
    <row r="6810" spans="9:11">
      <c r="I6810" t="s">
        <v>91</v>
      </c>
      <c r="J6810" t="s">
        <v>92</v>
      </c>
      <c r="K6810">
        <v>0</v>
      </c>
    </row>
    <row r="6811" spans="9:11">
      <c r="I6811" t="s">
        <v>91</v>
      </c>
      <c r="J6811" t="s">
        <v>92</v>
      </c>
      <c r="K6811">
        <v>0</v>
      </c>
    </row>
    <row r="6812" spans="9:11">
      <c r="I6812" t="s">
        <v>91</v>
      </c>
      <c r="J6812" t="s">
        <v>92</v>
      </c>
      <c r="K6812">
        <v>0</v>
      </c>
    </row>
    <row r="6813" spans="9:11">
      <c r="I6813" t="s">
        <v>94</v>
      </c>
      <c r="J6813" t="s">
        <v>95</v>
      </c>
      <c r="K6813">
        <v>0</v>
      </c>
    </row>
    <row r="6814" spans="9:11">
      <c r="I6814" t="s">
        <v>94</v>
      </c>
      <c r="J6814" t="s">
        <v>95</v>
      </c>
      <c r="K6814">
        <v>0</v>
      </c>
    </row>
    <row r="6815" spans="9:11">
      <c r="I6815" t="s">
        <v>91</v>
      </c>
      <c r="J6815" t="s">
        <v>92</v>
      </c>
      <c r="K6815">
        <v>0</v>
      </c>
    </row>
    <row r="6816" spans="9:11">
      <c r="I6816" t="s">
        <v>91</v>
      </c>
      <c r="J6816" t="s">
        <v>92</v>
      </c>
      <c r="K6816">
        <v>0</v>
      </c>
    </row>
    <row r="6817" spans="9:11">
      <c r="I6817" t="s">
        <v>94</v>
      </c>
      <c r="J6817" t="s">
        <v>95</v>
      </c>
      <c r="K6817">
        <v>0</v>
      </c>
    </row>
    <row r="6818" spans="9:11">
      <c r="I6818" t="s">
        <v>91</v>
      </c>
      <c r="J6818" t="s">
        <v>92</v>
      </c>
      <c r="K6818">
        <v>0</v>
      </c>
    </row>
    <row r="6819" spans="9:11">
      <c r="I6819" t="s">
        <v>91</v>
      </c>
      <c r="J6819" t="s">
        <v>92</v>
      </c>
      <c r="K6819">
        <v>1</v>
      </c>
    </row>
    <row r="6820" spans="9:11">
      <c r="I6820" t="s">
        <v>94</v>
      </c>
      <c r="J6820" t="s">
        <v>95</v>
      </c>
      <c r="K6820">
        <v>0</v>
      </c>
    </row>
    <row r="6821" spans="9:11">
      <c r="I6821" t="s">
        <v>94</v>
      </c>
      <c r="J6821" t="s">
        <v>95</v>
      </c>
      <c r="K6821">
        <v>1</v>
      </c>
    </row>
    <row r="6822" spans="9:11">
      <c r="I6822" t="s">
        <v>94</v>
      </c>
      <c r="J6822" t="s">
        <v>95</v>
      </c>
      <c r="K6822">
        <v>0</v>
      </c>
    </row>
    <row r="6823" spans="9:11">
      <c r="I6823" t="s">
        <v>91</v>
      </c>
      <c r="J6823" t="s">
        <v>92</v>
      </c>
      <c r="K6823">
        <v>0</v>
      </c>
    </row>
    <row r="6824" spans="9:11">
      <c r="I6824" t="s">
        <v>91</v>
      </c>
      <c r="J6824" t="s">
        <v>92</v>
      </c>
      <c r="K6824">
        <v>0</v>
      </c>
    </row>
    <row r="6825" spans="9:11">
      <c r="I6825" t="s">
        <v>91</v>
      </c>
      <c r="J6825" t="s">
        <v>92</v>
      </c>
      <c r="K6825">
        <v>0</v>
      </c>
    </row>
    <row r="6826" spans="9:11">
      <c r="I6826" t="s">
        <v>91</v>
      </c>
      <c r="J6826" t="s">
        <v>92</v>
      </c>
      <c r="K6826">
        <v>0</v>
      </c>
    </row>
    <row r="6827" spans="9:11">
      <c r="I6827" t="s">
        <v>94</v>
      </c>
      <c r="J6827" t="s">
        <v>95</v>
      </c>
      <c r="K6827">
        <v>0</v>
      </c>
    </row>
    <row r="6828" spans="9:11">
      <c r="I6828" t="s">
        <v>94</v>
      </c>
      <c r="J6828" t="s">
        <v>95</v>
      </c>
      <c r="K6828">
        <v>0</v>
      </c>
    </row>
    <row r="6829" spans="9:11">
      <c r="I6829" t="s">
        <v>94</v>
      </c>
      <c r="J6829" t="s">
        <v>95</v>
      </c>
      <c r="K6829">
        <v>0</v>
      </c>
    </row>
    <row r="6830" spans="9:11">
      <c r="I6830" t="s">
        <v>94</v>
      </c>
      <c r="J6830" t="s">
        <v>95</v>
      </c>
      <c r="K6830">
        <v>0</v>
      </c>
    </row>
    <row r="6831" spans="9:11">
      <c r="I6831" t="s">
        <v>91</v>
      </c>
      <c r="J6831" t="s">
        <v>92</v>
      </c>
      <c r="K6831">
        <v>0</v>
      </c>
    </row>
    <row r="6832" spans="9:11">
      <c r="I6832" t="s">
        <v>94</v>
      </c>
      <c r="J6832" t="s">
        <v>95</v>
      </c>
      <c r="K6832">
        <v>0</v>
      </c>
    </row>
    <row r="6833" spans="9:11">
      <c r="I6833" t="s">
        <v>91</v>
      </c>
      <c r="J6833" t="s">
        <v>92</v>
      </c>
      <c r="K6833">
        <v>0</v>
      </c>
    </row>
    <row r="6834" spans="9:11">
      <c r="I6834" t="s">
        <v>91</v>
      </c>
      <c r="J6834" t="s">
        <v>92</v>
      </c>
      <c r="K6834">
        <v>0</v>
      </c>
    </row>
    <row r="6835" spans="9:11">
      <c r="I6835" t="s">
        <v>94</v>
      </c>
      <c r="J6835" t="s">
        <v>95</v>
      </c>
      <c r="K6835">
        <v>0</v>
      </c>
    </row>
    <row r="6836" spans="9:11">
      <c r="I6836" t="s">
        <v>94</v>
      </c>
      <c r="J6836" t="s">
        <v>95</v>
      </c>
      <c r="K6836">
        <v>0</v>
      </c>
    </row>
    <row r="6837" spans="9:11">
      <c r="I6837" t="s">
        <v>91</v>
      </c>
      <c r="J6837" t="s">
        <v>92</v>
      </c>
      <c r="K6837">
        <v>0</v>
      </c>
    </row>
    <row r="6838" spans="9:11">
      <c r="I6838" t="s">
        <v>94</v>
      </c>
      <c r="J6838" t="s">
        <v>95</v>
      </c>
      <c r="K6838">
        <v>0</v>
      </c>
    </row>
    <row r="6839" spans="9:11">
      <c r="I6839" t="s">
        <v>91</v>
      </c>
      <c r="J6839" t="s">
        <v>92</v>
      </c>
      <c r="K6839">
        <v>0</v>
      </c>
    </row>
    <row r="6840" spans="9:11">
      <c r="I6840" t="s">
        <v>94</v>
      </c>
      <c r="J6840" t="s">
        <v>95</v>
      </c>
      <c r="K6840">
        <v>0</v>
      </c>
    </row>
    <row r="6841" spans="9:11">
      <c r="I6841" t="s">
        <v>94</v>
      </c>
      <c r="J6841" t="s">
        <v>95</v>
      </c>
      <c r="K6841">
        <v>0</v>
      </c>
    </row>
    <row r="6842" spans="9:11">
      <c r="I6842" t="s">
        <v>91</v>
      </c>
      <c r="J6842" t="s">
        <v>92</v>
      </c>
      <c r="K6842">
        <v>0</v>
      </c>
    </row>
    <row r="6843" spans="9:11">
      <c r="I6843" t="s">
        <v>91</v>
      </c>
      <c r="J6843" t="s">
        <v>92</v>
      </c>
      <c r="K6843">
        <v>0</v>
      </c>
    </row>
    <row r="6844" spans="9:11">
      <c r="I6844" t="s">
        <v>91</v>
      </c>
      <c r="J6844" t="s">
        <v>92</v>
      </c>
      <c r="K6844">
        <v>0</v>
      </c>
    </row>
    <row r="6845" spans="9:11">
      <c r="I6845" t="s">
        <v>94</v>
      </c>
      <c r="J6845" t="s">
        <v>95</v>
      </c>
      <c r="K6845">
        <v>0</v>
      </c>
    </row>
    <row r="6846" spans="9:11">
      <c r="I6846" t="s">
        <v>94</v>
      </c>
      <c r="J6846" t="s">
        <v>95</v>
      </c>
      <c r="K6846">
        <v>0</v>
      </c>
    </row>
    <row r="6847" spans="9:11">
      <c r="I6847" t="s">
        <v>91</v>
      </c>
      <c r="J6847" t="s">
        <v>92</v>
      </c>
      <c r="K6847">
        <v>0</v>
      </c>
    </row>
    <row r="6848" spans="9:11">
      <c r="I6848" t="s">
        <v>94</v>
      </c>
      <c r="J6848" t="s">
        <v>95</v>
      </c>
      <c r="K6848">
        <v>0</v>
      </c>
    </row>
    <row r="6849" spans="9:11">
      <c r="I6849" t="s">
        <v>94</v>
      </c>
      <c r="J6849" t="s">
        <v>95</v>
      </c>
      <c r="K6849">
        <v>0</v>
      </c>
    </row>
    <row r="6850" spans="9:11">
      <c r="I6850" t="s">
        <v>94</v>
      </c>
      <c r="J6850" t="s">
        <v>95</v>
      </c>
      <c r="K6850">
        <v>0</v>
      </c>
    </row>
    <row r="6851" spans="9:11">
      <c r="I6851" t="s">
        <v>91</v>
      </c>
      <c r="J6851" t="s">
        <v>92</v>
      </c>
      <c r="K6851">
        <v>1</v>
      </c>
    </row>
    <row r="6852" spans="9:11">
      <c r="I6852" t="s">
        <v>91</v>
      </c>
      <c r="J6852" t="s">
        <v>92</v>
      </c>
      <c r="K6852">
        <v>0</v>
      </c>
    </row>
    <row r="6853" spans="9:11">
      <c r="I6853" t="s">
        <v>91</v>
      </c>
      <c r="J6853" t="s">
        <v>92</v>
      </c>
      <c r="K6853">
        <v>0</v>
      </c>
    </row>
    <row r="6854" spans="9:11">
      <c r="I6854" t="s">
        <v>94</v>
      </c>
      <c r="J6854" t="s">
        <v>95</v>
      </c>
      <c r="K6854">
        <v>0</v>
      </c>
    </row>
    <row r="6855" spans="9:11">
      <c r="I6855" t="s">
        <v>94</v>
      </c>
      <c r="J6855" t="s">
        <v>95</v>
      </c>
      <c r="K6855">
        <v>0</v>
      </c>
    </row>
    <row r="6856" spans="9:11">
      <c r="I6856" t="s">
        <v>91</v>
      </c>
      <c r="J6856" t="s">
        <v>92</v>
      </c>
      <c r="K6856">
        <v>1</v>
      </c>
    </row>
    <row r="6857" spans="9:11">
      <c r="I6857" t="s">
        <v>91</v>
      </c>
      <c r="J6857" t="s">
        <v>92</v>
      </c>
      <c r="K6857">
        <v>1</v>
      </c>
    </row>
    <row r="6858" spans="9:11">
      <c r="I6858" t="s">
        <v>94</v>
      </c>
      <c r="J6858" t="s">
        <v>95</v>
      </c>
      <c r="K6858">
        <v>0</v>
      </c>
    </row>
    <row r="6859" spans="9:11">
      <c r="I6859" t="s">
        <v>94</v>
      </c>
      <c r="J6859" t="s">
        <v>95</v>
      </c>
      <c r="K6859">
        <v>0</v>
      </c>
    </row>
    <row r="6860" spans="9:11">
      <c r="I6860" t="s">
        <v>94</v>
      </c>
      <c r="J6860" t="s">
        <v>95</v>
      </c>
      <c r="K6860">
        <v>0</v>
      </c>
    </row>
    <row r="6861" spans="9:11">
      <c r="I6861" t="s">
        <v>94</v>
      </c>
      <c r="J6861" t="s">
        <v>95</v>
      </c>
      <c r="K6861">
        <v>0</v>
      </c>
    </row>
    <row r="6862" spans="9:11">
      <c r="I6862" t="s">
        <v>91</v>
      </c>
      <c r="J6862" t="s">
        <v>92</v>
      </c>
      <c r="K6862">
        <v>0</v>
      </c>
    </row>
    <row r="6863" spans="9:11">
      <c r="I6863" t="s">
        <v>91</v>
      </c>
      <c r="J6863" t="s">
        <v>92</v>
      </c>
      <c r="K6863">
        <v>0</v>
      </c>
    </row>
    <row r="6864" spans="9:11">
      <c r="I6864" t="s">
        <v>91</v>
      </c>
      <c r="J6864" t="s">
        <v>92</v>
      </c>
      <c r="K6864">
        <v>0</v>
      </c>
    </row>
    <row r="6865" spans="9:11">
      <c r="I6865" t="s">
        <v>94</v>
      </c>
      <c r="J6865" t="s">
        <v>95</v>
      </c>
      <c r="K6865">
        <v>0</v>
      </c>
    </row>
    <row r="6866" spans="9:11">
      <c r="I6866" t="s">
        <v>94</v>
      </c>
      <c r="J6866" t="s">
        <v>95</v>
      </c>
      <c r="K6866">
        <v>0</v>
      </c>
    </row>
    <row r="6867" spans="9:11">
      <c r="I6867" t="s">
        <v>94</v>
      </c>
      <c r="J6867" t="s">
        <v>95</v>
      </c>
      <c r="K6867">
        <v>0</v>
      </c>
    </row>
    <row r="6868" spans="9:11">
      <c r="I6868" t="s">
        <v>91</v>
      </c>
      <c r="J6868" t="s">
        <v>92</v>
      </c>
      <c r="K6868">
        <v>0</v>
      </c>
    </row>
    <row r="6869" spans="9:11">
      <c r="I6869" t="s">
        <v>94</v>
      </c>
      <c r="J6869" t="s">
        <v>95</v>
      </c>
      <c r="K6869">
        <v>0</v>
      </c>
    </row>
    <row r="6870" spans="9:11">
      <c r="I6870" t="s">
        <v>91</v>
      </c>
      <c r="J6870" t="s">
        <v>92</v>
      </c>
      <c r="K6870">
        <v>0</v>
      </c>
    </row>
    <row r="6871" spans="9:11">
      <c r="I6871" t="s">
        <v>91</v>
      </c>
      <c r="J6871" t="s">
        <v>92</v>
      </c>
      <c r="K6871">
        <v>0</v>
      </c>
    </row>
    <row r="6872" spans="9:11">
      <c r="I6872" t="s">
        <v>91</v>
      </c>
      <c r="J6872" t="s">
        <v>92</v>
      </c>
      <c r="K6872">
        <v>0</v>
      </c>
    </row>
    <row r="6873" spans="9:11">
      <c r="I6873" t="s">
        <v>91</v>
      </c>
      <c r="J6873" t="s">
        <v>92</v>
      </c>
      <c r="K6873">
        <v>0</v>
      </c>
    </row>
    <row r="6874" spans="9:11">
      <c r="I6874" t="s">
        <v>91</v>
      </c>
      <c r="J6874" t="s">
        <v>92</v>
      </c>
      <c r="K6874">
        <v>0</v>
      </c>
    </row>
    <row r="6875" spans="9:11">
      <c r="I6875" t="s">
        <v>94</v>
      </c>
      <c r="J6875" t="s">
        <v>95</v>
      </c>
      <c r="K6875">
        <v>0</v>
      </c>
    </row>
    <row r="6876" spans="9:11">
      <c r="I6876" t="s">
        <v>94</v>
      </c>
      <c r="J6876" t="s">
        <v>95</v>
      </c>
      <c r="K6876">
        <v>0</v>
      </c>
    </row>
    <row r="6877" spans="9:11">
      <c r="I6877" t="s">
        <v>91</v>
      </c>
      <c r="J6877" t="s">
        <v>92</v>
      </c>
      <c r="K6877">
        <v>0</v>
      </c>
    </row>
    <row r="6878" spans="9:11">
      <c r="I6878" t="s">
        <v>91</v>
      </c>
      <c r="J6878" t="s">
        <v>92</v>
      </c>
      <c r="K6878">
        <v>0</v>
      </c>
    </row>
    <row r="6879" spans="9:11">
      <c r="I6879" t="s">
        <v>91</v>
      </c>
      <c r="J6879" t="s">
        <v>92</v>
      </c>
      <c r="K6879">
        <v>0</v>
      </c>
    </row>
    <row r="6880" spans="9:11">
      <c r="I6880" t="s">
        <v>94</v>
      </c>
      <c r="J6880" t="s">
        <v>95</v>
      </c>
      <c r="K6880">
        <v>0</v>
      </c>
    </row>
    <row r="6881" spans="9:11">
      <c r="I6881" t="s">
        <v>94</v>
      </c>
      <c r="J6881" t="s">
        <v>95</v>
      </c>
      <c r="K6881">
        <v>0</v>
      </c>
    </row>
    <row r="6882" spans="9:11">
      <c r="I6882" t="s">
        <v>94</v>
      </c>
      <c r="J6882" t="s">
        <v>95</v>
      </c>
      <c r="K6882">
        <v>0</v>
      </c>
    </row>
    <row r="6883" spans="9:11">
      <c r="I6883" t="s">
        <v>91</v>
      </c>
      <c r="J6883" t="s">
        <v>92</v>
      </c>
      <c r="K6883">
        <v>0</v>
      </c>
    </row>
    <row r="6884" spans="9:11">
      <c r="I6884" t="s">
        <v>91</v>
      </c>
      <c r="J6884" t="s">
        <v>92</v>
      </c>
      <c r="K6884">
        <v>0</v>
      </c>
    </row>
    <row r="6885" spans="9:11">
      <c r="I6885" t="s">
        <v>94</v>
      </c>
      <c r="J6885" t="s">
        <v>95</v>
      </c>
      <c r="K6885">
        <v>0</v>
      </c>
    </row>
    <row r="6886" spans="9:11">
      <c r="I6886" t="s">
        <v>91</v>
      </c>
      <c r="J6886" t="s">
        <v>92</v>
      </c>
      <c r="K6886">
        <v>0</v>
      </c>
    </row>
    <row r="6887" spans="9:11">
      <c r="I6887" t="s">
        <v>91</v>
      </c>
      <c r="J6887" t="s">
        <v>92</v>
      </c>
      <c r="K6887">
        <v>0</v>
      </c>
    </row>
    <row r="6888" spans="9:11">
      <c r="I6888" t="s">
        <v>94</v>
      </c>
      <c r="J6888" t="s">
        <v>95</v>
      </c>
      <c r="K6888">
        <v>0</v>
      </c>
    </row>
    <row r="6889" spans="9:11">
      <c r="I6889" t="s">
        <v>94</v>
      </c>
      <c r="J6889" t="s">
        <v>95</v>
      </c>
      <c r="K6889">
        <v>0</v>
      </c>
    </row>
    <row r="6890" spans="9:11">
      <c r="I6890" t="s">
        <v>91</v>
      </c>
      <c r="J6890" t="s">
        <v>92</v>
      </c>
      <c r="K6890">
        <v>0</v>
      </c>
    </row>
    <row r="6891" spans="9:11">
      <c r="I6891" t="s">
        <v>94</v>
      </c>
      <c r="J6891" t="s">
        <v>95</v>
      </c>
      <c r="K6891">
        <v>0</v>
      </c>
    </row>
    <row r="6892" spans="9:11">
      <c r="I6892" t="s">
        <v>94</v>
      </c>
      <c r="J6892" t="s">
        <v>95</v>
      </c>
      <c r="K6892">
        <v>1</v>
      </c>
    </row>
    <row r="6893" spans="9:11">
      <c r="I6893" t="s">
        <v>94</v>
      </c>
      <c r="J6893" t="s">
        <v>95</v>
      </c>
      <c r="K6893">
        <v>0</v>
      </c>
    </row>
    <row r="6894" spans="9:11">
      <c r="I6894" t="s">
        <v>91</v>
      </c>
      <c r="J6894" t="s">
        <v>92</v>
      </c>
      <c r="K6894">
        <v>0</v>
      </c>
    </row>
    <row r="6895" spans="9:11">
      <c r="I6895" t="s">
        <v>91</v>
      </c>
      <c r="J6895" t="s">
        <v>92</v>
      </c>
      <c r="K6895">
        <v>0</v>
      </c>
    </row>
    <row r="6896" spans="9:11">
      <c r="I6896" t="s">
        <v>94</v>
      </c>
      <c r="J6896" t="s">
        <v>95</v>
      </c>
      <c r="K6896">
        <v>1</v>
      </c>
    </row>
    <row r="6897" spans="9:11">
      <c r="I6897" t="s">
        <v>91</v>
      </c>
      <c r="J6897" t="s">
        <v>92</v>
      </c>
      <c r="K6897">
        <v>0</v>
      </c>
    </row>
    <row r="6898" spans="9:11">
      <c r="I6898" t="s">
        <v>94</v>
      </c>
      <c r="J6898" t="s">
        <v>95</v>
      </c>
      <c r="K6898">
        <v>0</v>
      </c>
    </row>
    <row r="6899" spans="9:11">
      <c r="I6899" t="s">
        <v>91</v>
      </c>
      <c r="J6899" t="s">
        <v>92</v>
      </c>
      <c r="K6899">
        <v>0</v>
      </c>
    </row>
    <row r="6900" spans="9:11">
      <c r="I6900" t="s">
        <v>91</v>
      </c>
      <c r="J6900" t="s">
        <v>92</v>
      </c>
      <c r="K6900">
        <v>0</v>
      </c>
    </row>
    <row r="6901" spans="9:11">
      <c r="I6901" t="s">
        <v>91</v>
      </c>
      <c r="J6901" t="s">
        <v>92</v>
      </c>
      <c r="K6901">
        <v>0</v>
      </c>
    </row>
    <row r="6902" spans="9:11">
      <c r="I6902" t="s">
        <v>91</v>
      </c>
      <c r="J6902" t="s">
        <v>92</v>
      </c>
      <c r="K6902">
        <v>0</v>
      </c>
    </row>
    <row r="6903" spans="9:11">
      <c r="I6903" t="s">
        <v>91</v>
      </c>
      <c r="J6903" t="s">
        <v>92</v>
      </c>
      <c r="K6903">
        <v>0</v>
      </c>
    </row>
    <row r="6904" spans="9:11">
      <c r="I6904" t="s">
        <v>91</v>
      </c>
      <c r="J6904" t="s">
        <v>92</v>
      </c>
      <c r="K6904">
        <v>0</v>
      </c>
    </row>
    <row r="6905" spans="9:11">
      <c r="I6905" t="s">
        <v>94</v>
      </c>
      <c r="J6905" t="s">
        <v>95</v>
      </c>
      <c r="K6905">
        <v>0</v>
      </c>
    </row>
    <row r="6906" spans="9:11">
      <c r="I6906" t="s">
        <v>94</v>
      </c>
      <c r="J6906" t="s">
        <v>95</v>
      </c>
      <c r="K6906">
        <v>0</v>
      </c>
    </row>
    <row r="6907" spans="9:11">
      <c r="I6907" t="s">
        <v>91</v>
      </c>
      <c r="J6907" t="s">
        <v>92</v>
      </c>
      <c r="K6907">
        <v>0</v>
      </c>
    </row>
    <row r="6908" spans="9:11">
      <c r="I6908" t="s">
        <v>91</v>
      </c>
      <c r="J6908" t="s">
        <v>92</v>
      </c>
      <c r="K6908">
        <v>0</v>
      </c>
    </row>
    <row r="6909" spans="9:11">
      <c r="I6909" t="s">
        <v>91</v>
      </c>
      <c r="J6909" t="s">
        <v>92</v>
      </c>
      <c r="K6909">
        <v>0</v>
      </c>
    </row>
    <row r="6910" spans="9:11">
      <c r="I6910" t="s">
        <v>94</v>
      </c>
      <c r="J6910" t="s">
        <v>95</v>
      </c>
      <c r="K6910">
        <v>0</v>
      </c>
    </row>
    <row r="6911" spans="9:11">
      <c r="I6911" t="s">
        <v>91</v>
      </c>
      <c r="J6911" t="s">
        <v>92</v>
      </c>
      <c r="K6911">
        <v>0</v>
      </c>
    </row>
    <row r="6912" spans="9:11">
      <c r="I6912" t="s">
        <v>94</v>
      </c>
      <c r="J6912" t="s">
        <v>95</v>
      </c>
      <c r="K6912">
        <v>0</v>
      </c>
    </row>
    <row r="6913" spans="9:11">
      <c r="I6913" t="s">
        <v>94</v>
      </c>
      <c r="J6913" t="s">
        <v>95</v>
      </c>
      <c r="K6913">
        <v>0</v>
      </c>
    </row>
    <row r="6914" spans="9:11">
      <c r="I6914" t="s">
        <v>94</v>
      </c>
      <c r="J6914" t="s">
        <v>95</v>
      </c>
      <c r="K6914">
        <v>0</v>
      </c>
    </row>
    <row r="6915" spans="9:11">
      <c r="I6915" t="s">
        <v>91</v>
      </c>
      <c r="J6915" t="s">
        <v>92</v>
      </c>
      <c r="K6915">
        <v>0</v>
      </c>
    </row>
    <row r="6916" spans="9:11">
      <c r="I6916" t="s">
        <v>94</v>
      </c>
      <c r="J6916" t="s">
        <v>95</v>
      </c>
      <c r="K6916">
        <v>0</v>
      </c>
    </row>
    <row r="6917" spans="9:11">
      <c r="I6917" t="s">
        <v>91</v>
      </c>
      <c r="J6917" t="s">
        <v>92</v>
      </c>
      <c r="K6917">
        <v>0</v>
      </c>
    </row>
    <row r="6918" spans="9:11">
      <c r="I6918" t="s">
        <v>94</v>
      </c>
      <c r="J6918" t="s">
        <v>95</v>
      </c>
      <c r="K6918">
        <v>0</v>
      </c>
    </row>
    <row r="6919" spans="9:11">
      <c r="I6919" t="s">
        <v>94</v>
      </c>
      <c r="J6919" t="s">
        <v>95</v>
      </c>
      <c r="K6919">
        <v>0</v>
      </c>
    </row>
    <row r="6920" spans="9:11">
      <c r="I6920" t="s">
        <v>91</v>
      </c>
      <c r="J6920" t="s">
        <v>92</v>
      </c>
      <c r="K6920">
        <v>0</v>
      </c>
    </row>
    <row r="6921" spans="9:11">
      <c r="I6921" t="s">
        <v>91</v>
      </c>
      <c r="J6921" t="s">
        <v>92</v>
      </c>
      <c r="K6921">
        <v>0</v>
      </c>
    </row>
    <row r="6922" spans="9:11">
      <c r="I6922" t="s">
        <v>91</v>
      </c>
      <c r="J6922" t="s">
        <v>92</v>
      </c>
      <c r="K6922">
        <v>0</v>
      </c>
    </row>
    <row r="6923" spans="9:11">
      <c r="I6923" t="s">
        <v>91</v>
      </c>
      <c r="J6923" t="s">
        <v>92</v>
      </c>
      <c r="K6923">
        <v>0</v>
      </c>
    </row>
    <row r="6924" spans="9:11">
      <c r="I6924" t="s">
        <v>94</v>
      </c>
      <c r="J6924" t="s">
        <v>95</v>
      </c>
      <c r="K6924">
        <v>0</v>
      </c>
    </row>
    <row r="6925" spans="9:11">
      <c r="I6925" t="s">
        <v>91</v>
      </c>
      <c r="J6925" t="s">
        <v>92</v>
      </c>
      <c r="K6925">
        <v>0</v>
      </c>
    </row>
    <row r="6926" spans="9:11">
      <c r="I6926" t="s">
        <v>91</v>
      </c>
      <c r="J6926" t="s">
        <v>92</v>
      </c>
      <c r="K6926">
        <v>0</v>
      </c>
    </row>
    <row r="6927" spans="9:11">
      <c r="I6927" t="s">
        <v>91</v>
      </c>
      <c r="J6927" t="s">
        <v>92</v>
      </c>
      <c r="K6927">
        <v>0</v>
      </c>
    </row>
    <row r="6928" spans="9:11">
      <c r="I6928" t="s">
        <v>94</v>
      </c>
      <c r="J6928" t="s">
        <v>95</v>
      </c>
      <c r="K6928">
        <v>0</v>
      </c>
    </row>
    <row r="6929" spans="9:11">
      <c r="I6929" t="s">
        <v>91</v>
      </c>
      <c r="J6929" t="s">
        <v>92</v>
      </c>
      <c r="K6929">
        <v>0</v>
      </c>
    </row>
    <row r="6930" spans="9:11">
      <c r="I6930" t="s">
        <v>91</v>
      </c>
      <c r="J6930" t="s">
        <v>92</v>
      </c>
      <c r="K6930">
        <v>0</v>
      </c>
    </row>
    <row r="6931" spans="9:11">
      <c r="I6931" t="s">
        <v>91</v>
      </c>
      <c r="J6931" t="s">
        <v>92</v>
      </c>
      <c r="K6931">
        <v>1</v>
      </c>
    </row>
    <row r="6932" spans="9:11">
      <c r="I6932" t="s">
        <v>94</v>
      </c>
      <c r="J6932" t="s">
        <v>95</v>
      </c>
      <c r="K6932">
        <v>0</v>
      </c>
    </row>
    <row r="6933" spans="9:11">
      <c r="I6933" t="s">
        <v>91</v>
      </c>
      <c r="J6933" t="s">
        <v>92</v>
      </c>
      <c r="K6933">
        <v>0</v>
      </c>
    </row>
    <row r="6934" spans="9:11">
      <c r="I6934" t="s">
        <v>91</v>
      </c>
      <c r="J6934" t="s">
        <v>92</v>
      </c>
      <c r="K6934">
        <v>0</v>
      </c>
    </row>
    <row r="6935" spans="9:11">
      <c r="I6935" t="s">
        <v>91</v>
      </c>
      <c r="J6935" t="s">
        <v>92</v>
      </c>
      <c r="K6935">
        <v>0</v>
      </c>
    </row>
    <row r="6936" spans="9:11">
      <c r="I6936" t="s">
        <v>91</v>
      </c>
      <c r="J6936" t="s">
        <v>92</v>
      </c>
      <c r="K6936">
        <v>0</v>
      </c>
    </row>
    <row r="6937" spans="9:11">
      <c r="I6937" t="s">
        <v>94</v>
      </c>
      <c r="J6937" t="s">
        <v>95</v>
      </c>
      <c r="K6937">
        <v>0</v>
      </c>
    </row>
    <row r="6938" spans="9:11">
      <c r="I6938" t="s">
        <v>94</v>
      </c>
      <c r="J6938" t="s">
        <v>95</v>
      </c>
      <c r="K6938">
        <v>0</v>
      </c>
    </row>
    <row r="6939" spans="9:11">
      <c r="I6939" t="s">
        <v>94</v>
      </c>
      <c r="J6939" t="s">
        <v>95</v>
      </c>
      <c r="K6939">
        <v>0</v>
      </c>
    </row>
    <row r="6940" spans="9:11">
      <c r="I6940" t="s">
        <v>94</v>
      </c>
      <c r="J6940" t="s">
        <v>95</v>
      </c>
      <c r="K6940">
        <v>0</v>
      </c>
    </row>
    <row r="6941" spans="9:11">
      <c r="I6941" t="s">
        <v>94</v>
      </c>
      <c r="J6941" t="s">
        <v>95</v>
      </c>
      <c r="K6941">
        <v>0</v>
      </c>
    </row>
    <row r="6942" spans="9:11">
      <c r="I6942" t="s">
        <v>94</v>
      </c>
      <c r="J6942" t="s">
        <v>95</v>
      </c>
      <c r="K6942">
        <v>0</v>
      </c>
    </row>
    <row r="6943" spans="9:11">
      <c r="I6943" t="s">
        <v>94</v>
      </c>
      <c r="J6943" t="s">
        <v>95</v>
      </c>
      <c r="K6943">
        <v>0</v>
      </c>
    </row>
    <row r="6944" spans="9:11">
      <c r="I6944" t="s">
        <v>91</v>
      </c>
      <c r="J6944" t="s">
        <v>92</v>
      </c>
      <c r="K6944">
        <v>0</v>
      </c>
    </row>
    <row r="6945" spans="9:11">
      <c r="I6945" t="s">
        <v>94</v>
      </c>
      <c r="J6945" t="s">
        <v>95</v>
      </c>
      <c r="K6945">
        <v>0</v>
      </c>
    </row>
    <row r="6946" spans="9:11">
      <c r="I6946" t="s">
        <v>91</v>
      </c>
      <c r="J6946" t="s">
        <v>92</v>
      </c>
      <c r="K6946">
        <v>0</v>
      </c>
    </row>
    <row r="6947" spans="9:11">
      <c r="I6947" t="s">
        <v>91</v>
      </c>
      <c r="J6947" t="s">
        <v>92</v>
      </c>
      <c r="K6947">
        <v>0</v>
      </c>
    </row>
    <row r="6948" spans="9:11">
      <c r="I6948" t="s">
        <v>94</v>
      </c>
      <c r="J6948" t="s">
        <v>95</v>
      </c>
      <c r="K6948">
        <v>0</v>
      </c>
    </row>
    <row r="6949" spans="9:11">
      <c r="I6949" t="s">
        <v>94</v>
      </c>
      <c r="J6949" t="s">
        <v>95</v>
      </c>
      <c r="K6949">
        <v>0</v>
      </c>
    </row>
    <row r="6950" spans="9:11">
      <c r="I6950" t="s">
        <v>91</v>
      </c>
      <c r="J6950" t="s">
        <v>92</v>
      </c>
      <c r="K6950">
        <v>0</v>
      </c>
    </row>
    <row r="6951" spans="9:11">
      <c r="I6951" t="s">
        <v>91</v>
      </c>
      <c r="J6951" t="s">
        <v>92</v>
      </c>
      <c r="K6951">
        <v>0</v>
      </c>
    </row>
    <row r="6952" spans="9:11">
      <c r="I6952" t="s">
        <v>94</v>
      </c>
      <c r="J6952" t="s">
        <v>95</v>
      </c>
      <c r="K6952">
        <v>0</v>
      </c>
    </row>
    <row r="6953" spans="9:11">
      <c r="I6953" t="s">
        <v>94</v>
      </c>
      <c r="J6953" t="s">
        <v>95</v>
      </c>
      <c r="K6953">
        <v>0</v>
      </c>
    </row>
    <row r="6954" spans="9:11">
      <c r="I6954" t="s">
        <v>91</v>
      </c>
      <c r="J6954" t="s">
        <v>92</v>
      </c>
      <c r="K6954">
        <v>0</v>
      </c>
    </row>
    <row r="6955" spans="9:11">
      <c r="I6955" t="s">
        <v>91</v>
      </c>
      <c r="J6955" t="s">
        <v>92</v>
      </c>
      <c r="K6955">
        <v>1</v>
      </c>
    </row>
    <row r="6956" spans="9:11">
      <c r="I6956" t="s">
        <v>91</v>
      </c>
      <c r="J6956" t="s">
        <v>92</v>
      </c>
      <c r="K6956">
        <v>0</v>
      </c>
    </row>
    <row r="6957" spans="9:11">
      <c r="I6957" t="s">
        <v>94</v>
      </c>
      <c r="J6957" t="s">
        <v>95</v>
      </c>
      <c r="K6957">
        <v>0</v>
      </c>
    </row>
    <row r="6958" spans="9:11">
      <c r="I6958" t="s">
        <v>91</v>
      </c>
      <c r="J6958" t="s">
        <v>92</v>
      </c>
      <c r="K6958">
        <v>0</v>
      </c>
    </row>
    <row r="6959" spans="9:11">
      <c r="I6959" t="s">
        <v>91</v>
      </c>
      <c r="J6959" t="s">
        <v>92</v>
      </c>
      <c r="K6959">
        <v>0</v>
      </c>
    </row>
    <row r="6960" spans="9:11">
      <c r="I6960" t="s">
        <v>91</v>
      </c>
      <c r="J6960" t="s">
        <v>92</v>
      </c>
      <c r="K6960">
        <v>0</v>
      </c>
    </row>
    <row r="6961" spans="9:11">
      <c r="I6961" t="s">
        <v>91</v>
      </c>
      <c r="J6961" t="s">
        <v>92</v>
      </c>
      <c r="K6961">
        <v>0</v>
      </c>
    </row>
    <row r="6962" spans="9:11">
      <c r="I6962" t="s">
        <v>91</v>
      </c>
      <c r="J6962" t="s">
        <v>92</v>
      </c>
      <c r="K6962">
        <v>0</v>
      </c>
    </row>
    <row r="6963" spans="9:11">
      <c r="I6963" t="s">
        <v>94</v>
      </c>
      <c r="J6963" t="s">
        <v>95</v>
      </c>
      <c r="K6963">
        <v>0</v>
      </c>
    </row>
    <row r="6964" spans="9:11">
      <c r="I6964" t="s">
        <v>91</v>
      </c>
      <c r="J6964" t="s">
        <v>92</v>
      </c>
      <c r="K6964">
        <v>0</v>
      </c>
    </row>
    <row r="6965" spans="9:11">
      <c r="I6965" t="s">
        <v>91</v>
      </c>
      <c r="J6965" t="s">
        <v>92</v>
      </c>
      <c r="K6965">
        <v>0</v>
      </c>
    </row>
    <row r="6966" spans="9:11">
      <c r="I6966" t="s">
        <v>91</v>
      </c>
      <c r="J6966" t="s">
        <v>92</v>
      </c>
      <c r="K6966">
        <v>0</v>
      </c>
    </row>
    <row r="6967" spans="9:11">
      <c r="I6967" t="s">
        <v>91</v>
      </c>
      <c r="J6967" t="s">
        <v>92</v>
      </c>
      <c r="K6967">
        <v>0</v>
      </c>
    </row>
    <row r="6968" spans="9:11">
      <c r="I6968" t="s">
        <v>94</v>
      </c>
      <c r="J6968" t="s">
        <v>95</v>
      </c>
      <c r="K6968">
        <v>0</v>
      </c>
    </row>
    <row r="6969" spans="9:11">
      <c r="I6969" t="s">
        <v>91</v>
      </c>
      <c r="J6969" t="s">
        <v>92</v>
      </c>
      <c r="K6969">
        <v>0</v>
      </c>
    </row>
    <row r="6970" spans="9:11">
      <c r="I6970" t="s">
        <v>94</v>
      </c>
      <c r="J6970" t="s">
        <v>95</v>
      </c>
      <c r="K6970">
        <v>0</v>
      </c>
    </row>
    <row r="6971" spans="9:11">
      <c r="I6971" t="s">
        <v>91</v>
      </c>
      <c r="J6971" t="s">
        <v>92</v>
      </c>
      <c r="K6971">
        <v>0</v>
      </c>
    </row>
    <row r="6972" spans="9:11">
      <c r="I6972" t="s">
        <v>94</v>
      </c>
      <c r="J6972" t="s">
        <v>95</v>
      </c>
      <c r="K6972">
        <v>0</v>
      </c>
    </row>
    <row r="6973" spans="9:11">
      <c r="I6973" t="s">
        <v>94</v>
      </c>
      <c r="J6973" t="s">
        <v>95</v>
      </c>
      <c r="K6973">
        <v>0</v>
      </c>
    </row>
    <row r="6974" spans="9:11">
      <c r="I6974" t="s">
        <v>94</v>
      </c>
      <c r="J6974" t="s">
        <v>95</v>
      </c>
      <c r="K6974">
        <v>0</v>
      </c>
    </row>
    <row r="6975" spans="9:11">
      <c r="I6975" t="s">
        <v>91</v>
      </c>
      <c r="J6975" t="s">
        <v>92</v>
      </c>
      <c r="K6975">
        <v>0</v>
      </c>
    </row>
    <row r="6976" spans="9:11">
      <c r="I6976" t="s">
        <v>91</v>
      </c>
      <c r="J6976" t="s">
        <v>92</v>
      </c>
      <c r="K6976">
        <v>0</v>
      </c>
    </row>
    <row r="6977" spans="9:11">
      <c r="I6977" t="s">
        <v>94</v>
      </c>
      <c r="J6977" t="s">
        <v>95</v>
      </c>
      <c r="K6977">
        <v>0</v>
      </c>
    </row>
    <row r="6978" spans="9:11">
      <c r="I6978" t="s">
        <v>94</v>
      </c>
      <c r="J6978" t="s">
        <v>95</v>
      </c>
      <c r="K6978">
        <v>0</v>
      </c>
    </row>
    <row r="6979" spans="9:11">
      <c r="I6979" t="s">
        <v>91</v>
      </c>
      <c r="J6979" t="s">
        <v>92</v>
      </c>
      <c r="K6979">
        <v>0</v>
      </c>
    </row>
    <row r="6980" spans="9:11">
      <c r="I6980" t="s">
        <v>91</v>
      </c>
      <c r="J6980" t="s">
        <v>92</v>
      </c>
      <c r="K6980">
        <v>0</v>
      </c>
    </row>
    <row r="6981" spans="9:11">
      <c r="I6981" t="s">
        <v>91</v>
      </c>
      <c r="J6981" t="s">
        <v>92</v>
      </c>
      <c r="K6981">
        <v>0</v>
      </c>
    </row>
    <row r="6982" spans="9:11">
      <c r="I6982" t="s">
        <v>91</v>
      </c>
      <c r="J6982" t="s">
        <v>92</v>
      </c>
      <c r="K6982">
        <v>0</v>
      </c>
    </row>
    <row r="6983" spans="9:11">
      <c r="I6983" t="s">
        <v>91</v>
      </c>
      <c r="J6983" t="s">
        <v>92</v>
      </c>
      <c r="K6983">
        <v>0</v>
      </c>
    </row>
    <row r="6984" spans="9:11">
      <c r="I6984" t="s">
        <v>91</v>
      </c>
      <c r="J6984" t="s">
        <v>92</v>
      </c>
      <c r="K6984">
        <v>0</v>
      </c>
    </row>
    <row r="6985" spans="9:11">
      <c r="I6985" t="s">
        <v>94</v>
      </c>
      <c r="J6985" t="s">
        <v>95</v>
      </c>
      <c r="K6985">
        <v>0</v>
      </c>
    </row>
    <row r="6986" spans="9:11">
      <c r="I6986" t="s">
        <v>94</v>
      </c>
      <c r="J6986" t="s">
        <v>95</v>
      </c>
      <c r="K6986">
        <v>0</v>
      </c>
    </row>
    <row r="6987" spans="9:11">
      <c r="I6987" t="s">
        <v>94</v>
      </c>
      <c r="J6987" t="s">
        <v>95</v>
      </c>
      <c r="K6987">
        <v>0</v>
      </c>
    </row>
    <row r="6988" spans="9:11">
      <c r="I6988" t="s">
        <v>94</v>
      </c>
      <c r="J6988" t="s">
        <v>95</v>
      </c>
      <c r="K6988">
        <v>0</v>
      </c>
    </row>
    <row r="6989" spans="9:11">
      <c r="I6989" t="s">
        <v>94</v>
      </c>
      <c r="J6989" t="s">
        <v>95</v>
      </c>
      <c r="K6989">
        <v>0</v>
      </c>
    </row>
    <row r="6990" spans="9:11">
      <c r="I6990" t="s">
        <v>91</v>
      </c>
      <c r="J6990" t="s">
        <v>92</v>
      </c>
      <c r="K6990">
        <v>0</v>
      </c>
    </row>
    <row r="6991" spans="9:11">
      <c r="I6991" t="s">
        <v>94</v>
      </c>
      <c r="J6991" t="s">
        <v>95</v>
      </c>
      <c r="K6991">
        <v>0</v>
      </c>
    </row>
    <row r="6992" spans="9:11">
      <c r="I6992" t="s">
        <v>94</v>
      </c>
      <c r="J6992" t="s">
        <v>95</v>
      </c>
      <c r="K6992">
        <v>0</v>
      </c>
    </row>
    <row r="6993" spans="9:11">
      <c r="I6993" t="s">
        <v>94</v>
      </c>
      <c r="J6993" t="s">
        <v>95</v>
      </c>
      <c r="K6993">
        <v>0</v>
      </c>
    </row>
    <row r="6994" spans="9:11">
      <c r="I6994" t="s">
        <v>94</v>
      </c>
      <c r="J6994" t="s">
        <v>95</v>
      </c>
      <c r="K6994">
        <v>0</v>
      </c>
    </row>
    <row r="6995" spans="9:11">
      <c r="I6995" t="s">
        <v>91</v>
      </c>
      <c r="J6995" t="s">
        <v>92</v>
      </c>
      <c r="K6995">
        <v>0</v>
      </c>
    </row>
    <row r="6996" spans="9:11">
      <c r="I6996" t="s">
        <v>91</v>
      </c>
      <c r="J6996" t="s">
        <v>92</v>
      </c>
      <c r="K6996">
        <v>0</v>
      </c>
    </row>
    <row r="6997" spans="9:11">
      <c r="I6997" t="s">
        <v>94</v>
      </c>
      <c r="J6997" t="s">
        <v>95</v>
      </c>
      <c r="K6997">
        <v>0</v>
      </c>
    </row>
    <row r="6998" spans="9:11">
      <c r="I6998" t="s">
        <v>94</v>
      </c>
      <c r="J6998" t="s">
        <v>95</v>
      </c>
      <c r="K6998">
        <v>0</v>
      </c>
    </row>
    <row r="6999" spans="9:11">
      <c r="I6999" t="s">
        <v>94</v>
      </c>
      <c r="J6999" t="s">
        <v>95</v>
      </c>
      <c r="K6999">
        <v>0</v>
      </c>
    </row>
    <row r="7000" spans="9:11">
      <c r="I7000" t="s">
        <v>94</v>
      </c>
      <c r="J7000" t="s">
        <v>95</v>
      </c>
      <c r="K7000">
        <v>0</v>
      </c>
    </row>
    <row r="7001" spans="9:11">
      <c r="I7001" t="s">
        <v>94</v>
      </c>
      <c r="J7001" t="s">
        <v>95</v>
      </c>
      <c r="K7001">
        <v>0</v>
      </c>
    </row>
    <row r="7002" spans="9:11">
      <c r="I7002" t="s">
        <v>91</v>
      </c>
      <c r="J7002" t="s">
        <v>92</v>
      </c>
      <c r="K7002">
        <v>0</v>
      </c>
    </row>
    <row r="7003" spans="9:11">
      <c r="I7003" t="s">
        <v>94</v>
      </c>
      <c r="J7003" t="s">
        <v>95</v>
      </c>
      <c r="K7003">
        <v>0</v>
      </c>
    </row>
    <row r="7004" spans="9:11">
      <c r="I7004" t="s">
        <v>91</v>
      </c>
      <c r="J7004" t="s">
        <v>92</v>
      </c>
      <c r="K7004">
        <v>0</v>
      </c>
    </row>
    <row r="7005" spans="9:11">
      <c r="I7005" t="s">
        <v>94</v>
      </c>
      <c r="J7005" t="s">
        <v>95</v>
      </c>
      <c r="K7005">
        <v>0</v>
      </c>
    </row>
    <row r="7006" spans="9:11">
      <c r="I7006" t="s">
        <v>94</v>
      </c>
      <c r="J7006" t="s">
        <v>95</v>
      </c>
      <c r="K7006">
        <v>0</v>
      </c>
    </row>
    <row r="7007" spans="9:11">
      <c r="I7007" t="s">
        <v>94</v>
      </c>
      <c r="J7007" t="s">
        <v>95</v>
      </c>
      <c r="K7007">
        <v>0</v>
      </c>
    </row>
    <row r="7008" spans="9:11">
      <c r="I7008" t="s">
        <v>94</v>
      </c>
      <c r="J7008" t="s">
        <v>95</v>
      </c>
      <c r="K7008">
        <v>0</v>
      </c>
    </row>
    <row r="7009" spans="9:11">
      <c r="I7009" t="s">
        <v>91</v>
      </c>
      <c r="J7009" t="s">
        <v>92</v>
      </c>
      <c r="K7009">
        <v>0</v>
      </c>
    </row>
    <row r="7010" spans="9:11">
      <c r="I7010" t="s">
        <v>94</v>
      </c>
      <c r="J7010" t="s">
        <v>95</v>
      </c>
      <c r="K7010">
        <v>0</v>
      </c>
    </row>
    <row r="7011" spans="9:11">
      <c r="I7011" t="s">
        <v>91</v>
      </c>
      <c r="J7011" t="s">
        <v>92</v>
      </c>
      <c r="K7011">
        <v>0</v>
      </c>
    </row>
    <row r="7012" spans="9:11">
      <c r="I7012" t="s">
        <v>91</v>
      </c>
      <c r="J7012" t="s">
        <v>92</v>
      </c>
      <c r="K7012">
        <v>0</v>
      </c>
    </row>
    <row r="7013" spans="9:11">
      <c r="I7013" t="s">
        <v>94</v>
      </c>
      <c r="J7013" t="s">
        <v>95</v>
      </c>
      <c r="K7013">
        <v>0</v>
      </c>
    </row>
    <row r="7014" spans="9:11">
      <c r="I7014" t="s">
        <v>91</v>
      </c>
      <c r="J7014" t="s">
        <v>92</v>
      </c>
      <c r="K7014">
        <v>0</v>
      </c>
    </row>
    <row r="7015" spans="9:11">
      <c r="I7015" t="s">
        <v>91</v>
      </c>
      <c r="J7015" t="s">
        <v>92</v>
      </c>
      <c r="K7015">
        <v>0</v>
      </c>
    </row>
    <row r="7016" spans="9:11">
      <c r="I7016" t="s">
        <v>94</v>
      </c>
      <c r="J7016" t="s">
        <v>95</v>
      </c>
      <c r="K7016">
        <v>0</v>
      </c>
    </row>
    <row r="7017" spans="9:11">
      <c r="I7017" t="s">
        <v>94</v>
      </c>
      <c r="J7017" t="s">
        <v>95</v>
      </c>
      <c r="K7017">
        <v>0</v>
      </c>
    </row>
    <row r="7018" spans="9:11">
      <c r="I7018" t="s">
        <v>91</v>
      </c>
      <c r="J7018" t="s">
        <v>92</v>
      </c>
      <c r="K7018">
        <v>0</v>
      </c>
    </row>
    <row r="7019" spans="9:11">
      <c r="I7019" t="s">
        <v>91</v>
      </c>
      <c r="J7019" t="s">
        <v>92</v>
      </c>
      <c r="K7019">
        <v>0</v>
      </c>
    </row>
    <row r="7020" spans="9:11">
      <c r="I7020" t="s">
        <v>91</v>
      </c>
      <c r="J7020" t="s">
        <v>92</v>
      </c>
      <c r="K7020">
        <v>0</v>
      </c>
    </row>
    <row r="7021" spans="9:11">
      <c r="I7021" t="s">
        <v>91</v>
      </c>
      <c r="J7021" t="s">
        <v>92</v>
      </c>
      <c r="K7021">
        <v>0</v>
      </c>
    </row>
    <row r="7022" spans="9:11">
      <c r="I7022" t="s">
        <v>91</v>
      </c>
      <c r="J7022" t="s">
        <v>92</v>
      </c>
      <c r="K7022">
        <v>0</v>
      </c>
    </row>
    <row r="7023" spans="9:11">
      <c r="I7023" t="s">
        <v>91</v>
      </c>
      <c r="J7023" t="s">
        <v>92</v>
      </c>
      <c r="K7023">
        <v>0</v>
      </c>
    </row>
    <row r="7024" spans="9:11">
      <c r="I7024" t="s">
        <v>94</v>
      </c>
      <c r="J7024" t="s">
        <v>95</v>
      </c>
      <c r="K7024">
        <v>0</v>
      </c>
    </row>
    <row r="7025" spans="9:11">
      <c r="I7025" t="s">
        <v>91</v>
      </c>
      <c r="J7025" t="s">
        <v>92</v>
      </c>
      <c r="K7025">
        <v>0</v>
      </c>
    </row>
    <row r="7026" spans="9:11">
      <c r="I7026" t="s">
        <v>91</v>
      </c>
      <c r="J7026" t="s">
        <v>92</v>
      </c>
      <c r="K7026">
        <v>0</v>
      </c>
    </row>
    <row r="7027" spans="9:11">
      <c r="I7027" t="s">
        <v>91</v>
      </c>
      <c r="J7027" t="s">
        <v>92</v>
      </c>
      <c r="K7027">
        <v>0</v>
      </c>
    </row>
    <row r="7028" spans="9:11">
      <c r="I7028" t="s">
        <v>94</v>
      </c>
      <c r="J7028" t="s">
        <v>95</v>
      </c>
      <c r="K7028">
        <v>0</v>
      </c>
    </row>
    <row r="7029" spans="9:11">
      <c r="I7029" t="s">
        <v>94</v>
      </c>
      <c r="J7029" t="s">
        <v>95</v>
      </c>
      <c r="K7029">
        <v>0</v>
      </c>
    </row>
    <row r="7030" spans="9:11">
      <c r="I7030" t="s">
        <v>91</v>
      </c>
      <c r="J7030" t="s">
        <v>92</v>
      </c>
      <c r="K7030">
        <v>0</v>
      </c>
    </row>
    <row r="7031" spans="9:11">
      <c r="I7031" t="s">
        <v>91</v>
      </c>
      <c r="J7031" t="s">
        <v>92</v>
      </c>
      <c r="K7031">
        <v>0</v>
      </c>
    </row>
    <row r="7032" spans="9:11">
      <c r="I7032" t="s">
        <v>94</v>
      </c>
      <c r="J7032" t="s">
        <v>95</v>
      </c>
      <c r="K7032">
        <v>0</v>
      </c>
    </row>
    <row r="7033" spans="9:11">
      <c r="I7033" t="s">
        <v>94</v>
      </c>
      <c r="J7033" t="s">
        <v>95</v>
      </c>
      <c r="K7033">
        <v>0</v>
      </c>
    </row>
    <row r="7034" spans="9:11">
      <c r="I7034" t="s">
        <v>94</v>
      </c>
      <c r="J7034" t="s">
        <v>95</v>
      </c>
      <c r="K7034">
        <v>0</v>
      </c>
    </row>
    <row r="7035" spans="9:11">
      <c r="I7035" t="s">
        <v>91</v>
      </c>
      <c r="J7035" t="s">
        <v>92</v>
      </c>
      <c r="K7035">
        <v>0</v>
      </c>
    </row>
    <row r="7036" spans="9:11">
      <c r="I7036" t="s">
        <v>91</v>
      </c>
      <c r="J7036" t="s">
        <v>92</v>
      </c>
      <c r="K7036">
        <v>0</v>
      </c>
    </row>
    <row r="7037" spans="9:11">
      <c r="I7037" t="s">
        <v>91</v>
      </c>
      <c r="J7037" t="s">
        <v>92</v>
      </c>
      <c r="K7037">
        <v>0</v>
      </c>
    </row>
    <row r="7038" spans="9:11">
      <c r="I7038" t="s">
        <v>94</v>
      </c>
      <c r="J7038" t="s">
        <v>95</v>
      </c>
      <c r="K7038">
        <v>0</v>
      </c>
    </row>
    <row r="7039" spans="9:11">
      <c r="I7039" t="s">
        <v>91</v>
      </c>
      <c r="J7039" t="s">
        <v>92</v>
      </c>
      <c r="K7039">
        <v>0</v>
      </c>
    </row>
    <row r="7040" spans="9:11">
      <c r="I7040" t="s">
        <v>91</v>
      </c>
      <c r="J7040" t="s">
        <v>92</v>
      </c>
      <c r="K7040">
        <v>0</v>
      </c>
    </row>
    <row r="7041" spans="9:11">
      <c r="I7041" t="s">
        <v>94</v>
      </c>
      <c r="J7041" t="s">
        <v>95</v>
      </c>
      <c r="K7041">
        <v>0</v>
      </c>
    </row>
    <row r="7042" spans="9:11">
      <c r="I7042" t="s">
        <v>94</v>
      </c>
      <c r="J7042" t="s">
        <v>95</v>
      </c>
      <c r="K7042">
        <v>0</v>
      </c>
    </row>
    <row r="7043" spans="9:11">
      <c r="I7043" t="s">
        <v>94</v>
      </c>
      <c r="J7043" t="s">
        <v>95</v>
      </c>
      <c r="K7043">
        <v>0</v>
      </c>
    </row>
    <row r="7044" spans="9:11">
      <c r="I7044" t="s">
        <v>91</v>
      </c>
      <c r="J7044" t="s">
        <v>92</v>
      </c>
      <c r="K7044">
        <v>0</v>
      </c>
    </row>
    <row r="7045" spans="9:11">
      <c r="I7045" t="s">
        <v>91</v>
      </c>
      <c r="J7045" t="s">
        <v>92</v>
      </c>
      <c r="K7045">
        <v>0</v>
      </c>
    </row>
    <row r="7046" spans="9:11">
      <c r="I7046" t="s">
        <v>94</v>
      </c>
      <c r="J7046" t="s">
        <v>95</v>
      </c>
      <c r="K7046">
        <v>0</v>
      </c>
    </row>
    <row r="7047" spans="9:11">
      <c r="I7047" t="s">
        <v>94</v>
      </c>
      <c r="J7047" t="s">
        <v>95</v>
      </c>
      <c r="K7047">
        <v>0</v>
      </c>
    </row>
    <row r="7048" spans="9:11">
      <c r="I7048" t="s">
        <v>94</v>
      </c>
      <c r="J7048" t="s">
        <v>95</v>
      </c>
      <c r="K7048">
        <v>0</v>
      </c>
    </row>
    <row r="7049" spans="9:11">
      <c r="I7049" t="s">
        <v>94</v>
      </c>
      <c r="J7049" t="s">
        <v>95</v>
      </c>
      <c r="K7049">
        <v>0</v>
      </c>
    </row>
    <row r="7050" spans="9:11">
      <c r="I7050" t="s">
        <v>91</v>
      </c>
      <c r="J7050" t="s">
        <v>92</v>
      </c>
      <c r="K7050">
        <v>0</v>
      </c>
    </row>
    <row r="7051" spans="9:11">
      <c r="I7051" t="s">
        <v>94</v>
      </c>
      <c r="J7051" t="s">
        <v>95</v>
      </c>
      <c r="K7051">
        <v>0</v>
      </c>
    </row>
    <row r="7052" spans="9:11">
      <c r="I7052" t="s">
        <v>94</v>
      </c>
      <c r="J7052" t="s">
        <v>95</v>
      </c>
      <c r="K7052">
        <v>0</v>
      </c>
    </row>
    <row r="7053" spans="9:11">
      <c r="I7053" t="s">
        <v>94</v>
      </c>
      <c r="J7053" t="s">
        <v>95</v>
      </c>
      <c r="K7053">
        <v>0</v>
      </c>
    </row>
    <row r="7054" spans="9:11">
      <c r="I7054" t="s">
        <v>94</v>
      </c>
      <c r="J7054" t="s">
        <v>95</v>
      </c>
      <c r="K7054">
        <v>0</v>
      </c>
    </row>
    <row r="7055" spans="9:11">
      <c r="I7055" t="s">
        <v>94</v>
      </c>
      <c r="J7055" t="s">
        <v>95</v>
      </c>
      <c r="K7055">
        <v>0</v>
      </c>
    </row>
    <row r="7056" spans="9:11">
      <c r="I7056" t="s">
        <v>91</v>
      </c>
      <c r="J7056" t="s">
        <v>92</v>
      </c>
      <c r="K7056">
        <v>0</v>
      </c>
    </row>
    <row r="7057" spans="9:11">
      <c r="I7057" t="s">
        <v>94</v>
      </c>
      <c r="J7057" t="s">
        <v>95</v>
      </c>
      <c r="K7057">
        <v>0</v>
      </c>
    </row>
    <row r="7058" spans="9:11">
      <c r="I7058" t="s">
        <v>91</v>
      </c>
      <c r="J7058" t="s">
        <v>92</v>
      </c>
      <c r="K7058">
        <v>0</v>
      </c>
    </row>
    <row r="7059" spans="9:11">
      <c r="I7059" t="s">
        <v>94</v>
      </c>
      <c r="J7059" t="s">
        <v>95</v>
      </c>
      <c r="K7059">
        <v>0</v>
      </c>
    </row>
    <row r="7060" spans="9:11">
      <c r="I7060" t="s">
        <v>94</v>
      </c>
      <c r="J7060" t="s">
        <v>95</v>
      </c>
      <c r="K7060">
        <v>0</v>
      </c>
    </row>
    <row r="7061" spans="9:11">
      <c r="I7061" t="s">
        <v>94</v>
      </c>
      <c r="J7061" t="s">
        <v>95</v>
      </c>
      <c r="K7061">
        <v>0</v>
      </c>
    </row>
    <row r="7062" spans="9:11">
      <c r="I7062" t="s">
        <v>94</v>
      </c>
      <c r="J7062" t="s">
        <v>95</v>
      </c>
      <c r="K7062">
        <v>0</v>
      </c>
    </row>
    <row r="7063" spans="9:11">
      <c r="I7063" t="s">
        <v>94</v>
      </c>
      <c r="J7063" t="s">
        <v>95</v>
      </c>
      <c r="K7063">
        <v>0</v>
      </c>
    </row>
    <row r="7064" spans="9:11">
      <c r="I7064" t="s">
        <v>94</v>
      </c>
      <c r="J7064" t="s">
        <v>95</v>
      </c>
      <c r="K7064">
        <v>0</v>
      </c>
    </row>
    <row r="7065" spans="9:11">
      <c r="I7065" t="s">
        <v>91</v>
      </c>
      <c r="J7065" t="s">
        <v>92</v>
      </c>
      <c r="K7065">
        <v>0</v>
      </c>
    </row>
    <row r="7066" spans="9:11">
      <c r="I7066" t="s">
        <v>91</v>
      </c>
      <c r="J7066" t="s">
        <v>92</v>
      </c>
      <c r="K7066">
        <v>0</v>
      </c>
    </row>
    <row r="7067" spans="9:11">
      <c r="I7067" t="s">
        <v>94</v>
      </c>
      <c r="J7067" t="s">
        <v>95</v>
      </c>
      <c r="K7067">
        <v>1</v>
      </c>
    </row>
    <row r="7068" spans="9:11">
      <c r="I7068" t="s">
        <v>94</v>
      </c>
      <c r="J7068" t="s">
        <v>95</v>
      </c>
      <c r="K7068">
        <v>0</v>
      </c>
    </row>
    <row r="7069" spans="9:11">
      <c r="I7069" t="s">
        <v>94</v>
      </c>
      <c r="J7069" t="s">
        <v>95</v>
      </c>
      <c r="K7069">
        <v>0</v>
      </c>
    </row>
    <row r="7070" spans="9:11">
      <c r="I7070" t="s">
        <v>94</v>
      </c>
      <c r="J7070" t="s">
        <v>95</v>
      </c>
      <c r="K7070">
        <v>0</v>
      </c>
    </row>
    <row r="7071" spans="9:11">
      <c r="I7071" t="s">
        <v>94</v>
      </c>
      <c r="J7071" t="s">
        <v>95</v>
      </c>
      <c r="K7071">
        <v>0</v>
      </c>
    </row>
    <row r="7072" spans="9:11">
      <c r="I7072" t="s">
        <v>91</v>
      </c>
      <c r="J7072" t="s">
        <v>92</v>
      </c>
      <c r="K7072">
        <v>0</v>
      </c>
    </row>
    <row r="7073" spans="9:11">
      <c r="I7073" t="s">
        <v>91</v>
      </c>
      <c r="J7073" t="s">
        <v>92</v>
      </c>
      <c r="K7073">
        <v>0</v>
      </c>
    </row>
    <row r="7074" spans="9:11">
      <c r="I7074" t="s">
        <v>94</v>
      </c>
      <c r="J7074" t="s">
        <v>95</v>
      </c>
      <c r="K7074">
        <v>0</v>
      </c>
    </row>
    <row r="7075" spans="9:11">
      <c r="I7075" t="s">
        <v>91</v>
      </c>
      <c r="J7075" t="s">
        <v>92</v>
      </c>
      <c r="K7075">
        <v>0</v>
      </c>
    </row>
    <row r="7076" spans="9:11">
      <c r="I7076" t="s">
        <v>94</v>
      </c>
      <c r="J7076" t="s">
        <v>95</v>
      </c>
      <c r="K7076">
        <v>0</v>
      </c>
    </row>
    <row r="7077" spans="9:11">
      <c r="I7077" t="s">
        <v>91</v>
      </c>
      <c r="J7077" t="s">
        <v>92</v>
      </c>
      <c r="K7077">
        <v>0</v>
      </c>
    </row>
    <row r="7078" spans="9:11">
      <c r="I7078" t="s">
        <v>94</v>
      </c>
      <c r="J7078" t="s">
        <v>95</v>
      </c>
      <c r="K7078">
        <v>0</v>
      </c>
    </row>
    <row r="7079" spans="9:11">
      <c r="I7079" t="s">
        <v>91</v>
      </c>
      <c r="J7079" t="s">
        <v>92</v>
      </c>
      <c r="K7079">
        <v>0</v>
      </c>
    </row>
    <row r="7080" spans="9:11">
      <c r="I7080" t="s">
        <v>94</v>
      </c>
      <c r="J7080" t="s">
        <v>95</v>
      </c>
      <c r="K7080">
        <v>0</v>
      </c>
    </row>
    <row r="7081" spans="9:11">
      <c r="I7081" t="s">
        <v>94</v>
      </c>
      <c r="J7081" t="s">
        <v>95</v>
      </c>
      <c r="K7081">
        <v>0</v>
      </c>
    </row>
    <row r="7082" spans="9:11">
      <c r="I7082" t="s">
        <v>91</v>
      </c>
      <c r="J7082" t="s">
        <v>92</v>
      </c>
      <c r="K7082">
        <v>0</v>
      </c>
    </row>
    <row r="7083" spans="9:11">
      <c r="I7083" t="s">
        <v>91</v>
      </c>
      <c r="J7083" t="s">
        <v>92</v>
      </c>
      <c r="K7083">
        <v>0</v>
      </c>
    </row>
    <row r="7084" spans="9:11">
      <c r="I7084" t="s">
        <v>94</v>
      </c>
      <c r="J7084" t="s">
        <v>95</v>
      </c>
      <c r="K7084">
        <v>0</v>
      </c>
    </row>
    <row r="7085" spans="9:11">
      <c r="I7085" t="s">
        <v>94</v>
      </c>
      <c r="J7085" t="s">
        <v>95</v>
      </c>
      <c r="K7085">
        <v>0</v>
      </c>
    </row>
    <row r="7086" spans="9:11">
      <c r="I7086" t="s">
        <v>91</v>
      </c>
      <c r="J7086" t="s">
        <v>92</v>
      </c>
      <c r="K7086">
        <v>0</v>
      </c>
    </row>
    <row r="7087" spans="9:11">
      <c r="I7087" t="s">
        <v>94</v>
      </c>
      <c r="J7087" t="s">
        <v>95</v>
      </c>
      <c r="K7087">
        <v>0</v>
      </c>
    </row>
    <row r="7088" spans="9:11">
      <c r="I7088" t="s">
        <v>94</v>
      </c>
      <c r="J7088" t="s">
        <v>95</v>
      </c>
      <c r="K7088">
        <v>0</v>
      </c>
    </row>
    <row r="7089" spans="9:11">
      <c r="I7089" t="s">
        <v>94</v>
      </c>
      <c r="J7089" t="s">
        <v>95</v>
      </c>
      <c r="K7089">
        <v>0</v>
      </c>
    </row>
    <row r="7090" spans="9:11">
      <c r="I7090" t="s">
        <v>94</v>
      </c>
      <c r="J7090" t="s">
        <v>95</v>
      </c>
      <c r="K7090">
        <v>0</v>
      </c>
    </row>
    <row r="7091" spans="9:11">
      <c r="I7091" t="s">
        <v>91</v>
      </c>
      <c r="J7091" t="s">
        <v>92</v>
      </c>
      <c r="K7091">
        <v>1</v>
      </c>
    </row>
    <row r="7092" spans="9:11">
      <c r="I7092" t="s">
        <v>94</v>
      </c>
      <c r="J7092" t="s">
        <v>95</v>
      </c>
      <c r="K7092">
        <v>0</v>
      </c>
    </row>
    <row r="7093" spans="9:11">
      <c r="I7093" t="s">
        <v>91</v>
      </c>
      <c r="J7093" t="s">
        <v>92</v>
      </c>
      <c r="K7093">
        <v>0</v>
      </c>
    </row>
    <row r="7094" spans="9:11">
      <c r="I7094" t="s">
        <v>91</v>
      </c>
      <c r="J7094" t="s">
        <v>92</v>
      </c>
      <c r="K7094">
        <v>0</v>
      </c>
    </row>
    <row r="7095" spans="9:11">
      <c r="I7095" t="s">
        <v>91</v>
      </c>
      <c r="J7095" t="s">
        <v>92</v>
      </c>
      <c r="K7095">
        <v>0</v>
      </c>
    </row>
    <row r="7096" spans="9:11">
      <c r="I7096" t="s">
        <v>91</v>
      </c>
      <c r="J7096" t="s">
        <v>92</v>
      </c>
      <c r="K7096">
        <v>0</v>
      </c>
    </row>
    <row r="7097" spans="9:11">
      <c r="I7097" t="s">
        <v>94</v>
      </c>
      <c r="J7097" t="s">
        <v>95</v>
      </c>
      <c r="K7097">
        <v>0</v>
      </c>
    </row>
    <row r="7098" spans="9:11">
      <c r="I7098" t="s">
        <v>94</v>
      </c>
      <c r="J7098" t="s">
        <v>95</v>
      </c>
      <c r="K7098">
        <v>0</v>
      </c>
    </row>
    <row r="7099" spans="9:11">
      <c r="I7099" t="s">
        <v>91</v>
      </c>
      <c r="J7099" t="s">
        <v>92</v>
      </c>
      <c r="K7099">
        <v>0</v>
      </c>
    </row>
    <row r="7100" spans="9:11">
      <c r="I7100" t="s">
        <v>91</v>
      </c>
      <c r="J7100" t="s">
        <v>92</v>
      </c>
      <c r="K7100">
        <v>0</v>
      </c>
    </row>
    <row r="7101" spans="9:11">
      <c r="I7101" t="s">
        <v>91</v>
      </c>
      <c r="J7101" t="s">
        <v>92</v>
      </c>
      <c r="K7101">
        <v>0</v>
      </c>
    </row>
    <row r="7102" spans="9:11">
      <c r="I7102" t="s">
        <v>91</v>
      </c>
      <c r="J7102" t="s">
        <v>92</v>
      </c>
      <c r="K7102">
        <v>0</v>
      </c>
    </row>
    <row r="7103" spans="9:11">
      <c r="I7103" t="s">
        <v>91</v>
      </c>
      <c r="J7103" t="s">
        <v>92</v>
      </c>
      <c r="K7103">
        <v>0</v>
      </c>
    </row>
    <row r="7104" spans="9:11">
      <c r="I7104" t="s">
        <v>91</v>
      </c>
      <c r="J7104" t="s">
        <v>92</v>
      </c>
      <c r="K7104">
        <v>0</v>
      </c>
    </row>
    <row r="7105" spans="9:11">
      <c r="I7105" t="s">
        <v>94</v>
      </c>
      <c r="J7105" t="s">
        <v>95</v>
      </c>
      <c r="K7105">
        <v>0</v>
      </c>
    </row>
    <row r="7106" spans="9:11">
      <c r="I7106" t="s">
        <v>91</v>
      </c>
      <c r="J7106" t="s">
        <v>92</v>
      </c>
      <c r="K7106">
        <v>0</v>
      </c>
    </row>
    <row r="7107" spans="9:11">
      <c r="I7107" t="s">
        <v>94</v>
      </c>
      <c r="J7107" t="s">
        <v>95</v>
      </c>
      <c r="K7107">
        <v>0</v>
      </c>
    </row>
    <row r="7108" spans="9:11">
      <c r="I7108" t="s">
        <v>91</v>
      </c>
      <c r="J7108" t="s">
        <v>92</v>
      </c>
      <c r="K7108">
        <v>0</v>
      </c>
    </row>
    <row r="7109" spans="9:11">
      <c r="I7109" t="s">
        <v>94</v>
      </c>
      <c r="J7109" t="s">
        <v>95</v>
      </c>
      <c r="K7109">
        <v>0</v>
      </c>
    </row>
    <row r="7110" spans="9:11">
      <c r="I7110" t="s">
        <v>94</v>
      </c>
      <c r="J7110" t="s">
        <v>95</v>
      </c>
      <c r="K7110">
        <v>0</v>
      </c>
    </row>
    <row r="7111" spans="9:11">
      <c r="I7111" t="s">
        <v>94</v>
      </c>
      <c r="J7111" t="s">
        <v>95</v>
      </c>
      <c r="K7111">
        <v>0</v>
      </c>
    </row>
    <row r="7112" spans="9:11">
      <c r="I7112" t="s">
        <v>94</v>
      </c>
      <c r="J7112" t="s">
        <v>95</v>
      </c>
      <c r="K7112">
        <v>0</v>
      </c>
    </row>
    <row r="7113" spans="9:11">
      <c r="I7113" t="s">
        <v>94</v>
      </c>
      <c r="J7113" t="s">
        <v>95</v>
      </c>
      <c r="K7113">
        <v>0</v>
      </c>
    </row>
    <row r="7114" spans="9:11">
      <c r="I7114" t="s">
        <v>94</v>
      </c>
      <c r="J7114" t="s">
        <v>95</v>
      </c>
      <c r="K7114">
        <v>0</v>
      </c>
    </row>
    <row r="7115" spans="9:11">
      <c r="I7115" t="s">
        <v>94</v>
      </c>
      <c r="J7115" t="s">
        <v>95</v>
      </c>
      <c r="K7115">
        <v>0</v>
      </c>
    </row>
    <row r="7116" spans="9:11">
      <c r="I7116" t="s">
        <v>91</v>
      </c>
      <c r="J7116" t="s">
        <v>92</v>
      </c>
      <c r="K7116">
        <v>0</v>
      </c>
    </row>
    <row r="7117" spans="9:11">
      <c r="I7117" t="s">
        <v>94</v>
      </c>
      <c r="J7117" t="s">
        <v>95</v>
      </c>
      <c r="K7117">
        <v>0</v>
      </c>
    </row>
    <row r="7118" spans="9:11">
      <c r="I7118" t="s">
        <v>91</v>
      </c>
      <c r="J7118" t="s">
        <v>92</v>
      </c>
      <c r="K7118">
        <v>0</v>
      </c>
    </row>
    <row r="7119" spans="9:11">
      <c r="I7119" t="s">
        <v>91</v>
      </c>
      <c r="J7119" t="s">
        <v>92</v>
      </c>
      <c r="K7119">
        <v>0</v>
      </c>
    </row>
    <row r="7120" spans="9:11">
      <c r="I7120" t="s">
        <v>94</v>
      </c>
      <c r="J7120" t="s">
        <v>95</v>
      </c>
      <c r="K7120">
        <v>0</v>
      </c>
    </row>
    <row r="7121" spans="9:11">
      <c r="I7121" t="s">
        <v>94</v>
      </c>
      <c r="J7121" t="s">
        <v>95</v>
      </c>
      <c r="K7121">
        <v>0</v>
      </c>
    </row>
    <row r="7122" spans="9:11">
      <c r="I7122" t="s">
        <v>91</v>
      </c>
      <c r="J7122" t="s">
        <v>92</v>
      </c>
      <c r="K7122">
        <v>0</v>
      </c>
    </row>
    <row r="7123" spans="9:11">
      <c r="I7123" t="s">
        <v>94</v>
      </c>
      <c r="J7123" t="s">
        <v>95</v>
      </c>
      <c r="K7123">
        <v>0</v>
      </c>
    </row>
    <row r="7124" spans="9:11">
      <c r="I7124" t="s">
        <v>94</v>
      </c>
      <c r="J7124" t="s">
        <v>95</v>
      </c>
      <c r="K7124">
        <v>0</v>
      </c>
    </row>
    <row r="7125" spans="9:11">
      <c r="I7125" t="s">
        <v>94</v>
      </c>
      <c r="J7125" t="s">
        <v>95</v>
      </c>
      <c r="K7125">
        <v>0</v>
      </c>
    </row>
    <row r="7126" spans="9:11">
      <c r="I7126" t="s">
        <v>91</v>
      </c>
      <c r="J7126" t="s">
        <v>92</v>
      </c>
      <c r="K7126">
        <v>0</v>
      </c>
    </row>
    <row r="7127" spans="9:11">
      <c r="I7127" t="s">
        <v>94</v>
      </c>
      <c r="J7127" t="s">
        <v>95</v>
      </c>
      <c r="K7127">
        <v>0</v>
      </c>
    </row>
    <row r="7128" spans="9:11">
      <c r="I7128" t="s">
        <v>91</v>
      </c>
      <c r="J7128" t="s">
        <v>92</v>
      </c>
      <c r="K7128">
        <v>0</v>
      </c>
    </row>
    <row r="7129" spans="9:11">
      <c r="I7129" t="s">
        <v>94</v>
      </c>
      <c r="J7129" t="s">
        <v>95</v>
      </c>
      <c r="K7129">
        <v>0</v>
      </c>
    </row>
    <row r="7130" spans="9:11">
      <c r="I7130" t="s">
        <v>94</v>
      </c>
      <c r="J7130" t="s">
        <v>95</v>
      </c>
      <c r="K7130">
        <v>0</v>
      </c>
    </row>
    <row r="7131" spans="9:11">
      <c r="I7131" t="s">
        <v>94</v>
      </c>
      <c r="J7131" t="s">
        <v>95</v>
      </c>
      <c r="K7131">
        <v>0</v>
      </c>
    </row>
    <row r="7132" spans="9:11">
      <c r="I7132" t="s">
        <v>91</v>
      </c>
      <c r="J7132" t="s">
        <v>92</v>
      </c>
      <c r="K7132">
        <v>0</v>
      </c>
    </row>
    <row r="7133" spans="9:11">
      <c r="I7133" t="s">
        <v>91</v>
      </c>
      <c r="J7133" t="s">
        <v>92</v>
      </c>
      <c r="K7133">
        <v>0</v>
      </c>
    </row>
    <row r="7134" spans="9:11">
      <c r="I7134" t="s">
        <v>91</v>
      </c>
      <c r="J7134" t="s">
        <v>92</v>
      </c>
      <c r="K7134">
        <v>0</v>
      </c>
    </row>
    <row r="7135" spans="9:11">
      <c r="I7135" t="s">
        <v>91</v>
      </c>
      <c r="J7135" t="s">
        <v>92</v>
      </c>
      <c r="K7135">
        <v>0</v>
      </c>
    </row>
    <row r="7136" spans="9:11">
      <c r="I7136" t="s">
        <v>91</v>
      </c>
      <c r="J7136" t="s">
        <v>92</v>
      </c>
      <c r="K7136">
        <v>0</v>
      </c>
    </row>
    <row r="7137" spans="9:11">
      <c r="I7137" t="s">
        <v>94</v>
      </c>
      <c r="J7137" t="s">
        <v>95</v>
      </c>
      <c r="K7137">
        <v>0</v>
      </c>
    </row>
    <row r="7138" spans="9:11">
      <c r="I7138" t="s">
        <v>91</v>
      </c>
      <c r="J7138" t="s">
        <v>92</v>
      </c>
      <c r="K7138">
        <v>0</v>
      </c>
    </row>
    <row r="7139" spans="9:11">
      <c r="I7139" t="s">
        <v>94</v>
      </c>
      <c r="J7139" t="s">
        <v>95</v>
      </c>
      <c r="K7139">
        <v>0</v>
      </c>
    </row>
    <row r="7140" spans="9:11">
      <c r="I7140" t="s">
        <v>91</v>
      </c>
      <c r="J7140" t="s">
        <v>92</v>
      </c>
      <c r="K7140">
        <v>0</v>
      </c>
    </row>
    <row r="7141" spans="9:11">
      <c r="I7141" t="s">
        <v>94</v>
      </c>
      <c r="J7141" t="s">
        <v>95</v>
      </c>
      <c r="K7141">
        <v>0</v>
      </c>
    </row>
    <row r="7142" spans="9:11">
      <c r="I7142" t="s">
        <v>94</v>
      </c>
      <c r="J7142" t="s">
        <v>95</v>
      </c>
      <c r="K7142">
        <v>1</v>
      </c>
    </row>
    <row r="7143" spans="9:11">
      <c r="I7143" t="s">
        <v>94</v>
      </c>
      <c r="J7143" t="s">
        <v>95</v>
      </c>
      <c r="K7143">
        <v>0</v>
      </c>
    </row>
    <row r="7144" spans="9:11">
      <c r="I7144" t="s">
        <v>91</v>
      </c>
      <c r="J7144" t="s">
        <v>92</v>
      </c>
      <c r="K7144">
        <v>0</v>
      </c>
    </row>
    <row r="7145" spans="9:11">
      <c r="I7145" t="s">
        <v>91</v>
      </c>
      <c r="J7145" t="s">
        <v>92</v>
      </c>
      <c r="K7145">
        <v>0</v>
      </c>
    </row>
    <row r="7146" spans="9:11">
      <c r="I7146" t="s">
        <v>91</v>
      </c>
      <c r="J7146" t="s">
        <v>92</v>
      </c>
      <c r="K7146">
        <v>0</v>
      </c>
    </row>
    <row r="7147" spans="9:11">
      <c r="I7147" t="s">
        <v>94</v>
      </c>
      <c r="J7147" t="s">
        <v>95</v>
      </c>
      <c r="K7147">
        <v>0</v>
      </c>
    </row>
    <row r="7148" spans="9:11">
      <c r="I7148" t="s">
        <v>94</v>
      </c>
      <c r="J7148" t="s">
        <v>95</v>
      </c>
      <c r="K7148">
        <v>0</v>
      </c>
    </row>
    <row r="7149" spans="9:11">
      <c r="I7149" t="s">
        <v>91</v>
      </c>
      <c r="J7149" t="s">
        <v>92</v>
      </c>
      <c r="K7149">
        <v>0</v>
      </c>
    </row>
    <row r="7150" spans="9:11">
      <c r="I7150" t="s">
        <v>91</v>
      </c>
      <c r="J7150" t="s">
        <v>92</v>
      </c>
      <c r="K7150">
        <v>0</v>
      </c>
    </row>
    <row r="7151" spans="9:11">
      <c r="I7151" t="s">
        <v>91</v>
      </c>
      <c r="J7151" t="s">
        <v>92</v>
      </c>
      <c r="K7151">
        <v>0</v>
      </c>
    </row>
    <row r="7152" spans="9:11">
      <c r="I7152" t="s">
        <v>91</v>
      </c>
      <c r="J7152" t="s">
        <v>92</v>
      </c>
      <c r="K7152">
        <v>0</v>
      </c>
    </row>
    <row r="7153" spans="9:11">
      <c r="I7153" t="s">
        <v>91</v>
      </c>
      <c r="J7153" t="s">
        <v>92</v>
      </c>
      <c r="K7153">
        <v>0</v>
      </c>
    </row>
    <row r="7154" spans="9:11">
      <c r="I7154" t="s">
        <v>91</v>
      </c>
      <c r="J7154" t="s">
        <v>92</v>
      </c>
      <c r="K7154">
        <v>0</v>
      </c>
    </row>
    <row r="7155" spans="9:11">
      <c r="I7155" t="s">
        <v>94</v>
      </c>
      <c r="J7155" t="s">
        <v>95</v>
      </c>
      <c r="K7155">
        <v>0</v>
      </c>
    </row>
    <row r="7156" spans="9:11">
      <c r="I7156" t="s">
        <v>91</v>
      </c>
      <c r="J7156" t="s">
        <v>92</v>
      </c>
      <c r="K7156">
        <v>0</v>
      </c>
    </row>
    <row r="7157" spans="9:11">
      <c r="I7157" t="s">
        <v>94</v>
      </c>
      <c r="J7157" t="s">
        <v>95</v>
      </c>
      <c r="K7157">
        <v>0</v>
      </c>
    </row>
    <row r="7158" spans="9:11">
      <c r="I7158" t="s">
        <v>91</v>
      </c>
      <c r="J7158" t="s">
        <v>92</v>
      </c>
      <c r="K7158">
        <v>0</v>
      </c>
    </row>
    <row r="7159" spans="9:11">
      <c r="I7159" t="s">
        <v>91</v>
      </c>
      <c r="J7159" t="s">
        <v>92</v>
      </c>
      <c r="K7159">
        <v>0</v>
      </c>
    </row>
    <row r="7160" spans="9:11">
      <c r="I7160" t="s">
        <v>91</v>
      </c>
      <c r="J7160" t="s">
        <v>92</v>
      </c>
      <c r="K7160">
        <v>0</v>
      </c>
    </row>
    <row r="7161" spans="9:11">
      <c r="I7161" t="s">
        <v>94</v>
      </c>
      <c r="J7161" t="s">
        <v>95</v>
      </c>
      <c r="K7161">
        <v>0</v>
      </c>
    </row>
    <row r="7162" spans="9:11">
      <c r="I7162" t="s">
        <v>91</v>
      </c>
      <c r="J7162" t="s">
        <v>92</v>
      </c>
      <c r="K7162">
        <v>0</v>
      </c>
    </row>
    <row r="7163" spans="9:11">
      <c r="I7163" t="s">
        <v>94</v>
      </c>
      <c r="J7163" t="s">
        <v>95</v>
      </c>
      <c r="K7163">
        <v>0</v>
      </c>
    </row>
    <row r="7164" spans="9:11">
      <c r="I7164" t="s">
        <v>94</v>
      </c>
      <c r="J7164" t="s">
        <v>95</v>
      </c>
      <c r="K7164">
        <v>0</v>
      </c>
    </row>
    <row r="7165" spans="9:11">
      <c r="I7165" t="s">
        <v>94</v>
      </c>
      <c r="J7165" t="s">
        <v>95</v>
      </c>
      <c r="K7165">
        <v>0</v>
      </c>
    </row>
    <row r="7166" spans="9:11">
      <c r="I7166" t="s">
        <v>91</v>
      </c>
      <c r="J7166" t="s">
        <v>92</v>
      </c>
      <c r="K7166">
        <v>0</v>
      </c>
    </row>
    <row r="7167" spans="9:11">
      <c r="I7167" t="s">
        <v>94</v>
      </c>
      <c r="J7167" t="s">
        <v>95</v>
      </c>
      <c r="K7167">
        <v>0</v>
      </c>
    </row>
    <row r="7168" spans="9:11">
      <c r="I7168" t="s">
        <v>91</v>
      </c>
      <c r="J7168" t="s">
        <v>92</v>
      </c>
      <c r="K7168">
        <v>0</v>
      </c>
    </row>
    <row r="7169" spans="9:11">
      <c r="I7169" t="s">
        <v>91</v>
      </c>
      <c r="J7169" t="s">
        <v>92</v>
      </c>
      <c r="K7169">
        <v>0</v>
      </c>
    </row>
    <row r="7170" spans="9:11">
      <c r="I7170" t="s">
        <v>94</v>
      </c>
      <c r="J7170" t="s">
        <v>95</v>
      </c>
      <c r="K7170">
        <v>0</v>
      </c>
    </row>
    <row r="7171" spans="9:11">
      <c r="I7171" t="s">
        <v>91</v>
      </c>
      <c r="J7171" t="s">
        <v>92</v>
      </c>
      <c r="K7171">
        <v>0</v>
      </c>
    </row>
    <row r="7172" spans="9:11">
      <c r="I7172" t="s">
        <v>91</v>
      </c>
      <c r="J7172" t="s">
        <v>92</v>
      </c>
      <c r="K7172">
        <v>0</v>
      </c>
    </row>
    <row r="7173" spans="9:11">
      <c r="I7173" t="s">
        <v>91</v>
      </c>
      <c r="J7173" t="s">
        <v>92</v>
      </c>
      <c r="K7173">
        <v>0</v>
      </c>
    </row>
    <row r="7174" spans="9:11">
      <c r="I7174" t="s">
        <v>94</v>
      </c>
      <c r="J7174" t="s">
        <v>95</v>
      </c>
      <c r="K7174">
        <v>0</v>
      </c>
    </row>
    <row r="7175" spans="9:11">
      <c r="I7175" t="s">
        <v>91</v>
      </c>
      <c r="J7175" t="s">
        <v>92</v>
      </c>
      <c r="K7175">
        <v>0</v>
      </c>
    </row>
    <row r="7176" spans="9:11">
      <c r="I7176" t="s">
        <v>94</v>
      </c>
      <c r="J7176" t="s">
        <v>95</v>
      </c>
      <c r="K7176">
        <v>0</v>
      </c>
    </row>
    <row r="7177" spans="9:11">
      <c r="I7177" t="s">
        <v>91</v>
      </c>
      <c r="J7177" t="s">
        <v>92</v>
      </c>
      <c r="K7177">
        <v>0</v>
      </c>
    </row>
    <row r="7178" spans="9:11">
      <c r="I7178" t="s">
        <v>94</v>
      </c>
      <c r="J7178" t="s">
        <v>95</v>
      </c>
      <c r="K7178">
        <v>1</v>
      </c>
    </row>
    <row r="7179" spans="9:11">
      <c r="I7179" t="s">
        <v>91</v>
      </c>
      <c r="J7179" t="s">
        <v>92</v>
      </c>
      <c r="K7179">
        <v>1</v>
      </c>
    </row>
    <row r="7180" spans="9:11">
      <c r="I7180" t="s">
        <v>91</v>
      </c>
      <c r="J7180" t="s">
        <v>92</v>
      </c>
      <c r="K7180">
        <v>0</v>
      </c>
    </row>
    <row r="7181" spans="9:11">
      <c r="I7181" t="s">
        <v>94</v>
      </c>
      <c r="J7181" t="s">
        <v>95</v>
      </c>
      <c r="K7181">
        <v>0</v>
      </c>
    </row>
    <row r="7182" spans="9:11">
      <c r="I7182" t="s">
        <v>94</v>
      </c>
      <c r="J7182" t="s">
        <v>95</v>
      </c>
      <c r="K7182">
        <v>0</v>
      </c>
    </row>
    <row r="7183" spans="9:11">
      <c r="I7183" t="s">
        <v>94</v>
      </c>
      <c r="J7183" t="s">
        <v>95</v>
      </c>
      <c r="K7183">
        <v>0</v>
      </c>
    </row>
    <row r="7184" spans="9:11">
      <c r="I7184" t="s">
        <v>91</v>
      </c>
      <c r="J7184" t="s">
        <v>92</v>
      </c>
      <c r="K7184">
        <v>0</v>
      </c>
    </row>
    <row r="7185" spans="9:11">
      <c r="I7185" t="s">
        <v>94</v>
      </c>
      <c r="J7185" t="s">
        <v>95</v>
      </c>
      <c r="K7185">
        <v>0</v>
      </c>
    </row>
    <row r="7186" spans="9:11">
      <c r="I7186" t="s">
        <v>94</v>
      </c>
      <c r="J7186" t="s">
        <v>95</v>
      </c>
      <c r="K7186">
        <v>0</v>
      </c>
    </row>
    <row r="7187" spans="9:11">
      <c r="I7187" t="s">
        <v>91</v>
      </c>
      <c r="J7187" t="s">
        <v>92</v>
      </c>
      <c r="K7187">
        <v>0</v>
      </c>
    </row>
    <row r="7188" spans="9:11">
      <c r="I7188" t="s">
        <v>94</v>
      </c>
      <c r="J7188" t="s">
        <v>95</v>
      </c>
      <c r="K7188">
        <v>0</v>
      </c>
    </row>
    <row r="7189" spans="9:11">
      <c r="I7189" t="s">
        <v>94</v>
      </c>
      <c r="J7189" t="s">
        <v>95</v>
      </c>
      <c r="K7189">
        <v>0</v>
      </c>
    </row>
    <row r="7190" spans="9:11">
      <c r="I7190" t="s">
        <v>94</v>
      </c>
      <c r="J7190" t="s">
        <v>95</v>
      </c>
      <c r="K7190">
        <v>0</v>
      </c>
    </row>
    <row r="7191" spans="9:11">
      <c r="I7191" t="s">
        <v>94</v>
      </c>
      <c r="J7191" t="s">
        <v>95</v>
      </c>
      <c r="K7191">
        <v>0</v>
      </c>
    </row>
    <row r="7192" spans="9:11">
      <c r="I7192" t="s">
        <v>91</v>
      </c>
      <c r="J7192" t="s">
        <v>92</v>
      </c>
      <c r="K7192">
        <v>0</v>
      </c>
    </row>
    <row r="7193" spans="9:11">
      <c r="I7193" t="s">
        <v>91</v>
      </c>
      <c r="J7193" t="s">
        <v>92</v>
      </c>
      <c r="K7193">
        <v>0</v>
      </c>
    </row>
    <row r="7194" spans="9:11">
      <c r="I7194" t="s">
        <v>94</v>
      </c>
      <c r="J7194" t="s">
        <v>95</v>
      </c>
      <c r="K7194">
        <v>0</v>
      </c>
    </row>
    <row r="7195" spans="9:11">
      <c r="I7195" t="s">
        <v>94</v>
      </c>
      <c r="J7195" t="s">
        <v>95</v>
      </c>
      <c r="K7195">
        <v>0</v>
      </c>
    </row>
    <row r="7196" spans="9:11">
      <c r="I7196" t="s">
        <v>94</v>
      </c>
      <c r="J7196" t="s">
        <v>95</v>
      </c>
      <c r="K7196">
        <v>0</v>
      </c>
    </row>
    <row r="7197" spans="9:11">
      <c r="I7197" t="s">
        <v>94</v>
      </c>
      <c r="J7197" t="s">
        <v>95</v>
      </c>
      <c r="K7197">
        <v>0</v>
      </c>
    </row>
    <row r="7198" spans="9:11">
      <c r="I7198" t="s">
        <v>91</v>
      </c>
      <c r="J7198" t="s">
        <v>92</v>
      </c>
      <c r="K7198">
        <v>0</v>
      </c>
    </row>
    <row r="7199" spans="9:11">
      <c r="I7199" t="s">
        <v>94</v>
      </c>
      <c r="J7199" t="s">
        <v>95</v>
      </c>
      <c r="K7199">
        <v>0</v>
      </c>
    </row>
    <row r="7200" spans="9:11">
      <c r="I7200" t="s">
        <v>94</v>
      </c>
      <c r="J7200" t="s">
        <v>95</v>
      </c>
      <c r="K7200">
        <v>0</v>
      </c>
    </row>
    <row r="7201" spans="9:11">
      <c r="I7201" t="s">
        <v>94</v>
      </c>
      <c r="J7201" t="s">
        <v>95</v>
      </c>
      <c r="K7201">
        <v>0</v>
      </c>
    </row>
    <row r="7202" spans="9:11">
      <c r="I7202" t="s">
        <v>91</v>
      </c>
      <c r="J7202" t="s">
        <v>92</v>
      </c>
      <c r="K7202">
        <v>0</v>
      </c>
    </row>
    <row r="7203" spans="9:11">
      <c r="I7203" t="s">
        <v>94</v>
      </c>
      <c r="J7203" t="s">
        <v>95</v>
      </c>
      <c r="K7203">
        <v>0</v>
      </c>
    </row>
    <row r="7204" spans="9:11">
      <c r="I7204" t="s">
        <v>94</v>
      </c>
      <c r="J7204" t="s">
        <v>95</v>
      </c>
      <c r="K7204">
        <v>0</v>
      </c>
    </row>
    <row r="7205" spans="9:11">
      <c r="I7205" t="s">
        <v>94</v>
      </c>
      <c r="J7205" t="s">
        <v>95</v>
      </c>
      <c r="K7205">
        <v>0</v>
      </c>
    </row>
    <row r="7206" spans="9:11">
      <c r="I7206" t="s">
        <v>94</v>
      </c>
      <c r="J7206" t="s">
        <v>95</v>
      </c>
      <c r="K7206">
        <v>0</v>
      </c>
    </row>
    <row r="7207" spans="9:11">
      <c r="I7207" t="s">
        <v>94</v>
      </c>
      <c r="J7207" t="s">
        <v>95</v>
      </c>
      <c r="K7207">
        <v>0</v>
      </c>
    </row>
    <row r="7208" spans="9:11">
      <c r="I7208" t="s">
        <v>94</v>
      </c>
      <c r="J7208" t="s">
        <v>95</v>
      </c>
      <c r="K7208">
        <v>0</v>
      </c>
    </row>
    <row r="7209" spans="9:11">
      <c r="I7209" t="s">
        <v>91</v>
      </c>
      <c r="J7209" t="s">
        <v>92</v>
      </c>
      <c r="K7209">
        <v>0</v>
      </c>
    </row>
    <row r="7210" spans="9:11">
      <c r="I7210" t="s">
        <v>91</v>
      </c>
      <c r="J7210" t="s">
        <v>92</v>
      </c>
      <c r="K7210">
        <v>0</v>
      </c>
    </row>
    <row r="7211" spans="9:11">
      <c r="I7211" t="s">
        <v>94</v>
      </c>
      <c r="J7211" t="s">
        <v>95</v>
      </c>
      <c r="K7211">
        <v>0</v>
      </c>
    </row>
    <row r="7212" spans="9:11">
      <c r="I7212" t="s">
        <v>94</v>
      </c>
      <c r="J7212" t="s">
        <v>95</v>
      </c>
      <c r="K7212">
        <v>0</v>
      </c>
    </row>
    <row r="7213" spans="9:11">
      <c r="I7213" t="s">
        <v>91</v>
      </c>
      <c r="J7213" t="s">
        <v>92</v>
      </c>
      <c r="K7213">
        <v>0</v>
      </c>
    </row>
    <row r="7214" spans="9:11">
      <c r="I7214" t="s">
        <v>94</v>
      </c>
      <c r="J7214" t="s">
        <v>95</v>
      </c>
      <c r="K7214">
        <v>0</v>
      </c>
    </row>
    <row r="7215" spans="9:11">
      <c r="I7215" t="s">
        <v>91</v>
      </c>
      <c r="J7215" t="s">
        <v>92</v>
      </c>
      <c r="K7215">
        <v>1</v>
      </c>
    </row>
    <row r="7216" spans="9:11">
      <c r="I7216" t="s">
        <v>94</v>
      </c>
      <c r="J7216" t="s">
        <v>95</v>
      </c>
      <c r="K7216">
        <v>0</v>
      </c>
    </row>
    <row r="7217" spans="9:11">
      <c r="I7217" t="s">
        <v>91</v>
      </c>
      <c r="J7217" t="s">
        <v>92</v>
      </c>
      <c r="K7217">
        <v>0</v>
      </c>
    </row>
    <row r="7218" spans="9:11">
      <c r="I7218" t="s">
        <v>94</v>
      </c>
      <c r="J7218" t="s">
        <v>95</v>
      </c>
      <c r="K7218">
        <v>1</v>
      </c>
    </row>
    <row r="7219" spans="9:11">
      <c r="I7219" t="s">
        <v>94</v>
      </c>
      <c r="J7219" t="s">
        <v>95</v>
      </c>
      <c r="K7219">
        <v>0</v>
      </c>
    </row>
    <row r="7220" spans="9:11">
      <c r="I7220" t="s">
        <v>94</v>
      </c>
      <c r="J7220" t="s">
        <v>95</v>
      </c>
      <c r="K7220">
        <v>0</v>
      </c>
    </row>
    <row r="7221" spans="9:11">
      <c r="I7221" t="s">
        <v>91</v>
      </c>
      <c r="J7221" t="s">
        <v>92</v>
      </c>
      <c r="K7221">
        <v>0</v>
      </c>
    </row>
    <row r="7222" spans="9:11">
      <c r="I7222" t="s">
        <v>91</v>
      </c>
      <c r="J7222" t="s">
        <v>92</v>
      </c>
      <c r="K7222">
        <v>0</v>
      </c>
    </row>
    <row r="7223" spans="9:11">
      <c r="I7223" t="s">
        <v>94</v>
      </c>
      <c r="J7223" t="s">
        <v>95</v>
      </c>
      <c r="K7223">
        <v>0</v>
      </c>
    </row>
    <row r="7224" spans="9:11">
      <c r="I7224" t="s">
        <v>91</v>
      </c>
      <c r="J7224" t="s">
        <v>92</v>
      </c>
      <c r="K7224">
        <v>0</v>
      </c>
    </row>
    <row r="7225" spans="9:11">
      <c r="I7225" t="s">
        <v>94</v>
      </c>
      <c r="J7225" t="s">
        <v>95</v>
      </c>
      <c r="K7225">
        <v>0</v>
      </c>
    </row>
    <row r="7226" spans="9:11">
      <c r="I7226" t="s">
        <v>91</v>
      </c>
      <c r="J7226" t="s">
        <v>92</v>
      </c>
      <c r="K7226">
        <v>0</v>
      </c>
    </row>
    <row r="7227" spans="9:11">
      <c r="I7227" t="s">
        <v>91</v>
      </c>
      <c r="J7227" t="s">
        <v>92</v>
      </c>
      <c r="K7227">
        <v>0</v>
      </c>
    </row>
    <row r="7228" spans="9:11">
      <c r="I7228" t="s">
        <v>94</v>
      </c>
      <c r="J7228" t="s">
        <v>95</v>
      </c>
      <c r="K7228">
        <v>0</v>
      </c>
    </row>
    <row r="7229" spans="9:11">
      <c r="I7229" t="s">
        <v>94</v>
      </c>
      <c r="J7229" t="s">
        <v>95</v>
      </c>
      <c r="K7229">
        <v>0</v>
      </c>
    </row>
    <row r="7230" spans="9:11">
      <c r="I7230" t="s">
        <v>94</v>
      </c>
      <c r="J7230" t="s">
        <v>95</v>
      </c>
      <c r="K7230">
        <v>0</v>
      </c>
    </row>
    <row r="7231" spans="9:11">
      <c r="I7231" t="s">
        <v>94</v>
      </c>
      <c r="J7231" t="s">
        <v>95</v>
      </c>
      <c r="K7231">
        <v>0</v>
      </c>
    </row>
    <row r="7232" spans="9:11">
      <c r="I7232" t="s">
        <v>91</v>
      </c>
      <c r="J7232" t="s">
        <v>92</v>
      </c>
      <c r="K7232">
        <v>0</v>
      </c>
    </row>
    <row r="7233" spans="9:11">
      <c r="I7233" t="s">
        <v>91</v>
      </c>
      <c r="J7233" t="s">
        <v>92</v>
      </c>
      <c r="K7233">
        <v>0</v>
      </c>
    </row>
    <row r="7234" spans="9:11">
      <c r="I7234" t="s">
        <v>94</v>
      </c>
      <c r="J7234" t="s">
        <v>95</v>
      </c>
      <c r="K7234">
        <v>0</v>
      </c>
    </row>
    <row r="7235" spans="9:11">
      <c r="I7235" t="s">
        <v>91</v>
      </c>
      <c r="J7235" t="s">
        <v>92</v>
      </c>
      <c r="K7235">
        <v>0</v>
      </c>
    </row>
    <row r="7236" spans="9:11">
      <c r="I7236" t="s">
        <v>91</v>
      </c>
      <c r="J7236" t="s">
        <v>92</v>
      </c>
      <c r="K7236">
        <v>0</v>
      </c>
    </row>
    <row r="7237" spans="9:11">
      <c r="I7237" t="s">
        <v>91</v>
      </c>
      <c r="J7237" t="s">
        <v>92</v>
      </c>
      <c r="K7237">
        <v>0</v>
      </c>
    </row>
    <row r="7238" spans="9:11">
      <c r="I7238" t="s">
        <v>94</v>
      </c>
      <c r="J7238" t="s">
        <v>95</v>
      </c>
      <c r="K7238">
        <v>0</v>
      </c>
    </row>
    <row r="7239" spans="9:11">
      <c r="I7239" t="s">
        <v>94</v>
      </c>
      <c r="J7239" t="s">
        <v>95</v>
      </c>
      <c r="K7239">
        <v>0</v>
      </c>
    </row>
    <row r="7240" spans="9:11">
      <c r="I7240" t="s">
        <v>94</v>
      </c>
      <c r="J7240" t="s">
        <v>95</v>
      </c>
      <c r="K7240">
        <v>1</v>
      </c>
    </row>
    <row r="7241" spans="9:11">
      <c r="I7241" t="s">
        <v>91</v>
      </c>
      <c r="J7241" t="s">
        <v>92</v>
      </c>
      <c r="K7241">
        <v>0</v>
      </c>
    </row>
    <row r="7242" spans="9:11">
      <c r="I7242" t="s">
        <v>91</v>
      </c>
      <c r="J7242" t="s">
        <v>92</v>
      </c>
      <c r="K7242">
        <v>0</v>
      </c>
    </row>
    <row r="7243" spans="9:11">
      <c r="I7243" t="s">
        <v>94</v>
      </c>
      <c r="J7243" t="s">
        <v>95</v>
      </c>
      <c r="K7243">
        <v>0</v>
      </c>
    </row>
    <row r="7244" spans="9:11">
      <c r="I7244" t="s">
        <v>91</v>
      </c>
      <c r="J7244" t="s">
        <v>92</v>
      </c>
      <c r="K7244">
        <v>0</v>
      </c>
    </row>
    <row r="7245" spans="9:11">
      <c r="I7245" t="s">
        <v>91</v>
      </c>
      <c r="J7245" t="s">
        <v>92</v>
      </c>
      <c r="K7245">
        <v>0</v>
      </c>
    </row>
    <row r="7246" spans="9:11">
      <c r="I7246" t="s">
        <v>94</v>
      </c>
      <c r="J7246" t="s">
        <v>95</v>
      </c>
      <c r="K7246">
        <v>1</v>
      </c>
    </row>
    <row r="7247" spans="9:11">
      <c r="I7247" t="s">
        <v>94</v>
      </c>
      <c r="J7247" t="s">
        <v>95</v>
      </c>
      <c r="K7247">
        <v>0</v>
      </c>
    </row>
    <row r="7248" spans="9:11">
      <c r="I7248" t="s">
        <v>91</v>
      </c>
      <c r="J7248" t="s">
        <v>92</v>
      </c>
      <c r="K7248">
        <v>0</v>
      </c>
    </row>
    <row r="7249" spans="9:11">
      <c r="I7249" t="s">
        <v>91</v>
      </c>
      <c r="J7249" t="s">
        <v>92</v>
      </c>
      <c r="K7249">
        <v>0</v>
      </c>
    </row>
    <row r="7250" spans="9:11">
      <c r="I7250" t="s">
        <v>91</v>
      </c>
      <c r="J7250" t="s">
        <v>92</v>
      </c>
      <c r="K7250">
        <v>0</v>
      </c>
    </row>
    <row r="7251" spans="9:11">
      <c r="I7251" t="s">
        <v>94</v>
      </c>
      <c r="J7251" t="s">
        <v>95</v>
      </c>
      <c r="K7251">
        <v>0</v>
      </c>
    </row>
    <row r="7252" spans="9:11">
      <c r="I7252" t="s">
        <v>94</v>
      </c>
      <c r="J7252" t="s">
        <v>95</v>
      </c>
      <c r="K7252">
        <v>0</v>
      </c>
    </row>
    <row r="7253" spans="9:11">
      <c r="I7253" t="s">
        <v>94</v>
      </c>
      <c r="J7253" t="s">
        <v>95</v>
      </c>
      <c r="K7253">
        <v>0</v>
      </c>
    </row>
    <row r="7254" spans="9:11">
      <c r="I7254" t="s">
        <v>91</v>
      </c>
      <c r="J7254" t="s">
        <v>92</v>
      </c>
      <c r="K7254">
        <v>0</v>
      </c>
    </row>
    <row r="7255" spans="9:11">
      <c r="I7255" t="s">
        <v>94</v>
      </c>
      <c r="J7255" t="s">
        <v>95</v>
      </c>
      <c r="K7255">
        <v>0</v>
      </c>
    </row>
    <row r="7256" spans="9:11">
      <c r="I7256" t="s">
        <v>94</v>
      </c>
      <c r="J7256" t="s">
        <v>95</v>
      </c>
      <c r="K7256">
        <v>0</v>
      </c>
    </row>
    <row r="7257" spans="9:11">
      <c r="I7257" t="s">
        <v>94</v>
      </c>
      <c r="J7257" t="s">
        <v>95</v>
      </c>
      <c r="K7257">
        <v>0</v>
      </c>
    </row>
    <row r="7258" spans="9:11">
      <c r="I7258" t="s">
        <v>94</v>
      </c>
      <c r="J7258" t="s">
        <v>95</v>
      </c>
      <c r="K7258">
        <v>0</v>
      </c>
    </row>
    <row r="7259" spans="9:11">
      <c r="I7259" t="s">
        <v>94</v>
      </c>
      <c r="J7259" t="s">
        <v>95</v>
      </c>
      <c r="K7259">
        <v>0</v>
      </c>
    </row>
    <row r="7260" spans="9:11">
      <c r="I7260" t="s">
        <v>94</v>
      </c>
      <c r="J7260" t="s">
        <v>95</v>
      </c>
      <c r="K7260">
        <v>0</v>
      </c>
    </row>
    <row r="7261" spans="9:11">
      <c r="I7261" t="s">
        <v>94</v>
      </c>
      <c r="J7261" t="s">
        <v>95</v>
      </c>
      <c r="K7261">
        <v>0</v>
      </c>
    </row>
    <row r="7262" spans="9:11">
      <c r="I7262" t="s">
        <v>94</v>
      </c>
      <c r="J7262" t="s">
        <v>95</v>
      </c>
      <c r="K7262">
        <v>0</v>
      </c>
    </row>
    <row r="7263" spans="9:11">
      <c r="I7263" t="s">
        <v>91</v>
      </c>
      <c r="J7263" t="s">
        <v>92</v>
      </c>
      <c r="K7263">
        <v>0</v>
      </c>
    </row>
    <row r="7264" spans="9:11">
      <c r="I7264" t="s">
        <v>94</v>
      </c>
      <c r="J7264" t="s">
        <v>95</v>
      </c>
      <c r="K7264">
        <v>0</v>
      </c>
    </row>
    <row r="7265" spans="9:11">
      <c r="I7265" t="s">
        <v>94</v>
      </c>
      <c r="J7265" t="s">
        <v>95</v>
      </c>
      <c r="K7265">
        <v>0</v>
      </c>
    </row>
    <row r="7266" spans="9:11">
      <c r="I7266" t="s">
        <v>94</v>
      </c>
      <c r="J7266" t="s">
        <v>95</v>
      </c>
      <c r="K7266">
        <v>0</v>
      </c>
    </row>
    <row r="7267" spans="9:11">
      <c r="I7267" t="s">
        <v>94</v>
      </c>
      <c r="J7267" t="s">
        <v>95</v>
      </c>
      <c r="K7267">
        <v>0</v>
      </c>
    </row>
    <row r="7268" spans="9:11">
      <c r="I7268" t="s">
        <v>94</v>
      </c>
      <c r="J7268" t="s">
        <v>95</v>
      </c>
      <c r="K7268">
        <v>0</v>
      </c>
    </row>
    <row r="7269" spans="9:11">
      <c r="I7269" t="s">
        <v>94</v>
      </c>
      <c r="J7269" t="s">
        <v>95</v>
      </c>
      <c r="K7269">
        <v>0</v>
      </c>
    </row>
    <row r="7270" spans="9:11">
      <c r="I7270" t="s">
        <v>94</v>
      </c>
      <c r="J7270" t="s">
        <v>95</v>
      </c>
      <c r="K7270">
        <v>0</v>
      </c>
    </row>
    <row r="7271" spans="9:11">
      <c r="I7271" t="s">
        <v>94</v>
      </c>
      <c r="J7271" t="s">
        <v>95</v>
      </c>
      <c r="K7271">
        <v>0</v>
      </c>
    </row>
    <row r="7272" spans="9:11">
      <c r="I7272" t="s">
        <v>94</v>
      </c>
      <c r="J7272" t="s">
        <v>95</v>
      </c>
      <c r="K7272">
        <v>0</v>
      </c>
    </row>
    <row r="7273" spans="9:11">
      <c r="I7273" t="s">
        <v>94</v>
      </c>
      <c r="J7273" t="s">
        <v>95</v>
      </c>
      <c r="K7273">
        <v>1</v>
      </c>
    </row>
    <row r="7274" spans="9:11">
      <c r="I7274" t="s">
        <v>94</v>
      </c>
      <c r="J7274" t="s">
        <v>95</v>
      </c>
      <c r="K7274">
        <v>0</v>
      </c>
    </row>
    <row r="7275" spans="9:11">
      <c r="I7275" t="s">
        <v>94</v>
      </c>
      <c r="J7275" t="s">
        <v>95</v>
      </c>
      <c r="K7275">
        <v>0</v>
      </c>
    </row>
    <row r="7276" spans="9:11">
      <c r="I7276" t="s">
        <v>91</v>
      </c>
      <c r="J7276" t="s">
        <v>92</v>
      </c>
      <c r="K7276">
        <v>0</v>
      </c>
    </row>
    <row r="7277" spans="9:11">
      <c r="I7277" t="s">
        <v>91</v>
      </c>
      <c r="J7277" t="s">
        <v>92</v>
      </c>
      <c r="K7277">
        <v>0</v>
      </c>
    </row>
    <row r="7278" spans="9:11">
      <c r="I7278" t="s">
        <v>91</v>
      </c>
      <c r="J7278" t="s">
        <v>92</v>
      </c>
      <c r="K7278">
        <v>0</v>
      </c>
    </row>
    <row r="7279" spans="9:11">
      <c r="I7279" t="s">
        <v>94</v>
      </c>
      <c r="J7279" t="s">
        <v>95</v>
      </c>
      <c r="K7279">
        <v>0</v>
      </c>
    </row>
    <row r="7280" spans="9:11">
      <c r="I7280" t="s">
        <v>94</v>
      </c>
      <c r="J7280" t="s">
        <v>95</v>
      </c>
      <c r="K7280">
        <v>0</v>
      </c>
    </row>
    <row r="7281" spans="9:11">
      <c r="I7281" t="s">
        <v>91</v>
      </c>
      <c r="J7281" t="s">
        <v>92</v>
      </c>
      <c r="K7281">
        <v>0</v>
      </c>
    </row>
    <row r="7282" spans="9:11">
      <c r="I7282" t="s">
        <v>94</v>
      </c>
      <c r="J7282" t="s">
        <v>95</v>
      </c>
      <c r="K7282">
        <v>0</v>
      </c>
    </row>
    <row r="7283" spans="9:11">
      <c r="I7283" t="s">
        <v>91</v>
      </c>
      <c r="J7283" t="s">
        <v>92</v>
      </c>
      <c r="K7283">
        <v>0</v>
      </c>
    </row>
    <row r="7284" spans="9:11">
      <c r="I7284" t="s">
        <v>94</v>
      </c>
      <c r="J7284" t="s">
        <v>95</v>
      </c>
      <c r="K7284">
        <v>0</v>
      </c>
    </row>
    <row r="7285" spans="9:11">
      <c r="I7285" t="s">
        <v>91</v>
      </c>
      <c r="J7285" t="s">
        <v>92</v>
      </c>
      <c r="K7285">
        <v>0</v>
      </c>
    </row>
    <row r="7286" spans="9:11">
      <c r="I7286" t="s">
        <v>91</v>
      </c>
      <c r="J7286" t="s">
        <v>92</v>
      </c>
      <c r="K7286">
        <v>0</v>
      </c>
    </row>
    <row r="7287" spans="9:11">
      <c r="I7287" t="s">
        <v>94</v>
      </c>
      <c r="J7287" t="s">
        <v>95</v>
      </c>
      <c r="K7287">
        <v>0</v>
      </c>
    </row>
    <row r="7288" spans="9:11">
      <c r="I7288" t="s">
        <v>91</v>
      </c>
      <c r="J7288" t="s">
        <v>92</v>
      </c>
      <c r="K7288">
        <v>0</v>
      </c>
    </row>
    <row r="7289" spans="9:11">
      <c r="I7289" t="s">
        <v>91</v>
      </c>
      <c r="J7289" t="s">
        <v>92</v>
      </c>
      <c r="K7289">
        <v>0</v>
      </c>
    </row>
    <row r="7290" spans="9:11">
      <c r="I7290" t="s">
        <v>91</v>
      </c>
      <c r="J7290" t="s">
        <v>92</v>
      </c>
      <c r="K7290">
        <v>0</v>
      </c>
    </row>
    <row r="7291" spans="9:11">
      <c r="I7291" t="s">
        <v>91</v>
      </c>
      <c r="J7291" t="s">
        <v>92</v>
      </c>
      <c r="K7291">
        <v>0</v>
      </c>
    </row>
    <row r="7292" spans="9:11">
      <c r="I7292" t="s">
        <v>91</v>
      </c>
      <c r="J7292" t="s">
        <v>92</v>
      </c>
      <c r="K7292">
        <v>0</v>
      </c>
    </row>
    <row r="7293" spans="9:11">
      <c r="I7293" t="s">
        <v>91</v>
      </c>
      <c r="J7293" t="s">
        <v>92</v>
      </c>
      <c r="K7293">
        <v>0</v>
      </c>
    </row>
    <row r="7294" spans="9:11">
      <c r="I7294" t="s">
        <v>94</v>
      </c>
      <c r="J7294" t="s">
        <v>95</v>
      </c>
      <c r="K7294">
        <v>0</v>
      </c>
    </row>
    <row r="7295" spans="9:11">
      <c r="I7295" t="s">
        <v>94</v>
      </c>
      <c r="J7295" t="s">
        <v>95</v>
      </c>
      <c r="K7295">
        <v>0</v>
      </c>
    </row>
    <row r="7296" spans="9:11">
      <c r="I7296" t="s">
        <v>94</v>
      </c>
      <c r="J7296" t="s">
        <v>95</v>
      </c>
      <c r="K7296">
        <v>0</v>
      </c>
    </row>
    <row r="7297" spans="9:11">
      <c r="I7297" t="s">
        <v>91</v>
      </c>
      <c r="J7297" t="s">
        <v>92</v>
      </c>
      <c r="K7297">
        <v>0</v>
      </c>
    </row>
    <row r="7298" spans="9:11">
      <c r="I7298" t="s">
        <v>94</v>
      </c>
      <c r="J7298" t="s">
        <v>95</v>
      </c>
      <c r="K7298">
        <v>0</v>
      </c>
    </row>
    <row r="7299" spans="9:11">
      <c r="I7299" t="s">
        <v>91</v>
      </c>
      <c r="J7299" t="s">
        <v>92</v>
      </c>
      <c r="K7299">
        <v>0</v>
      </c>
    </row>
    <row r="7300" spans="9:11">
      <c r="I7300" t="s">
        <v>91</v>
      </c>
      <c r="J7300" t="s">
        <v>92</v>
      </c>
      <c r="K7300">
        <v>0</v>
      </c>
    </row>
    <row r="7301" spans="9:11">
      <c r="I7301" t="s">
        <v>94</v>
      </c>
      <c r="J7301" t="s">
        <v>95</v>
      </c>
      <c r="K7301">
        <v>0</v>
      </c>
    </row>
    <row r="7302" spans="9:11">
      <c r="I7302" t="s">
        <v>91</v>
      </c>
      <c r="J7302" t="s">
        <v>92</v>
      </c>
      <c r="K7302">
        <v>0</v>
      </c>
    </row>
    <row r="7303" spans="9:11">
      <c r="I7303" t="s">
        <v>94</v>
      </c>
      <c r="J7303" t="s">
        <v>95</v>
      </c>
      <c r="K7303">
        <v>0</v>
      </c>
    </row>
    <row r="7304" spans="9:11">
      <c r="I7304" t="s">
        <v>94</v>
      </c>
      <c r="J7304" t="s">
        <v>95</v>
      </c>
      <c r="K7304">
        <v>0</v>
      </c>
    </row>
    <row r="7305" spans="9:11">
      <c r="I7305" t="s">
        <v>91</v>
      </c>
      <c r="J7305" t="s">
        <v>92</v>
      </c>
      <c r="K7305">
        <v>0</v>
      </c>
    </row>
    <row r="7306" spans="9:11">
      <c r="I7306" t="s">
        <v>94</v>
      </c>
      <c r="J7306" t="s">
        <v>95</v>
      </c>
      <c r="K7306">
        <v>0</v>
      </c>
    </row>
    <row r="7307" spans="9:11">
      <c r="I7307" t="s">
        <v>94</v>
      </c>
      <c r="J7307" t="s">
        <v>95</v>
      </c>
      <c r="K7307">
        <v>0</v>
      </c>
    </row>
    <row r="7308" spans="9:11">
      <c r="I7308" t="s">
        <v>91</v>
      </c>
      <c r="J7308" t="s">
        <v>92</v>
      </c>
      <c r="K7308">
        <v>0</v>
      </c>
    </row>
    <row r="7309" spans="9:11">
      <c r="I7309" t="s">
        <v>94</v>
      </c>
      <c r="J7309" t="s">
        <v>95</v>
      </c>
      <c r="K7309">
        <v>0</v>
      </c>
    </row>
    <row r="7310" spans="9:11">
      <c r="I7310" t="s">
        <v>91</v>
      </c>
      <c r="J7310" t="s">
        <v>92</v>
      </c>
      <c r="K7310">
        <v>0</v>
      </c>
    </row>
    <row r="7311" spans="9:11">
      <c r="I7311" t="s">
        <v>94</v>
      </c>
      <c r="J7311" t="s">
        <v>95</v>
      </c>
      <c r="K7311">
        <v>0</v>
      </c>
    </row>
    <row r="7312" spans="9:11">
      <c r="I7312" t="s">
        <v>91</v>
      </c>
      <c r="J7312" t="s">
        <v>92</v>
      </c>
      <c r="K7312">
        <v>0</v>
      </c>
    </row>
    <row r="7313" spans="9:11">
      <c r="I7313" t="s">
        <v>91</v>
      </c>
      <c r="J7313" t="s">
        <v>92</v>
      </c>
      <c r="K7313">
        <v>0</v>
      </c>
    </row>
    <row r="7314" spans="9:11">
      <c r="I7314" t="s">
        <v>94</v>
      </c>
      <c r="J7314" t="s">
        <v>95</v>
      </c>
      <c r="K7314">
        <v>0</v>
      </c>
    </row>
    <row r="7315" spans="9:11">
      <c r="I7315" t="s">
        <v>94</v>
      </c>
      <c r="J7315" t="s">
        <v>95</v>
      </c>
      <c r="K7315">
        <v>0</v>
      </c>
    </row>
    <row r="7316" spans="9:11">
      <c r="I7316" t="s">
        <v>91</v>
      </c>
      <c r="J7316" t="s">
        <v>92</v>
      </c>
      <c r="K7316">
        <v>0</v>
      </c>
    </row>
    <row r="7317" spans="9:11">
      <c r="I7317" t="s">
        <v>94</v>
      </c>
      <c r="J7317" t="s">
        <v>95</v>
      </c>
      <c r="K7317">
        <v>0</v>
      </c>
    </row>
    <row r="7318" spans="9:11">
      <c r="I7318" t="s">
        <v>91</v>
      </c>
      <c r="J7318" t="s">
        <v>92</v>
      </c>
      <c r="K7318">
        <v>0</v>
      </c>
    </row>
    <row r="7319" spans="9:11">
      <c r="I7319" t="s">
        <v>94</v>
      </c>
      <c r="J7319" t="s">
        <v>95</v>
      </c>
      <c r="K7319">
        <v>0</v>
      </c>
    </row>
    <row r="7320" spans="9:11">
      <c r="I7320" t="s">
        <v>91</v>
      </c>
      <c r="J7320" t="s">
        <v>92</v>
      </c>
      <c r="K7320">
        <v>0</v>
      </c>
    </row>
    <row r="7321" spans="9:11">
      <c r="I7321" t="s">
        <v>91</v>
      </c>
      <c r="J7321" t="s">
        <v>92</v>
      </c>
      <c r="K7321">
        <v>0</v>
      </c>
    </row>
    <row r="7322" spans="9:11">
      <c r="I7322" t="s">
        <v>91</v>
      </c>
      <c r="J7322" t="s">
        <v>92</v>
      </c>
      <c r="K7322">
        <v>0</v>
      </c>
    </row>
    <row r="7323" spans="9:11">
      <c r="I7323" t="s">
        <v>91</v>
      </c>
      <c r="J7323" t="s">
        <v>92</v>
      </c>
      <c r="K7323">
        <v>0</v>
      </c>
    </row>
    <row r="7324" spans="9:11">
      <c r="I7324" t="s">
        <v>94</v>
      </c>
      <c r="J7324" t="s">
        <v>95</v>
      </c>
      <c r="K7324">
        <v>0</v>
      </c>
    </row>
    <row r="7325" spans="9:11">
      <c r="I7325" t="s">
        <v>94</v>
      </c>
      <c r="J7325" t="s">
        <v>95</v>
      </c>
      <c r="K7325">
        <v>0</v>
      </c>
    </row>
    <row r="7326" spans="9:11">
      <c r="I7326" t="s">
        <v>91</v>
      </c>
      <c r="J7326" t="s">
        <v>92</v>
      </c>
      <c r="K7326">
        <v>0</v>
      </c>
    </row>
    <row r="7327" spans="9:11">
      <c r="I7327" t="s">
        <v>91</v>
      </c>
      <c r="J7327" t="s">
        <v>92</v>
      </c>
      <c r="K7327">
        <v>0</v>
      </c>
    </row>
    <row r="7328" spans="9:11">
      <c r="I7328" t="s">
        <v>94</v>
      </c>
      <c r="J7328" t="s">
        <v>95</v>
      </c>
      <c r="K7328">
        <v>0</v>
      </c>
    </row>
    <row r="7329" spans="9:11">
      <c r="I7329" t="s">
        <v>91</v>
      </c>
      <c r="J7329" t="s">
        <v>92</v>
      </c>
      <c r="K7329">
        <v>0</v>
      </c>
    </row>
    <row r="7330" spans="9:11">
      <c r="I7330" t="s">
        <v>94</v>
      </c>
      <c r="J7330" t="s">
        <v>95</v>
      </c>
      <c r="K7330">
        <v>0</v>
      </c>
    </row>
    <row r="7331" spans="9:11">
      <c r="I7331" t="s">
        <v>91</v>
      </c>
      <c r="J7331" t="s">
        <v>92</v>
      </c>
      <c r="K7331">
        <v>0</v>
      </c>
    </row>
    <row r="7332" spans="9:11">
      <c r="I7332" t="s">
        <v>91</v>
      </c>
      <c r="J7332" t="s">
        <v>92</v>
      </c>
      <c r="K7332">
        <v>0</v>
      </c>
    </row>
    <row r="7333" spans="9:11">
      <c r="I7333" t="s">
        <v>94</v>
      </c>
      <c r="J7333" t="s">
        <v>95</v>
      </c>
      <c r="K7333">
        <v>1</v>
      </c>
    </row>
    <row r="7334" spans="9:11">
      <c r="I7334" t="s">
        <v>94</v>
      </c>
      <c r="J7334" t="s">
        <v>95</v>
      </c>
      <c r="K7334">
        <v>0</v>
      </c>
    </row>
    <row r="7335" spans="9:11">
      <c r="I7335" t="s">
        <v>94</v>
      </c>
      <c r="J7335" t="s">
        <v>95</v>
      </c>
      <c r="K7335">
        <v>0</v>
      </c>
    </row>
    <row r="7336" spans="9:11">
      <c r="I7336" t="s">
        <v>94</v>
      </c>
      <c r="J7336" t="s">
        <v>95</v>
      </c>
      <c r="K7336">
        <v>0</v>
      </c>
    </row>
    <row r="7337" spans="9:11">
      <c r="I7337" t="s">
        <v>91</v>
      </c>
      <c r="J7337" t="s">
        <v>92</v>
      </c>
      <c r="K7337">
        <v>0</v>
      </c>
    </row>
    <row r="7338" spans="9:11">
      <c r="I7338" t="s">
        <v>91</v>
      </c>
      <c r="J7338" t="s">
        <v>92</v>
      </c>
      <c r="K7338">
        <v>0</v>
      </c>
    </row>
    <row r="7339" spans="9:11">
      <c r="I7339" t="s">
        <v>94</v>
      </c>
      <c r="J7339" t="s">
        <v>95</v>
      </c>
      <c r="K7339">
        <v>0</v>
      </c>
    </row>
    <row r="7340" spans="9:11">
      <c r="I7340" t="s">
        <v>91</v>
      </c>
      <c r="J7340" t="s">
        <v>92</v>
      </c>
      <c r="K7340">
        <v>0</v>
      </c>
    </row>
    <row r="7341" spans="9:11">
      <c r="I7341" t="s">
        <v>94</v>
      </c>
      <c r="J7341" t="s">
        <v>95</v>
      </c>
      <c r="K7341">
        <v>0</v>
      </c>
    </row>
    <row r="7342" spans="9:11">
      <c r="I7342" t="s">
        <v>94</v>
      </c>
      <c r="J7342" t="s">
        <v>95</v>
      </c>
      <c r="K7342">
        <v>0</v>
      </c>
    </row>
    <row r="7343" spans="9:11">
      <c r="I7343" t="s">
        <v>94</v>
      </c>
      <c r="J7343" t="s">
        <v>95</v>
      </c>
      <c r="K7343">
        <v>0</v>
      </c>
    </row>
    <row r="7344" spans="9:11">
      <c r="I7344" t="s">
        <v>94</v>
      </c>
      <c r="J7344" t="s">
        <v>95</v>
      </c>
      <c r="K7344">
        <v>0</v>
      </c>
    </row>
    <row r="7345" spans="9:11">
      <c r="I7345" t="s">
        <v>91</v>
      </c>
      <c r="J7345" t="s">
        <v>92</v>
      </c>
      <c r="K7345">
        <v>0</v>
      </c>
    </row>
    <row r="7346" spans="9:11">
      <c r="I7346" t="s">
        <v>94</v>
      </c>
      <c r="J7346" t="s">
        <v>95</v>
      </c>
      <c r="K7346">
        <v>0</v>
      </c>
    </row>
    <row r="7347" spans="9:11">
      <c r="I7347" t="s">
        <v>91</v>
      </c>
      <c r="J7347" t="s">
        <v>92</v>
      </c>
      <c r="K7347">
        <v>0</v>
      </c>
    </row>
    <row r="7348" spans="9:11">
      <c r="I7348" t="s">
        <v>94</v>
      </c>
      <c r="J7348" t="s">
        <v>95</v>
      </c>
      <c r="K7348">
        <v>0</v>
      </c>
    </row>
    <row r="7349" spans="9:11">
      <c r="I7349" t="s">
        <v>94</v>
      </c>
      <c r="J7349" t="s">
        <v>95</v>
      </c>
      <c r="K7349">
        <v>0</v>
      </c>
    </row>
    <row r="7350" spans="9:11">
      <c r="I7350" t="s">
        <v>94</v>
      </c>
      <c r="J7350" t="s">
        <v>95</v>
      </c>
      <c r="K7350">
        <v>0</v>
      </c>
    </row>
    <row r="7351" spans="9:11">
      <c r="I7351" t="s">
        <v>91</v>
      </c>
      <c r="J7351" t="s">
        <v>92</v>
      </c>
      <c r="K7351">
        <v>0</v>
      </c>
    </row>
    <row r="7352" spans="9:11">
      <c r="I7352" t="s">
        <v>91</v>
      </c>
      <c r="J7352" t="s">
        <v>92</v>
      </c>
      <c r="K7352">
        <v>0</v>
      </c>
    </row>
    <row r="7353" spans="9:11">
      <c r="I7353" t="s">
        <v>91</v>
      </c>
      <c r="J7353" t="s">
        <v>92</v>
      </c>
      <c r="K7353">
        <v>0</v>
      </c>
    </row>
    <row r="7354" spans="9:11">
      <c r="I7354" t="s">
        <v>94</v>
      </c>
      <c r="J7354" t="s">
        <v>95</v>
      </c>
      <c r="K7354">
        <v>0</v>
      </c>
    </row>
    <row r="7355" spans="9:11">
      <c r="I7355" t="s">
        <v>91</v>
      </c>
      <c r="J7355" t="s">
        <v>92</v>
      </c>
      <c r="K7355">
        <v>0</v>
      </c>
    </row>
    <row r="7356" spans="9:11">
      <c r="I7356" t="s">
        <v>94</v>
      </c>
      <c r="J7356" t="s">
        <v>95</v>
      </c>
      <c r="K7356">
        <v>0</v>
      </c>
    </row>
    <row r="7357" spans="9:11">
      <c r="I7357" t="s">
        <v>91</v>
      </c>
      <c r="J7357" t="s">
        <v>92</v>
      </c>
      <c r="K7357">
        <v>0</v>
      </c>
    </row>
    <row r="7358" spans="9:11">
      <c r="I7358" t="s">
        <v>91</v>
      </c>
      <c r="J7358" t="s">
        <v>92</v>
      </c>
      <c r="K7358">
        <v>0</v>
      </c>
    </row>
    <row r="7359" spans="9:11">
      <c r="I7359" t="s">
        <v>94</v>
      </c>
      <c r="J7359" t="s">
        <v>95</v>
      </c>
      <c r="K7359">
        <v>0</v>
      </c>
    </row>
    <row r="7360" spans="9:11">
      <c r="I7360" t="s">
        <v>94</v>
      </c>
      <c r="J7360" t="s">
        <v>95</v>
      </c>
      <c r="K7360">
        <v>0</v>
      </c>
    </row>
    <row r="7361" spans="9:11">
      <c r="I7361" t="s">
        <v>91</v>
      </c>
      <c r="J7361" t="s">
        <v>92</v>
      </c>
      <c r="K7361">
        <v>1</v>
      </c>
    </row>
    <row r="7362" spans="9:11">
      <c r="I7362" t="s">
        <v>91</v>
      </c>
      <c r="J7362" t="s">
        <v>92</v>
      </c>
      <c r="K7362">
        <v>1</v>
      </c>
    </row>
    <row r="7363" spans="9:11">
      <c r="I7363" t="s">
        <v>94</v>
      </c>
      <c r="J7363" t="s">
        <v>95</v>
      </c>
      <c r="K7363">
        <v>1</v>
      </c>
    </row>
    <row r="7364" spans="9:11">
      <c r="I7364" t="s">
        <v>91</v>
      </c>
      <c r="J7364" t="s">
        <v>92</v>
      </c>
      <c r="K7364">
        <v>0</v>
      </c>
    </row>
    <row r="7365" spans="9:11">
      <c r="I7365" t="s">
        <v>94</v>
      </c>
      <c r="J7365" t="s">
        <v>95</v>
      </c>
      <c r="K7365">
        <v>0</v>
      </c>
    </row>
    <row r="7366" spans="9:11">
      <c r="I7366" t="s">
        <v>91</v>
      </c>
      <c r="J7366" t="s">
        <v>92</v>
      </c>
      <c r="K7366">
        <v>0</v>
      </c>
    </row>
    <row r="7367" spans="9:11">
      <c r="I7367" t="s">
        <v>94</v>
      </c>
      <c r="J7367" t="s">
        <v>95</v>
      </c>
      <c r="K7367">
        <v>0</v>
      </c>
    </row>
    <row r="7368" spans="9:11">
      <c r="I7368" t="s">
        <v>91</v>
      </c>
      <c r="J7368" t="s">
        <v>92</v>
      </c>
      <c r="K7368">
        <v>0</v>
      </c>
    </row>
    <row r="7369" spans="9:11">
      <c r="I7369" t="s">
        <v>94</v>
      </c>
      <c r="J7369" t="s">
        <v>95</v>
      </c>
      <c r="K7369">
        <v>0</v>
      </c>
    </row>
    <row r="7370" spans="9:11">
      <c r="I7370" t="s">
        <v>91</v>
      </c>
      <c r="J7370" t="s">
        <v>92</v>
      </c>
      <c r="K7370">
        <v>0</v>
      </c>
    </row>
    <row r="7371" spans="9:11">
      <c r="I7371" t="s">
        <v>94</v>
      </c>
      <c r="J7371" t="s">
        <v>95</v>
      </c>
      <c r="K7371">
        <v>0</v>
      </c>
    </row>
    <row r="7372" spans="9:11">
      <c r="I7372" t="s">
        <v>91</v>
      </c>
      <c r="J7372" t="s">
        <v>92</v>
      </c>
      <c r="K7372">
        <v>0</v>
      </c>
    </row>
    <row r="7373" spans="9:11">
      <c r="I7373" t="s">
        <v>91</v>
      </c>
      <c r="J7373" t="s">
        <v>92</v>
      </c>
      <c r="K7373">
        <v>0</v>
      </c>
    </row>
    <row r="7374" spans="9:11">
      <c r="I7374" t="s">
        <v>91</v>
      </c>
      <c r="J7374" t="s">
        <v>92</v>
      </c>
      <c r="K7374">
        <v>0</v>
      </c>
    </row>
    <row r="7375" spans="9:11">
      <c r="I7375" t="s">
        <v>94</v>
      </c>
      <c r="J7375" t="s">
        <v>95</v>
      </c>
      <c r="K7375">
        <v>0</v>
      </c>
    </row>
    <row r="7376" spans="9:11">
      <c r="I7376" t="s">
        <v>94</v>
      </c>
      <c r="J7376" t="s">
        <v>95</v>
      </c>
      <c r="K7376">
        <v>0</v>
      </c>
    </row>
    <row r="7377" spans="9:11">
      <c r="I7377" t="s">
        <v>91</v>
      </c>
      <c r="J7377" t="s">
        <v>92</v>
      </c>
      <c r="K7377">
        <v>0</v>
      </c>
    </row>
    <row r="7378" spans="9:11">
      <c r="I7378" t="s">
        <v>94</v>
      </c>
      <c r="J7378" t="s">
        <v>95</v>
      </c>
      <c r="K7378">
        <v>0</v>
      </c>
    </row>
    <row r="7379" spans="9:11">
      <c r="I7379" t="s">
        <v>91</v>
      </c>
      <c r="J7379" t="s">
        <v>92</v>
      </c>
      <c r="K7379">
        <v>0</v>
      </c>
    </row>
    <row r="7380" spans="9:11">
      <c r="I7380" t="s">
        <v>91</v>
      </c>
      <c r="J7380" t="s">
        <v>92</v>
      </c>
      <c r="K7380">
        <v>0</v>
      </c>
    </row>
    <row r="7381" spans="9:11">
      <c r="I7381" t="s">
        <v>91</v>
      </c>
      <c r="J7381" t="s">
        <v>92</v>
      </c>
      <c r="K7381">
        <v>0</v>
      </c>
    </row>
    <row r="7382" spans="9:11">
      <c r="I7382" t="s">
        <v>91</v>
      </c>
      <c r="J7382" t="s">
        <v>92</v>
      </c>
      <c r="K7382">
        <v>0</v>
      </c>
    </row>
    <row r="7383" spans="9:11">
      <c r="I7383" t="s">
        <v>94</v>
      </c>
      <c r="J7383" t="s">
        <v>95</v>
      </c>
      <c r="K7383">
        <v>1</v>
      </c>
    </row>
    <row r="7384" spans="9:11">
      <c r="I7384" t="s">
        <v>94</v>
      </c>
      <c r="J7384" t="s">
        <v>95</v>
      </c>
      <c r="K7384">
        <v>0</v>
      </c>
    </row>
    <row r="7385" spans="9:11">
      <c r="I7385" t="s">
        <v>94</v>
      </c>
      <c r="J7385" t="s">
        <v>95</v>
      </c>
      <c r="K7385">
        <v>0</v>
      </c>
    </row>
    <row r="7386" spans="9:11">
      <c r="I7386" t="s">
        <v>91</v>
      </c>
      <c r="J7386" t="s">
        <v>92</v>
      </c>
      <c r="K7386">
        <v>0</v>
      </c>
    </row>
    <row r="7387" spans="9:11">
      <c r="I7387" t="s">
        <v>91</v>
      </c>
      <c r="J7387" t="s">
        <v>92</v>
      </c>
      <c r="K7387">
        <v>0</v>
      </c>
    </row>
    <row r="7388" spans="9:11">
      <c r="I7388" t="s">
        <v>91</v>
      </c>
      <c r="J7388" t="s">
        <v>92</v>
      </c>
      <c r="K7388">
        <v>0</v>
      </c>
    </row>
    <row r="7389" spans="9:11">
      <c r="I7389" t="s">
        <v>94</v>
      </c>
      <c r="J7389" t="s">
        <v>95</v>
      </c>
      <c r="K7389">
        <v>0</v>
      </c>
    </row>
    <row r="7390" spans="9:11">
      <c r="I7390" t="s">
        <v>94</v>
      </c>
      <c r="J7390" t="s">
        <v>95</v>
      </c>
      <c r="K7390">
        <v>0</v>
      </c>
    </row>
    <row r="7391" spans="9:11">
      <c r="I7391" t="s">
        <v>91</v>
      </c>
      <c r="J7391" t="s">
        <v>92</v>
      </c>
      <c r="K7391">
        <v>0</v>
      </c>
    </row>
    <row r="7392" spans="9:11">
      <c r="I7392" t="s">
        <v>94</v>
      </c>
      <c r="J7392" t="s">
        <v>95</v>
      </c>
      <c r="K7392">
        <v>0</v>
      </c>
    </row>
    <row r="7393" spans="9:11">
      <c r="I7393" t="s">
        <v>91</v>
      </c>
      <c r="J7393" t="s">
        <v>92</v>
      </c>
      <c r="K7393">
        <v>0</v>
      </c>
    </row>
    <row r="7394" spans="9:11">
      <c r="I7394" t="s">
        <v>94</v>
      </c>
      <c r="J7394" t="s">
        <v>95</v>
      </c>
      <c r="K7394">
        <v>0</v>
      </c>
    </row>
    <row r="7395" spans="9:11">
      <c r="I7395" t="s">
        <v>91</v>
      </c>
      <c r="J7395" t="s">
        <v>92</v>
      </c>
      <c r="K7395">
        <v>0</v>
      </c>
    </row>
    <row r="7396" spans="9:11">
      <c r="I7396" t="s">
        <v>94</v>
      </c>
      <c r="J7396" t="s">
        <v>95</v>
      </c>
      <c r="K7396">
        <v>0</v>
      </c>
    </row>
    <row r="7397" spans="9:11">
      <c r="I7397" t="s">
        <v>94</v>
      </c>
      <c r="J7397" t="s">
        <v>95</v>
      </c>
      <c r="K7397">
        <v>0</v>
      </c>
    </row>
    <row r="7398" spans="9:11">
      <c r="I7398" t="s">
        <v>91</v>
      </c>
      <c r="J7398" t="s">
        <v>92</v>
      </c>
      <c r="K7398">
        <v>0</v>
      </c>
    </row>
    <row r="7399" spans="9:11">
      <c r="I7399" t="s">
        <v>94</v>
      </c>
      <c r="J7399" t="s">
        <v>95</v>
      </c>
      <c r="K7399">
        <v>0</v>
      </c>
    </row>
    <row r="7400" spans="9:11">
      <c r="I7400" t="s">
        <v>94</v>
      </c>
      <c r="J7400" t="s">
        <v>95</v>
      </c>
      <c r="K7400">
        <v>0</v>
      </c>
    </row>
    <row r="7401" spans="9:11">
      <c r="I7401" t="s">
        <v>94</v>
      </c>
      <c r="J7401" t="s">
        <v>95</v>
      </c>
      <c r="K7401">
        <v>0</v>
      </c>
    </row>
    <row r="7402" spans="9:11">
      <c r="I7402" t="s">
        <v>91</v>
      </c>
      <c r="J7402" t="s">
        <v>92</v>
      </c>
      <c r="K7402">
        <v>0</v>
      </c>
    </row>
    <row r="7403" spans="9:11">
      <c r="I7403" t="s">
        <v>91</v>
      </c>
      <c r="J7403" t="s">
        <v>92</v>
      </c>
      <c r="K7403">
        <v>0</v>
      </c>
    </row>
    <row r="7404" spans="9:11">
      <c r="I7404" t="s">
        <v>91</v>
      </c>
      <c r="J7404" t="s">
        <v>92</v>
      </c>
      <c r="K7404">
        <v>0</v>
      </c>
    </row>
    <row r="7405" spans="9:11">
      <c r="I7405" t="s">
        <v>91</v>
      </c>
      <c r="J7405" t="s">
        <v>92</v>
      </c>
      <c r="K7405">
        <v>0</v>
      </c>
    </row>
    <row r="7406" spans="9:11">
      <c r="I7406" t="s">
        <v>91</v>
      </c>
      <c r="J7406" t="s">
        <v>92</v>
      </c>
      <c r="K7406">
        <v>0</v>
      </c>
    </row>
    <row r="7407" spans="9:11">
      <c r="I7407" t="s">
        <v>94</v>
      </c>
      <c r="J7407" t="s">
        <v>95</v>
      </c>
      <c r="K7407">
        <v>0</v>
      </c>
    </row>
    <row r="7408" spans="9:11">
      <c r="I7408" t="s">
        <v>94</v>
      </c>
      <c r="J7408" t="s">
        <v>95</v>
      </c>
      <c r="K7408">
        <v>0</v>
      </c>
    </row>
    <row r="7409" spans="9:11">
      <c r="I7409" t="s">
        <v>91</v>
      </c>
      <c r="J7409" t="s">
        <v>92</v>
      </c>
      <c r="K7409">
        <v>0</v>
      </c>
    </row>
    <row r="7410" spans="9:11">
      <c r="I7410" t="s">
        <v>91</v>
      </c>
      <c r="J7410" t="s">
        <v>92</v>
      </c>
      <c r="K7410">
        <v>0</v>
      </c>
    </row>
    <row r="7411" spans="9:11">
      <c r="I7411" t="s">
        <v>91</v>
      </c>
      <c r="J7411" t="s">
        <v>92</v>
      </c>
      <c r="K7411">
        <v>0</v>
      </c>
    </row>
    <row r="7412" spans="9:11">
      <c r="I7412" t="s">
        <v>94</v>
      </c>
      <c r="J7412" t="s">
        <v>95</v>
      </c>
      <c r="K7412">
        <v>0</v>
      </c>
    </row>
    <row r="7413" spans="9:11">
      <c r="I7413" t="s">
        <v>91</v>
      </c>
      <c r="J7413" t="s">
        <v>92</v>
      </c>
      <c r="K7413">
        <v>0</v>
      </c>
    </row>
    <row r="7414" spans="9:11">
      <c r="I7414" t="s">
        <v>94</v>
      </c>
      <c r="J7414" t="s">
        <v>95</v>
      </c>
      <c r="K7414">
        <v>0</v>
      </c>
    </row>
    <row r="7415" spans="9:11">
      <c r="I7415" t="s">
        <v>94</v>
      </c>
      <c r="J7415" t="s">
        <v>95</v>
      </c>
      <c r="K7415">
        <v>0</v>
      </c>
    </row>
    <row r="7416" spans="9:11">
      <c r="I7416" t="s">
        <v>91</v>
      </c>
      <c r="J7416" t="s">
        <v>92</v>
      </c>
      <c r="K7416">
        <v>0</v>
      </c>
    </row>
    <row r="7417" spans="9:11">
      <c r="I7417" t="s">
        <v>94</v>
      </c>
      <c r="J7417" t="s">
        <v>95</v>
      </c>
      <c r="K7417">
        <v>0</v>
      </c>
    </row>
    <row r="7418" spans="9:11">
      <c r="I7418" t="s">
        <v>94</v>
      </c>
      <c r="J7418" t="s">
        <v>95</v>
      </c>
      <c r="K7418">
        <v>0</v>
      </c>
    </row>
    <row r="7419" spans="9:11">
      <c r="I7419" t="s">
        <v>91</v>
      </c>
      <c r="J7419" t="s">
        <v>92</v>
      </c>
      <c r="K7419">
        <v>0</v>
      </c>
    </row>
    <row r="7420" spans="9:11">
      <c r="I7420" t="s">
        <v>91</v>
      </c>
      <c r="J7420" t="s">
        <v>92</v>
      </c>
      <c r="K7420">
        <v>0</v>
      </c>
    </row>
    <row r="7421" spans="9:11">
      <c r="I7421" t="s">
        <v>91</v>
      </c>
      <c r="J7421" t="s">
        <v>92</v>
      </c>
      <c r="K7421">
        <v>0</v>
      </c>
    </row>
    <row r="7422" spans="9:11">
      <c r="I7422" t="s">
        <v>94</v>
      </c>
      <c r="J7422" t="s">
        <v>95</v>
      </c>
      <c r="K7422">
        <v>0</v>
      </c>
    </row>
    <row r="7423" spans="9:11">
      <c r="I7423" t="s">
        <v>91</v>
      </c>
      <c r="J7423" t="s">
        <v>92</v>
      </c>
      <c r="K7423">
        <v>1</v>
      </c>
    </row>
    <row r="7424" spans="9:11">
      <c r="I7424" t="s">
        <v>91</v>
      </c>
      <c r="J7424" t="s">
        <v>92</v>
      </c>
      <c r="K7424">
        <v>0</v>
      </c>
    </row>
    <row r="7425" spans="9:11">
      <c r="I7425" t="s">
        <v>91</v>
      </c>
      <c r="J7425" t="s">
        <v>92</v>
      </c>
      <c r="K7425">
        <v>0</v>
      </c>
    </row>
    <row r="7426" spans="9:11">
      <c r="I7426" t="s">
        <v>94</v>
      </c>
      <c r="J7426" t="s">
        <v>95</v>
      </c>
      <c r="K7426">
        <v>0</v>
      </c>
    </row>
    <row r="7427" spans="9:11">
      <c r="I7427" t="s">
        <v>91</v>
      </c>
      <c r="J7427" t="s">
        <v>92</v>
      </c>
      <c r="K7427">
        <v>0</v>
      </c>
    </row>
    <row r="7428" spans="9:11">
      <c r="I7428" t="s">
        <v>91</v>
      </c>
      <c r="J7428" t="s">
        <v>92</v>
      </c>
      <c r="K7428">
        <v>0</v>
      </c>
    </row>
    <row r="7429" spans="9:11">
      <c r="I7429" t="s">
        <v>94</v>
      </c>
      <c r="J7429" t="s">
        <v>95</v>
      </c>
      <c r="K7429">
        <v>0</v>
      </c>
    </row>
    <row r="7430" spans="9:11">
      <c r="I7430" t="s">
        <v>91</v>
      </c>
      <c r="J7430" t="s">
        <v>92</v>
      </c>
      <c r="K7430">
        <v>0</v>
      </c>
    </row>
    <row r="7431" spans="9:11">
      <c r="I7431" t="s">
        <v>91</v>
      </c>
      <c r="J7431" t="s">
        <v>92</v>
      </c>
      <c r="K7431">
        <v>0</v>
      </c>
    </row>
    <row r="7432" spans="9:11">
      <c r="I7432" t="s">
        <v>91</v>
      </c>
      <c r="J7432" t="s">
        <v>92</v>
      </c>
      <c r="K7432">
        <v>0</v>
      </c>
    </row>
    <row r="7433" spans="9:11">
      <c r="I7433" t="s">
        <v>94</v>
      </c>
      <c r="J7433" t="s">
        <v>95</v>
      </c>
      <c r="K7433">
        <v>0</v>
      </c>
    </row>
    <row r="7434" spans="9:11">
      <c r="I7434" t="s">
        <v>91</v>
      </c>
      <c r="J7434" t="s">
        <v>92</v>
      </c>
      <c r="K7434">
        <v>0</v>
      </c>
    </row>
    <row r="7435" spans="9:11">
      <c r="I7435" t="s">
        <v>91</v>
      </c>
      <c r="J7435" t="s">
        <v>92</v>
      </c>
      <c r="K7435">
        <v>0</v>
      </c>
    </row>
    <row r="7436" spans="9:11">
      <c r="I7436" t="s">
        <v>91</v>
      </c>
      <c r="J7436" t="s">
        <v>92</v>
      </c>
      <c r="K7436">
        <v>0</v>
      </c>
    </row>
    <row r="7437" spans="9:11">
      <c r="I7437" t="s">
        <v>94</v>
      </c>
      <c r="J7437" t="s">
        <v>95</v>
      </c>
      <c r="K7437">
        <v>0</v>
      </c>
    </row>
    <row r="7438" spans="9:11">
      <c r="I7438" t="s">
        <v>94</v>
      </c>
      <c r="J7438" t="s">
        <v>95</v>
      </c>
      <c r="K7438">
        <v>0</v>
      </c>
    </row>
    <row r="7439" spans="9:11">
      <c r="I7439" t="s">
        <v>91</v>
      </c>
      <c r="J7439" t="s">
        <v>92</v>
      </c>
      <c r="K7439">
        <v>0</v>
      </c>
    </row>
    <row r="7440" spans="9:11">
      <c r="I7440" t="s">
        <v>94</v>
      </c>
      <c r="J7440" t="s">
        <v>95</v>
      </c>
      <c r="K7440">
        <v>0</v>
      </c>
    </row>
    <row r="7441" spans="9:11">
      <c r="I7441" t="s">
        <v>94</v>
      </c>
      <c r="J7441" t="s">
        <v>95</v>
      </c>
      <c r="K7441">
        <v>0</v>
      </c>
    </row>
    <row r="7442" spans="9:11">
      <c r="I7442" t="s">
        <v>94</v>
      </c>
      <c r="J7442" t="s">
        <v>95</v>
      </c>
      <c r="K7442">
        <v>0</v>
      </c>
    </row>
    <row r="7443" spans="9:11">
      <c r="I7443" t="s">
        <v>94</v>
      </c>
      <c r="J7443" t="s">
        <v>95</v>
      </c>
      <c r="K7443">
        <v>0</v>
      </c>
    </row>
    <row r="7444" spans="9:11">
      <c r="I7444" t="s">
        <v>94</v>
      </c>
      <c r="J7444" t="s">
        <v>95</v>
      </c>
      <c r="K7444">
        <v>0</v>
      </c>
    </row>
    <row r="7445" spans="9:11">
      <c r="I7445" t="s">
        <v>91</v>
      </c>
      <c r="J7445" t="s">
        <v>92</v>
      </c>
      <c r="K7445">
        <v>0</v>
      </c>
    </row>
    <row r="7446" spans="9:11">
      <c r="I7446" t="s">
        <v>91</v>
      </c>
      <c r="J7446" t="s">
        <v>92</v>
      </c>
      <c r="K7446">
        <v>0</v>
      </c>
    </row>
    <row r="7447" spans="9:11">
      <c r="I7447" t="s">
        <v>94</v>
      </c>
      <c r="J7447" t="s">
        <v>95</v>
      </c>
      <c r="K7447">
        <v>1</v>
      </c>
    </row>
    <row r="7448" spans="9:11">
      <c r="I7448" t="s">
        <v>94</v>
      </c>
      <c r="J7448" t="s">
        <v>95</v>
      </c>
      <c r="K7448">
        <v>0</v>
      </c>
    </row>
    <row r="7449" spans="9:11">
      <c r="I7449" t="s">
        <v>91</v>
      </c>
      <c r="J7449" t="s">
        <v>92</v>
      </c>
      <c r="K7449">
        <v>0</v>
      </c>
    </row>
    <row r="7450" spans="9:11">
      <c r="I7450" t="s">
        <v>94</v>
      </c>
      <c r="J7450" t="s">
        <v>95</v>
      </c>
      <c r="K7450">
        <v>0</v>
      </c>
    </row>
    <row r="7451" spans="9:11">
      <c r="I7451" t="s">
        <v>91</v>
      </c>
      <c r="J7451" t="s">
        <v>92</v>
      </c>
      <c r="K7451">
        <v>0</v>
      </c>
    </row>
    <row r="7452" spans="9:11">
      <c r="I7452" t="s">
        <v>91</v>
      </c>
      <c r="J7452" t="s">
        <v>92</v>
      </c>
      <c r="K7452">
        <v>0</v>
      </c>
    </row>
    <row r="7453" spans="9:11">
      <c r="I7453" t="s">
        <v>94</v>
      </c>
      <c r="J7453" t="s">
        <v>95</v>
      </c>
      <c r="K7453">
        <v>0</v>
      </c>
    </row>
    <row r="7454" spans="9:11">
      <c r="I7454" t="s">
        <v>94</v>
      </c>
      <c r="J7454" t="s">
        <v>95</v>
      </c>
      <c r="K7454">
        <v>0</v>
      </c>
    </row>
    <row r="7455" spans="9:11">
      <c r="I7455" t="s">
        <v>91</v>
      </c>
      <c r="J7455" t="s">
        <v>92</v>
      </c>
      <c r="K7455">
        <v>0</v>
      </c>
    </row>
    <row r="7456" spans="9:11">
      <c r="I7456" t="s">
        <v>94</v>
      </c>
      <c r="J7456" t="s">
        <v>95</v>
      </c>
      <c r="K7456">
        <v>0</v>
      </c>
    </row>
    <row r="7457" spans="9:11">
      <c r="I7457" t="s">
        <v>91</v>
      </c>
      <c r="J7457" t="s">
        <v>92</v>
      </c>
      <c r="K7457">
        <v>0</v>
      </c>
    </row>
    <row r="7458" spans="9:11">
      <c r="I7458" t="s">
        <v>94</v>
      </c>
      <c r="J7458" t="s">
        <v>95</v>
      </c>
      <c r="K7458">
        <v>0</v>
      </c>
    </row>
    <row r="7459" spans="9:11">
      <c r="I7459" t="s">
        <v>94</v>
      </c>
      <c r="J7459" t="s">
        <v>95</v>
      </c>
      <c r="K7459">
        <v>0</v>
      </c>
    </row>
    <row r="7460" spans="9:11">
      <c r="I7460" t="s">
        <v>94</v>
      </c>
      <c r="J7460" t="s">
        <v>95</v>
      </c>
      <c r="K7460">
        <v>0</v>
      </c>
    </row>
    <row r="7461" spans="9:11">
      <c r="I7461" t="s">
        <v>91</v>
      </c>
      <c r="J7461" t="s">
        <v>92</v>
      </c>
      <c r="K7461">
        <v>0</v>
      </c>
    </row>
    <row r="7462" spans="9:11">
      <c r="I7462" t="s">
        <v>91</v>
      </c>
      <c r="J7462" t="s">
        <v>92</v>
      </c>
      <c r="K7462">
        <v>0</v>
      </c>
    </row>
    <row r="7463" spans="9:11">
      <c r="I7463" t="s">
        <v>91</v>
      </c>
      <c r="J7463" t="s">
        <v>92</v>
      </c>
      <c r="K7463">
        <v>0</v>
      </c>
    </row>
    <row r="7464" spans="9:11">
      <c r="I7464" t="s">
        <v>91</v>
      </c>
      <c r="J7464" t="s">
        <v>92</v>
      </c>
      <c r="K7464">
        <v>0</v>
      </c>
    </row>
    <row r="7465" spans="9:11">
      <c r="I7465" t="s">
        <v>91</v>
      </c>
      <c r="J7465" t="s">
        <v>92</v>
      </c>
      <c r="K7465">
        <v>0</v>
      </c>
    </row>
    <row r="7466" spans="9:11">
      <c r="I7466" t="s">
        <v>94</v>
      </c>
      <c r="J7466" t="s">
        <v>95</v>
      </c>
      <c r="K7466">
        <v>0</v>
      </c>
    </row>
    <row r="7467" spans="9:11">
      <c r="I7467" t="s">
        <v>94</v>
      </c>
      <c r="J7467" t="s">
        <v>95</v>
      </c>
      <c r="K7467">
        <v>0</v>
      </c>
    </row>
    <row r="7468" spans="9:11">
      <c r="I7468" t="s">
        <v>94</v>
      </c>
      <c r="J7468" t="s">
        <v>95</v>
      </c>
      <c r="K7468">
        <v>0</v>
      </c>
    </row>
    <row r="7469" spans="9:11">
      <c r="I7469" t="s">
        <v>91</v>
      </c>
      <c r="J7469" t="s">
        <v>92</v>
      </c>
      <c r="K7469">
        <v>0</v>
      </c>
    </row>
    <row r="7470" spans="9:11">
      <c r="I7470" t="s">
        <v>94</v>
      </c>
      <c r="J7470" t="s">
        <v>95</v>
      </c>
      <c r="K7470">
        <v>0</v>
      </c>
    </row>
    <row r="7471" spans="9:11">
      <c r="I7471" t="s">
        <v>91</v>
      </c>
      <c r="J7471" t="s">
        <v>92</v>
      </c>
      <c r="K7471">
        <v>0</v>
      </c>
    </row>
    <row r="7472" spans="9:11">
      <c r="I7472" t="s">
        <v>91</v>
      </c>
      <c r="J7472" t="s">
        <v>92</v>
      </c>
      <c r="K7472">
        <v>0</v>
      </c>
    </row>
    <row r="7473" spans="9:11">
      <c r="I7473" t="s">
        <v>94</v>
      </c>
      <c r="J7473" t="s">
        <v>95</v>
      </c>
      <c r="K7473">
        <v>0</v>
      </c>
    </row>
    <row r="7474" spans="9:11">
      <c r="I7474" t="s">
        <v>94</v>
      </c>
      <c r="J7474" t="s">
        <v>95</v>
      </c>
      <c r="K7474">
        <v>0</v>
      </c>
    </row>
    <row r="7475" spans="9:11">
      <c r="I7475" t="s">
        <v>94</v>
      </c>
      <c r="J7475" t="s">
        <v>95</v>
      </c>
      <c r="K7475">
        <v>0</v>
      </c>
    </row>
    <row r="7476" spans="9:11">
      <c r="I7476" t="s">
        <v>94</v>
      </c>
      <c r="J7476" t="s">
        <v>95</v>
      </c>
      <c r="K7476">
        <v>0</v>
      </c>
    </row>
    <row r="7477" spans="9:11">
      <c r="I7477" t="s">
        <v>94</v>
      </c>
      <c r="J7477" t="s">
        <v>95</v>
      </c>
      <c r="K7477">
        <v>0</v>
      </c>
    </row>
    <row r="7478" spans="9:11">
      <c r="I7478" t="s">
        <v>91</v>
      </c>
      <c r="J7478" t="s">
        <v>92</v>
      </c>
      <c r="K7478">
        <v>0</v>
      </c>
    </row>
    <row r="7479" spans="9:11">
      <c r="I7479" t="s">
        <v>91</v>
      </c>
      <c r="J7479" t="s">
        <v>92</v>
      </c>
      <c r="K7479">
        <v>0</v>
      </c>
    </row>
    <row r="7480" spans="9:11">
      <c r="I7480" t="s">
        <v>94</v>
      </c>
      <c r="J7480" t="s">
        <v>95</v>
      </c>
      <c r="K7480">
        <v>0</v>
      </c>
    </row>
    <row r="7481" spans="9:11">
      <c r="I7481" t="s">
        <v>94</v>
      </c>
      <c r="J7481" t="s">
        <v>95</v>
      </c>
      <c r="K7481">
        <v>1</v>
      </c>
    </row>
    <row r="7482" spans="9:11">
      <c r="I7482" t="s">
        <v>94</v>
      </c>
      <c r="J7482" t="s">
        <v>95</v>
      </c>
      <c r="K7482">
        <v>0</v>
      </c>
    </row>
    <row r="7483" spans="9:11">
      <c r="I7483" t="s">
        <v>91</v>
      </c>
      <c r="J7483" t="s">
        <v>92</v>
      </c>
      <c r="K7483">
        <v>0</v>
      </c>
    </row>
    <row r="7484" spans="9:11">
      <c r="I7484" t="s">
        <v>94</v>
      </c>
      <c r="J7484" t="s">
        <v>95</v>
      </c>
      <c r="K7484">
        <v>0</v>
      </c>
    </row>
    <row r="7485" spans="9:11">
      <c r="I7485" t="s">
        <v>91</v>
      </c>
      <c r="J7485" t="s">
        <v>92</v>
      </c>
      <c r="K7485">
        <v>0</v>
      </c>
    </row>
    <row r="7486" spans="9:11">
      <c r="I7486" t="s">
        <v>94</v>
      </c>
      <c r="J7486" t="s">
        <v>95</v>
      </c>
      <c r="K7486">
        <v>0</v>
      </c>
    </row>
    <row r="7487" spans="9:11">
      <c r="I7487" t="s">
        <v>94</v>
      </c>
      <c r="J7487" t="s">
        <v>95</v>
      </c>
      <c r="K7487">
        <v>0</v>
      </c>
    </row>
    <row r="7488" spans="9:11">
      <c r="I7488" t="s">
        <v>94</v>
      </c>
      <c r="J7488" t="s">
        <v>95</v>
      </c>
      <c r="K7488">
        <v>0</v>
      </c>
    </row>
    <row r="7489" spans="9:11">
      <c r="I7489" t="s">
        <v>91</v>
      </c>
      <c r="J7489" t="s">
        <v>92</v>
      </c>
      <c r="K7489">
        <v>0</v>
      </c>
    </row>
    <row r="7490" spans="9:11">
      <c r="I7490" t="s">
        <v>94</v>
      </c>
      <c r="J7490" t="s">
        <v>95</v>
      </c>
      <c r="K7490">
        <v>0</v>
      </c>
    </row>
    <row r="7491" spans="9:11">
      <c r="I7491" t="s">
        <v>94</v>
      </c>
      <c r="J7491" t="s">
        <v>95</v>
      </c>
      <c r="K7491">
        <v>0</v>
      </c>
    </row>
    <row r="7492" spans="9:11">
      <c r="I7492" t="s">
        <v>91</v>
      </c>
      <c r="J7492" t="s">
        <v>92</v>
      </c>
      <c r="K7492">
        <v>1</v>
      </c>
    </row>
    <row r="7493" spans="9:11">
      <c r="I7493" t="s">
        <v>91</v>
      </c>
      <c r="J7493" t="s">
        <v>92</v>
      </c>
      <c r="K7493">
        <v>1</v>
      </c>
    </row>
    <row r="7494" spans="9:11">
      <c r="I7494" t="s">
        <v>94</v>
      </c>
      <c r="J7494" t="s">
        <v>95</v>
      </c>
      <c r="K7494">
        <v>0</v>
      </c>
    </row>
    <row r="7495" spans="9:11">
      <c r="I7495" t="s">
        <v>91</v>
      </c>
      <c r="J7495" t="s">
        <v>92</v>
      </c>
      <c r="K7495">
        <v>0</v>
      </c>
    </row>
    <row r="7496" spans="9:11">
      <c r="I7496" t="s">
        <v>91</v>
      </c>
      <c r="J7496" t="s">
        <v>92</v>
      </c>
      <c r="K7496">
        <v>0</v>
      </c>
    </row>
    <row r="7497" spans="9:11">
      <c r="I7497" t="s">
        <v>94</v>
      </c>
      <c r="J7497" t="s">
        <v>95</v>
      </c>
      <c r="K7497">
        <v>0</v>
      </c>
    </row>
    <row r="7498" spans="9:11">
      <c r="I7498" t="s">
        <v>94</v>
      </c>
      <c r="J7498" t="s">
        <v>95</v>
      </c>
      <c r="K7498">
        <v>0</v>
      </c>
    </row>
    <row r="7499" spans="9:11">
      <c r="I7499" t="s">
        <v>91</v>
      </c>
      <c r="J7499" t="s">
        <v>92</v>
      </c>
      <c r="K7499">
        <v>0</v>
      </c>
    </row>
    <row r="7500" spans="9:11">
      <c r="I7500" t="s">
        <v>94</v>
      </c>
      <c r="J7500" t="s">
        <v>95</v>
      </c>
      <c r="K7500">
        <v>0</v>
      </c>
    </row>
    <row r="7501" spans="9:11">
      <c r="I7501" t="s">
        <v>94</v>
      </c>
      <c r="J7501" t="s">
        <v>95</v>
      </c>
      <c r="K7501">
        <v>0</v>
      </c>
    </row>
    <row r="7502" spans="9:11">
      <c r="I7502" t="s">
        <v>91</v>
      </c>
      <c r="J7502" t="s">
        <v>92</v>
      </c>
      <c r="K7502">
        <v>0</v>
      </c>
    </row>
    <row r="7503" spans="9:11">
      <c r="I7503" t="s">
        <v>91</v>
      </c>
      <c r="J7503" t="s">
        <v>92</v>
      </c>
      <c r="K7503">
        <v>0</v>
      </c>
    </row>
    <row r="7504" spans="9:11">
      <c r="I7504" t="s">
        <v>94</v>
      </c>
      <c r="J7504" t="s">
        <v>95</v>
      </c>
      <c r="K7504">
        <v>0</v>
      </c>
    </row>
    <row r="7505" spans="9:11">
      <c r="I7505" t="s">
        <v>91</v>
      </c>
      <c r="J7505" t="s">
        <v>92</v>
      </c>
      <c r="K7505">
        <v>0</v>
      </c>
    </row>
    <row r="7506" spans="9:11">
      <c r="I7506" t="s">
        <v>91</v>
      </c>
      <c r="J7506" t="s">
        <v>92</v>
      </c>
      <c r="K7506">
        <v>0</v>
      </c>
    </row>
    <row r="7507" spans="9:11">
      <c r="I7507" t="s">
        <v>94</v>
      </c>
      <c r="J7507" t="s">
        <v>95</v>
      </c>
      <c r="K7507">
        <v>0</v>
      </c>
    </row>
    <row r="7508" spans="9:11">
      <c r="I7508" t="s">
        <v>91</v>
      </c>
      <c r="J7508" t="s">
        <v>92</v>
      </c>
      <c r="K7508">
        <v>0</v>
      </c>
    </row>
    <row r="7509" spans="9:11">
      <c r="I7509" t="s">
        <v>94</v>
      </c>
      <c r="J7509" t="s">
        <v>95</v>
      </c>
      <c r="K7509">
        <v>0</v>
      </c>
    </row>
    <row r="7510" spans="9:11">
      <c r="I7510" t="s">
        <v>94</v>
      </c>
      <c r="J7510" t="s">
        <v>95</v>
      </c>
      <c r="K7510">
        <v>0</v>
      </c>
    </row>
    <row r="7511" spans="9:11">
      <c r="I7511" t="s">
        <v>91</v>
      </c>
      <c r="J7511" t="s">
        <v>92</v>
      </c>
      <c r="K7511">
        <v>0</v>
      </c>
    </row>
    <row r="7512" spans="9:11">
      <c r="I7512" t="s">
        <v>91</v>
      </c>
      <c r="J7512" t="s">
        <v>92</v>
      </c>
      <c r="K7512">
        <v>0</v>
      </c>
    </row>
    <row r="7513" spans="9:11">
      <c r="I7513" t="s">
        <v>94</v>
      </c>
      <c r="J7513" t="s">
        <v>95</v>
      </c>
      <c r="K7513">
        <v>0</v>
      </c>
    </row>
    <row r="7514" spans="9:11">
      <c r="I7514" t="s">
        <v>94</v>
      </c>
      <c r="J7514" t="s">
        <v>95</v>
      </c>
      <c r="K7514">
        <v>0</v>
      </c>
    </row>
    <row r="7515" spans="9:11">
      <c r="I7515" t="s">
        <v>91</v>
      </c>
      <c r="J7515" t="s">
        <v>92</v>
      </c>
      <c r="K7515">
        <v>0</v>
      </c>
    </row>
    <row r="7516" spans="9:11">
      <c r="I7516" t="s">
        <v>91</v>
      </c>
      <c r="J7516" t="s">
        <v>92</v>
      </c>
      <c r="K7516">
        <v>0</v>
      </c>
    </row>
    <row r="7517" spans="9:11">
      <c r="I7517" t="s">
        <v>94</v>
      </c>
      <c r="J7517" t="s">
        <v>95</v>
      </c>
      <c r="K7517">
        <v>0</v>
      </c>
    </row>
    <row r="7518" spans="9:11">
      <c r="I7518" t="s">
        <v>94</v>
      </c>
      <c r="J7518" t="s">
        <v>95</v>
      </c>
      <c r="K7518">
        <v>0</v>
      </c>
    </row>
    <row r="7519" spans="9:11">
      <c r="I7519" t="s">
        <v>91</v>
      </c>
      <c r="J7519" t="s">
        <v>92</v>
      </c>
      <c r="K7519">
        <v>0</v>
      </c>
    </row>
    <row r="7520" spans="9:11">
      <c r="I7520" t="s">
        <v>91</v>
      </c>
      <c r="J7520" t="s">
        <v>92</v>
      </c>
      <c r="K7520">
        <v>0</v>
      </c>
    </row>
    <row r="7521" spans="9:11">
      <c r="I7521" t="s">
        <v>91</v>
      </c>
      <c r="J7521" t="s">
        <v>92</v>
      </c>
      <c r="K7521">
        <v>0</v>
      </c>
    </row>
    <row r="7522" spans="9:11">
      <c r="I7522" t="s">
        <v>94</v>
      </c>
      <c r="J7522" t="s">
        <v>95</v>
      </c>
      <c r="K7522">
        <v>0</v>
      </c>
    </row>
    <row r="7523" spans="9:11">
      <c r="I7523" t="s">
        <v>94</v>
      </c>
      <c r="J7523" t="s">
        <v>95</v>
      </c>
      <c r="K7523">
        <v>0</v>
      </c>
    </row>
    <row r="7524" spans="9:11">
      <c r="I7524" t="s">
        <v>94</v>
      </c>
      <c r="J7524" t="s">
        <v>95</v>
      </c>
      <c r="K7524">
        <v>0</v>
      </c>
    </row>
    <row r="7525" spans="9:11">
      <c r="I7525" t="s">
        <v>91</v>
      </c>
      <c r="J7525" t="s">
        <v>92</v>
      </c>
      <c r="K7525">
        <v>0</v>
      </c>
    </row>
    <row r="7526" spans="9:11">
      <c r="I7526" t="s">
        <v>91</v>
      </c>
      <c r="J7526" t="s">
        <v>92</v>
      </c>
      <c r="K7526">
        <v>0</v>
      </c>
    </row>
    <row r="7527" spans="9:11">
      <c r="I7527" t="s">
        <v>94</v>
      </c>
      <c r="J7527" t="s">
        <v>95</v>
      </c>
      <c r="K7527">
        <v>0</v>
      </c>
    </row>
    <row r="7528" spans="9:11">
      <c r="I7528" t="s">
        <v>91</v>
      </c>
      <c r="J7528" t="s">
        <v>92</v>
      </c>
      <c r="K7528">
        <v>0</v>
      </c>
    </row>
    <row r="7529" spans="9:11">
      <c r="I7529" t="s">
        <v>91</v>
      </c>
      <c r="J7529" t="s">
        <v>92</v>
      </c>
      <c r="K7529">
        <v>0</v>
      </c>
    </row>
    <row r="7530" spans="9:11">
      <c r="I7530" t="s">
        <v>94</v>
      </c>
      <c r="J7530" t="s">
        <v>95</v>
      </c>
      <c r="K7530">
        <v>0</v>
      </c>
    </row>
    <row r="7531" spans="9:11">
      <c r="I7531" t="s">
        <v>91</v>
      </c>
      <c r="J7531" t="s">
        <v>92</v>
      </c>
      <c r="K7531">
        <v>0</v>
      </c>
    </row>
    <row r="7532" spans="9:11">
      <c r="I7532" t="s">
        <v>91</v>
      </c>
      <c r="J7532" t="s">
        <v>92</v>
      </c>
      <c r="K7532">
        <v>0</v>
      </c>
    </row>
    <row r="7533" spans="9:11">
      <c r="I7533" t="s">
        <v>91</v>
      </c>
      <c r="J7533" t="s">
        <v>92</v>
      </c>
      <c r="K7533">
        <v>0</v>
      </c>
    </row>
    <row r="7534" spans="9:11">
      <c r="I7534" t="s">
        <v>94</v>
      </c>
      <c r="J7534" t="s">
        <v>95</v>
      </c>
      <c r="K7534">
        <v>0</v>
      </c>
    </row>
    <row r="7535" spans="9:11">
      <c r="I7535" t="s">
        <v>91</v>
      </c>
      <c r="J7535" t="s">
        <v>92</v>
      </c>
      <c r="K7535">
        <v>0</v>
      </c>
    </row>
    <row r="7536" spans="9:11">
      <c r="I7536" t="s">
        <v>91</v>
      </c>
      <c r="J7536" t="s">
        <v>92</v>
      </c>
      <c r="K7536">
        <v>0</v>
      </c>
    </row>
    <row r="7537" spans="9:11">
      <c r="I7537" t="s">
        <v>94</v>
      </c>
      <c r="J7537" t="s">
        <v>95</v>
      </c>
      <c r="K7537">
        <v>0</v>
      </c>
    </row>
    <row r="7538" spans="9:11">
      <c r="I7538" t="s">
        <v>91</v>
      </c>
      <c r="J7538" t="s">
        <v>92</v>
      </c>
      <c r="K7538">
        <v>1</v>
      </c>
    </row>
    <row r="7539" spans="9:11">
      <c r="I7539" t="s">
        <v>91</v>
      </c>
      <c r="J7539" t="s">
        <v>92</v>
      </c>
      <c r="K7539">
        <v>0</v>
      </c>
    </row>
    <row r="7540" spans="9:11">
      <c r="I7540" t="s">
        <v>91</v>
      </c>
      <c r="J7540" t="s">
        <v>92</v>
      </c>
      <c r="K7540">
        <v>0</v>
      </c>
    </row>
    <row r="7541" spans="9:11">
      <c r="I7541" t="s">
        <v>91</v>
      </c>
      <c r="J7541" t="s">
        <v>92</v>
      </c>
      <c r="K7541">
        <v>0</v>
      </c>
    </row>
    <row r="7542" spans="9:11">
      <c r="I7542" t="s">
        <v>91</v>
      </c>
      <c r="J7542" t="s">
        <v>92</v>
      </c>
      <c r="K7542">
        <v>0</v>
      </c>
    </row>
    <row r="7543" spans="9:11">
      <c r="I7543" t="s">
        <v>94</v>
      </c>
      <c r="J7543" t="s">
        <v>95</v>
      </c>
      <c r="K7543">
        <v>0</v>
      </c>
    </row>
    <row r="7544" spans="9:11">
      <c r="I7544" t="s">
        <v>91</v>
      </c>
      <c r="J7544" t="s">
        <v>92</v>
      </c>
      <c r="K7544">
        <v>0</v>
      </c>
    </row>
    <row r="7545" spans="9:11">
      <c r="I7545" t="s">
        <v>91</v>
      </c>
      <c r="J7545" t="s">
        <v>92</v>
      </c>
      <c r="K7545">
        <v>0</v>
      </c>
    </row>
    <row r="7546" spans="9:11">
      <c r="I7546" t="s">
        <v>91</v>
      </c>
      <c r="J7546" t="s">
        <v>92</v>
      </c>
      <c r="K7546">
        <v>0</v>
      </c>
    </row>
    <row r="7547" spans="9:11">
      <c r="I7547" t="s">
        <v>91</v>
      </c>
      <c r="J7547" t="s">
        <v>92</v>
      </c>
      <c r="K7547">
        <v>0</v>
      </c>
    </row>
    <row r="7548" spans="9:11">
      <c r="I7548" t="s">
        <v>94</v>
      </c>
      <c r="J7548" t="s">
        <v>95</v>
      </c>
      <c r="K7548">
        <v>0</v>
      </c>
    </row>
    <row r="7549" spans="9:11">
      <c r="I7549" t="s">
        <v>94</v>
      </c>
      <c r="J7549" t="s">
        <v>95</v>
      </c>
      <c r="K7549">
        <v>0</v>
      </c>
    </row>
    <row r="7550" spans="9:11">
      <c r="I7550" t="s">
        <v>91</v>
      </c>
      <c r="J7550" t="s">
        <v>92</v>
      </c>
      <c r="K7550">
        <v>0</v>
      </c>
    </row>
    <row r="7551" spans="9:11">
      <c r="I7551" t="s">
        <v>94</v>
      </c>
      <c r="J7551" t="s">
        <v>95</v>
      </c>
      <c r="K7551">
        <v>0</v>
      </c>
    </row>
    <row r="7552" spans="9:11">
      <c r="I7552" t="s">
        <v>94</v>
      </c>
      <c r="J7552" t="s">
        <v>95</v>
      </c>
      <c r="K7552">
        <v>0</v>
      </c>
    </row>
    <row r="7553" spans="9:11">
      <c r="I7553" t="s">
        <v>91</v>
      </c>
      <c r="J7553" t="s">
        <v>92</v>
      </c>
      <c r="K7553">
        <v>0</v>
      </c>
    </row>
    <row r="7554" spans="9:11">
      <c r="I7554" t="s">
        <v>91</v>
      </c>
      <c r="J7554" t="s">
        <v>92</v>
      </c>
      <c r="K7554">
        <v>0</v>
      </c>
    </row>
    <row r="7555" spans="9:11">
      <c r="I7555" t="s">
        <v>91</v>
      </c>
      <c r="J7555" t="s">
        <v>92</v>
      </c>
      <c r="K7555">
        <v>0</v>
      </c>
    </row>
    <row r="7556" spans="9:11">
      <c r="I7556" t="s">
        <v>91</v>
      </c>
      <c r="J7556" t="s">
        <v>92</v>
      </c>
      <c r="K7556">
        <v>0</v>
      </c>
    </row>
    <row r="7557" spans="9:11">
      <c r="I7557" t="s">
        <v>91</v>
      </c>
      <c r="J7557" t="s">
        <v>92</v>
      </c>
      <c r="K7557">
        <v>0</v>
      </c>
    </row>
    <row r="7558" spans="9:11">
      <c r="I7558" t="s">
        <v>91</v>
      </c>
      <c r="J7558" t="s">
        <v>92</v>
      </c>
      <c r="K7558">
        <v>0</v>
      </c>
    </row>
    <row r="7559" spans="9:11">
      <c r="I7559" t="s">
        <v>91</v>
      </c>
      <c r="J7559" t="s">
        <v>92</v>
      </c>
      <c r="K7559">
        <v>0</v>
      </c>
    </row>
    <row r="7560" spans="9:11">
      <c r="I7560" t="s">
        <v>94</v>
      </c>
      <c r="J7560" t="s">
        <v>95</v>
      </c>
      <c r="K7560">
        <v>0</v>
      </c>
    </row>
    <row r="7561" spans="9:11">
      <c r="I7561" t="s">
        <v>91</v>
      </c>
      <c r="J7561" t="s">
        <v>92</v>
      </c>
      <c r="K7561">
        <v>0</v>
      </c>
    </row>
    <row r="7562" spans="9:11">
      <c r="I7562" t="s">
        <v>94</v>
      </c>
      <c r="J7562" t="s">
        <v>95</v>
      </c>
      <c r="K7562">
        <v>0</v>
      </c>
    </row>
    <row r="7563" spans="9:11">
      <c r="I7563" t="s">
        <v>91</v>
      </c>
      <c r="J7563" t="s">
        <v>92</v>
      </c>
      <c r="K7563">
        <v>0</v>
      </c>
    </row>
    <row r="7564" spans="9:11">
      <c r="I7564" t="s">
        <v>91</v>
      </c>
      <c r="J7564" t="s">
        <v>92</v>
      </c>
      <c r="K7564">
        <v>0</v>
      </c>
    </row>
    <row r="7565" spans="9:11">
      <c r="I7565" t="s">
        <v>91</v>
      </c>
      <c r="J7565" t="s">
        <v>92</v>
      </c>
      <c r="K7565">
        <v>0</v>
      </c>
    </row>
    <row r="7566" spans="9:11">
      <c r="I7566" t="s">
        <v>94</v>
      </c>
      <c r="J7566" t="s">
        <v>95</v>
      </c>
      <c r="K7566">
        <v>0</v>
      </c>
    </row>
    <row r="7567" spans="9:11">
      <c r="I7567" t="s">
        <v>94</v>
      </c>
      <c r="J7567" t="s">
        <v>95</v>
      </c>
      <c r="K7567">
        <v>0</v>
      </c>
    </row>
    <row r="7568" spans="9:11">
      <c r="I7568" t="s">
        <v>94</v>
      </c>
      <c r="J7568" t="s">
        <v>95</v>
      </c>
      <c r="K7568">
        <v>0</v>
      </c>
    </row>
    <row r="7569" spans="9:11">
      <c r="I7569" t="s">
        <v>91</v>
      </c>
      <c r="J7569" t="s">
        <v>92</v>
      </c>
      <c r="K7569">
        <v>0</v>
      </c>
    </row>
    <row r="7570" spans="9:11">
      <c r="I7570" t="s">
        <v>94</v>
      </c>
      <c r="J7570" t="s">
        <v>95</v>
      </c>
      <c r="K7570">
        <v>0</v>
      </c>
    </row>
    <row r="7571" spans="9:11">
      <c r="I7571" t="s">
        <v>91</v>
      </c>
      <c r="J7571" t="s">
        <v>92</v>
      </c>
      <c r="K7571">
        <v>0</v>
      </c>
    </row>
    <row r="7572" spans="9:11">
      <c r="I7572" t="s">
        <v>91</v>
      </c>
      <c r="J7572" t="s">
        <v>92</v>
      </c>
      <c r="K7572">
        <v>0</v>
      </c>
    </row>
    <row r="7573" spans="9:11">
      <c r="I7573" t="s">
        <v>94</v>
      </c>
      <c r="J7573" t="s">
        <v>95</v>
      </c>
      <c r="K7573">
        <v>0</v>
      </c>
    </row>
    <row r="7574" spans="9:11">
      <c r="I7574" t="s">
        <v>91</v>
      </c>
      <c r="J7574" t="s">
        <v>92</v>
      </c>
      <c r="K7574">
        <v>0</v>
      </c>
    </row>
    <row r="7575" spans="9:11">
      <c r="I7575" t="s">
        <v>91</v>
      </c>
      <c r="J7575" t="s">
        <v>92</v>
      </c>
      <c r="K7575">
        <v>0</v>
      </c>
    </row>
    <row r="7576" spans="9:11">
      <c r="I7576" t="s">
        <v>94</v>
      </c>
      <c r="J7576" t="s">
        <v>95</v>
      </c>
      <c r="K7576">
        <v>0</v>
      </c>
    </row>
    <row r="7577" spans="9:11">
      <c r="I7577" t="s">
        <v>94</v>
      </c>
      <c r="J7577" t="s">
        <v>95</v>
      </c>
      <c r="K7577">
        <v>0</v>
      </c>
    </row>
    <row r="7578" spans="9:11">
      <c r="I7578" t="s">
        <v>91</v>
      </c>
      <c r="J7578" t="s">
        <v>92</v>
      </c>
      <c r="K7578">
        <v>0</v>
      </c>
    </row>
    <row r="7579" spans="9:11">
      <c r="I7579" t="s">
        <v>94</v>
      </c>
      <c r="J7579" t="s">
        <v>95</v>
      </c>
      <c r="K7579">
        <v>0</v>
      </c>
    </row>
    <row r="7580" spans="9:11">
      <c r="I7580" t="s">
        <v>94</v>
      </c>
      <c r="J7580" t="s">
        <v>95</v>
      </c>
      <c r="K7580">
        <v>0</v>
      </c>
    </row>
    <row r="7581" spans="9:11">
      <c r="I7581" t="s">
        <v>94</v>
      </c>
      <c r="J7581" t="s">
        <v>95</v>
      </c>
      <c r="K7581">
        <v>0</v>
      </c>
    </row>
    <row r="7582" spans="9:11">
      <c r="I7582" t="s">
        <v>91</v>
      </c>
      <c r="J7582" t="s">
        <v>92</v>
      </c>
      <c r="K7582">
        <v>0</v>
      </c>
    </row>
    <row r="7583" spans="9:11">
      <c r="I7583" t="s">
        <v>94</v>
      </c>
      <c r="J7583" t="s">
        <v>95</v>
      </c>
      <c r="K7583">
        <v>0</v>
      </c>
    </row>
    <row r="7584" spans="9:11">
      <c r="I7584" t="s">
        <v>91</v>
      </c>
      <c r="J7584" t="s">
        <v>92</v>
      </c>
      <c r="K7584">
        <v>0</v>
      </c>
    </row>
    <row r="7585" spans="9:11">
      <c r="I7585" t="s">
        <v>91</v>
      </c>
      <c r="J7585" t="s">
        <v>92</v>
      </c>
      <c r="K7585">
        <v>0</v>
      </c>
    </row>
    <row r="7586" spans="9:11">
      <c r="I7586" t="s">
        <v>94</v>
      </c>
      <c r="J7586" t="s">
        <v>95</v>
      </c>
      <c r="K7586">
        <v>0</v>
      </c>
    </row>
    <row r="7587" spans="9:11">
      <c r="I7587" t="s">
        <v>94</v>
      </c>
      <c r="J7587" t="s">
        <v>95</v>
      </c>
      <c r="K7587">
        <v>0</v>
      </c>
    </row>
    <row r="7588" spans="9:11">
      <c r="I7588" t="s">
        <v>91</v>
      </c>
      <c r="J7588" t="s">
        <v>92</v>
      </c>
      <c r="K7588">
        <v>0</v>
      </c>
    </row>
    <row r="7589" spans="9:11">
      <c r="I7589" t="s">
        <v>94</v>
      </c>
      <c r="J7589" t="s">
        <v>95</v>
      </c>
      <c r="K7589">
        <v>0</v>
      </c>
    </row>
    <row r="7590" spans="9:11">
      <c r="I7590" t="s">
        <v>94</v>
      </c>
      <c r="J7590" t="s">
        <v>95</v>
      </c>
      <c r="K7590">
        <v>0</v>
      </c>
    </row>
    <row r="7591" spans="9:11">
      <c r="I7591" t="s">
        <v>91</v>
      </c>
      <c r="J7591" t="s">
        <v>92</v>
      </c>
      <c r="K7591">
        <v>0</v>
      </c>
    </row>
    <row r="7592" spans="9:11">
      <c r="I7592" t="s">
        <v>91</v>
      </c>
      <c r="J7592" t="s">
        <v>92</v>
      </c>
      <c r="K7592">
        <v>0</v>
      </c>
    </row>
    <row r="7593" spans="9:11">
      <c r="I7593" t="s">
        <v>94</v>
      </c>
      <c r="J7593" t="s">
        <v>95</v>
      </c>
      <c r="K7593">
        <v>0</v>
      </c>
    </row>
    <row r="7594" spans="9:11">
      <c r="I7594" t="s">
        <v>91</v>
      </c>
      <c r="J7594" t="s">
        <v>92</v>
      </c>
      <c r="K7594">
        <v>0</v>
      </c>
    </row>
    <row r="7595" spans="9:11">
      <c r="I7595" t="s">
        <v>94</v>
      </c>
      <c r="J7595" t="s">
        <v>95</v>
      </c>
      <c r="K7595">
        <v>0</v>
      </c>
    </row>
    <row r="7596" spans="9:11">
      <c r="I7596" t="s">
        <v>94</v>
      </c>
      <c r="J7596" t="s">
        <v>95</v>
      </c>
      <c r="K7596">
        <v>0</v>
      </c>
    </row>
    <row r="7597" spans="9:11">
      <c r="I7597" t="s">
        <v>91</v>
      </c>
      <c r="J7597" t="s">
        <v>92</v>
      </c>
      <c r="K7597">
        <v>0</v>
      </c>
    </row>
    <row r="7598" spans="9:11">
      <c r="I7598" t="s">
        <v>91</v>
      </c>
      <c r="J7598" t="s">
        <v>92</v>
      </c>
      <c r="K7598">
        <v>0</v>
      </c>
    </row>
    <row r="7599" spans="9:11">
      <c r="I7599" t="s">
        <v>91</v>
      </c>
      <c r="J7599" t="s">
        <v>92</v>
      </c>
      <c r="K7599">
        <v>0</v>
      </c>
    </row>
    <row r="7600" spans="9:11">
      <c r="I7600" t="s">
        <v>91</v>
      </c>
      <c r="J7600" t="s">
        <v>92</v>
      </c>
      <c r="K7600">
        <v>0</v>
      </c>
    </row>
    <row r="7601" spans="9:11">
      <c r="I7601" t="s">
        <v>91</v>
      </c>
      <c r="J7601" t="s">
        <v>92</v>
      </c>
      <c r="K7601">
        <v>0</v>
      </c>
    </row>
    <row r="7602" spans="9:11">
      <c r="I7602" t="s">
        <v>94</v>
      </c>
      <c r="J7602" t="s">
        <v>95</v>
      </c>
      <c r="K7602">
        <v>0</v>
      </c>
    </row>
    <row r="7603" spans="9:11">
      <c r="I7603" t="s">
        <v>91</v>
      </c>
      <c r="J7603" t="s">
        <v>92</v>
      </c>
      <c r="K7603">
        <v>0</v>
      </c>
    </row>
    <row r="7604" spans="9:11">
      <c r="I7604" t="s">
        <v>94</v>
      </c>
      <c r="J7604" t="s">
        <v>95</v>
      </c>
      <c r="K7604">
        <v>0</v>
      </c>
    </row>
    <row r="7605" spans="9:11">
      <c r="I7605" t="s">
        <v>91</v>
      </c>
      <c r="J7605" t="s">
        <v>92</v>
      </c>
      <c r="K7605">
        <v>0</v>
      </c>
    </row>
    <row r="7606" spans="9:11">
      <c r="I7606" t="s">
        <v>91</v>
      </c>
      <c r="J7606" t="s">
        <v>92</v>
      </c>
      <c r="K7606">
        <v>0</v>
      </c>
    </row>
    <row r="7607" spans="9:11">
      <c r="I7607" t="s">
        <v>94</v>
      </c>
      <c r="J7607" t="s">
        <v>95</v>
      </c>
      <c r="K7607">
        <v>0</v>
      </c>
    </row>
    <row r="7608" spans="9:11">
      <c r="I7608" t="s">
        <v>94</v>
      </c>
      <c r="J7608" t="s">
        <v>95</v>
      </c>
      <c r="K7608">
        <v>0</v>
      </c>
    </row>
    <row r="7609" spans="9:11">
      <c r="I7609" t="s">
        <v>94</v>
      </c>
      <c r="J7609" t="s">
        <v>95</v>
      </c>
      <c r="K7609">
        <v>0</v>
      </c>
    </row>
    <row r="7610" spans="9:11">
      <c r="I7610" t="s">
        <v>94</v>
      </c>
      <c r="J7610" t="s">
        <v>95</v>
      </c>
      <c r="K7610">
        <v>0</v>
      </c>
    </row>
    <row r="7611" spans="9:11">
      <c r="I7611" t="s">
        <v>94</v>
      </c>
      <c r="J7611" t="s">
        <v>95</v>
      </c>
      <c r="K7611">
        <v>0</v>
      </c>
    </row>
    <row r="7612" spans="9:11">
      <c r="I7612" t="s">
        <v>94</v>
      </c>
      <c r="J7612" t="s">
        <v>95</v>
      </c>
      <c r="K7612">
        <v>0</v>
      </c>
    </row>
    <row r="7613" spans="9:11">
      <c r="I7613" t="s">
        <v>94</v>
      </c>
      <c r="J7613" t="s">
        <v>95</v>
      </c>
      <c r="K7613">
        <v>0</v>
      </c>
    </row>
    <row r="7614" spans="9:11">
      <c r="I7614" t="s">
        <v>91</v>
      </c>
      <c r="J7614" t="s">
        <v>92</v>
      </c>
      <c r="K7614">
        <v>0</v>
      </c>
    </row>
    <row r="7615" spans="9:11">
      <c r="I7615" t="s">
        <v>91</v>
      </c>
      <c r="J7615" t="s">
        <v>92</v>
      </c>
      <c r="K7615">
        <v>0</v>
      </c>
    </row>
    <row r="7616" spans="9:11">
      <c r="I7616" t="s">
        <v>94</v>
      </c>
      <c r="J7616" t="s">
        <v>95</v>
      </c>
      <c r="K7616">
        <v>0</v>
      </c>
    </row>
    <row r="7617" spans="9:11">
      <c r="I7617" t="s">
        <v>94</v>
      </c>
      <c r="J7617" t="s">
        <v>95</v>
      </c>
      <c r="K7617">
        <v>0</v>
      </c>
    </row>
    <row r="7618" spans="9:11">
      <c r="I7618" t="s">
        <v>91</v>
      </c>
      <c r="J7618" t="s">
        <v>92</v>
      </c>
      <c r="K7618">
        <v>0</v>
      </c>
    </row>
    <row r="7619" spans="9:11">
      <c r="I7619" t="s">
        <v>91</v>
      </c>
      <c r="J7619" t="s">
        <v>92</v>
      </c>
      <c r="K7619">
        <v>0</v>
      </c>
    </row>
    <row r="7620" spans="9:11">
      <c r="I7620" t="s">
        <v>94</v>
      </c>
      <c r="J7620" t="s">
        <v>95</v>
      </c>
      <c r="K7620">
        <v>0</v>
      </c>
    </row>
    <row r="7621" spans="9:11">
      <c r="I7621" t="s">
        <v>91</v>
      </c>
      <c r="J7621" t="s">
        <v>92</v>
      </c>
      <c r="K7621">
        <v>0</v>
      </c>
    </row>
    <row r="7622" spans="9:11">
      <c r="I7622" t="s">
        <v>91</v>
      </c>
      <c r="J7622" t="s">
        <v>92</v>
      </c>
      <c r="K7622">
        <v>0</v>
      </c>
    </row>
    <row r="7623" spans="9:11">
      <c r="I7623" t="s">
        <v>94</v>
      </c>
      <c r="J7623" t="s">
        <v>95</v>
      </c>
      <c r="K7623">
        <v>0</v>
      </c>
    </row>
    <row r="7624" spans="9:11">
      <c r="I7624" t="s">
        <v>91</v>
      </c>
      <c r="J7624" t="s">
        <v>92</v>
      </c>
      <c r="K7624">
        <v>0</v>
      </c>
    </row>
    <row r="7625" spans="9:11">
      <c r="I7625" t="s">
        <v>94</v>
      </c>
      <c r="J7625" t="s">
        <v>95</v>
      </c>
      <c r="K7625">
        <v>0</v>
      </c>
    </row>
    <row r="7626" spans="9:11">
      <c r="I7626" t="s">
        <v>91</v>
      </c>
      <c r="J7626" t="s">
        <v>92</v>
      </c>
      <c r="K7626">
        <v>0</v>
      </c>
    </row>
    <row r="7627" spans="9:11">
      <c r="I7627" t="s">
        <v>91</v>
      </c>
      <c r="J7627" t="s">
        <v>92</v>
      </c>
      <c r="K7627">
        <v>0</v>
      </c>
    </row>
    <row r="7628" spans="9:11">
      <c r="I7628" t="s">
        <v>94</v>
      </c>
      <c r="J7628" t="s">
        <v>95</v>
      </c>
      <c r="K7628">
        <v>0</v>
      </c>
    </row>
    <row r="7629" spans="9:11">
      <c r="I7629" t="s">
        <v>94</v>
      </c>
      <c r="J7629" t="s">
        <v>95</v>
      </c>
      <c r="K7629">
        <v>0</v>
      </c>
    </row>
    <row r="7630" spans="9:11">
      <c r="I7630" t="s">
        <v>94</v>
      </c>
      <c r="J7630" t="s">
        <v>95</v>
      </c>
      <c r="K7630">
        <v>0</v>
      </c>
    </row>
    <row r="7631" spans="9:11">
      <c r="I7631" t="s">
        <v>94</v>
      </c>
      <c r="J7631" t="s">
        <v>95</v>
      </c>
      <c r="K7631">
        <v>0</v>
      </c>
    </row>
    <row r="7632" spans="9:11">
      <c r="I7632" t="s">
        <v>91</v>
      </c>
      <c r="J7632" t="s">
        <v>92</v>
      </c>
      <c r="K7632">
        <v>0</v>
      </c>
    </row>
    <row r="7633" spans="9:11">
      <c r="I7633" t="s">
        <v>91</v>
      </c>
      <c r="J7633" t="s">
        <v>92</v>
      </c>
      <c r="K7633">
        <v>0</v>
      </c>
    </row>
    <row r="7634" spans="9:11">
      <c r="I7634" t="s">
        <v>94</v>
      </c>
      <c r="J7634" t="s">
        <v>95</v>
      </c>
      <c r="K7634">
        <v>0</v>
      </c>
    </row>
    <row r="7635" spans="9:11">
      <c r="I7635" t="s">
        <v>91</v>
      </c>
      <c r="J7635" t="s">
        <v>92</v>
      </c>
      <c r="K7635">
        <v>0</v>
      </c>
    </row>
    <row r="7636" spans="9:11">
      <c r="I7636" t="s">
        <v>91</v>
      </c>
      <c r="J7636" t="s">
        <v>92</v>
      </c>
      <c r="K7636">
        <v>0</v>
      </c>
    </row>
    <row r="7637" spans="9:11">
      <c r="I7637" t="s">
        <v>94</v>
      </c>
      <c r="J7637" t="s">
        <v>95</v>
      </c>
      <c r="K7637">
        <v>1</v>
      </c>
    </row>
    <row r="7638" spans="9:11">
      <c r="I7638" t="s">
        <v>94</v>
      </c>
      <c r="J7638" t="s">
        <v>95</v>
      </c>
      <c r="K7638">
        <v>1</v>
      </c>
    </row>
    <row r="7639" spans="9:11">
      <c r="I7639" t="s">
        <v>94</v>
      </c>
      <c r="J7639" t="s">
        <v>95</v>
      </c>
      <c r="K7639">
        <v>0</v>
      </c>
    </row>
    <row r="7640" spans="9:11">
      <c r="I7640" t="s">
        <v>91</v>
      </c>
      <c r="J7640" t="s">
        <v>92</v>
      </c>
      <c r="K7640">
        <v>0</v>
      </c>
    </row>
    <row r="7641" spans="9:11">
      <c r="I7641" t="s">
        <v>94</v>
      </c>
      <c r="J7641" t="s">
        <v>95</v>
      </c>
      <c r="K7641">
        <v>0</v>
      </c>
    </row>
    <row r="7642" spans="9:11">
      <c r="I7642" t="s">
        <v>94</v>
      </c>
      <c r="J7642" t="s">
        <v>95</v>
      </c>
      <c r="K7642">
        <v>0</v>
      </c>
    </row>
    <row r="7643" spans="9:11">
      <c r="I7643" t="s">
        <v>94</v>
      </c>
      <c r="J7643" t="s">
        <v>95</v>
      </c>
      <c r="K7643">
        <v>0</v>
      </c>
    </row>
    <row r="7644" spans="9:11">
      <c r="I7644" t="s">
        <v>91</v>
      </c>
      <c r="J7644" t="s">
        <v>92</v>
      </c>
      <c r="K7644">
        <v>0</v>
      </c>
    </row>
    <row r="7645" spans="9:11">
      <c r="I7645" t="s">
        <v>94</v>
      </c>
      <c r="J7645" t="s">
        <v>95</v>
      </c>
      <c r="K7645">
        <v>0</v>
      </c>
    </row>
    <row r="7646" spans="9:11">
      <c r="I7646" t="s">
        <v>94</v>
      </c>
      <c r="J7646" t="s">
        <v>95</v>
      </c>
      <c r="K7646">
        <v>0</v>
      </c>
    </row>
    <row r="7647" spans="9:11">
      <c r="I7647" t="s">
        <v>91</v>
      </c>
      <c r="J7647" t="s">
        <v>92</v>
      </c>
      <c r="K7647">
        <v>0</v>
      </c>
    </row>
    <row r="7648" spans="9:11">
      <c r="I7648" t="s">
        <v>91</v>
      </c>
      <c r="J7648" t="s">
        <v>92</v>
      </c>
      <c r="K7648">
        <v>0</v>
      </c>
    </row>
    <row r="7649" spans="9:11">
      <c r="I7649" t="s">
        <v>94</v>
      </c>
      <c r="J7649" t="s">
        <v>95</v>
      </c>
      <c r="K7649">
        <v>0</v>
      </c>
    </row>
    <row r="7650" spans="9:11">
      <c r="I7650" t="s">
        <v>91</v>
      </c>
      <c r="J7650" t="s">
        <v>92</v>
      </c>
      <c r="K7650">
        <v>0</v>
      </c>
    </row>
    <row r="7651" spans="9:11">
      <c r="I7651" t="s">
        <v>91</v>
      </c>
      <c r="J7651" t="s">
        <v>92</v>
      </c>
      <c r="K7651">
        <v>0</v>
      </c>
    </row>
    <row r="7652" spans="9:11">
      <c r="I7652" t="s">
        <v>94</v>
      </c>
      <c r="J7652" t="s">
        <v>95</v>
      </c>
      <c r="K7652">
        <v>0</v>
      </c>
    </row>
    <row r="7653" spans="9:11">
      <c r="I7653" t="s">
        <v>94</v>
      </c>
      <c r="J7653" t="s">
        <v>95</v>
      </c>
      <c r="K7653">
        <v>0</v>
      </c>
    </row>
    <row r="7654" spans="9:11">
      <c r="I7654" t="s">
        <v>94</v>
      </c>
      <c r="J7654" t="s">
        <v>95</v>
      </c>
      <c r="K7654">
        <v>0</v>
      </c>
    </row>
    <row r="7655" spans="9:11">
      <c r="I7655" t="s">
        <v>91</v>
      </c>
      <c r="J7655" t="s">
        <v>92</v>
      </c>
      <c r="K7655">
        <v>0</v>
      </c>
    </row>
    <row r="7656" spans="9:11">
      <c r="I7656" t="s">
        <v>91</v>
      </c>
      <c r="J7656" t="s">
        <v>92</v>
      </c>
      <c r="K7656">
        <v>0</v>
      </c>
    </row>
    <row r="7657" spans="9:11">
      <c r="I7657" t="s">
        <v>94</v>
      </c>
      <c r="J7657" t="s">
        <v>95</v>
      </c>
      <c r="K7657">
        <v>0</v>
      </c>
    </row>
    <row r="7658" spans="9:11">
      <c r="I7658" t="s">
        <v>91</v>
      </c>
      <c r="J7658" t="s">
        <v>92</v>
      </c>
      <c r="K7658">
        <v>0</v>
      </c>
    </row>
    <row r="7659" spans="9:11">
      <c r="I7659" t="s">
        <v>94</v>
      </c>
      <c r="J7659" t="s">
        <v>95</v>
      </c>
      <c r="K7659">
        <v>0</v>
      </c>
    </row>
    <row r="7660" spans="9:11">
      <c r="I7660" t="s">
        <v>94</v>
      </c>
      <c r="J7660" t="s">
        <v>95</v>
      </c>
      <c r="K7660">
        <v>0</v>
      </c>
    </row>
    <row r="7661" spans="9:11">
      <c r="I7661" t="s">
        <v>94</v>
      </c>
      <c r="J7661" t="s">
        <v>95</v>
      </c>
      <c r="K7661">
        <v>0</v>
      </c>
    </row>
    <row r="7662" spans="9:11">
      <c r="I7662" t="s">
        <v>94</v>
      </c>
      <c r="J7662" t="s">
        <v>95</v>
      </c>
      <c r="K7662">
        <v>0</v>
      </c>
    </row>
    <row r="7663" spans="9:11">
      <c r="I7663" t="s">
        <v>94</v>
      </c>
      <c r="J7663" t="s">
        <v>95</v>
      </c>
      <c r="K7663">
        <v>0</v>
      </c>
    </row>
    <row r="7664" spans="9:11">
      <c r="I7664" t="s">
        <v>94</v>
      </c>
      <c r="J7664" t="s">
        <v>95</v>
      </c>
      <c r="K7664">
        <v>0</v>
      </c>
    </row>
    <row r="7665" spans="9:11">
      <c r="I7665" t="s">
        <v>91</v>
      </c>
      <c r="J7665" t="s">
        <v>92</v>
      </c>
      <c r="K7665">
        <v>0</v>
      </c>
    </row>
    <row r="7666" spans="9:11">
      <c r="I7666" t="s">
        <v>94</v>
      </c>
      <c r="J7666" t="s">
        <v>95</v>
      </c>
      <c r="K7666">
        <v>0</v>
      </c>
    </row>
    <row r="7667" spans="9:11">
      <c r="I7667" t="s">
        <v>91</v>
      </c>
      <c r="J7667" t="s">
        <v>92</v>
      </c>
      <c r="K7667">
        <v>0</v>
      </c>
    </row>
    <row r="7668" spans="9:11">
      <c r="I7668" t="s">
        <v>91</v>
      </c>
      <c r="J7668" t="s">
        <v>92</v>
      </c>
      <c r="K7668">
        <v>0</v>
      </c>
    </row>
    <row r="7669" spans="9:11">
      <c r="I7669" t="s">
        <v>91</v>
      </c>
      <c r="J7669" t="s">
        <v>92</v>
      </c>
      <c r="K7669">
        <v>0</v>
      </c>
    </row>
    <row r="7670" spans="9:11">
      <c r="I7670" t="s">
        <v>91</v>
      </c>
      <c r="J7670" t="s">
        <v>92</v>
      </c>
      <c r="K7670">
        <v>0</v>
      </c>
    </row>
    <row r="7671" spans="9:11">
      <c r="I7671" t="s">
        <v>91</v>
      </c>
      <c r="J7671" t="s">
        <v>92</v>
      </c>
      <c r="K7671">
        <v>0</v>
      </c>
    </row>
    <row r="7672" spans="9:11">
      <c r="I7672" t="s">
        <v>91</v>
      </c>
      <c r="J7672" t="s">
        <v>92</v>
      </c>
      <c r="K7672">
        <v>0</v>
      </c>
    </row>
    <row r="7673" spans="9:11">
      <c r="I7673" t="s">
        <v>94</v>
      </c>
      <c r="J7673" t="s">
        <v>95</v>
      </c>
      <c r="K7673">
        <v>0</v>
      </c>
    </row>
    <row r="7674" spans="9:11">
      <c r="I7674" t="s">
        <v>91</v>
      </c>
      <c r="J7674" t="s">
        <v>92</v>
      </c>
      <c r="K7674">
        <v>0</v>
      </c>
    </row>
    <row r="7675" spans="9:11">
      <c r="I7675" t="s">
        <v>94</v>
      </c>
      <c r="J7675" t="s">
        <v>95</v>
      </c>
      <c r="K7675">
        <v>0</v>
      </c>
    </row>
    <row r="7676" spans="9:11">
      <c r="I7676" t="s">
        <v>91</v>
      </c>
      <c r="J7676" t="s">
        <v>92</v>
      </c>
      <c r="K7676">
        <v>0</v>
      </c>
    </row>
    <row r="7677" spans="9:11">
      <c r="I7677" t="s">
        <v>91</v>
      </c>
      <c r="J7677" t="s">
        <v>92</v>
      </c>
      <c r="K7677">
        <v>0</v>
      </c>
    </row>
    <row r="7678" spans="9:11">
      <c r="I7678" t="s">
        <v>91</v>
      </c>
      <c r="J7678" t="s">
        <v>92</v>
      </c>
      <c r="K7678">
        <v>0</v>
      </c>
    </row>
    <row r="7679" spans="9:11">
      <c r="I7679" t="s">
        <v>91</v>
      </c>
      <c r="J7679" t="s">
        <v>92</v>
      </c>
      <c r="K7679">
        <v>0</v>
      </c>
    </row>
    <row r="7680" spans="9:11">
      <c r="I7680" t="s">
        <v>91</v>
      </c>
      <c r="J7680" t="s">
        <v>92</v>
      </c>
      <c r="K7680">
        <v>0</v>
      </c>
    </row>
    <row r="7681" spans="9:11">
      <c r="I7681" t="s">
        <v>91</v>
      </c>
      <c r="J7681" t="s">
        <v>92</v>
      </c>
      <c r="K7681">
        <v>0</v>
      </c>
    </row>
    <row r="7682" spans="9:11">
      <c r="I7682" t="s">
        <v>94</v>
      </c>
      <c r="J7682" t="s">
        <v>95</v>
      </c>
      <c r="K7682">
        <v>0</v>
      </c>
    </row>
    <row r="7683" spans="9:11">
      <c r="I7683" t="s">
        <v>91</v>
      </c>
      <c r="J7683" t="s">
        <v>92</v>
      </c>
      <c r="K7683">
        <v>0</v>
      </c>
    </row>
    <row r="7684" spans="9:11">
      <c r="I7684" t="s">
        <v>94</v>
      </c>
      <c r="J7684" t="s">
        <v>95</v>
      </c>
      <c r="K7684">
        <v>0</v>
      </c>
    </row>
    <row r="7685" spans="9:11">
      <c r="I7685" t="s">
        <v>94</v>
      </c>
      <c r="J7685" t="s">
        <v>95</v>
      </c>
      <c r="K7685">
        <v>0</v>
      </c>
    </row>
    <row r="7686" spans="9:11">
      <c r="I7686" t="s">
        <v>91</v>
      </c>
      <c r="J7686" t="s">
        <v>92</v>
      </c>
      <c r="K7686">
        <v>0</v>
      </c>
    </row>
    <row r="7687" spans="9:11">
      <c r="I7687" t="s">
        <v>91</v>
      </c>
      <c r="J7687" t="s">
        <v>92</v>
      </c>
      <c r="K7687">
        <v>0</v>
      </c>
    </row>
    <row r="7688" spans="9:11">
      <c r="I7688" t="s">
        <v>94</v>
      </c>
      <c r="J7688" t="s">
        <v>95</v>
      </c>
      <c r="K7688">
        <v>0</v>
      </c>
    </row>
    <row r="7689" spans="9:11">
      <c r="I7689" t="s">
        <v>91</v>
      </c>
      <c r="J7689" t="s">
        <v>92</v>
      </c>
      <c r="K7689">
        <v>0</v>
      </c>
    </row>
    <row r="7690" spans="9:11">
      <c r="I7690" t="s">
        <v>91</v>
      </c>
      <c r="J7690" t="s">
        <v>92</v>
      </c>
      <c r="K7690">
        <v>0</v>
      </c>
    </row>
    <row r="7691" spans="9:11">
      <c r="I7691" t="s">
        <v>91</v>
      </c>
      <c r="J7691" t="s">
        <v>92</v>
      </c>
      <c r="K7691">
        <v>0</v>
      </c>
    </row>
    <row r="7692" spans="9:11">
      <c r="I7692" t="s">
        <v>94</v>
      </c>
      <c r="J7692" t="s">
        <v>95</v>
      </c>
      <c r="K7692">
        <v>0</v>
      </c>
    </row>
    <row r="7693" spans="9:11">
      <c r="I7693" t="s">
        <v>91</v>
      </c>
      <c r="J7693" t="s">
        <v>92</v>
      </c>
      <c r="K7693">
        <v>1</v>
      </c>
    </row>
    <row r="7694" spans="9:11">
      <c r="I7694" t="s">
        <v>91</v>
      </c>
      <c r="J7694" t="s">
        <v>92</v>
      </c>
      <c r="K7694">
        <v>0</v>
      </c>
    </row>
    <row r="7695" spans="9:11">
      <c r="I7695" t="s">
        <v>91</v>
      </c>
      <c r="J7695" t="s">
        <v>92</v>
      </c>
      <c r="K7695">
        <v>0</v>
      </c>
    </row>
    <row r="7696" spans="9:11">
      <c r="I7696" t="s">
        <v>94</v>
      </c>
      <c r="J7696" t="s">
        <v>95</v>
      </c>
      <c r="K7696">
        <v>0</v>
      </c>
    </row>
    <row r="7697" spans="9:11">
      <c r="I7697" t="s">
        <v>91</v>
      </c>
      <c r="J7697" t="s">
        <v>92</v>
      </c>
      <c r="K7697">
        <v>0</v>
      </c>
    </row>
    <row r="7698" spans="9:11">
      <c r="I7698" t="s">
        <v>94</v>
      </c>
      <c r="J7698" t="s">
        <v>95</v>
      </c>
      <c r="K7698">
        <v>0</v>
      </c>
    </row>
    <row r="7699" spans="9:11">
      <c r="I7699" t="s">
        <v>94</v>
      </c>
      <c r="J7699" t="s">
        <v>95</v>
      </c>
      <c r="K7699">
        <v>0</v>
      </c>
    </row>
    <row r="7700" spans="9:11">
      <c r="I7700" t="s">
        <v>94</v>
      </c>
      <c r="J7700" t="s">
        <v>95</v>
      </c>
      <c r="K7700">
        <v>0</v>
      </c>
    </row>
    <row r="7701" spans="9:11">
      <c r="I7701" t="s">
        <v>91</v>
      </c>
      <c r="J7701" t="s">
        <v>92</v>
      </c>
      <c r="K7701">
        <v>0</v>
      </c>
    </row>
    <row r="7702" spans="9:11">
      <c r="I7702" t="s">
        <v>91</v>
      </c>
      <c r="J7702" t="s">
        <v>92</v>
      </c>
      <c r="K7702">
        <v>0</v>
      </c>
    </row>
    <row r="7703" spans="9:11">
      <c r="I7703" t="s">
        <v>91</v>
      </c>
      <c r="J7703" t="s">
        <v>92</v>
      </c>
      <c r="K7703">
        <v>0</v>
      </c>
    </row>
    <row r="7704" spans="9:11">
      <c r="I7704" t="s">
        <v>91</v>
      </c>
      <c r="J7704" t="s">
        <v>92</v>
      </c>
      <c r="K7704">
        <v>0</v>
      </c>
    </row>
    <row r="7705" spans="9:11">
      <c r="I7705" t="s">
        <v>94</v>
      </c>
      <c r="J7705" t="s">
        <v>95</v>
      </c>
      <c r="K7705">
        <v>0</v>
      </c>
    </row>
    <row r="7706" spans="9:11">
      <c r="I7706" t="s">
        <v>94</v>
      </c>
      <c r="J7706" t="s">
        <v>95</v>
      </c>
      <c r="K7706">
        <v>0</v>
      </c>
    </row>
    <row r="7707" spans="9:11">
      <c r="I7707" t="s">
        <v>94</v>
      </c>
      <c r="J7707" t="s">
        <v>95</v>
      </c>
      <c r="K7707">
        <v>1</v>
      </c>
    </row>
    <row r="7708" spans="9:11">
      <c r="I7708" t="s">
        <v>94</v>
      </c>
      <c r="J7708" t="s">
        <v>95</v>
      </c>
      <c r="K7708">
        <v>0</v>
      </c>
    </row>
    <row r="7709" spans="9:11">
      <c r="I7709" t="s">
        <v>94</v>
      </c>
      <c r="J7709" t="s">
        <v>95</v>
      </c>
      <c r="K7709">
        <v>0</v>
      </c>
    </row>
    <row r="7710" spans="9:11">
      <c r="I7710" t="s">
        <v>94</v>
      </c>
      <c r="J7710" t="s">
        <v>95</v>
      </c>
      <c r="K7710">
        <v>0</v>
      </c>
    </row>
    <row r="7711" spans="9:11">
      <c r="I7711" t="s">
        <v>91</v>
      </c>
      <c r="J7711" t="s">
        <v>92</v>
      </c>
      <c r="K7711">
        <v>0</v>
      </c>
    </row>
    <row r="7712" spans="9:11">
      <c r="I7712" t="s">
        <v>94</v>
      </c>
      <c r="J7712" t="s">
        <v>95</v>
      </c>
      <c r="K7712">
        <v>0</v>
      </c>
    </row>
    <row r="7713" spans="9:11">
      <c r="I7713" t="s">
        <v>94</v>
      </c>
      <c r="J7713" t="s">
        <v>95</v>
      </c>
      <c r="K7713">
        <v>0</v>
      </c>
    </row>
    <row r="7714" spans="9:11">
      <c r="I7714" t="s">
        <v>91</v>
      </c>
      <c r="J7714" t="s">
        <v>92</v>
      </c>
      <c r="K7714">
        <v>0</v>
      </c>
    </row>
    <row r="7715" spans="9:11">
      <c r="I7715" t="s">
        <v>91</v>
      </c>
      <c r="J7715" t="s">
        <v>92</v>
      </c>
      <c r="K7715">
        <v>0</v>
      </c>
    </row>
    <row r="7716" spans="9:11">
      <c r="I7716" t="s">
        <v>94</v>
      </c>
      <c r="J7716" t="s">
        <v>95</v>
      </c>
      <c r="K7716">
        <v>0</v>
      </c>
    </row>
    <row r="7717" spans="9:11">
      <c r="I7717" t="s">
        <v>91</v>
      </c>
      <c r="J7717" t="s">
        <v>92</v>
      </c>
      <c r="K7717">
        <v>0</v>
      </c>
    </row>
    <row r="7718" spans="9:11">
      <c r="I7718" t="s">
        <v>94</v>
      </c>
      <c r="J7718" t="s">
        <v>95</v>
      </c>
      <c r="K7718">
        <v>0</v>
      </c>
    </row>
    <row r="7719" spans="9:11">
      <c r="I7719" t="s">
        <v>91</v>
      </c>
      <c r="J7719" t="s">
        <v>92</v>
      </c>
      <c r="K7719">
        <v>0</v>
      </c>
    </row>
    <row r="7720" spans="9:11">
      <c r="I7720" t="s">
        <v>94</v>
      </c>
      <c r="J7720" t="s">
        <v>95</v>
      </c>
      <c r="K7720">
        <v>0</v>
      </c>
    </row>
    <row r="7721" spans="9:11">
      <c r="I7721" t="s">
        <v>91</v>
      </c>
      <c r="J7721" t="s">
        <v>92</v>
      </c>
      <c r="K7721">
        <v>0</v>
      </c>
    </row>
    <row r="7722" spans="9:11">
      <c r="I7722" t="s">
        <v>94</v>
      </c>
      <c r="J7722" t="s">
        <v>95</v>
      </c>
      <c r="K7722">
        <v>0</v>
      </c>
    </row>
    <row r="7723" spans="9:11">
      <c r="I7723" t="s">
        <v>91</v>
      </c>
      <c r="J7723" t="s">
        <v>92</v>
      </c>
      <c r="K7723">
        <v>0</v>
      </c>
    </row>
    <row r="7724" spans="9:11">
      <c r="I7724" t="s">
        <v>94</v>
      </c>
      <c r="J7724" t="s">
        <v>95</v>
      </c>
      <c r="K7724">
        <v>0</v>
      </c>
    </row>
    <row r="7725" spans="9:11">
      <c r="I7725" t="s">
        <v>91</v>
      </c>
      <c r="J7725" t="s">
        <v>92</v>
      </c>
      <c r="K7725">
        <v>0</v>
      </c>
    </row>
    <row r="7726" spans="9:11">
      <c r="I7726" t="s">
        <v>94</v>
      </c>
      <c r="J7726" t="s">
        <v>95</v>
      </c>
      <c r="K7726">
        <v>0</v>
      </c>
    </row>
    <row r="7727" spans="9:11">
      <c r="I7727" t="s">
        <v>91</v>
      </c>
      <c r="J7727" t="s">
        <v>92</v>
      </c>
      <c r="K7727">
        <v>0</v>
      </c>
    </row>
    <row r="7728" spans="9:11">
      <c r="I7728" t="s">
        <v>91</v>
      </c>
      <c r="J7728" t="s">
        <v>92</v>
      </c>
      <c r="K7728">
        <v>0</v>
      </c>
    </row>
    <row r="7729" spans="9:11">
      <c r="I7729" t="s">
        <v>91</v>
      </c>
      <c r="J7729" t="s">
        <v>92</v>
      </c>
      <c r="K7729">
        <v>0</v>
      </c>
    </row>
    <row r="7730" spans="9:11">
      <c r="I7730" t="s">
        <v>91</v>
      </c>
      <c r="J7730" t="s">
        <v>92</v>
      </c>
      <c r="K7730">
        <v>0</v>
      </c>
    </row>
    <row r="7731" spans="9:11">
      <c r="I7731" t="s">
        <v>94</v>
      </c>
      <c r="J7731" t="s">
        <v>95</v>
      </c>
      <c r="K7731">
        <v>0</v>
      </c>
    </row>
    <row r="7732" spans="9:11">
      <c r="I7732" t="s">
        <v>94</v>
      </c>
      <c r="J7732" t="s">
        <v>95</v>
      </c>
      <c r="K7732">
        <v>0</v>
      </c>
    </row>
    <row r="7733" spans="9:11">
      <c r="I7733" t="s">
        <v>91</v>
      </c>
      <c r="J7733" t="s">
        <v>92</v>
      </c>
      <c r="K7733">
        <v>0</v>
      </c>
    </row>
    <row r="7734" spans="9:11">
      <c r="I7734" t="s">
        <v>91</v>
      </c>
      <c r="J7734" t="s">
        <v>92</v>
      </c>
      <c r="K7734">
        <v>0</v>
      </c>
    </row>
    <row r="7735" spans="9:11">
      <c r="I7735" t="s">
        <v>94</v>
      </c>
      <c r="J7735" t="s">
        <v>95</v>
      </c>
      <c r="K7735">
        <v>0</v>
      </c>
    </row>
    <row r="7736" spans="9:11">
      <c r="I7736" t="s">
        <v>91</v>
      </c>
      <c r="J7736" t="s">
        <v>92</v>
      </c>
      <c r="K7736">
        <v>0</v>
      </c>
    </row>
    <row r="7737" spans="9:11">
      <c r="I7737" t="s">
        <v>91</v>
      </c>
      <c r="J7737" t="s">
        <v>92</v>
      </c>
      <c r="K7737">
        <v>0</v>
      </c>
    </row>
    <row r="7738" spans="9:11">
      <c r="I7738" t="s">
        <v>91</v>
      </c>
      <c r="J7738" t="s">
        <v>92</v>
      </c>
      <c r="K7738">
        <v>0</v>
      </c>
    </row>
    <row r="7739" spans="9:11">
      <c r="I7739" t="s">
        <v>94</v>
      </c>
      <c r="J7739" t="s">
        <v>95</v>
      </c>
      <c r="K7739">
        <v>0</v>
      </c>
    </row>
    <row r="7740" spans="9:11">
      <c r="I7740" t="s">
        <v>94</v>
      </c>
      <c r="J7740" t="s">
        <v>95</v>
      </c>
      <c r="K7740">
        <v>0</v>
      </c>
    </row>
    <row r="7741" spans="9:11">
      <c r="I7741" t="s">
        <v>91</v>
      </c>
      <c r="J7741" t="s">
        <v>92</v>
      </c>
      <c r="K7741">
        <v>0</v>
      </c>
    </row>
    <row r="7742" spans="9:11">
      <c r="I7742" t="s">
        <v>91</v>
      </c>
      <c r="J7742" t="s">
        <v>92</v>
      </c>
      <c r="K7742">
        <v>0</v>
      </c>
    </row>
    <row r="7743" spans="9:11">
      <c r="I7743" t="s">
        <v>94</v>
      </c>
      <c r="J7743" t="s">
        <v>95</v>
      </c>
      <c r="K7743">
        <v>0</v>
      </c>
    </row>
    <row r="7744" spans="9:11">
      <c r="I7744" t="s">
        <v>94</v>
      </c>
      <c r="J7744" t="s">
        <v>95</v>
      </c>
      <c r="K7744">
        <v>0</v>
      </c>
    </row>
    <row r="7745" spans="9:11">
      <c r="I7745" t="s">
        <v>94</v>
      </c>
      <c r="J7745" t="s">
        <v>95</v>
      </c>
      <c r="K7745">
        <v>0</v>
      </c>
    </row>
    <row r="7746" spans="9:11">
      <c r="I7746" t="s">
        <v>91</v>
      </c>
      <c r="J7746" t="s">
        <v>92</v>
      </c>
      <c r="K7746">
        <v>0</v>
      </c>
    </row>
    <row r="7747" spans="9:11">
      <c r="I7747" t="s">
        <v>91</v>
      </c>
      <c r="J7747" t="s">
        <v>92</v>
      </c>
      <c r="K7747">
        <v>0</v>
      </c>
    </row>
    <row r="7748" spans="9:11">
      <c r="I7748" t="s">
        <v>91</v>
      </c>
      <c r="J7748" t="s">
        <v>92</v>
      </c>
      <c r="K7748">
        <v>0</v>
      </c>
    </row>
    <row r="7749" spans="9:11">
      <c r="I7749" t="s">
        <v>91</v>
      </c>
      <c r="J7749" t="s">
        <v>92</v>
      </c>
      <c r="K7749">
        <v>0</v>
      </c>
    </row>
    <row r="7750" spans="9:11">
      <c r="I7750" t="s">
        <v>94</v>
      </c>
      <c r="J7750" t="s">
        <v>95</v>
      </c>
      <c r="K7750">
        <v>0</v>
      </c>
    </row>
    <row r="7751" spans="9:11">
      <c r="I7751" t="s">
        <v>91</v>
      </c>
      <c r="J7751" t="s">
        <v>92</v>
      </c>
      <c r="K7751">
        <v>0</v>
      </c>
    </row>
    <row r="7752" spans="9:11">
      <c r="I7752" t="s">
        <v>94</v>
      </c>
      <c r="J7752" t="s">
        <v>95</v>
      </c>
      <c r="K7752">
        <v>0</v>
      </c>
    </row>
    <row r="7753" spans="9:11">
      <c r="I7753" t="s">
        <v>91</v>
      </c>
      <c r="J7753" t="s">
        <v>92</v>
      </c>
      <c r="K7753">
        <v>0</v>
      </c>
    </row>
    <row r="7754" spans="9:11">
      <c r="I7754" t="s">
        <v>94</v>
      </c>
      <c r="J7754" t="s">
        <v>95</v>
      </c>
      <c r="K7754">
        <v>0</v>
      </c>
    </row>
    <row r="7755" spans="9:11">
      <c r="I7755" t="s">
        <v>94</v>
      </c>
      <c r="J7755" t="s">
        <v>95</v>
      </c>
      <c r="K7755">
        <v>0</v>
      </c>
    </row>
    <row r="7756" spans="9:11">
      <c r="I7756" t="s">
        <v>94</v>
      </c>
      <c r="J7756" t="s">
        <v>95</v>
      </c>
      <c r="K7756">
        <v>0</v>
      </c>
    </row>
    <row r="7757" spans="9:11">
      <c r="I7757" t="s">
        <v>94</v>
      </c>
      <c r="J7757" t="s">
        <v>95</v>
      </c>
      <c r="K7757">
        <v>0</v>
      </c>
    </row>
    <row r="7758" spans="9:11">
      <c r="I7758" t="s">
        <v>91</v>
      </c>
      <c r="J7758" t="s">
        <v>92</v>
      </c>
      <c r="K7758">
        <v>1</v>
      </c>
    </row>
    <row r="7759" spans="9:11">
      <c r="I7759" t="s">
        <v>94</v>
      </c>
      <c r="J7759" t="s">
        <v>95</v>
      </c>
      <c r="K7759">
        <v>0</v>
      </c>
    </row>
    <row r="7760" spans="9:11">
      <c r="I7760" t="s">
        <v>91</v>
      </c>
      <c r="J7760" t="s">
        <v>92</v>
      </c>
      <c r="K7760">
        <v>0</v>
      </c>
    </row>
    <row r="7761" spans="9:11">
      <c r="I7761" t="s">
        <v>94</v>
      </c>
      <c r="J7761" t="s">
        <v>95</v>
      </c>
      <c r="K7761">
        <v>0</v>
      </c>
    </row>
    <row r="7762" spans="9:11">
      <c r="I7762" t="s">
        <v>91</v>
      </c>
      <c r="J7762" t="s">
        <v>92</v>
      </c>
      <c r="K7762">
        <v>0</v>
      </c>
    </row>
    <row r="7763" spans="9:11">
      <c r="I7763" t="s">
        <v>94</v>
      </c>
      <c r="J7763" t="s">
        <v>95</v>
      </c>
      <c r="K7763">
        <v>0</v>
      </c>
    </row>
    <row r="7764" spans="9:11">
      <c r="I7764" t="s">
        <v>94</v>
      </c>
      <c r="J7764" t="s">
        <v>95</v>
      </c>
      <c r="K7764">
        <v>0</v>
      </c>
    </row>
    <row r="7765" spans="9:11">
      <c r="I7765" t="s">
        <v>94</v>
      </c>
      <c r="J7765" t="s">
        <v>95</v>
      </c>
      <c r="K7765">
        <v>0</v>
      </c>
    </row>
    <row r="7766" spans="9:11">
      <c r="I7766" t="s">
        <v>91</v>
      </c>
      <c r="J7766" t="s">
        <v>92</v>
      </c>
      <c r="K7766">
        <v>0</v>
      </c>
    </row>
    <row r="7767" spans="9:11">
      <c r="I7767" t="s">
        <v>91</v>
      </c>
      <c r="J7767" t="s">
        <v>92</v>
      </c>
      <c r="K7767">
        <v>0</v>
      </c>
    </row>
    <row r="7768" spans="9:11">
      <c r="I7768" t="s">
        <v>94</v>
      </c>
      <c r="J7768" t="s">
        <v>95</v>
      </c>
      <c r="K7768">
        <v>1</v>
      </c>
    </row>
    <row r="7769" spans="9:11">
      <c r="I7769" t="s">
        <v>91</v>
      </c>
      <c r="J7769" t="s">
        <v>92</v>
      </c>
      <c r="K7769">
        <v>0</v>
      </c>
    </row>
    <row r="7770" spans="9:11">
      <c r="I7770" t="s">
        <v>91</v>
      </c>
      <c r="J7770" t="s">
        <v>92</v>
      </c>
      <c r="K7770">
        <v>0</v>
      </c>
    </row>
    <row r="7771" spans="9:11">
      <c r="I7771" t="s">
        <v>94</v>
      </c>
      <c r="J7771" t="s">
        <v>95</v>
      </c>
      <c r="K7771">
        <v>0</v>
      </c>
    </row>
    <row r="7772" spans="9:11">
      <c r="I7772" t="s">
        <v>91</v>
      </c>
      <c r="J7772" t="s">
        <v>92</v>
      </c>
      <c r="K7772">
        <v>0</v>
      </c>
    </row>
    <row r="7773" spans="9:11">
      <c r="I7773" t="s">
        <v>91</v>
      </c>
      <c r="J7773" t="s">
        <v>92</v>
      </c>
      <c r="K7773">
        <v>0</v>
      </c>
    </row>
    <row r="7774" spans="9:11">
      <c r="I7774" t="s">
        <v>91</v>
      </c>
      <c r="J7774" t="s">
        <v>92</v>
      </c>
      <c r="K7774">
        <v>0</v>
      </c>
    </row>
    <row r="7775" spans="9:11">
      <c r="I7775" t="s">
        <v>94</v>
      </c>
      <c r="J7775" t="s">
        <v>95</v>
      </c>
      <c r="K7775">
        <v>1</v>
      </c>
    </row>
    <row r="7776" spans="9:11">
      <c r="I7776" t="s">
        <v>94</v>
      </c>
      <c r="J7776" t="s">
        <v>95</v>
      </c>
      <c r="K7776">
        <v>0</v>
      </c>
    </row>
    <row r="7777" spans="9:11">
      <c r="I7777" t="s">
        <v>91</v>
      </c>
      <c r="J7777" t="s">
        <v>92</v>
      </c>
      <c r="K7777">
        <v>0</v>
      </c>
    </row>
    <row r="7778" spans="9:11">
      <c r="I7778" t="s">
        <v>91</v>
      </c>
      <c r="J7778" t="s">
        <v>92</v>
      </c>
      <c r="K7778">
        <v>0</v>
      </c>
    </row>
    <row r="7779" spans="9:11">
      <c r="I7779" t="s">
        <v>91</v>
      </c>
      <c r="J7779" t="s">
        <v>92</v>
      </c>
      <c r="K7779">
        <v>0</v>
      </c>
    </row>
    <row r="7780" spans="9:11">
      <c r="I7780" t="s">
        <v>91</v>
      </c>
      <c r="J7780" t="s">
        <v>92</v>
      </c>
      <c r="K7780">
        <v>0</v>
      </c>
    </row>
    <row r="7781" spans="9:11">
      <c r="I7781" t="s">
        <v>94</v>
      </c>
      <c r="J7781" t="s">
        <v>95</v>
      </c>
      <c r="K7781">
        <v>0</v>
      </c>
    </row>
    <row r="7782" spans="9:11">
      <c r="I7782" t="s">
        <v>91</v>
      </c>
      <c r="J7782" t="s">
        <v>92</v>
      </c>
      <c r="K7782">
        <v>0</v>
      </c>
    </row>
    <row r="7783" spans="9:11">
      <c r="I7783" t="s">
        <v>91</v>
      </c>
      <c r="J7783" t="s">
        <v>92</v>
      </c>
      <c r="K7783">
        <v>0</v>
      </c>
    </row>
    <row r="7784" spans="9:11">
      <c r="I7784" t="s">
        <v>94</v>
      </c>
      <c r="J7784" t="s">
        <v>95</v>
      </c>
      <c r="K7784">
        <v>0</v>
      </c>
    </row>
    <row r="7785" spans="9:11">
      <c r="I7785" t="s">
        <v>94</v>
      </c>
      <c r="J7785" t="s">
        <v>95</v>
      </c>
      <c r="K7785">
        <v>0</v>
      </c>
    </row>
    <row r="7786" spans="9:11">
      <c r="I7786" t="s">
        <v>91</v>
      </c>
      <c r="J7786" t="s">
        <v>92</v>
      </c>
      <c r="K7786">
        <v>0</v>
      </c>
    </row>
    <row r="7787" spans="9:11">
      <c r="I7787" t="s">
        <v>91</v>
      </c>
      <c r="J7787" t="s">
        <v>92</v>
      </c>
      <c r="K7787">
        <v>0</v>
      </c>
    </row>
    <row r="7788" spans="9:11">
      <c r="I7788" t="s">
        <v>94</v>
      </c>
      <c r="J7788" t="s">
        <v>95</v>
      </c>
      <c r="K7788">
        <v>0</v>
      </c>
    </row>
    <row r="7789" spans="9:11">
      <c r="I7789" t="s">
        <v>94</v>
      </c>
      <c r="J7789" t="s">
        <v>95</v>
      </c>
      <c r="K7789">
        <v>0</v>
      </c>
    </row>
    <row r="7790" spans="9:11">
      <c r="I7790" t="s">
        <v>91</v>
      </c>
      <c r="J7790" t="s">
        <v>92</v>
      </c>
      <c r="K7790">
        <v>0</v>
      </c>
    </row>
    <row r="7791" spans="9:11">
      <c r="I7791" t="s">
        <v>94</v>
      </c>
      <c r="J7791" t="s">
        <v>95</v>
      </c>
      <c r="K7791">
        <v>0</v>
      </c>
    </row>
    <row r="7792" spans="9:11">
      <c r="I7792" t="s">
        <v>94</v>
      </c>
      <c r="J7792" t="s">
        <v>95</v>
      </c>
      <c r="K7792">
        <v>0</v>
      </c>
    </row>
    <row r="7793" spans="9:11">
      <c r="I7793" t="s">
        <v>91</v>
      </c>
      <c r="J7793" t="s">
        <v>92</v>
      </c>
      <c r="K7793">
        <v>0</v>
      </c>
    </row>
    <row r="7794" spans="9:11">
      <c r="I7794" t="s">
        <v>94</v>
      </c>
      <c r="J7794" t="s">
        <v>95</v>
      </c>
      <c r="K7794">
        <v>0</v>
      </c>
    </row>
    <row r="7795" spans="9:11">
      <c r="I7795" t="s">
        <v>91</v>
      </c>
      <c r="J7795" t="s">
        <v>92</v>
      </c>
      <c r="K7795">
        <v>0</v>
      </c>
    </row>
    <row r="7796" spans="9:11">
      <c r="I7796" t="s">
        <v>94</v>
      </c>
      <c r="J7796" t="s">
        <v>95</v>
      </c>
      <c r="K7796">
        <v>0</v>
      </c>
    </row>
    <row r="7797" spans="9:11">
      <c r="I7797" t="s">
        <v>94</v>
      </c>
      <c r="J7797" t="s">
        <v>95</v>
      </c>
      <c r="K7797">
        <v>0</v>
      </c>
    </row>
    <row r="7798" spans="9:11">
      <c r="I7798" t="s">
        <v>94</v>
      </c>
      <c r="J7798" t="s">
        <v>95</v>
      </c>
      <c r="K7798">
        <v>0</v>
      </c>
    </row>
    <row r="7799" spans="9:11">
      <c r="I7799" t="s">
        <v>94</v>
      </c>
      <c r="J7799" t="s">
        <v>95</v>
      </c>
      <c r="K7799">
        <v>0</v>
      </c>
    </row>
    <row r="7800" spans="9:11">
      <c r="I7800" t="s">
        <v>91</v>
      </c>
      <c r="J7800" t="s">
        <v>92</v>
      </c>
      <c r="K7800">
        <v>0</v>
      </c>
    </row>
    <row r="7801" spans="9:11">
      <c r="I7801" t="s">
        <v>94</v>
      </c>
      <c r="J7801" t="s">
        <v>95</v>
      </c>
      <c r="K7801">
        <v>0</v>
      </c>
    </row>
    <row r="7802" spans="9:11">
      <c r="I7802" t="s">
        <v>91</v>
      </c>
      <c r="J7802" t="s">
        <v>92</v>
      </c>
      <c r="K7802">
        <v>0</v>
      </c>
    </row>
    <row r="7803" spans="9:11">
      <c r="I7803" t="s">
        <v>91</v>
      </c>
      <c r="J7803" t="s">
        <v>92</v>
      </c>
      <c r="K7803">
        <v>0</v>
      </c>
    </row>
    <row r="7804" spans="9:11">
      <c r="I7804" t="s">
        <v>94</v>
      </c>
      <c r="J7804" t="s">
        <v>95</v>
      </c>
      <c r="K7804">
        <v>0</v>
      </c>
    </row>
    <row r="7805" spans="9:11">
      <c r="I7805" t="s">
        <v>94</v>
      </c>
      <c r="J7805" t="s">
        <v>95</v>
      </c>
      <c r="K7805">
        <v>0</v>
      </c>
    </row>
    <row r="7806" spans="9:11">
      <c r="I7806" t="s">
        <v>94</v>
      </c>
      <c r="J7806" t="s">
        <v>95</v>
      </c>
      <c r="K7806">
        <v>0</v>
      </c>
    </row>
    <row r="7807" spans="9:11">
      <c r="I7807" t="s">
        <v>91</v>
      </c>
      <c r="J7807" t="s">
        <v>92</v>
      </c>
      <c r="K7807">
        <v>0</v>
      </c>
    </row>
    <row r="7808" spans="9:11">
      <c r="I7808" t="s">
        <v>94</v>
      </c>
      <c r="J7808" t="s">
        <v>95</v>
      </c>
      <c r="K7808">
        <v>0</v>
      </c>
    </row>
    <row r="7809" spans="9:11">
      <c r="I7809" t="s">
        <v>91</v>
      </c>
      <c r="J7809" t="s">
        <v>92</v>
      </c>
      <c r="K7809">
        <v>0</v>
      </c>
    </row>
    <row r="7810" spans="9:11">
      <c r="I7810" t="s">
        <v>94</v>
      </c>
      <c r="J7810" t="s">
        <v>95</v>
      </c>
      <c r="K7810">
        <v>0</v>
      </c>
    </row>
    <row r="7811" spans="9:11">
      <c r="I7811" t="s">
        <v>94</v>
      </c>
      <c r="J7811" t="s">
        <v>95</v>
      </c>
      <c r="K7811">
        <v>0</v>
      </c>
    </row>
    <row r="7812" spans="9:11">
      <c r="I7812" t="s">
        <v>94</v>
      </c>
      <c r="J7812" t="s">
        <v>95</v>
      </c>
      <c r="K7812">
        <v>0</v>
      </c>
    </row>
    <row r="7813" spans="9:11">
      <c r="I7813" t="s">
        <v>91</v>
      </c>
      <c r="J7813" t="s">
        <v>92</v>
      </c>
      <c r="K7813">
        <v>0</v>
      </c>
    </row>
    <row r="7814" spans="9:11">
      <c r="I7814" t="s">
        <v>91</v>
      </c>
      <c r="J7814" t="s">
        <v>92</v>
      </c>
      <c r="K7814">
        <v>0</v>
      </c>
    </row>
    <row r="7815" spans="9:11">
      <c r="I7815" t="s">
        <v>91</v>
      </c>
      <c r="J7815" t="s">
        <v>92</v>
      </c>
      <c r="K7815">
        <v>0</v>
      </c>
    </row>
    <row r="7816" spans="9:11">
      <c r="I7816" t="s">
        <v>94</v>
      </c>
      <c r="J7816" t="s">
        <v>95</v>
      </c>
      <c r="K7816">
        <v>0</v>
      </c>
    </row>
    <row r="7817" spans="9:11">
      <c r="I7817" t="s">
        <v>94</v>
      </c>
      <c r="J7817" t="s">
        <v>95</v>
      </c>
      <c r="K7817">
        <v>0</v>
      </c>
    </row>
    <row r="7818" spans="9:11">
      <c r="I7818" t="s">
        <v>91</v>
      </c>
      <c r="J7818" t="s">
        <v>92</v>
      </c>
      <c r="K7818">
        <v>0</v>
      </c>
    </row>
    <row r="7819" spans="9:11">
      <c r="I7819" t="s">
        <v>94</v>
      </c>
      <c r="J7819" t="s">
        <v>95</v>
      </c>
      <c r="K7819">
        <v>0</v>
      </c>
    </row>
    <row r="7820" spans="9:11">
      <c r="I7820" t="s">
        <v>91</v>
      </c>
      <c r="J7820" t="s">
        <v>92</v>
      </c>
      <c r="K7820">
        <v>0</v>
      </c>
    </row>
    <row r="7821" spans="9:11">
      <c r="I7821" t="s">
        <v>91</v>
      </c>
      <c r="J7821" t="s">
        <v>92</v>
      </c>
      <c r="K7821">
        <v>0</v>
      </c>
    </row>
    <row r="7822" spans="9:11">
      <c r="I7822" t="s">
        <v>91</v>
      </c>
      <c r="J7822" t="s">
        <v>92</v>
      </c>
      <c r="K7822">
        <v>0</v>
      </c>
    </row>
    <row r="7823" spans="9:11">
      <c r="I7823" t="s">
        <v>94</v>
      </c>
      <c r="J7823" t="s">
        <v>95</v>
      </c>
      <c r="K7823">
        <v>0</v>
      </c>
    </row>
    <row r="7824" spans="9:11">
      <c r="I7824" t="s">
        <v>91</v>
      </c>
      <c r="J7824" t="s">
        <v>92</v>
      </c>
      <c r="K7824">
        <v>0</v>
      </c>
    </row>
    <row r="7825" spans="9:11">
      <c r="I7825" t="s">
        <v>94</v>
      </c>
      <c r="J7825" t="s">
        <v>95</v>
      </c>
      <c r="K7825">
        <v>0</v>
      </c>
    </row>
    <row r="7826" spans="9:11">
      <c r="I7826" t="s">
        <v>94</v>
      </c>
      <c r="J7826" t="s">
        <v>95</v>
      </c>
      <c r="K7826">
        <v>1</v>
      </c>
    </row>
    <row r="7827" spans="9:11">
      <c r="I7827" t="s">
        <v>94</v>
      </c>
      <c r="J7827" t="s">
        <v>95</v>
      </c>
      <c r="K7827">
        <v>0</v>
      </c>
    </row>
    <row r="7828" spans="9:11">
      <c r="I7828" t="s">
        <v>91</v>
      </c>
      <c r="J7828" t="s">
        <v>92</v>
      </c>
      <c r="K7828">
        <v>0</v>
      </c>
    </row>
    <row r="7829" spans="9:11">
      <c r="I7829" t="s">
        <v>91</v>
      </c>
      <c r="J7829" t="s">
        <v>92</v>
      </c>
      <c r="K7829">
        <v>0</v>
      </c>
    </row>
    <row r="7830" spans="9:11">
      <c r="I7830" t="s">
        <v>94</v>
      </c>
      <c r="J7830" t="s">
        <v>95</v>
      </c>
      <c r="K7830">
        <v>0</v>
      </c>
    </row>
    <row r="7831" spans="9:11">
      <c r="I7831" t="s">
        <v>94</v>
      </c>
      <c r="J7831" t="s">
        <v>95</v>
      </c>
      <c r="K7831">
        <v>0</v>
      </c>
    </row>
    <row r="7832" spans="9:11">
      <c r="I7832" t="s">
        <v>94</v>
      </c>
      <c r="J7832" t="s">
        <v>95</v>
      </c>
      <c r="K7832">
        <v>0</v>
      </c>
    </row>
    <row r="7833" spans="9:11">
      <c r="I7833" t="s">
        <v>91</v>
      </c>
      <c r="J7833" t="s">
        <v>92</v>
      </c>
      <c r="K7833">
        <v>0</v>
      </c>
    </row>
    <row r="7834" spans="9:11">
      <c r="I7834" t="s">
        <v>91</v>
      </c>
      <c r="J7834" t="s">
        <v>92</v>
      </c>
      <c r="K7834">
        <v>0</v>
      </c>
    </row>
    <row r="7835" spans="9:11">
      <c r="I7835" t="s">
        <v>94</v>
      </c>
      <c r="J7835" t="s">
        <v>95</v>
      </c>
      <c r="K7835">
        <v>0</v>
      </c>
    </row>
    <row r="7836" spans="9:11">
      <c r="I7836" t="s">
        <v>94</v>
      </c>
      <c r="J7836" t="s">
        <v>95</v>
      </c>
      <c r="K7836">
        <v>0</v>
      </c>
    </row>
    <row r="7837" spans="9:11">
      <c r="I7837" t="s">
        <v>94</v>
      </c>
      <c r="J7837" t="s">
        <v>95</v>
      </c>
      <c r="K7837">
        <v>0</v>
      </c>
    </row>
    <row r="7838" spans="9:11">
      <c r="I7838" t="s">
        <v>91</v>
      </c>
      <c r="J7838" t="s">
        <v>92</v>
      </c>
      <c r="K7838">
        <v>0</v>
      </c>
    </row>
    <row r="7839" spans="9:11">
      <c r="I7839" t="s">
        <v>94</v>
      </c>
      <c r="J7839" t="s">
        <v>95</v>
      </c>
      <c r="K7839">
        <v>1</v>
      </c>
    </row>
    <row r="7840" spans="9:11">
      <c r="I7840" t="s">
        <v>94</v>
      </c>
      <c r="J7840" t="s">
        <v>95</v>
      </c>
      <c r="K7840">
        <v>0</v>
      </c>
    </row>
    <row r="7841" spans="9:11">
      <c r="I7841" t="s">
        <v>91</v>
      </c>
      <c r="J7841" t="s">
        <v>92</v>
      </c>
      <c r="K7841">
        <v>0</v>
      </c>
    </row>
    <row r="7842" spans="9:11">
      <c r="I7842" t="s">
        <v>91</v>
      </c>
      <c r="J7842" t="s">
        <v>92</v>
      </c>
      <c r="K7842">
        <v>0</v>
      </c>
    </row>
    <row r="7843" spans="9:11">
      <c r="I7843" t="s">
        <v>91</v>
      </c>
      <c r="J7843" t="s">
        <v>92</v>
      </c>
      <c r="K7843">
        <v>0</v>
      </c>
    </row>
    <row r="7844" spans="9:11">
      <c r="I7844" t="s">
        <v>94</v>
      </c>
      <c r="J7844" t="s">
        <v>95</v>
      </c>
      <c r="K7844">
        <v>0</v>
      </c>
    </row>
    <row r="7845" spans="9:11">
      <c r="I7845" t="s">
        <v>94</v>
      </c>
      <c r="J7845" t="s">
        <v>95</v>
      </c>
      <c r="K7845">
        <v>0</v>
      </c>
    </row>
    <row r="7846" spans="9:11">
      <c r="I7846" t="s">
        <v>91</v>
      </c>
      <c r="J7846" t="s">
        <v>92</v>
      </c>
      <c r="K7846">
        <v>0</v>
      </c>
    </row>
    <row r="7847" spans="9:11">
      <c r="I7847" t="s">
        <v>94</v>
      </c>
      <c r="J7847" t="s">
        <v>95</v>
      </c>
      <c r="K7847">
        <v>0</v>
      </c>
    </row>
    <row r="7848" spans="9:11">
      <c r="I7848" t="s">
        <v>91</v>
      </c>
      <c r="J7848" t="s">
        <v>92</v>
      </c>
      <c r="K7848">
        <v>0</v>
      </c>
    </row>
    <row r="7849" spans="9:11">
      <c r="I7849" t="s">
        <v>94</v>
      </c>
      <c r="J7849" t="s">
        <v>95</v>
      </c>
      <c r="K7849">
        <v>0</v>
      </c>
    </row>
    <row r="7850" spans="9:11">
      <c r="I7850" t="s">
        <v>91</v>
      </c>
      <c r="J7850" t="s">
        <v>92</v>
      </c>
      <c r="K7850">
        <v>0</v>
      </c>
    </row>
    <row r="7851" spans="9:11">
      <c r="I7851" t="s">
        <v>94</v>
      </c>
      <c r="J7851" t="s">
        <v>95</v>
      </c>
      <c r="K7851">
        <v>0</v>
      </c>
    </row>
    <row r="7852" spans="9:11">
      <c r="I7852" t="s">
        <v>94</v>
      </c>
      <c r="J7852" t="s">
        <v>95</v>
      </c>
      <c r="K7852">
        <v>0</v>
      </c>
    </row>
    <row r="7853" spans="9:11">
      <c r="I7853" t="s">
        <v>94</v>
      </c>
      <c r="J7853" t="s">
        <v>95</v>
      </c>
      <c r="K7853">
        <v>0</v>
      </c>
    </row>
    <row r="7854" spans="9:11">
      <c r="I7854" t="s">
        <v>94</v>
      </c>
      <c r="J7854" t="s">
        <v>95</v>
      </c>
      <c r="K7854">
        <v>0</v>
      </c>
    </row>
    <row r="7855" spans="9:11">
      <c r="I7855" t="s">
        <v>94</v>
      </c>
      <c r="J7855" t="s">
        <v>95</v>
      </c>
      <c r="K7855">
        <v>0</v>
      </c>
    </row>
    <row r="7856" spans="9:11">
      <c r="I7856" t="s">
        <v>91</v>
      </c>
      <c r="J7856" t="s">
        <v>92</v>
      </c>
      <c r="K7856">
        <v>0</v>
      </c>
    </row>
    <row r="7857" spans="9:11">
      <c r="I7857" t="s">
        <v>94</v>
      </c>
      <c r="J7857" t="s">
        <v>95</v>
      </c>
      <c r="K7857">
        <v>0</v>
      </c>
    </row>
    <row r="7858" spans="9:11">
      <c r="I7858" t="s">
        <v>94</v>
      </c>
      <c r="J7858" t="s">
        <v>95</v>
      </c>
      <c r="K7858">
        <v>0</v>
      </c>
    </row>
    <row r="7859" spans="9:11">
      <c r="I7859" t="s">
        <v>94</v>
      </c>
      <c r="J7859" t="s">
        <v>95</v>
      </c>
      <c r="K7859">
        <v>0</v>
      </c>
    </row>
    <row r="7860" spans="9:11">
      <c r="I7860" t="s">
        <v>94</v>
      </c>
      <c r="J7860" t="s">
        <v>95</v>
      </c>
      <c r="K7860">
        <v>0</v>
      </c>
    </row>
    <row r="7861" spans="9:11">
      <c r="I7861" t="s">
        <v>91</v>
      </c>
      <c r="J7861" t="s">
        <v>92</v>
      </c>
      <c r="K7861">
        <v>0</v>
      </c>
    </row>
    <row r="7862" spans="9:11">
      <c r="I7862" t="s">
        <v>94</v>
      </c>
      <c r="J7862" t="s">
        <v>95</v>
      </c>
      <c r="K7862">
        <v>0</v>
      </c>
    </row>
    <row r="7863" spans="9:11">
      <c r="I7863" t="s">
        <v>94</v>
      </c>
      <c r="J7863" t="s">
        <v>95</v>
      </c>
      <c r="K7863">
        <v>0</v>
      </c>
    </row>
    <row r="7864" spans="9:11">
      <c r="I7864" t="s">
        <v>94</v>
      </c>
      <c r="J7864" t="s">
        <v>95</v>
      </c>
      <c r="K7864">
        <v>0</v>
      </c>
    </row>
    <row r="7865" spans="9:11">
      <c r="I7865" t="s">
        <v>91</v>
      </c>
      <c r="J7865" t="s">
        <v>92</v>
      </c>
      <c r="K7865">
        <v>0</v>
      </c>
    </row>
    <row r="7866" spans="9:11">
      <c r="I7866" t="s">
        <v>94</v>
      </c>
      <c r="J7866" t="s">
        <v>95</v>
      </c>
      <c r="K7866">
        <v>0</v>
      </c>
    </row>
    <row r="7867" spans="9:11">
      <c r="I7867" t="s">
        <v>94</v>
      </c>
      <c r="J7867" t="s">
        <v>95</v>
      </c>
      <c r="K7867">
        <v>0</v>
      </c>
    </row>
    <row r="7868" spans="9:11">
      <c r="I7868" t="s">
        <v>94</v>
      </c>
      <c r="J7868" t="s">
        <v>95</v>
      </c>
      <c r="K7868">
        <v>0</v>
      </c>
    </row>
    <row r="7869" spans="9:11">
      <c r="I7869" t="s">
        <v>94</v>
      </c>
      <c r="J7869" t="s">
        <v>95</v>
      </c>
      <c r="K7869">
        <v>0</v>
      </c>
    </row>
    <row r="7870" spans="9:11">
      <c r="I7870" t="s">
        <v>94</v>
      </c>
      <c r="J7870" t="s">
        <v>95</v>
      </c>
      <c r="K7870">
        <v>0</v>
      </c>
    </row>
    <row r="7871" spans="9:11">
      <c r="I7871" t="s">
        <v>94</v>
      </c>
      <c r="J7871" t="s">
        <v>95</v>
      </c>
      <c r="K7871">
        <v>0</v>
      </c>
    </row>
    <row r="7872" spans="9:11">
      <c r="I7872" t="s">
        <v>91</v>
      </c>
      <c r="J7872" t="s">
        <v>92</v>
      </c>
      <c r="K7872">
        <v>0</v>
      </c>
    </row>
    <row r="7873" spans="9:11">
      <c r="I7873" t="s">
        <v>94</v>
      </c>
      <c r="J7873" t="s">
        <v>95</v>
      </c>
      <c r="K7873">
        <v>0</v>
      </c>
    </row>
    <row r="7874" spans="9:11">
      <c r="I7874" t="s">
        <v>91</v>
      </c>
      <c r="J7874" t="s">
        <v>92</v>
      </c>
      <c r="K7874">
        <v>0</v>
      </c>
    </row>
    <row r="7875" spans="9:11">
      <c r="I7875" t="s">
        <v>91</v>
      </c>
      <c r="J7875" t="s">
        <v>92</v>
      </c>
      <c r="K7875">
        <v>0</v>
      </c>
    </row>
    <row r="7876" spans="9:11">
      <c r="I7876" t="s">
        <v>94</v>
      </c>
      <c r="J7876" t="s">
        <v>95</v>
      </c>
      <c r="K7876">
        <v>0</v>
      </c>
    </row>
    <row r="7877" spans="9:11">
      <c r="I7877" t="s">
        <v>91</v>
      </c>
      <c r="J7877" t="s">
        <v>92</v>
      </c>
      <c r="K7877">
        <v>0</v>
      </c>
    </row>
    <row r="7878" spans="9:11">
      <c r="I7878" t="s">
        <v>94</v>
      </c>
      <c r="J7878" t="s">
        <v>95</v>
      </c>
      <c r="K7878">
        <v>0</v>
      </c>
    </row>
    <row r="7879" spans="9:11">
      <c r="I7879" t="s">
        <v>91</v>
      </c>
      <c r="J7879" t="s">
        <v>92</v>
      </c>
      <c r="K7879">
        <v>0</v>
      </c>
    </row>
    <row r="7880" spans="9:11">
      <c r="I7880" t="s">
        <v>94</v>
      </c>
      <c r="J7880" t="s">
        <v>95</v>
      </c>
      <c r="K7880">
        <v>0</v>
      </c>
    </row>
    <row r="7881" spans="9:11">
      <c r="I7881" t="s">
        <v>91</v>
      </c>
      <c r="J7881" t="s">
        <v>92</v>
      </c>
      <c r="K7881">
        <v>0</v>
      </c>
    </row>
    <row r="7882" spans="9:11">
      <c r="I7882" t="s">
        <v>94</v>
      </c>
      <c r="J7882" t="s">
        <v>95</v>
      </c>
      <c r="K7882">
        <v>0</v>
      </c>
    </row>
    <row r="7883" spans="9:11">
      <c r="I7883" t="s">
        <v>91</v>
      </c>
      <c r="J7883" t="s">
        <v>92</v>
      </c>
      <c r="K7883">
        <v>0</v>
      </c>
    </row>
    <row r="7884" spans="9:11">
      <c r="I7884" t="s">
        <v>91</v>
      </c>
      <c r="J7884" t="s">
        <v>92</v>
      </c>
      <c r="K7884">
        <v>0</v>
      </c>
    </row>
    <row r="7885" spans="9:11">
      <c r="I7885" t="s">
        <v>91</v>
      </c>
      <c r="J7885" t="s">
        <v>92</v>
      </c>
      <c r="K7885">
        <v>0</v>
      </c>
    </row>
    <row r="7886" spans="9:11">
      <c r="I7886" t="s">
        <v>94</v>
      </c>
      <c r="J7886" t="s">
        <v>95</v>
      </c>
      <c r="K7886">
        <v>0</v>
      </c>
    </row>
    <row r="7887" spans="9:11">
      <c r="I7887" t="s">
        <v>91</v>
      </c>
      <c r="J7887" t="s">
        <v>92</v>
      </c>
      <c r="K7887">
        <v>0</v>
      </c>
    </row>
    <row r="7888" spans="9:11">
      <c r="I7888" t="s">
        <v>94</v>
      </c>
      <c r="J7888" t="s">
        <v>95</v>
      </c>
      <c r="K7888">
        <v>0</v>
      </c>
    </row>
    <row r="7889" spans="9:11">
      <c r="I7889" t="s">
        <v>91</v>
      </c>
      <c r="J7889" t="s">
        <v>92</v>
      </c>
      <c r="K7889">
        <v>0</v>
      </c>
    </row>
    <row r="7890" spans="9:11">
      <c r="I7890" t="s">
        <v>94</v>
      </c>
      <c r="J7890" t="s">
        <v>95</v>
      </c>
      <c r="K7890">
        <v>0</v>
      </c>
    </row>
    <row r="7891" spans="9:11">
      <c r="I7891" t="s">
        <v>94</v>
      </c>
      <c r="J7891" t="s">
        <v>95</v>
      </c>
      <c r="K7891">
        <v>0</v>
      </c>
    </row>
    <row r="7892" spans="9:11">
      <c r="I7892" t="s">
        <v>94</v>
      </c>
      <c r="J7892" t="s">
        <v>95</v>
      </c>
      <c r="K7892">
        <v>0</v>
      </c>
    </row>
    <row r="7893" spans="9:11">
      <c r="I7893" t="s">
        <v>91</v>
      </c>
      <c r="J7893" t="s">
        <v>92</v>
      </c>
      <c r="K7893">
        <v>0</v>
      </c>
    </row>
    <row r="7894" spans="9:11">
      <c r="I7894" t="s">
        <v>91</v>
      </c>
      <c r="J7894" t="s">
        <v>92</v>
      </c>
      <c r="K7894">
        <v>0</v>
      </c>
    </row>
    <row r="7895" spans="9:11">
      <c r="I7895" t="s">
        <v>91</v>
      </c>
      <c r="J7895" t="s">
        <v>92</v>
      </c>
      <c r="K7895">
        <v>0</v>
      </c>
    </row>
    <row r="7896" spans="9:11">
      <c r="I7896" t="s">
        <v>91</v>
      </c>
      <c r="J7896" t="s">
        <v>92</v>
      </c>
      <c r="K7896">
        <v>0</v>
      </c>
    </row>
    <row r="7897" spans="9:11">
      <c r="I7897" t="s">
        <v>94</v>
      </c>
      <c r="J7897" t="s">
        <v>95</v>
      </c>
      <c r="K7897">
        <v>0</v>
      </c>
    </row>
  </sheetData>
  <mergeCells count="24">
    <mergeCell ref="E23:G23"/>
    <mergeCell ref="A39:A42"/>
    <mergeCell ref="B39:C42"/>
    <mergeCell ref="A43:C47"/>
    <mergeCell ref="A30:C30"/>
    <mergeCell ref="A31:C31"/>
    <mergeCell ref="A32:A33"/>
    <mergeCell ref="B32:C33"/>
    <mergeCell ref="A34:C38"/>
    <mergeCell ref="A26:A27"/>
    <mergeCell ref="B26:B27"/>
    <mergeCell ref="C26:C27"/>
    <mergeCell ref="A28:A29"/>
    <mergeCell ref="B28:B29"/>
    <mergeCell ref="C28:C29"/>
    <mergeCell ref="A22:C23"/>
    <mergeCell ref="A24:A25"/>
    <mergeCell ref="B24:C25"/>
    <mergeCell ref="A20:C21"/>
    <mergeCell ref="A1:C2"/>
    <mergeCell ref="A3:C14"/>
    <mergeCell ref="B16:C16"/>
    <mergeCell ref="A17:C18"/>
    <mergeCell ref="B19:C19"/>
  </mergeCells>
  <pageMargins left="0.7" right="0.7" top="0.75" bottom="0.75" header="0.3" footer="0.3"/>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2" id="{4FC351B4-1606-D045-9E0F-61EB1FDBBE05}">
            <xm:f>ABS($C$26-Solutions!$B$12)&lt;=Solutions!$C$12</xm:f>
            <x14:dxf>
              <fill>
                <patternFill>
                  <bgColor rgb="FF98DA74"/>
                </patternFill>
              </fill>
            </x14:dxf>
          </x14:cfRule>
          <xm:sqref>A26:A27</xm:sqref>
        </x14:conditionalFormatting>
        <x14:conditionalFormatting xmlns:xm="http://schemas.microsoft.com/office/excel/2006/main">
          <x14:cfRule type="expression" priority="1" id="{EACFDA43-D66D-0242-BD42-0AEBD06EF406}">
            <xm:f>ABS($C$28-Solutions!$B$13)&lt;=Solutions!$C$13</xm:f>
            <x14:dxf>
              <fill>
                <patternFill>
                  <bgColor rgb="FF98DA74"/>
                </patternFill>
              </fill>
            </x14:dxf>
          </x14:cfRule>
          <xm:sqref>A28:A29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412C1-8079-594B-9EEC-68719617FBB7}">
  <sheetPr codeName="Sheet5"/>
  <dimension ref="A1:E25"/>
  <sheetViews>
    <sheetView workbookViewId="0">
      <selection sqref="A1:B2"/>
    </sheetView>
  </sheetViews>
  <sheetFormatPr defaultColWidth="10.875" defaultRowHeight="15"/>
  <cols>
    <col min="1" max="1" width="23.875" style="11" bestFit="1" customWidth="1"/>
    <col min="2" max="2" width="59.125" style="13" customWidth="1"/>
    <col min="3" max="3" width="14.625" style="11" bestFit="1" customWidth="1"/>
    <col min="4" max="4" width="15.5" style="11" bestFit="1" customWidth="1"/>
    <col min="5" max="16384" width="10.875" style="11"/>
  </cols>
  <sheetData>
    <row r="1" spans="1:5" ht="15" customHeight="1">
      <c r="A1" s="91" t="s">
        <v>113</v>
      </c>
      <c r="B1" s="92"/>
    </row>
    <row r="2" spans="1:5" ht="15.95" customHeight="1">
      <c r="A2" s="91"/>
      <c r="B2" s="92"/>
    </row>
    <row r="3" spans="1:5" ht="17.100000000000001">
      <c r="A3" s="19" t="s">
        <v>114</v>
      </c>
      <c r="B3" s="20" t="s">
        <v>115</v>
      </c>
      <c r="C3" s="15"/>
      <c r="D3" s="15"/>
      <c r="E3" s="15"/>
    </row>
    <row r="4" spans="1:5" ht="15" customHeight="1">
      <c r="A4" s="19" t="s">
        <v>75</v>
      </c>
      <c r="B4" s="6" t="s">
        <v>116</v>
      </c>
      <c r="C4" s="15"/>
      <c r="D4" s="15"/>
      <c r="E4" s="15"/>
    </row>
    <row r="5" spans="1:5" ht="15.95" customHeight="1">
      <c r="A5" s="19" t="s">
        <v>76</v>
      </c>
      <c r="B5" s="6" t="s">
        <v>117</v>
      </c>
      <c r="C5" s="15"/>
      <c r="D5" s="15"/>
      <c r="E5" s="15"/>
    </row>
    <row r="6" spans="1:5" ht="17.100000000000001">
      <c r="A6" s="19" t="s">
        <v>77</v>
      </c>
      <c r="B6" s="6" t="s">
        <v>118</v>
      </c>
      <c r="C6" s="15"/>
      <c r="D6" s="15"/>
      <c r="E6" s="15"/>
    </row>
    <row r="7" spans="1:5" ht="17.100000000000001">
      <c r="A7" s="19" t="s">
        <v>78</v>
      </c>
      <c r="B7" s="6" t="s">
        <v>119</v>
      </c>
      <c r="C7" s="15"/>
      <c r="D7" s="15"/>
      <c r="E7" s="15"/>
    </row>
    <row r="8" spans="1:5" ht="33.950000000000003">
      <c r="A8" s="19" t="s">
        <v>79</v>
      </c>
      <c r="B8" s="6" t="s">
        <v>120</v>
      </c>
      <c r="C8" s="15"/>
      <c r="D8" s="15"/>
      <c r="E8" s="15"/>
    </row>
    <row r="9" spans="1:5" ht="17.100000000000001">
      <c r="A9" s="19" t="s">
        <v>80</v>
      </c>
      <c r="B9" s="6" t="s">
        <v>121</v>
      </c>
      <c r="C9" s="15"/>
      <c r="D9" s="15"/>
      <c r="E9" s="15"/>
    </row>
    <row r="10" spans="1:5" ht="33.950000000000003">
      <c r="A10" s="19" t="s">
        <v>81</v>
      </c>
      <c r="B10" s="6" t="s">
        <v>122</v>
      </c>
      <c r="C10" s="15"/>
      <c r="D10" s="15"/>
      <c r="E10" s="15"/>
    </row>
    <row r="11" spans="1:5" ht="15.95" customHeight="1">
      <c r="A11" s="19" t="s">
        <v>19</v>
      </c>
      <c r="B11" s="6" t="s">
        <v>123</v>
      </c>
      <c r="C11" s="15"/>
      <c r="D11" s="15"/>
      <c r="E11" s="15"/>
    </row>
    <row r="12" spans="1:5" ht="18" customHeight="1">
      <c r="A12" s="19" t="s">
        <v>82</v>
      </c>
      <c r="B12" s="6" t="s">
        <v>124</v>
      </c>
      <c r="C12" s="15"/>
      <c r="D12" s="15"/>
      <c r="E12" s="15"/>
    </row>
    <row r="13" spans="1:5">
      <c r="A13" s="15"/>
      <c r="B13" s="21"/>
      <c r="C13" s="15"/>
      <c r="D13" s="15"/>
      <c r="E13" s="15"/>
    </row>
    <row r="14" spans="1:5">
      <c r="A14" s="93" t="s">
        <v>125</v>
      </c>
      <c r="B14" s="94"/>
    </row>
    <row r="15" spans="1:5">
      <c r="A15" s="93"/>
      <c r="B15" s="94"/>
    </row>
    <row r="16" spans="1:5" ht="17.100000000000001">
      <c r="A16" s="19" t="s">
        <v>114</v>
      </c>
      <c r="B16" s="20" t="s">
        <v>115</v>
      </c>
    </row>
    <row r="17" spans="1:2" ht="17.100000000000001">
      <c r="A17" s="19" t="s">
        <v>75</v>
      </c>
      <c r="B17" s="6" t="s">
        <v>116</v>
      </c>
    </row>
    <row r="18" spans="1:2" ht="17.100000000000001">
      <c r="A18" s="19" t="s">
        <v>76</v>
      </c>
      <c r="B18" s="6" t="s">
        <v>117</v>
      </c>
    </row>
    <row r="19" spans="1:2" ht="17.100000000000001">
      <c r="A19" s="19" t="s">
        <v>77</v>
      </c>
      <c r="B19" s="6" t="s">
        <v>118</v>
      </c>
    </row>
    <row r="20" spans="1:2" ht="17.100000000000001">
      <c r="A20" s="19" t="s">
        <v>78</v>
      </c>
      <c r="B20" s="6" t="s">
        <v>119</v>
      </c>
    </row>
    <row r="21" spans="1:2" ht="33.950000000000003">
      <c r="A21" s="19" t="s">
        <v>79</v>
      </c>
      <c r="B21" s="6" t="s">
        <v>120</v>
      </c>
    </row>
    <row r="22" spans="1:2" ht="17.100000000000001">
      <c r="A22" s="19" t="s">
        <v>80</v>
      </c>
      <c r="B22" s="6" t="s">
        <v>121</v>
      </c>
    </row>
    <row r="23" spans="1:2" ht="33.950000000000003">
      <c r="A23" s="19" t="s">
        <v>81</v>
      </c>
      <c r="B23" s="6" t="s">
        <v>122</v>
      </c>
    </row>
    <row r="24" spans="1:2" ht="33.950000000000003">
      <c r="A24" s="19" t="s">
        <v>19</v>
      </c>
      <c r="B24" s="6" t="s">
        <v>123</v>
      </c>
    </row>
    <row r="25" spans="1:2" ht="17.100000000000001">
      <c r="A25" s="19" t="s">
        <v>82</v>
      </c>
      <c r="B25" s="6" t="s">
        <v>124</v>
      </c>
    </row>
  </sheetData>
  <mergeCells count="2">
    <mergeCell ref="A1:B2"/>
    <mergeCell ref="A14:B15"/>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2741D-8D9B-F746-BDE9-D64ED28CB467}">
  <sheetPr codeName="Sheet6"/>
  <dimension ref="A1:E25"/>
  <sheetViews>
    <sheetView zoomScale="125" workbookViewId="0">
      <selection activeCell="E8" sqref="E8"/>
    </sheetView>
  </sheetViews>
  <sheetFormatPr defaultColWidth="11" defaultRowHeight="15.95" customHeight="1"/>
  <cols>
    <col min="2" max="2" width="12.125" bestFit="1" customWidth="1"/>
    <col min="3" max="3" width="11" bestFit="1" customWidth="1"/>
    <col min="4" max="4" width="12.125" bestFit="1" customWidth="1"/>
  </cols>
  <sheetData>
    <row r="1" spans="1:5" ht="15.95" customHeight="1">
      <c r="A1" s="24" t="s">
        <v>126</v>
      </c>
      <c r="B1" s="24" t="s">
        <v>127</v>
      </c>
      <c r="C1" s="24" t="s">
        <v>128</v>
      </c>
      <c r="D1" s="25" t="s">
        <v>129</v>
      </c>
      <c r="E1" s="25" t="s">
        <v>130</v>
      </c>
    </row>
    <row r="2" spans="1:5" ht="15.95" customHeight="1">
      <c r="A2" s="23" t="s">
        <v>25</v>
      </c>
      <c r="B2" s="23">
        <v>2.7792846214664899</v>
      </c>
      <c r="C2" s="23">
        <v>0.01</v>
      </c>
      <c r="D2" s="23">
        <f>IFERROR(INDEX('Website Performance Analysis'!$C$68,1,1),"no solution")</f>
        <v>2.7792846214664899</v>
      </c>
      <c r="E2" s="23" t="str">
        <f ca="1">IFERROR(_xlfn.FORMULATEXT(INDEX('Website Performance Analysis'!$C$68,1)),"no formula")</f>
        <v>=(SUM('Recording Academy Data'!D:D)/SUM('Recording Academy Data'!E:E))</v>
      </c>
    </row>
    <row r="3" spans="1:5" ht="15.95" customHeight="1">
      <c r="A3" s="23" t="s">
        <v>27</v>
      </c>
      <c r="B3" s="23">
        <v>2.2532666845245313</v>
      </c>
      <c r="C3" s="23">
        <v>0.01</v>
      </c>
      <c r="D3" s="23">
        <f>IFERROR(INDEX('Website Performance Analysis'!$C$69,1,1),"no solution")</f>
        <v>2.2532666845245313</v>
      </c>
      <c r="E3" s="23" t="str">
        <f ca="1">IFERROR(_xlfn.FORMULATEXT(INDEX('Website Performance Analysis'!$C$69,1)),"no formula")</f>
        <v>=H63/I63</v>
      </c>
    </row>
    <row r="4" spans="1:5" ht="15.95" customHeight="1">
      <c r="A4" s="23" t="s">
        <v>29</v>
      </c>
      <c r="B4" s="23">
        <v>1.8606084239751572</v>
      </c>
      <c r="C4" s="23">
        <v>0.01</v>
      </c>
      <c r="D4" s="23">
        <f>IFERROR(INDEX('Website Performance Analysis'!$C$70,1,1),"no solution")</f>
        <v>1.8606084239751572</v>
      </c>
      <c r="E4" s="23" t="str">
        <f ca="1">IFERROR(_xlfn.FORMULATEXT(INDEX('Website Performance Analysis'!$C$70,1)),"no formula")</f>
        <v>=H64/I64</v>
      </c>
    </row>
    <row r="5" spans="1:5" ht="15.95" customHeight="1">
      <c r="A5" s="23" t="s">
        <v>36</v>
      </c>
      <c r="B5" s="23">
        <v>0.3367192393391451</v>
      </c>
      <c r="C5" s="23">
        <v>1E-3</v>
      </c>
      <c r="D5" s="23">
        <f>IFERROR(INDEX('Website Performance Analysis'!$C$79,1,1),"no solution")</f>
        <v>0.3367192393391451</v>
      </c>
      <c r="E5" s="23" t="str">
        <f ca="1">IFERROR(_xlfn.FORMULATEXT(INDEX('Website Performance Analysis'!$C$79,1)),"no formula")</f>
        <v>=(SUM(TRA[bounced_sessions])/SUM('Recording Academy Data'!E:E))</v>
      </c>
    </row>
    <row r="6" spans="1:5" ht="15.95" customHeight="1">
      <c r="A6" s="23" t="s">
        <v>38</v>
      </c>
      <c r="B6" s="23">
        <v>0.40158614333215198</v>
      </c>
      <c r="C6" s="23">
        <v>1E-3</v>
      </c>
      <c r="D6" s="23">
        <f>IFERROR(INDEX('Website Performance Analysis'!$C$81,1,1),"no solution")</f>
        <v>0.41584428207045615</v>
      </c>
      <c r="E6" s="23" t="str">
        <f ca="1">IFERROR(_xlfn.FORMULATEXT(INDEX('Website Performance Analysis'!$C$81,1)),"no formula")</f>
        <v>=(SUMIFS(Grammys[bounced_sessions],Grammys[website_content],"Grammys TRA")/SUMIFS(Grammys[sessions],Grammys[website_content],"Grammys TRA"))</v>
      </c>
    </row>
    <row r="7" spans="1:5" ht="15.95" customHeight="1">
      <c r="A7" s="23" t="s">
        <v>40</v>
      </c>
      <c r="B7" s="23">
        <v>0.41584428207045615</v>
      </c>
      <c r="C7" s="23">
        <v>1E-3</v>
      </c>
      <c r="D7" s="23" t="str">
        <f>IFERROR(INDEX('Website Performance Analysis'!#REF!,1,1),"no solution")</f>
        <v>no solution</v>
      </c>
      <c r="E7" s="23" t="str">
        <f ca="1">IFERROR(_xlfn.FORMULATEXT(INDEX('Website Performance Analysis'!#REF!,1)),"no formula")</f>
        <v>no formula</v>
      </c>
    </row>
    <row r="8" spans="1:5" ht="15.95" customHeight="1">
      <c r="A8" s="23" t="s">
        <v>43</v>
      </c>
      <c r="B8" s="23">
        <v>128.50309278350517</v>
      </c>
      <c r="C8" s="23">
        <v>0.1</v>
      </c>
      <c r="D8" s="23">
        <f>IFERROR(INDEX('Website Performance Analysis'!$C$85,1,1),"no solution")</f>
        <v>128.50309278350517</v>
      </c>
      <c r="E8" s="23" t="str">
        <f ca="1">IFERROR(_xlfn.FORMULATEXT(INDEX('Website Performance Analysis'!$C$85,1)),"no formula")</f>
        <v>=AVERAGE(TRA[avg_session_duration_secs])</v>
      </c>
    </row>
    <row r="9" spans="1:5" ht="15.95" customHeight="1">
      <c r="A9" s="23" t="s">
        <v>45</v>
      </c>
      <c r="B9" s="23">
        <v>82.985567010309282</v>
      </c>
      <c r="C9" s="23">
        <v>0.1</v>
      </c>
      <c r="D9" s="23">
        <f>IFERROR(INDEX('Website Performance Analysis'!$C$86,1,1),"no solution")</f>
        <v>82.985567010309282</v>
      </c>
      <c r="E9" s="23" t="str">
        <f ca="1">IFERROR(_xlfn.FORMULATEXT(INDEX('Website Performance Analysis'!$C$86,1)),"no formula")</f>
        <v>=AVERAGEIFS(Grammys[avg_session_duration_secs],Grammys[website_content],"Grammys")</v>
      </c>
    </row>
    <row r="10" spans="1:5" ht="15.95" customHeight="1">
      <c r="A10" s="23" t="s">
        <v>47</v>
      </c>
      <c r="B10" s="23">
        <v>102.85352719439958</v>
      </c>
      <c r="C10" s="23">
        <v>0.1</v>
      </c>
      <c r="D10" s="23">
        <f>IFERROR(INDEX('Website Performance Analysis'!$C$87,1,1),"no solution")</f>
        <v>102.85352719439958</v>
      </c>
      <c r="E10" s="23" t="str">
        <f ca="1">IFERROR(_xlfn.FORMULATEXT(INDEX('Website Performance Analysis'!$C$87,1)),"no formula")</f>
        <v>=AVERAGEIFS(Grammys[avg_session_duration_secs],Grammys[website_content],"Grammys TRA")</v>
      </c>
    </row>
    <row r="11" spans="1:5" ht="15.95" customHeight="1">
      <c r="A11" s="23" t="s">
        <v>56</v>
      </c>
      <c r="B11" s="23">
        <v>0.73692174841859626</v>
      </c>
      <c r="C11" s="23">
        <v>1E-3</v>
      </c>
      <c r="D11" s="23">
        <f>IFERROR(INDEX('Website Performance Analysis'!$C$101:C$102,1,1),"no solution")</f>
        <v>0.73692174841859626</v>
      </c>
      <c r="E11" s="23" t="str">
        <f ca="1">IFERROR(_xlfn.FORMULATEXT(INDEX('Website Performance Analysis'!$C$101:C$102,1)),"no formula")</f>
        <v>=(SUMIFS(Grammys[mobile_visitors],Grammys[website_content],"Grammys")/SUMIFS(Grammys[visitors],Grammys[website_content],"Grammys"))</v>
      </c>
    </row>
    <row r="12" spans="1:5" ht="15.95" customHeight="1">
      <c r="A12" s="23" t="s">
        <v>131</v>
      </c>
      <c r="B12" s="23">
        <v>302</v>
      </c>
      <c r="C12" s="23">
        <v>0</v>
      </c>
      <c r="D12" s="23">
        <f>IFERROR(INDEX(LevelUp!$C$26:C$27,1,1),"no solution")</f>
        <v>302</v>
      </c>
      <c r="E12" s="23" t="str">
        <f ca="1">IFERROR(_xlfn.FORMULATEXT(INDEX(LevelUp!$C$26:C$27,1)),"no formula")</f>
        <v>=G29-G28</v>
      </c>
    </row>
    <row r="13" spans="1:5" ht="15.95" customHeight="1">
      <c r="A13" s="23" t="s">
        <v>132</v>
      </c>
      <c r="B13" s="23">
        <v>39</v>
      </c>
      <c r="C13" s="23">
        <v>0</v>
      </c>
      <c r="D13" s="23">
        <f>IFERROR(INDEX(LevelUp!$C$28:C$29,1,1),"no solution")</f>
        <v>39</v>
      </c>
      <c r="E13" s="23" t="str">
        <f ca="1">IFERROR(_xlfn.FORMULATEXT(INDEX(LevelUp!$C$28:C$29,1)),"no formula")</f>
        <v>=H29-H28</v>
      </c>
    </row>
    <row r="14" spans="1:5" ht="15.95" customHeight="1">
      <c r="A14" s="23" t="s">
        <v>7</v>
      </c>
      <c r="B14" s="23" t="s">
        <v>133</v>
      </c>
      <c r="C14" s="23"/>
      <c r="D14" s="23" t="str">
        <f>IF(ISBLANK(INDEX('Website Performance Analysis'!$A$42:$C$45,1,1)), "no solution", IF(ISERROR(INDEX('Website Performance Analysis'!$A$42:$C$45,1,1)), "error in parsing the solution", INDEX('Website Performance Analysis'!$A$42:$C$45,1,1)))</f>
        <v>The chart shows clear annual traffic spikes between 2017 and 2023 that align with major Grammy events. The largest spike each year corresponds to the Grammy Awards ceremony (“Show Night”), which typically occurs between late January and early February, except in 2021 and 2022 when the event was delayed to March and April due to COVID-19. Smaller spikes occurring toward the end of each year are likely associated with nomination announcements and performer reveals. The highest traffic occurs in 2021 with approximately 3.3 million visitors, followed by significant peaks in 2019 and 2023. This indicates that website traffic is highly event-driven and concentrated around key Grammy milestones rather than evenly distributed throughout the year.</v>
      </c>
      <c r="E14" s="23"/>
    </row>
    <row r="15" spans="1:5" ht="15.95" customHeight="1">
      <c r="A15" s="23" t="s">
        <v>13</v>
      </c>
      <c r="B15" s="23"/>
      <c r="C15" s="23"/>
      <c r="D15" s="23" t="str">
        <f>IF(ISBLANK(INDEX('Website Performance Analysis'!$A$53:$C$55,1,1)), "no solution", IF(ISERROR(INDEX('Website Performance Analysis'!$A$53:$C$55,1,1)), "error in parsing the solution", INDEX('Website Performance Analysis'!$A$53:$C$55,1,1)))</f>
        <v>The table shows a significant increase in the average number of visitors during the award ceremony compared to the regular days. During the award show, the average number of visitors was close to 1.4 million, whereas on regular days it was just around 32000, which is about 2% of the total average visitors during the award show. This does not significantly make differences to the visitors for the award show since it still remains in the figure of 1.25  to 1.4 million. The exact number of additional visitors during the award shows was 1,357,201.95406 on average.</v>
      </c>
      <c r="E15" s="23"/>
    </row>
    <row r="16" spans="1:5" ht="15.95" customHeight="1">
      <c r="A16" s="23" t="s">
        <v>31</v>
      </c>
      <c r="B16" s="23"/>
      <c r="C16" s="23"/>
      <c r="D16" s="23" t="str">
        <f>IF(ISBLANK(INDEX('Website Performance Analysis'!$A$74:$C$75,1,1)), "no solution", IF(ISERROR(INDEX('Website Performance Analysis'!$A$74:$C$75,1,1)), "error in parsing the solution", INDEX('Website Performance Analysis'!$A$74:$C$75,1,1)))</f>
        <v>The pages per session metric indicates that user engagement is higher on the Recording Academy site than on the Grammys site, suggesting that the website split allowed each audience to access more relevant content, with Recording Academy visitors exploring more pages while Grammys users exhibit shorter, event-driven sessions.</v>
      </c>
      <c r="E16" s="23"/>
    </row>
    <row r="17" spans="1:5" ht="15.95" customHeight="1">
      <c r="A17" s="23" t="s">
        <v>49</v>
      </c>
      <c r="B17" s="23"/>
      <c r="C17" s="23"/>
      <c r="D17" s="23" t="str">
        <f>IF(ISBLANK(INDEX('Website Performance Analysis'!$A$89:$C$92,1,1)), "no solution", IF(ISERROR(INDEX('Website Performance Analysis'!$A$89:$C$92,1,1)), "error in parsing the solution", INDEX('Website Performance Analysis'!$A$89:$C$92,1,1)))</f>
        <v>After the site split, average time on site increased significantly for the Recording Academy (128.50 seconds) compared to the combined site (102.85 seconds), while the Grammys site decreased to 82.99 seconds. This suggests that users who visit the Recording Academy site are more engaged and spend more time consuming content, whereas Grammys visitors tend to browse for shorter periods, likely because they are looking for specific event-related information. Overall, this indicates that the split helped create a more engaged audience on the Recording Academy site but resulted in shorter, more task-focused visits on the Grammys site.</v>
      </c>
      <c r="E17" s="23"/>
    </row>
    <row r="18" spans="1:5" ht="15.95" customHeight="1">
      <c r="A18" s="23" t="s">
        <v>58</v>
      </c>
      <c r="B18" s="23"/>
      <c r="C18" s="23"/>
      <c r="D18" s="23" t="str">
        <f>IF(ISBLANK(INDEX('Website Performance Analysis'!$A$106:$C$109,1,1)), "no solution", IF(ISERROR(INDEX('Website Performance Analysis'!$A$106:$C$109,1,1)), "error in parsing the solution", INDEX('Website Performance Analysis'!$A$106:$C$109,1,1)))</f>
        <v>A high percentage of mobile visitors can increase bounce rate and reduce average time on site if the website is not fully optimized for mobile. Mobile users often have slower load times, smaller screens, and more difficult navigation, which can cause them to leave quickly. However, if the mobile experience is well designed, engagement can improve because mobile users tend to visit more frequently and consume content quickly.</v>
      </c>
      <c r="E18" s="23"/>
    </row>
    <row r="19" spans="1:5" ht="15.95" customHeight="1">
      <c r="A19" s="23" t="s">
        <v>63</v>
      </c>
      <c r="B19" s="23"/>
      <c r="C19" s="23"/>
      <c r="D19" s="23" t="str">
        <f>IF(ISBLANK(INDEX('Website Performance Analysis'!$A$118:$C$122,1,1)), "no solution", IF(ISERROR(INDEX('Website Performance Analysis'!$A$118:$C$122,1,1)), "error in parsing the solution", INDEX('Website Performance Analysis'!$A$118:$C$122,1,1)))</f>
        <v>Write a brief business memo to The Recording Academy evaluating whether the decision to split Grammy.com and RecordingAcademy.com improved user engagement. Use the following metrics: pages per session (Recording Academy: 2.78, Grammys: 2.25, combined before split: 1.86), average time on site (Recording Academy: 128.50 seconds, Grammys: 82.99 seconds, combined before split: 102.85 seconds), and bounce rate trends. Summarize the key insights, compare engagement before and after the split, and explain what the changes suggest about user behavior. Based on this analysis, recommend whether the Academy should keep the sites separate, merge them back together, or pursue an alternative strategy such as improving mobile optimization. Keep the tone professional and concise and focus on actionable business recommendations.</v>
      </c>
      <c r="E19" s="23"/>
    </row>
    <row r="20" spans="1:5" ht="15.95" customHeight="1">
      <c r="A20" s="23" t="s">
        <v>66</v>
      </c>
      <c r="B20" s="23"/>
      <c r="C20" s="23"/>
      <c r="D20" s="23" t="str">
        <f>IF(ISBLANK(INDEX('Website Performance Analysis'!$A$125:$C$128,1,1)), "no solution", IF(ISERROR(INDEX('Website Performance Analysis'!$A$125:$C$128,1,1)), "error in parsing the solution", INDEX('Website Performance Analysis'!$A$125:$C$128,1,1)))</f>
        <v>ChatGPT did well in accurately identifying that the test group outperformed the control group by 23% and that the results were statistically significant with a 96% confidence level, correctly supporting the recommendation to continue the split website structure. However, it initially lacked business-specific phrasing, context on why the improvement matters for engagement goals, and a polished, executive-ready tone. While the key trends were captured, the memo needed refinement to emphasize strategic implications and make it suitable for a leadership presentation.</v>
      </c>
      <c r="E20" s="23"/>
    </row>
    <row r="21" spans="1:5" ht="15.95" customHeight="1">
      <c r="A21" s="23" t="s">
        <v>69</v>
      </c>
      <c r="B21" s="23"/>
      <c r="C21" s="23"/>
      <c r="D21" s="23" t="str">
        <f>IF(ISBLANK(INDEX('Website Performance Analysis'!$A$131:$C$139,1,1)), "no solution", IF(ISERROR(INDEX('Website Performance Analysis'!$A$131:$C$139,1,1)), "error in parsing the solution", INDEX('Website Performance Analysis'!$A$131:$C$139,1,1)))</f>
        <v>To: Ray, The Recording Academy
From: Prabin Uprety
Date: 03/01/2026
Subject: Evaluation of Website Split – User Engagement
Overview:
Our analysis examined whether splitting Grammy.com and RecordingAcademy.com improved user engagement. The control group maintained the combined site, while the test group experienced the split structure.
Key Findings:
The test group outperformed the control group by 23% across engagement metrics.
Pages per session increased for Recording Academy visitors (2.78) compared to Grammys-only (2.25) and combined site (1.86).
Average time on site rose significantly for Recording Academy visitors (128.50 seconds) versus Grammys-only (82.99 seconds) and the pre-split combined site (102.85 seconds).
Bounce rates decreased for Recording Academy visitors (33.7%) compared to Grammys (40.2%) and the combined site (41.6%).
These trends indicate that the split improved engagement for Recording Academy content while Grammys visitors remain more task-focused and event-driven.
Recommendation:
It is recommended that The Recording Academy maintain the split website structure. The separation allows each audience to access more relevant content, resulting in stronger engagement on the Recording Academy site. To further optimize results, we suggest improving mobile experience, as 73.7% of visitors access the site via mobile devices, which can impact bounce rate and session duration.</v>
      </c>
      <c r="E21" s="23"/>
    </row>
    <row r="22" spans="1:5" ht="15.95" customHeight="1">
      <c r="A22" s="23" t="s">
        <v>134</v>
      </c>
      <c r="B22" s="23"/>
      <c r="C22" s="23"/>
      <c r="D22" s="23" t="str">
        <f>IF(ISBLANK(INDEX(LevelUp!$A$17:$C$18,1,1)), "no solution", IF(ISERROR(INDEX(LevelUp!$A$17:$C$18,1,1)), "error in parsing the solution", INDEX(LevelUp!$A$17:$C$18,1,1)))</f>
        <v>There is no difference in engagement with the CTA between visitors to the original combined website and visitors to the split sites.</v>
      </c>
      <c r="E22" s="23"/>
    </row>
    <row r="23" spans="1:5" ht="15.95" customHeight="1">
      <c r="A23" s="23" t="s">
        <v>135</v>
      </c>
      <c r="B23" s="23"/>
      <c r="C23" s="23"/>
      <c r="D23" s="23" t="str">
        <f>IF(ISBLANK(INDEX(LevelUp!$A$20:$C$21,1,1)), "no solution", IF(ISERROR(INDEX(LevelUp!$A$20:$C$21,1,1)), "error in parsing the solution", INDEX(LevelUp!$A$20:$C$21,1,1)))</f>
        <v>Visitors to the split sites (Grammy.com or RecordingAcademy.com) show higher engagement with the CTA compared to visitors to the original combined website.</v>
      </c>
      <c r="E23" s="23"/>
    </row>
    <row r="24" spans="1:5" ht="15.95" customHeight="1">
      <c r="A24" s="23" t="s">
        <v>136</v>
      </c>
      <c r="B24" s="23"/>
      <c r="C24" s="23"/>
      <c r="D24" s="23" t="str">
        <f>IF(ISBLANK(INDEX(LevelUp!$A$34:$C$38,1,1)), "no solution", IF(ISERROR(INDEX(LevelUp!$A$34:$C$38,1,1)), "error in parsing the solution", INDEX(LevelUp!$A$34:$C$38,1,1)))</f>
        <v>As per the calculation, the test group performed better by 23%, which creates a 96% of confidence level to implement our test group. Also, the results are significant as well, which gives enough evidence that the Null hypothesis should be rejected.</v>
      </c>
      <c r="E24" s="23"/>
    </row>
    <row r="25" spans="1:5" ht="15.95" customHeight="1">
      <c r="A25" s="23" t="s">
        <v>137</v>
      </c>
      <c r="B25" s="23"/>
      <c r="C25" s="23"/>
      <c r="D25" s="23" t="str">
        <f>IF(ISBLANK(INDEX(LevelUp!$A$43:$C$47,1,1)), "no solution", IF(ISERROR(INDEX(LevelUp!$A$43:$C$47,1,1)), "error in parsing the solution", INDEX(LevelUp!$A$43:$C$47,1,1)))</f>
        <v>Yes, based on the result, the Recording Academy should continue with the split website structure because, by the A/B testing, our test group, formed by splitting the sites, performed 23% better than the control group with 96% confidence level. This indicates that the change positively impacts website engagement and supports the goal of improving user interaction.</v>
      </c>
      <c r="E25"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 Alvarez</dc:creator>
  <cp:keywords/>
  <dc:description/>
  <cp:lastModifiedBy/>
  <cp:revision/>
  <dcterms:created xsi:type="dcterms:W3CDTF">2023-10-10T21:32:35Z</dcterms:created>
  <dcterms:modified xsi:type="dcterms:W3CDTF">2026-03-02T04:34:53Z</dcterms:modified>
  <cp:category/>
  <cp:contentStatus/>
</cp:coreProperties>
</file>